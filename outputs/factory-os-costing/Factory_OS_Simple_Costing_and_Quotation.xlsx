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iyaroongta/Downloads/factory-os/outputs/factory-os-costing/"/>
    </mc:Choice>
  </mc:AlternateContent>
  <xr:revisionPtr revIDLastSave="0" documentId="13_ncr:1_{3003C541-9DBA-A54F-9B6F-BBDD59A50C35}" xr6:coauthVersionLast="47" xr6:coauthVersionMax="47" xr10:uidLastSave="{00000000-0000-0000-0000-000000000000}"/>
  <bookViews>
    <workbookView xWindow="8740" yWindow="660" windowWidth="30240" windowHeight="17740" xr2:uid="{00000000-000D-0000-FFFF-FFFF00000000}"/>
  </bookViews>
  <sheets>
    <sheet name="Co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29" i="1" s="1"/>
  <c r="C31" i="1" s="1"/>
  <c r="B51" i="1" s="1"/>
  <c r="D51" i="1" s="1"/>
  <c r="D54" i="1"/>
  <c r="D50" i="1"/>
  <c r="E43" i="1"/>
  <c r="E45" i="1" s="1"/>
  <c r="D30" i="1"/>
  <c r="D29" i="1"/>
  <c r="D31" i="1" s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C36" i="1" l="1"/>
  <c r="C44" i="1" s="1"/>
  <c r="B53" i="1"/>
  <c r="D53" i="1" s="1"/>
  <c r="E44" i="1"/>
  <c r="C45" i="1" s="1"/>
  <c r="B52" i="1"/>
  <c r="D52" i="1" s="1"/>
</calcChain>
</file>

<file path=xl/sharedStrings.xml><?xml version="1.0" encoding="utf-8"?>
<sst xmlns="http://schemas.openxmlformats.org/spreadsheetml/2006/main" count="177" uniqueCount="141">
  <si>
    <t>FACTORY OS COSTING</t>
  </si>
  <si>
    <t>One client | 20 users | 2 locations | 1 legal entity | all amounts shown in ₹ | AI API billed separately</t>
  </si>
  <si>
    <t>ASSUMPTIONS</t>
  </si>
  <si>
    <t>Operating input</t>
  </si>
  <si>
    <t>Value</t>
  </si>
  <si>
    <t>Unit</t>
  </si>
  <si>
    <t>Financial input</t>
  </si>
  <si>
    <t>Named users</t>
  </si>
  <si>
    <t>users</t>
  </si>
  <si>
    <t>FX conversion rate</t>
  </si>
  <si>
    <t>₹ per unit</t>
  </si>
  <si>
    <t>Concurrent users</t>
  </si>
  <si>
    <t>Forex/card uplift</t>
  </si>
  <si>
    <t>%</t>
  </si>
  <si>
    <t>Working days</t>
  </si>
  <si>
    <t>days/month</t>
  </si>
  <si>
    <t>GST</t>
  </si>
  <si>
    <t>Operating hours</t>
  </si>
  <si>
    <t>hours/day</t>
  </si>
  <si>
    <t>Founder rate</t>
  </si>
  <si>
    <t>₹/hour</t>
  </si>
  <si>
    <t>Locations</t>
  </si>
  <si>
    <t>sites</t>
  </si>
  <si>
    <t>Target margin — first client</t>
  </si>
  <si>
    <t>Legal entities</t>
  </si>
  <si>
    <t>entity</t>
  </si>
  <si>
    <t>Target margin — steady state</t>
  </si>
  <si>
    <t>Function calls</t>
  </si>
  <si>
    <t>per month</t>
  </si>
  <si>
    <t>Initial contract</t>
  </si>
  <si>
    <t>months</t>
  </si>
  <si>
    <t>File storage after 2 years</t>
  </si>
  <si>
    <t>GB</t>
  </si>
  <si>
    <t>Founder support</t>
  </si>
  <si>
    <t>hours/month</t>
  </si>
  <si>
    <t>MONTHLY COST — ONE CLIENT</t>
  </si>
  <si>
    <t>Cost head</t>
  </si>
  <si>
    <t>Basis</t>
  </si>
  <si>
    <t>Expected ₹</t>
  </si>
  <si>
    <t>Guardrail ₹</t>
  </si>
  <si>
    <t>Notes</t>
  </si>
  <si>
    <t>Vercel Pro</t>
  </si>
  <si>
    <t>Shared</t>
  </si>
  <si>
    <t>₹/month</t>
  </si>
  <si>
    <t>Hosting, functions and CDN</t>
  </si>
  <si>
    <t>Neon Scale</t>
  </si>
  <si>
    <t>Per client</t>
  </si>
  <si>
    <t>Production, staging and 30-day PITR</t>
  </si>
  <si>
    <t>Anthropic production API</t>
  </si>
  <si>
    <t>Client-paid usage</t>
  </si>
  <si>
    <t>Billed directly to client at actual usage; separate from Claude Pro</t>
  </si>
  <si>
    <t>File storage and backups</t>
  </si>
  <si>
    <t>Private files plus independent backup</t>
  </si>
  <si>
    <t>Monitoring, email, security and misc.</t>
  </si>
  <si>
    <t>Small operational tools; revise when paid plans are selected</t>
  </si>
  <si>
    <t>Domain and DNS</t>
  </si>
  <si>
    <t>Annualized</t>
  </si>
  <si>
    <t>SSO and communications</t>
  </si>
  <si>
    <t>Optional</t>
  </si>
  <si>
    <t>Only when contracted</t>
  </si>
  <si>
    <t>Claude Pro</t>
  </si>
  <si>
    <t>Founder development</t>
  </si>
  <si>
    <t>Claude + Claude Code subscription</t>
  </si>
  <si>
    <t>ChatGPT Plus / Codex</t>
  </si>
  <si>
    <t>Codex subscription</t>
  </si>
  <si>
    <t>Claude usage bundle</t>
  </si>
  <si>
    <t>Only when Pro usage limit is reached</t>
  </si>
  <si>
    <t>Codex usage credits</t>
  </si>
  <si>
    <t>Only when included Codex usage is exhausted</t>
  </si>
  <si>
    <t>Production platform</t>
  </si>
  <si>
    <t>Live service cost</t>
  </si>
  <si>
    <t>Founder development tools</t>
  </si>
  <si>
    <t>Shared product cost</t>
  </si>
  <si>
    <t>TOTAL MONTHLY CASH</t>
  </si>
  <si>
    <t>Expected one-client cash burn</t>
  </si>
  <si>
    <t>ONE-TIME LAUNCH COST</t>
  </si>
  <si>
    <t>Cash cost ₹</t>
  </si>
  <si>
    <t>Founder hours</t>
  </si>
  <si>
    <t>Economic cost ₹</t>
  </si>
  <si>
    <t>Development-tool runway</t>
  </si>
  <si>
    <t>6 months</t>
  </si>
  <si>
    <t>Funds Claude, Codex and development tools</t>
  </si>
  <si>
    <t>Independent penetration test</t>
  </si>
  <si>
    <t>Add when client/security review requires it</t>
  </si>
  <si>
    <t>Legal, privacy, IP and DPA</t>
  </si>
  <si>
    <t>Add when client requires formal documents</t>
  </si>
  <si>
    <t>Accounting and tax setup</t>
  </si>
  <si>
    <t>Budget</t>
  </si>
  <si>
    <t>GST and invoicing</t>
  </si>
  <si>
    <t>Equipment and backup internet</t>
  </si>
  <si>
    <t>If required</t>
  </si>
  <si>
    <t>Replace if already owned</t>
  </si>
  <si>
    <t>Migration, UAT, training and travel</t>
  </si>
  <si>
    <t>First client</t>
  </si>
  <si>
    <t>Two locations</t>
  </si>
  <si>
    <t>DR and release rehearsal</t>
  </si>
  <si>
    <t>Restore and rollback test</t>
  </si>
  <si>
    <t>Product hardening</t>
  </si>
  <si>
    <t>Founder time</t>
  </si>
  <si>
    <t>Location model, audit, files, auth, tests and recovery</t>
  </si>
  <si>
    <t>Cash subtotal</t>
  </si>
  <si>
    <t>Contingency</t>
  </si>
  <si>
    <t>20%</t>
  </si>
  <si>
    <t>TOTAL LAUNCH CASH</t>
  </si>
  <si>
    <t>Separate economic investment</t>
  </si>
  <si>
    <t>COST AND SELLING PRICE</t>
  </si>
  <si>
    <t>Pricing item</t>
  </si>
  <si>
    <t>Cost basis ₹</t>
  </si>
  <si>
    <t>Target margin</t>
  </si>
  <si>
    <t>Calculated price ₹</t>
  </si>
  <si>
    <t>Proposed price ₹</t>
  </si>
  <si>
    <t>Result</t>
  </si>
  <si>
    <t>Implementation and go-live</t>
  </si>
  <si>
    <t>Typical range ₹4–6 lakh</t>
  </si>
  <si>
    <t>Monthly — one client</t>
  </si>
  <si>
    <t>Includes 4 founder support hours; AI API extra</t>
  </si>
  <si>
    <t>Monthly — five clients</t>
  </si>
  <si>
    <t>Shared subscriptions allocated across clients</t>
  </si>
  <si>
    <t>Monthly — ten clients</t>
  </si>
  <si>
    <t>24-month founding contract value</t>
  </si>
  <si>
    <t>GST extra</t>
  </si>
  <si>
    <t>MONTHLY PRICE INCLUDES</t>
  </si>
  <si>
    <t>Users</t>
  </si>
  <si>
    <t>AI document reads</t>
  </si>
  <si>
    <t>Copilot requests</t>
  </si>
  <si>
    <t>File storage</t>
  </si>
  <si>
    <t>₹2,000 per extra user</t>
  </si>
  <si>
    <t>₹25,000 per extra site</t>
  </si>
  <si>
    <t>₹35,000 per extra entity</t>
  </si>
  <si>
    <t>₹25 per extra document</t>
  </si>
  <si>
    <t>₹10 per extra request</t>
  </si>
  <si>
    <t>₹100 per extra GB/month</t>
  </si>
  <si>
    <t>SOURCES</t>
  </si>
  <si>
    <t>Vercel</t>
  </si>
  <si>
    <t>https://vercel.com/docs/plans/pro-plan</t>
  </si>
  <si>
    <t>Neon</t>
  </si>
  <si>
    <t>https://neon.com/pricing</t>
  </si>
  <si>
    <t>Anthropic</t>
  </si>
  <si>
    <t>https://platform.claude.com/docs/en/about-claude/pricing</t>
  </si>
  <si>
    <t>OpenAI</t>
  </si>
  <si>
    <t>https://openai.com/chatgpt/pricing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</si>
</sst>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name val="Carlito"/>
    </font>
    <font>
      <b/>
      <sz val="17"/>
      <color rgb="FFFFFFFF"/>
      <name val="Aptos"/>
    </font>
    <font>
      <i/>
      <sz val="10"/>
      <color rgb="FF5B6875"/>
      <name val="Aptos"/>
    </font>
    <font>
      <b/>
      <sz val="11"/>
      <color rgb="FFFFFFFF"/>
      <name val="Aptos"/>
    </font>
    <font>
      <b/>
      <sz val="10"/>
      <color rgb="FF17324D"/>
      <name val="Aptos"/>
    </font>
    <font>
      <sz val="10"/>
      <color rgb="FF1F2937"/>
      <name val="Aptos"/>
    </font>
    <font>
      <b/>
      <sz val="10"/>
      <color rgb="FF0F766E"/>
      <name val="Aptos"/>
    </font>
    <font>
      <b/>
      <sz val="10"/>
      <color rgb="FFFFFFFF"/>
      <name val="Aptos"/>
    </font>
    <font>
      <b/>
      <sz val="10"/>
      <color rgb="FFB45309"/>
      <name val="Aptos"/>
    </font>
    <font>
      <sz val="9"/>
      <color rgb="FF0F766E"/>
      <name val="Aptos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5F7FA"/>
      </patternFill>
    </fill>
    <fill>
      <patternFill patternType="solid">
        <fgColor rgb="FF2563EB"/>
      </patternFill>
    </fill>
    <fill>
      <patternFill patternType="solid">
        <fgColor rgb="FFE7ECF1"/>
      </patternFill>
    </fill>
    <fill>
      <patternFill patternType="solid">
        <fgColor rgb="FFDCEBFF"/>
      </patternFill>
    </fill>
    <fill>
      <patternFill patternType="solid">
        <fgColor rgb="FF0F766E"/>
      </patternFill>
    </fill>
    <fill>
      <patternFill patternType="solid">
        <fgColor rgb="FFE8F5F1"/>
      </patternFill>
    </fill>
    <fill>
      <patternFill patternType="solid">
        <fgColor rgb="FFB45309"/>
      </patternFill>
    </fill>
    <fill>
      <patternFill patternType="solid">
        <fgColor rgb="FFFFF4D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AA7B3"/>
      </bottom>
      <diagonal/>
    </border>
    <border>
      <left/>
      <right/>
      <top/>
      <bottom style="thin">
        <color rgb="FFD9E1E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4" fillId="5" borderId="1" xfId="0" applyFont="1" applyFill="1" applyBorder="1" applyAlignment="1">
      <alignment wrapText="1"/>
    </xf>
    <xf numFmtId="0" fontId="5" fillId="0" borderId="0" xfId="0" applyFont="1" applyAlignment="1">
      <alignment vertical="center" wrapText="1"/>
    </xf>
    <xf numFmtId="0" fontId="5" fillId="6" borderId="0" xfId="0" applyFont="1" applyFill="1" applyAlignment="1">
      <alignment vertical="center" wrapText="1"/>
    </xf>
    <xf numFmtId="164" fontId="5" fillId="6" borderId="0" xfId="0" applyNumberFormat="1" applyFont="1" applyFill="1" applyAlignment="1">
      <alignment vertical="center" wrapText="1"/>
    </xf>
    <xf numFmtId="3" fontId="5" fillId="6" borderId="0" xfId="0" applyNumberFormat="1" applyFont="1" applyFill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0" fontId="6" fillId="8" borderId="0" xfId="0" applyFont="1" applyFill="1" applyAlignment="1">
      <alignment wrapText="1"/>
    </xf>
    <xf numFmtId="3" fontId="6" fillId="8" borderId="0" xfId="0" applyNumberFormat="1" applyFont="1" applyFill="1" applyAlignment="1">
      <alignment wrapText="1"/>
    </xf>
    <xf numFmtId="0" fontId="7" fillId="2" borderId="0" xfId="0" applyFont="1" applyFill="1" applyAlignment="1">
      <alignment wrapText="1"/>
    </xf>
    <xf numFmtId="3" fontId="7" fillId="2" borderId="0" xfId="0" applyNumberFormat="1" applyFont="1" applyFill="1" applyAlignment="1">
      <alignment wrapText="1"/>
    </xf>
    <xf numFmtId="0" fontId="8" fillId="10" borderId="0" xfId="0" applyFont="1" applyFill="1" applyAlignment="1">
      <alignment wrapText="1"/>
    </xf>
    <xf numFmtId="3" fontId="8" fillId="10" borderId="0" xfId="0" applyNumberFormat="1" applyFont="1" applyFill="1" applyAlignment="1">
      <alignment wrapText="1"/>
    </xf>
    <xf numFmtId="164" fontId="5" fillId="0" borderId="0" xfId="0" applyNumberFormat="1" applyFont="1" applyAlignment="1">
      <alignment vertical="center" wrapText="1"/>
    </xf>
    <xf numFmtId="164" fontId="5" fillId="0" borderId="2" xfId="0" applyNumberFormat="1" applyFont="1" applyBorder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9" fillId="8" borderId="2" xfId="0" applyFont="1" applyFill="1" applyBorder="1" applyAlignment="1">
      <alignment vertical="center"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6" fillId="8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8" fillId="10" borderId="0" xfId="0" applyFont="1" applyFill="1" applyAlignment="1">
      <alignment wrapText="1"/>
    </xf>
    <xf numFmtId="3" fontId="6" fillId="8" borderId="0" xfId="0" applyNumberFormat="1" applyFont="1" applyFill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showGridLines="0" tabSelected="1" workbookViewId="0">
      <pane ySplit="3" topLeftCell="A4" activePane="bottomLeft" state="frozen"/>
      <selection pane="bottomLeft" activeCell="C30" sqref="C30"/>
    </sheetView>
  </sheetViews>
  <sheetFormatPr baseColWidth="10" defaultColWidth="8.83203125" defaultRowHeight="15"/>
  <cols>
    <col min="1" max="1" width="38" customWidth="1"/>
    <col min="2" max="2" width="34" customWidth="1"/>
    <col min="3" max="3" width="19" customWidth="1"/>
    <col min="4" max="4" width="24" customWidth="1"/>
    <col min="5" max="5" width="22" customWidth="1"/>
    <col min="6" max="6" width="49" customWidth="1"/>
  </cols>
  <sheetData>
    <row r="1" spans="1:6" ht="33" customHeight="1">
      <c r="A1" s="21" t="s">
        <v>0</v>
      </c>
      <c r="B1" s="21"/>
      <c r="C1" s="21"/>
      <c r="D1" s="21"/>
      <c r="E1" s="21"/>
      <c r="F1" s="21"/>
    </row>
    <row r="2" spans="1:6">
      <c r="A2" s="22" t="s">
        <v>1</v>
      </c>
      <c r="B2" s="22"/>
      <c r="C2" s="22"/>
      <c r="D2" s="22"/>
      <c r="E2" s="22"/>
      <c r="F2" s="22"/>
    </row>
    <row r="3" spans="1:6">
      <c r="A3" s="1"/>
      <c r="B3" s="1"/>
      <c r="C3" s="1"/>
      <c r="D3" s="1"/>
      <c r="E3" s="1"/>
      <c r="F3" s="1"/>
    </row>
    <row r="4" spans="1:6" ht="23" customHeight="1">
      <c r="A4" s="23" t="s">
        <v>2</v>
      </c>
      <c r="B4" s="23"/>
      <c r="C4" s="23"/>
      <c r="D4" s="23"/>
      <c r="E4" s="23"/>
      <c r="F4" s="23"/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4</v>
      </c>
      <c r="F5" s="2" t="s">
        <v>5</v>
      </c>
    </row>
    <row r="6" spans="1:6">
      <c r="A6" s="3" t="s">
        <v>7</v>
      </c>
      <c r="B6" s="4">
        <v>20</v>
      </c>
      <c r="C6" s="3" t="s">
        <v>8</v>
      </c>
      <c r="D6" s="3" t="s">
        <v>9</v>
      </c>
      <c r="E6" s="4">
        <v>88</v>
      </c>
      <c r="F6" s="3" t="s">
        <v>10</v>
      </c>
    </row>
    <row r="7" spans="1:6">
      <c r="A7" s="3" t="s">
        <v>11</v>
      </c>
      <c r="B7" s="4">
        <v>15</v>
      </c>
      <c r="C7" s="3" t="s">
        <v>8</v>
      </c>
      <c r="D7" s="3" t="s">
        <v>12</v>
      </c>
      <c r="E7" s="5">
        <v>3.5000000000000003E-2</v>
      </c>
      <c r="F7" s="3" t="s">
        <v>13</v>
      </c>
    </row>
    <row r="8" spans="1:6">
      <c r="A8" s="3" t="s">
        <v>14</v>
      </c>
      <c r="B8" s="4">
        <v>26</v>
      </c>
      <c r="C8" s="3" t="s">
        <v>15</v>
      </c>
      <c r="D8" s="3" t="s">
        <v>16</v>
      </c>
      <c r="E8" s="5">
        <v>0.18</v>
      </c>
      <c r="F8" s="3" t="s">
        <v>13</v>
      </c>
    </row>
    <row r="9" spans="1:6">
      <c r="A9" s="3" t="s">
        <v>17</v>
      </c>
      <c r="B9" s="4">
        <v>12</v>
      </c>
      <c r="C9" s="3" t="s">
        <v>18</v>
      </c>
      <c r="D9" s="3" t="s">
        <v>19</v>
      </c>
      <c r="E9" s="4">
        <v>2500</v>
      </c>
      <c r="F9" s="3" t="s">
        <v>20</v>
      </c>
    </row>
    <row r="10" spans="1:6">
      <c r="A10" s="3" t="s">
        <v>21</v>
      </c>
      <c r="B10" s="4">
        <v>2</v>
      </c>
      <c r="C10" s="3" t="s">
        <v>22</v>
      </c>
      <c r="D10" s="3" t="s">
        <v>23</v>
      </c>
      <c r="E10" s="5">
        <v>0.3</v>
      </c>
      <c r="F10" s="3" t="s">
        <v>13</v>
      </c>
    </row>
    <row r="11" spans="1:6">
      <c r="A11" s="3" t="s">
        <v>24</v>
      </c>
      <c r="B11" s="4">
        <v>1</v>
      </c>
      <c r="C11" s="3" t="s">
        <v>25</v>
      </c>
      <c r="D11" s="3" t="s">
        <v>26</v>
      </c>
      <c r="E11" s="5">
        <v>0.65</v>
      </c>
      <c r="F11" s="3" t="s">
        <v>13</v>
      </c>
    </row>
    <row r="12" spans="1:6">
      <c r="A12" s="3" t="s">
        <v>27</v>
      </c>
      <c r="B12" s="6">
        <v>697840</v>
      </c>
      <c r="C12" s="3" t="s">
        <v>28</v>
      </c>
      <c r="D12" s="3" t="s">
        <v>29</v>
      </c>
      <c r="E12" s="4">
        <v>24</v>
      </c>
      <c r="F12" s="3" t="s">
        <v>30</v>
      </c>
    </row>
    <row r="13" spans="1:6">
      <c r="A13" s="7" t="s">
        <v>31</v>
      </c>
      <c r="B13" s="8">
        <v>17</v>
      </c>
      <c r="C13" s="7" t="s">
        <v>32</v>
      </c>
      <c r="D13" s="7" t="s">
        <v>33</v>
      </c>
      <c r="E13" s="8">
        <v>30</v>
      </c>
      <c r="F13" s="7" t="s">
        <v>34</v>
      </c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 ht="23" customHeight="1">
      <c r="A16" s="24" t="s">
        <v>35</v>
      </c>
      <c r="B16" s="24"/>
      <c r="C16" s="24"/>
      <c r="D16" s="24"/>
      <c r="E16" s="24"/>
      <c r="F16" s="24"/>
    </row>
    <row r="17" spans="1:6">
      <c r="A17" s="2" t="s">
        <v>36</v>
      </c>
      <c r="B17" s="2" t="s">
        <v>37</v>
      </c>
      <c r="C17" s="2" t="s">
        <v>38</v>
      </c>
      <c r="D17" s="2" t="s">
        <v>39</v>
      </c>
      <c r="E17" s="2" t="s">
        <v>5</v>
      </c>
      <c r="F17" s="2" t="s">
        <v>40</v>
      </c>
    </row>
    <row r="18" spans="1:6">
      <c r="A18" s="3" t="s">
        <v>41</v>
      </c>
      <c r="B18" s="3" t="s">
        <v>42</v>
      </c>
      <c r="C18" s="9">
        <f>20*$E$6*(1+$E$7)*(1+$E$8)</f>
        <v>2149.4879999999998</v>
      </c>
      <c r="D18" s="9">
        <f>40*$E$6*(1+$E$7)*(1+$E$8)</f>
        <v>4298.9759999999997</v>
      </c>
      <c r="E18" s="3" t="s">
        <v>43</v>
      </c>
      <c r="F18" s="3" t="s">
        <v>44</v>
      </c>
    </row>
    <row r="19" spans="1:6">
      <c r="A19" s="3" t="s">
        <v>45</v>
      </c>
      <c r="B19" s="3" t="s">
        <v>46</v>
      </c>
      <c r="C19" s="9">
        <f>55*$E$6*(1+$E$7)*(1+$E$8)</f>
        <v>5911.0919999999996</v>
      </c>
      <c r="D19" s="9">
        <f>100*$E$6*(1+$E$7)*(1+$E$8)</f>
        <v>10747.439999999999</v>
      </c>
      <c r="E19" s="3" t="s">
        <v>43</v>
      </c>
      <c r="F19" s="3" t="s">
        <v>47</v>
      </c>
    </row>
    <row r="20" spans="1:6">
      <c r="A20" s="3" t="s">
        <v>48</v>
      </c>
      <c r="B20" s="3" t="s">
        <v>49</v>
      </c>
      <c r="C20" s="9">
        <f>0*$E$6*(1+$E$7)*(1+$E$8)</f>
        <v>0</v>
      </c>
      <c r="D20" s="9">
        <f>0*$E$6*(1+$E$7)*(1+$E$8)</f>
        <v>0</v>
      </c>
      <c r="E20" s="3" t="s">
        <v>43</v>
      </c>
      <c r="F20" s="3" t="s">
        <v>50</v>
      </c>
    </row>
    <row r="21" spans="1:6">
      <c r="A21" s="3" t="s">
        <v>51</v>
      </c>
      <c r="B21" s="3" t="s">
        <v>46</v>
      </c>
      <c r="C21" s="9">
        <f>10*$E$6*(1+$E$7)*(1+$E$8)</f>
        <v>1074.7439999999999</v>
      </c>
      <c r="D21" s="9">
        <f>20*$E$6*(1+$E$7)*(1+$E$8)</f>
        <v>2149.4879999999998</v>
      </c>
      <c r="E21" s="3" t="s">
        <v>43</v>
      </c>
      <c r="F21" s="3" t="s">
        <v>52</v>
      </c>
    </row>
    <row r="22" spans="1:6">
      <c r="A22" s="3" t="s">
        <v>53</v>
      </c>
      <c r="B22" s="3" t="s">
        <v>42</v>
      </c>
      <c r="C22" s="9">
        <f>30*$E$6*(1+$E$7)*(1+$E$8)</f>
        <v>3224.2319999999995</v>
      </c>
      <c r="D22" s="9">
        <f>60*$E$6*(1+$E$7)*(1+$E$8)</f>
        <v>6448.463999999999</v>
      </c>
      <c r="E22" s="3" t="s">
        <v>43</v>
      </c>
      <c r="F22" s="3" t="s">
        <v>54</v>
      </c>
    </row>
    <row r="23" spans="1:6">
      <c r="A23" s="3" t="s">
        <v>55</v>
      </c>
      <c r="B23" s="3" t="s">
        <v>46</v>
      </c>
      <c r="C23" s="9">
        <f>2*$E$6*(1+$E$7)*(1+$E$8)</f>
        <v>214.94879999999998</v>
      </c>
      <c r="D23" s="9">
        <f>2*$E$6*(1+$E$7)*(1+$E$8)</f>
        <v>214.94879999999998</v>
      </c>
      <c r="E23" s="3" t="s">
        <v>43</v>
      </c>
      <c r="F23" s="3" t="s">
        <v>56</v>
      </c>
    </row>
    <row r="24" spans="1:6">
      <c r="A24" s="3" t="s">
        <v>57</v>
      </c>
      <c r="B24" s="3" t="s">
        <v>58</v>
      </c>
      <c r="C24" s="9">
        <f>0*$E$6*(1+$E$7)*(1+$E$8)</f>
        <v>0</v>
      </c>
      <c r="D24" s="9">
        <f>150*$E$6*(1+$E$7)*(1+$E$8)</f>
        <v>16121.159999999996</v>
      </c>
      <c r="E24" s="3" t="s">
        <v>43</v>
      </c>
      <c r="F24" s="3" t="s">
        <v>59</v>
      </c>
    </row>
    <row r="25" spans="1:6">
      <c r="A25" s="3" t="s">
        <v>60</v>
      </c>
      <c r="B25" s="3" t="s">
        <v>61</v>
      </c>
      <c r="C25" s="9">
        <f>20*$E$6*(1+$E$7)*(1+$E$8)</f>
        <v>2149.4879999999998</v>
      </c>
      <c r="D25" s="9">
        <f>20*$E$6*(1+$E$7)*(1+$E$8)</f>
        <v>2149.4879999999998</v>
      </c>
      <c r="E25" s="3" t="s">
        <v>43</v>
      </c>
      <c r="F25" s="3" t="s">
        <v>62</v>
      </c>
    </row>
    <row r="26" spans="1:6">
      <c r="A26" s="3" t="s">
        <v>63</v>
      </c>
      <c r="B26" s="3" t="s">
        <v>61</v>
      </c>
      <c r="C26" s="9">
        <f>20*$E$6*(1+$E$7)*(1+$E$8)</f>
        <v>2149.4879999999998</v>
      </c>
      <c r="D26" s="9">
        <f>20*$E$6*(1+$E$7)*(1+$E$8)</f>
        <v>2149.4879999999998</v>
      </c>
      <c r="E26" s="3" t="s">
        <v>43</v>
      </c>
      <c r="F26" s="3" t="s">
        <v>64</v>
      </c>
    </row>
    <row r="27" spans="1:6">
      <c r="A27" s="3" t="s">
        <v>65</v>
      </c>
      <c r="B27" s="3" t="s">
        <v>61</v>
      </c>
      <c r="C27" s="9">
        <f>0*$E$6*(1+$E$7)*(1+$E$8)</f>
        <v>0</v>
      </c>
      <c r="D27" s="9">
        <f>50*$E$6*(1+$E$7)*(1+$E$8)</f>
        <v>5373.7199999999993</v>
      </c>
      <c r="E27" s="3" t="s">
        <v>43</v>
      </c>
      <c r="F27" s="3" t="s">
        <v>66</v>
      </c>
    </row>
    <row r="28" spans="1:6">
      <c r="A28" s="7" t="s">
        <v>67</v>
      </c>
      <c r="B28" s="7" t="s">
        <v>61</v>
      </c>
      <c r="C28" s="10">
        <f>0*$E$6*(1+$E$7)*(1+$E$8)</f>
        <v>0</v>
      </c>
      <c r="D28" s="10">
        <f>50*$E$6*(1+$E$7)*(1+$E$8)</f>
        <v>5373.7199999999993</v>
      </c>
      <c r="E28" s="7" t="s">
        <v>43</v>
      </c>
      <c r="F28" s="7" t="s">
        <v>68</v>
      </c>
    </row>
    <row r="29" spans="1:6">
      <c r="A29" s="25" t="s">
        <v>69</v>
      </c>
      <c r="B29" s="25"/>
      <c r="C29" s="12">
        <f>C30</f>
        <v>4298.9759999999997</v>
      </c>
      <c r="D29" s="12">
        <f>SUM(D18:D24)</f>
        <v>39980.476799999989</v>
      </c>
      <c r="E29" s="11" t="s">
        <v>43</v>
      </c>
      <c r="F29" s="11" t="s">
        <v>70</v>
      </c>
    </row>
    <row r="30" spans="1:6">
      <c r="A30" s="25" t="s">
        <v>71</v>
      </c>
      <c r="B30" s="25"/>
      <c r="C30" s="12">
        <f>SUM(C25:C28)</f>
        <v>4298.9759999999997</v>
      </c>
      <c r="D30" s="12">
        <f>SUM(D25:D28)</f>
        <v>15046.415999999999</v>
      </c>
      <c r="E30" s="11" t="s">
        <v>43</v>
      </c>
      <c r="F30" s="11" t="s">
        <v>72</v>
      </c>
    </row>
    <row r="31" spans="1:6">
      <c r="A31" s="26" t="s">
        <v>73</v>
      </c>
      <c r="B31" s="26"/>
      <c r="C31" s="14">
        <f>C29+C30</f>
        <v>8597.9519999999993</v>
      </c>
      <c r="D31" s="14">
        <f>D29+D30</f>
        <v>55026.892799999987</v>
      </c>
      <c r="E31" s="13" t="s">
        <v>43</v>
      </c>
      <c r="F31" s="13" t="s">
        <v>74</v>
      </c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 ht="23" customHeight="1">
      <c r="A34" s="27" t="s">
        <v>75</v>
      </c>
      <c r="B34" s="27"/>
      <c r="C34" s="27"/>
      <c r="D34" s="27"/>
      <c r="E34" s="27"/>
      <c r="F34" s="27"/>
    </row>
    <row r="35" spans="1:6">
      <c r="A35" s="2" t="s">
        <v>36</v>
      </c>
      <c r="B35" s="2" t="s">
        <v>37</v>
      </c>
      <c r="C35" s="2" t="s">
        <v>76</v>
      </c>
      <c r="D35" s="2" t="s">
        <v>77</v>
      </c>
      <c r="E35" s="2" t="s">
        <v>78</v>
      </c>
      <c r="F35" s="2" t="s">
        <v>40</v>
      </c>
    </row>
    <row r="36" spans="1:6">
      <c r="A36" s="3" t="s">
        <v>79</v>
      </c>
      <c r="B36" s="3" t="s">
        <v>80</v>
      </c>
      <c r="C36" s="9">
        <f>C30*6</f>
        <v>25793.856</v>
      </c>
      <c r="D36" s="9">
        <v>0</v>
      </c>
      <c r="E36" s="9">
        <v>0</v>
      </c>
      <c r="F36" s="3" t="s">
        <v>81</v>
      </c>
    </row>
    <row r="37" spans="1:6">
      <c r="A37" s="3" t="s">
        <v>82</v>
      </c>
      <c r="B37" s="3" t="s">
        <v>58</v>
      </c>
      <c r="C37" s="9">
        <v>0</v>
      </c>
      <c r="D37" s="9">
        <v>0</v>
      </c>
      <c r="E37" s="9">
        <v>0</v>
      </c>
      <c r="F37" s="3" t="s">
        <v>83</v>
      </c>
    </row>
    <row r="38" spans="1:6">
      <c r="A38" s="3" t="s">
        <v>84</v>
      </c>
      <c r="B38" s="3" t="s">
        <v>58</v>
      </c>
      <c r="C38" s="9">
        <v>0</v>
      </c>
      <c r="D38" s="9">
        <v>0</v>
      </c>
      <c r="E38" s="9">
        <v>0</v>
      </c>
      <c r="F38" s="3" t="s">
        <v>85</v>
      </c>
    </row>
    <row r="39" spans="1:6">
      <c r="A39" s="3" t="s">
        <v>86</v>
      </c>
      <c r="B39" s="3" t="s">
        <v>87</v>
      </c>
      <c r="C39" s="9">
        <v>50000</v>
      </c>
      <c r="D39" s="9">
        <v>0</v>
      </c>
      <c r="E39" s="9">
        <v>0</v>
      </c>
      <c r="F39" s="3" t="s">
        <v>88</v>
      </c>
    </row>
    <row r="40" spans="1:6">
      <c r="A40" s="3" t="s">
        <v>89</v>
      </c>
      <c r="B40" s="3" t="s">
        <v>90</v>
      </c>
      <c r="C40" s="9">
        <v>50000</v>
      </c>
      <c r="D40" s="9">
        <v>0</v>
      </c>
      <c r="E40" s="9">
        <v>0</v>
      </c>
      <c r="F40" s="3" t="s">
        <v>91</v>
      </c>
    </row>
    <row r="41" spans="1:6">
      <c r="A41" s="3" t="s">
        <v>92</v>
      </c>
      <c r="B41" s="3" t="s">
        <v>93</v>
      </c>
      <c r="C41" s="9">
        <v>150000</v>
      </c>
      <c r="D41" s="9">
        <v>0</v>
      </c>
      <c r="E41" s="9">
        <v>0</v>
      </c>
      <c r="F41" s="3" t="s">
        <v>94</v>
      </c>
    </row>
    <row r="42" spans="1:6">
      <c r="A42" s="3" t="s">
        <v>95</v>
      </c>
      <c r="B42" s="3" t="s">
        <v>87</v>
      </c>
      <c r="C42" s="9">
        <v>50000</v>
      </c>
      <c r="D42" s="9">
        <v>0</v>
      </c>
      <c r="E42" s="9">
        <v>0</v>
      </c>
      <c r="F42" s="3" t="s">
        <v>96</v>
      </c>
    </row>
    <row r="43" spans="1:6">
      <c r="A43" s="7" t="s">
        <v>97</v>
      </c>
      <c r="B43" s="7" t="s">
        <v>98</v>
      </c>
      <c r="C43" s="10">
        <v>0</v>
      </c>
      <c r="D43" s="10">
        <v>840</v>
      </c>
      <c r="E43" s="10">
        <f>D43*$E$9</f>
        <v>2100000</v>
      </c>
      <c r="F43" s="7" t="s">
        <v>99</v>
      </c>
    </row>
    <row r="44" spans="1:6">
      <c r="A44" s="28" t="s">
        <v>100</v>
      </c>
      <c r="B44" s="28"/>
      <c r="C44" s="16">
        <f>SUM(C36:C43)</f>
        <v>325793.85600000003</v>
      </c>
      <c r="D44" s="15" t="s">
        <v>101</v>
      </c>
      <c r="E44" s="16">
        <f>C44*20%</f>
        <v>65158.77120000001</v>
      </c>
      <c r="F44" s="15" t="s">
        <v>102</v>
      </c>
    </row>
    <row r="45" spans="1:6">
      <c r="A45" s="28" t="s">
        <v>103</v>
      </c>
      <c r="B45" s="28"/>
      <c r="C45" s="16">
        <f>C44+E44</f>
        <v>390952.62720000005</v>
      </c>
      <c r="D45" s="15" t="s">
        <v>98</v>
      </c>
      <c r="E45" s="16">
        <f>E43</f>
        <v>2100000</v>
      </c>
      <c r="F45" s="15" t="s">
        <v>104</v>
      </c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 ht="23" customHeight="1">
      <c r="A48" s="23" t="s">
        <v>105</v>
      </c>
      <c r="B48" s="23"/>
      <c r="C48" s="23"/>
      <c r="D48" s="23"/>
      <c r="E48" s="23"/>
      <c r="F48" s="23"/>
    </row>
    <row r="49" spans="1:6">
      <c r="A49" s="2" t="s">
        <v>106</v>
      </c>
      <c r="B49" s="2" t="s">
        <v>107</v>
      </c>
      <c r="C49" s="2" t="s">
        <v>108</v>
      </c>
      <c r="D49" s="2" t="s">
        <v>109</v>
      </c>
      <c r="E49" s="2" t="s">
        <v>110</v>
      </c>
      <c r="F49" s="2" t="s">
        <v>111</v>
      </c>
    </row>
    <row r="50" spans="1:6">
      <c r="A50" s="3" t="s">
        <v>112</v>
      </c>
      <c r="B50" s="9">
        <v>500000</v>
      </c>
      <c r="C50" s="17">
        <v>0</v>
      </c>
      <c r="D50" s="9">
        <f>B50/(1-C50)</f>
        <v>500000</v>
      </c>
      <c r="E50" s="9">
        <v>500000</v>
      </c>
      <c r="F50" s="3" t="s">
        <v>113</v>
      </c>
    </row>
    <row r="51" spans="1:6">
      <c r="A51" s="3" t="s">
        <v>114</v>
      </c>
      <c r="B51" s="9">
        <f>$C$31+4*$E$9</f>
        <v>18597.951999999997</v>
      </c>
      <c r="C51" s="17">
        <v>0.1</v>
      </c>
      <c r="D51" s="9">
        <f>B51/(1-C51)</f>
        <v>20664.391111111108</v>
      </c>
      <c r="E51" s="9">
        <v>25000</v>
      </c>
      <c r="F51" s="3" t="s">
        <v>115</v>
      </c>
    </row>
    <row r="52" spans="1:6">
      <c r="A52" s="3" t="s">
        <v>116</v>
      </c>
      <c r="B52" s="9">
        <f>($C$18+$C$30)/5+$C$19+$C$20+$C$22+$C$23+4*$E$9</f>
        <v>20639.9656</v>
      </c>
      <c r="C52" s="17">
        <v>0.1</v>
      </c>
      <c r="D52" s="9">
        <f>B52/(1-C52)</f>
        <v>22933.295111111111</v>
      </c>
      <c r="E52" s="9">
        <v>25000</v>
      </c>
      <c r="F52" s="3" t="s">
        <v>117</v>
      </c>
    </row>
    <row r="53" spans="1:6">
      <c r="A53" s="7" t="s">
        <v>118</v>
      </c>
      <c r="B53" s="10">
        <f>($C$18+$C$30)/10+$C$19+$C$20+$C$22+$C$23+4*$E$9</f>
        <v>19995.119200000001</v>
      </c>
      <c r="C53" s="18">
        <v>0.1</v>
      </c>
      <c r="D53" s="10">
        <f>B53/(1-C53)</f>
        <v>22216.799111111111</v>
      </c>
      <c r="E53" s="10">
        <v>25000</v>
      </c>
      <c r="F53" s="7" t="s">
        <v>117</v>
      </c>
    </row>
    <row r="54" spans="1:6">
      <c r="A54" s="25" t="s">
        <v>119</v>
      </c>
      <c r="B54" s="25"/>
      <c r="C54" s="25"/>
      <c r="D54" s="29">
        <f>E50+E51*$E$12</f>
        <v>1100000</v>
      </c>
      <c r="E54" s="29"/>
      <c r="F54" s="11" t="s">
        <v>120</v>
      </c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 ht="23" customHeight="1">
      <c r="A57" s="24" t="s">
        <v>121</v>
      </c>
      <c r="B57" s="24"/>
      <c r="C57" s="24"/>
      <c r="D57" s="24"/>
      <c r="E57" s="24"/>
      <c r="F57" s="24"/>
    </row>
    <row r="58" spans="1:6">
      <c r="A58" s="2" t="s">
        <v>122</v>
      </c>
      <c r="B58" s="2" t="s">
        <v>21</v>
      </c>
      <c r="C58" s="2" t="s">
        <v>24</v>
      </c>
      <c r="D58" s="2" t="s">
        <v>123</v>
      </c>
      <c r="E58" s="2" t="s">
        <v>124</v>
      </c>
      <c r="F58" s="2" t="s">
        <v>125</v>
      </c>
    </row>
    <row r="59" spans="1:6">
      <c r="A59" s="9">
        <v>20</v>
      </c>
      <c r="B59" s="9">
        <v>2</v>
      </c>
      <c r="C59" s="9">
        <v>1</v>
      </c>
      <c r="D59" s="9">
        <v>1000</v>
      </c>
      <c r="E59" s="9">
        <v>1500</v>
      </c>
      <c r="F59" s="9">
        <v>25</v>
      </c>
    </row>
    <row r="60" spans="1:6">
      <c r="A60" s="7" t="s">
        <v>126</v>
      </c>
      <c r="B60" s="7" t="s">
        <v>127</v>
      </c>
      <c r="C60" s="7" t="s">
        <v>128</v>
      </c>
      <c r="D60" s="7" t="s">
        <v>129</v>
      </c>
      <c r="E60" s="7" t="s">
        <v>130</v>
      </c>
      <c r="F60" s="7" t="s">
        <v>131</v>
      </c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 ht="23" customHeight="1">
      <c r="A63" s="30" t="s">
        <v>132</v>
      </c>
      <c r="B63" s="30"/>
      <c r="C63" s="30"/>
      <c r="D63" s="30"/>
      <c r="E63" s="30"/>
      <c r="F63" s="30"/>
    </row>
    <row r="64" spans="1:6" ht="30" customHeight="1">
      <c r="A64" s="3" t="s">
        <v>133</v>
      </c>
      <c r="B64" s="19" t="s">
        <v>134</v>
      </c>
      <c r="C64" s="3"/>
      <c r="D64" s="3"/>
      <c r="E64" s="3"/>
      <c r="F64" s="3"/>
    </row>
    <row r="65" spans="1:6" ht="30" customHeight="1">
      <c r="A65" s="3" t="s">
        <v>135</v>
      </c>
      <c r="B65" s="19" t="s">
        <v>136</v>
      </c>
      <c r="C65" s="3"/>
      <c r="D65" s="3"/>
      <c r="E65" s="3"/>
      <c r="F65" s="3"/>
    </row>
    <row r="66" spans="1:6" ht="30" customHeight="1">
      <c r="A66" s="3" t="s">
        <v>137</v>
      </c>
      <c r="B66" s="19" t="s">
        <v>138</v>
      </c>
      <c r="C66" s="3"/>
      <c r="D66" s="3"/>
      <c r="E66" s="3"/>
      <c r="F66" s="3"/>
    </row>
    <row r="67" spans="1:6" ht="30" customHeight="1">
      <c r="A67" s="7" t="s">
        <v>139</v>
      </c>
      <c r="B67" s="20" t="s">
        <v>140</v>
      </c>
      <c r="C67" s="7"/>
      <c r="D67" s="7"/>
      <c r="E67" s="7"/>
      <c r="F67" s="7"/>
    </row>
  </sheetData>
  <mergeCells count="15">
    <mergeCell ref="A48:F48"/>
    <mergeCell ref="A54:C54"/>
    <mergeCell ref="D54:E54"/>
    <mergeCell ref="A57:F57"/>
    <mergeCell ref="A63:F63"/>
    <mergeCell ref="A30:B30"/>
    <mergeCell ref="A31:B31"/>
    <mergeCell ref="A34:F34"/>
    <mergeCell ref="A44:B44"/>
    <mergeCell ref="A45:B45"/>
    <mergeCell ref="A1:F1"/>
    <mergeCell ref="A2:F2"/>
    <mergeCell ref="A4:F4"/>
    <mergeCell ref="A16:F16"/>
    <mergeCell ref="A29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Manya Roongta</cp:lastModifiedBy>
  <dcterms:modified xsi:type="dcterms:W3CDTF">2026-09-10T05:27:03Z</dcterms:modified>
</cp:coreProperties>
</file>