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3297b4304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a4d1aad3fd7243c8"/>
    <x:sheet xmlns:r="http://schemas.openxmlformats.org/officeDocument/2006/relationships" name="Usage Model" sheetId="2" r:id="R348e8f9931954cde"/>
    <x:sheet xmlns:r="http://schemas.openxmlformats.org/officeDocument/2006/relationships" name="AI Usage" sheetId="3" r:id="R72aa686c0da847a0"/>
    <x:sheet xmlns:r="http://schemas.openxmlformats.org/officeDocument/2006/relationships" name="Runtime COGS" sheetId="4" r:id="R4abdebfcb73d4022"/>
    <x:sheet xmlns:r="http://schemas.openxmlformats.org/officeDocument/2006/relationships" name="Build &amp; Launch" sheetId="5" r:id="R75b352ccbb38454b"/>
    <x:sheet xmlns:r="http://schemas.openxmlformats.org/officeDocument/2006/relationships" name="Multi-client" sheetId="6" r:id="R2d6a06c0b94c4941"/>
    <x:sheet xmlns:r="http://schemas.openxmlformats.org/officeDocument/2006/relationships" name="Quotation" sheetId="7" r:id="Ree6a88b75e974aed"/>
    <x:sheet xmlns:r="http://schemas.openxmlformats.org/officeDocument/2006/relationships" name="Limits &amp; Risks" sheetId="8" r:id="R0db9185c12744d46"/>
    <x:sheet xmlns:r="http://schemas.openxmlformats.org/officeDocument/2006/relationships" name="Sources" sheetId="9" r:id="R4bb2a8a4447a445c"/>
    <x:sheet xmlns:r="http://schemas.openxmlformats.org/officeDocument/2006/relationships" name="Executive Summary" sheetId="10" r:id="R9a5b63637e004a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#,##0"/>
    <x:numFmt numFmtId="202" formatCode="#,##0.0"/>
    <x:numFmt numFmtId="203" formatCode="0.00"/>
    <x:numFmt numFmtId="204" formatCode="$#,##0.00"/>
    <x:numFmt numFmtId="205" formatCode="0.0%"/>
  </x:numFmts>
  <x:fonts count="11">
    <x:font>
      <x:sz val="11"/>
      <x:name val="Carlito"/>
    </x:font>
    <x:font>
      <x:b/>
      <x:sz val="18"/>
      <x:color rgb="FFFFFFFF"/>
      <x:name val="Aptos"/>
    </x:font>
    <x:font>
      <x:i/>
      <x:sz val="10"/>
      <x:color rgb="FF5B6875"/>
      <x:name val="Aptos"/>
    </x:font>
    <x:font>
      <x:b/>
      <x:sz val="11"/>
      <x:color rgb="FFFFFFFF"/>
      <x:name val="Aptos"/>
    </x:font>
    <x:font>
      <x:b/>
      <x:sz val="10"/>
      <x:color rgb="FF17324D"/>
      <x:name val="Aptos"/>
    </x:font>
    <x:font>
      <x:sz val="10"/>
      <x:color rgb="FF1F2937"/>
      <x:name val="Aptos"/>
    </x:font>
    <x:font>
      <x:b/>
      <x:sz val="10"/>
      <x:color rgb="FF0F766E"/>
      <x:name val="Aptos"/>
    </x:font>
    <x:font>
      <x:b/>
      <x:sz val="11"/>
      <x:color rgb="FF17324D"/>
      <x:name val="Aptos"/>
    </x:font>
    <x:font>
      <x:b/>
      <x:sz val="11"/>
      <x:color rgb="FF0F766E"/>
      <x:name val="Aptos"/>
    </x:font>
    <x:font>
      <x:b/>
      <x:sz val="11"/>
      <x:color rgb="FFB45309"/>
      <x:name val="Aptos"/>
    </x:font>
    <x:font>
      <x:b/>
      <x:sz val="12"/>
      <x:color rgb="FFFFFFFF"/>
      <x:name val="Aptos"/>
    </x:font>
  </x:fonts>
  <x:fills count="1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2563EB"/>
      </x:patternFill>
    </x:fill>
    <x:fill>
      <x:patternFill patternType="solid">
        <x:fgColor rgb="FFDCE4EC"/>
      </x:patternFill>
    </x:fill>
    <x:fill>
      <x:patternFill patternType="solid">
        <x:fgColor rgb="FFDCEBFF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E8F5F1"/>
      </x:patternFill>
    </x:fill>
    <x:fill>
      <x:patternFill patternType="solid">
        <x:fgColor rgb="FFB45309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  <x:fill>
      <x:patternFill patternType="solid">
        <x:fgColor rgb="FFB91C1C"/>
      </x:patternFill>
    </x:fill>
    <x:fill>
      <x:patternFill patternType="solid">
        <x:fgColor rgb="FFE9F7EF"/>
      </x:patternFill>
    </x:fill>
  </x:fills>
  <x:borders count="3">
    <x:border/>
    <x:border>
      <x:bottom style="medium">
        <x:color rgb="FF9AA7B3"/>
      </x:bottom>
    </x:border>
    <x:border>
      <x:bottom style="thin">
        <x:color rgb="FFD9E1E8"/>
      </x:bottom>
    </x:border>
  </x:borders>
  <x:cellStyleXfs count="1">
    <x:xf numFmtId="0" fontId="0" fillId="0" borderId="0"/>
  </x:cellStyleXfs>
  <x:cellXfs count="1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2" fontId="5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202" fontId="4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5" fillId="9" borderId="2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6" fillId="9" borderId="2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6" fillId="9" borderId="2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204" fontId="5" fillId="0" borderId="0" xfId="0" applyNumberFormat="1" applyFont="1" applyFill="1" applyBorder="1" applyAlignment="1">
      <x:alignment vertical="center"/>
    </x:xf>
    <x:xf numFmtId="204" fontId="5" fillId="0" borderId="2" xfId="0" applyNumberFormat="1" applyFont="1" applyFill="1" applyBorder="1" applyAlignment="1">
      <x:alignment vertical="center"/>
    </x:xf>
    <x:xf numFmtId="204" fontId="7" fillId="7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5" fillId="11" borderId="0" xfId="0" applyNumberFormat="1" applyFont="1" applyFill="1" applyBorder="1" applyAlignment="1">
      <x:alignment vertical="center"/>
    </x:xf>
    <x:xf numFmtId="0" fontId="5" fillId="11" borderId="2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5" fillId="7" borderId="2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/>
    </x:xf>
    <x:xf numFmtId="204" fontId="8" fillId="9" borderId="0" xfId="0" applyNumberFormat="1" applyFont="1" applyFill="1" applyBorder="1"/>
    <x:xf numFmtId="204" fontId="0" fillId="0" borderId="0" xfId="0" applyNumberFormat="1" applyFont="1" applyFill="1" applyBorder="1"/>
    <x:xf numFmtId="204" fontId="3" fillId="8" borderId="0" xfId="0" applyNumberFormat="1" applyFont="1" applyFill="1" applyBorder="1"/>
    <x:xf numFmtId="204" fontId="4" fillId="5" borderId="1" xfId="0" applyNumberFormat="1" applyFont="1" applyFill="1" applyBorder="1" applyAlignment="1">
      <x:alignment vertical="center"/>
    </x:xf>
    <x:xf numFmtId="204" fontId="3" fillId="10" borderId="0" xfId="0" applyNumberFormat="1" applyFont="1" applyFill="1" applyBorder="1"/>
    <x:xf numFmtId="204" fontId="9" fillId="11" borderId="0" xfId="0" applyNumberFormat="1" applyFont="1" applyFill="1" applyBorder="1"/>
    <x:xf numFmtId="204" fontId="3" fillId="4" borderId="0" xfId="0" applyNumberFormat="1" applyFont="1" applyFill="1" applyBorder="1"/>
    <x:xf numFmtId="201" fontId="4" fillId="7" borderId="0" xfId="0" applyNumberFormat="1" applyFont="1" applyFill="1" applyBorder="1" applyAlignment="1">
      <x:alignment vertical="center"/>
    </x:xf>
    <x:xf numFmtId="201" fontId="4" fillId="7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8" fillId="9" borderId="0" xfId="0" applyNumberFormat="1" applyFont="1" applyFill="1" applyBorder="1"/>
    <x:xf numFmtId="201" fontId="9" fillId="11" borderId="0" xfId="0" applyNumberFormat="1" applyFont="1" applyFill="1" applyBorder="1"/>
    <x:xf numFmtId="205" fontId="5" fillId="0" borderId="0" xfId="0" applyNumberFormat="1" applyFont="1" applyFill="1" applyBorder="1" applyAlignment="1">
      <x:alignment vertical="center"/>
    </x:xf>
    <x:xf numFmtId="205" fontId="5" fillId="0" borderId="2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201" fontId="5" fillId="9" borderId="0" xfId="0" applyNumberFormat="1" applyFont="1" applyFill="1" applyBorder="1" applyAlignment="1">
      <x:alignment vertical="center"/>
    </x:xf>
    <x:xf numFmtId="205" fontId="5" fillId="9" borderId="0" xfId="0" applyNumberFormat="1" applyFont="1" applyFill="1" applyBorder="1" applyAlignment="1">
      <x:alignment vertical="center"/>
    </x:xf>
    <x:xf numFmtId="0" fontId="5" fillId="12" borderId="2" xfId="0" applyNumberFormat="1" applyFont="1" applyFill="1" applyBorder="1" applyAlignment="1">
      <x:alignment vertical="center"/>
    </x:xf>
    <x:xf numFmtId="201" fontId="5" fillId="12" borderId="2" xfId="0" applyNumberFormat="1" applyFont="1" applyFill="1" applyBorder="1" applyAlignment="1">
      <x:alignment vertical="center"/>
    </x:xf>
    <x:xf numFmtId="205" fontId="5" fillId="12" borderId="2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5" fillId="12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 applyAlignment="1">
      <x:alignment vertical="center"/>
    </x:xf>
    <x:xf numFmtId="0" fontId="5" fillId="14" borderId="2" xfId="0" applyNumberFormat="1" applyFont="1" applyFill="1" applyBorder="1" applyAlignment="1">
      <x:alignment vertical="center"/>
    </x:xf>
    <x:xf numFmtId="201" fontId="5" fillId="9" borderId="2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 wrapText="1"/>
    </x:xf>
    <x:xf numFmtId="201" fontId="5" fillId="6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202" fontId="4" fillId="7" borderId="0" xfId="0" applyNumberFormat="1" applyFont="1" applyFill="1" applyBorder="1" applyAlignment="1">
      <x:alignment vertical="center" wrapText="1"/>
    </x:xf>
    <x:xf numFmtId="202" fontId="5" fillId="0" borderId="2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201" fontId="6" fillId="9" borderId="2" xfId="0" applyNumberFormat="1" applyFont="1" applyFill="1" applyBorder="1" applyAlignment="1">
      <x:alignment vertical="center" wrapText="1"/>
    </x:xf>
    <x:xf numFmtId="203" fontId="6" fillId="9" borderId="2" xfId="0" applyNumberFormat="1" applyFont="1" applyFill="1" applyBorder="1" applyAlignment="1">
      <x:alignment vertical="center" wrapText="1"/>
    </x:xf>
    <x:xf numFmtId="204" fontId="5" fillId="0" borderId="0" xfId="0" applyNumberFormat="1" applyFont="1" applyFill="1" applyBorder="1" applyAlignment="1">
      <x:alignment vertical="center" wrapText="1"/>
    </x:xf>
    <x:xf numFmtId="204" fontId="5" fillId="0" borderId="2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wrapText="1"/>
    </x:xf>
    <x:xf numFmtId="204" fontId="7" fillId="7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vertical="center" wrapText="1"/>
    </x:xf>
    <x:xf numFmtId="0" fontId="5" fillId="11" borderId="2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wrapText="1"/>
    </x:xf>
    <x:xf numFmtId="204" fontId="8" fillId="9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3" fillId="8" borderId="0" xfId="0" applyNumberFormat="1" applyFont="1" applyFill="1" applyBorder="1" applyAlignment="1">
      <x:alignment wrapText="1"/>
    </x:xf>
    <x:xf numFmtId="204" fontId="4" fillId="5" borderId="1" xfId="0" applyNumberFormat="1" applyFont="1" applyFill="1" applyBorder="1" applyAlignment="1">
      <x:alignment vertical="center" wrapText="1"/>
    </x:xf>
    <x:xf numFmtId="204" fontId="3" fillId="10" borderId="0" xfId="0" applyNumberFormat="1" applyFont="1" applyFill="1" applyBorder="1" applyAlignment="1">
      <x:alignment wrapText="1"/>
    </x:xf>
    <x:xf numFmtId="204" fontId="9" fillId="11" borderId="0" xfId="0" applyNumberFormat="1" applyFont="1" applyFill="1" applyBorder="1" applyAlignment="1">
      <x:alignment wrapText="1"/>
    </x:xf>
    <x:xf numFmtId="204" fontId="3" fillId="4" borderId="0" xfId="0" applyNumberFormat="1" applyFont="1" applyFill="1" applyBorder="1" applyAlignment="1">
      <x:alignment wrapText="1"/>
    </x:xf>
    <x:xf numFmtId="201" fontId="4" fillId="7" borderId="0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201" fontId="4" fillId="7" borderId="2" xfId="0" applyNumberFormat="1" applyFont="1" applyFill="1" applyBorder="1" applyAlignment="1">
      <x:alignment vertical="center" wrapText="1"/>
    </x:xf>
    <x:xf numFmtId="201" fontId="5" fillId="0" borderId="2" xfId="0" applyNumberFormat="1" applyFont="1" applyFill="1" applyBorder="1" applyAlignment="1">
      <x:alignment vertical="center" wrapText="1"/>
    </x:xf>
    <x:xf numFmtId="201" fontId="8" fillId="9" borderId="0" xfId="0" applyNumberFormat="1" applyFont="1" applyFill="1" applyBorder="1" applyAlignment="1">
      <x:alignment wrapText="1"/>
    </x:xf>
    <x:xf numFmtId="201" fontId="9" fillId="11" borderId="0" xfId="0" applyNumberFormat="1" applyFont="1" applyFill="1" applyBorder="1" applyAlignment="1">
      <x:alignment wrapText="1"/>
    </x:xf>
    <x:xf numFmtId="205" fontId="5" fillId="0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201" fontId="5" fillId="9" borderId="0" xfId="0" applyNumberFormat="1" applyFont="1" applyFill="1" applyBorder="1" applyAlignment="1">
      <x:alignment vertical="center" wrapText="1"/>
    </x:xf>
    <x:xf numFmtId="205" fontId="5" fillId="9" borderId="0" xfId="0" applyNumberFormat="1" applyFont="1" applyFill="1" applyBorder="1" applyAlignment="1">
      <x:alignment vertical="center" wrapText="1"/>
    </x:xf>
    <x:xf numFmtId="0" fontId="5" fillId="12" borderId="2" xfId="0" applyNumberFormat="1" applyFont="1" applyFill="1" applyBorder="1" applyAlignment="1">
      <x:alignment vertical="center" wrapText="1"/>
    </x:xf>
    <x:xf numFmtId="201" fontId="5" fillId="12" borderId="2" xfId="0" applyNumberFormat="1" applyFont="1" applyFill="1" applyBorder="1" applyAlignment="1">
      <x:alignment vertical="center" wrapText="1"/>
    </x:xf>
    <x:xf numFmtId="205" fontId="5" fillId="12" borderId="2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vertical="center" wrapText="1"/>
    </x:xf>
    <x:xf numFmtId="0" fontId="5" fillId="9" borderId="2" xfId="0" applyNumberFormat="1" applyFont="1" applyFill="1" applyBorder="1" applyAlignment="1">
      <x:alignment vertical="center" wrapText="1"/>
    </x:xf>
    <x:xf numFmtId="0" fontId="5" fillId="14" borderId="0" xfId="0" applyNumberFormat="1" applyFont="1" applyFill="1" applyBorder="1" applyAlignment="1">
      <x:alignment vertical="center" wrapText="1"/>
    </x:xf>
    <x:xf numFmtId="0" fontId="5" fillId="14" borderId="2" xfId="0" applyNumberFormat="1" applyFont="1" applyFill="1" applyBorder="1" applyAlignment="1">
      <x:alignment vertical="center" wrapText="1"/>
    </x:xf>
    <x:xf numFmtId="201" fontId="5" fillId="9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cd013649b45c9" /><Relationship Type="http://schemas.openxmlformats.org/officeDocument/2006/relationships/theme" Target="/xl/theme/theme1.xml" Id="R3d4605d8c9e243ca" /><Relationship Type="http://schemas.openxmlformats.org/officeDocument/2006/relationships/sharedStrings" Target="/xl/sharedStrings.xml" Id="Ra5d0a29727d94f0f" /><Relationship Type="http://schemas.openxmlformats.org/officeDocument/2006/relationships/worksheet" Target="/xl/worksheets/sheet1.xml" Id="Ra4d1aad3fd7243c8" /><Relationship Type="http://schemas.openxmlformats.org/officeDocument/2006/relationships/worksheet" Target="/xl/worksheets/sheet2.xml" Id="R348e8f9931954cde" /><Relationship Type="http://schemas.openxmlformats.org/officeDocument/2006/relationships/worksheet" Target="/xl/worksheets/sheet3.xml" Id="R72aa686c0da847a0" /><Relationship Type="http://schemas.openxmlformats.org/officeDocument/2006/relationships/worksheet" Target="/xl/worksheets/sheet4.xml" Id="R4abdebfcb73d4022" /><Relationship Type="http://schemas.openxmlformats.org/officeDocument/2006/relationships/worksheet" Target="/xl/worksheets/sheet5.xml" Id="R75b352ccbb38454b" /><Relationship Type="http://schemas.openxmlformats.org/officeDocument/2006/relationships/worksheet" Target="/xl/worksheets/sheet6.xml" Id="R2d6a06c0b94c4941" /><Relationship Type="http://schemas.openxmlformats.org/officeDocument/2006/relationships/worksheet" Target="/xl/worksheets/sheet7.xml" Id="Ree6a88b75e974aed" /><Relationship Type="http://schemas.openxmlformats.org/officeDocument/2006/relationships/worksheet" Target="/xl/worksheets/sheet8.xml" Id="R0db9185c12744d46" /><Relationship Type="http://schemas.openxmlformats.org/officeDocument/2006/relationships/worksheet" Target="/xl/worksheets/sheet9.xml" Id="R4bb2a8a4447a445c" /><Relationship Type="http://schemas.openxmlformats.org/officeDocument/2006/relationships/worksheet" Target="/xl/worksheets/sheet10.xml" Id="R9a5b63637e004a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5528718bcd4b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Cash cost falls as shared services spread across clients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Total cash ₹</c:v>
          </c:tx>
          <c:marker>
            <c:symbol val="none"/>
          </c:marker>
          <c:cat>
            <c:strRef>
              <c:f>'Multi-client'!$A$6:$A$11</c:f>
              <c:strCache>
                <c:ptCount val="0"/>
              </c:strCache>
            </c:strRef>
          </c:cat>
          <c:val>
            <c:numRef>
              <c:f>'Multi-client'!$B$6:$B$11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Cash ₹/client</c:v>
          </c:tx>
          <c:marker>
            <c:symbol val="none"/>
          </c:marker>
          <c:cat>
            <c:strRef>
              <c:f>'Multi-client'!$A$6:$A$11</c:f>
              <c:strCache>
                <c:ptCount val="0"/>
              </c:strCache>
            </c:strRef>
          </c:cat>
          <c:val>
            <c:numRef>
              <c:f>'Multi-client'!$C$6:$C$11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5528718bcd4b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68b85a4f764748d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9" hidden="0" customWidth="1"/>
    <x:col min="5" max="5" width="14" hidden="0" customWidth="1"/>
    <x:col min="6" max="6" width="54" hidden="0" customWidth="1"/>
  </x:cols>
  <x:sheetData>
    <x:row r="1" ht="34" customHeight="1">
      <x:c r="A1" s="77" t="str">
        <x:v>Factory OS — editable assumptions</x:v>
      </x:c>
      <x:c r="B1" s="77"/>
      <x:c r="C1" s="77"/>
      <x:c r="D1" s="77"/>
      <x:c r="E1" s="77"/>
      <x:c r="F1" s="77"/>
      <x:c r="G1" s="78"/>
      <x:c r="H1" s="78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  <x:c r="V1" s="78"/>
      <x:c r="W1" s="78"/>
      <x:c r="X1" s="78"/>
      <x:c r="Y1" s="78"/>
      <x:c r="Z1" s="78"/>
    </x:row>
    <x:row r="2" ht="28" customHeight="1">
      <x:c r="A2" s="5" t="str">
        <x:v>Blue cells are inputs. Expected is the operating forecast; Guardrail is funded capacity so service does not stop when usage spikes.</x:v>
      </x:c>
      <x:c r="B2" s="5"/>
      <x:c r="C2" s="5"/>
      <x:c r="D2" s="5"/>
      <x:c r="E2" s="5"/>
      <x:c r="F2" s="5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</x:row>
    <x:row r="4" ht="24" customHeight="1">
      <x:c r="A4" s="79" t="str">
        <x:v>A. Client and operating profile</x:v>
      </x:c>
      <x:c r="B4" s="79"/>
      <x:c r="C4" s="79"/>
      <x:c r="D4" s="79"/>
      <x:c r="E4" s="79"/>
      <x:c r="F4" s="79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8"/>
      <x:c r="V4" s="78"/>
      <x:c r="W4" s="78"/>
      <x:c r="X4" s="78"/>
      <x:c r="Y4" s="78"/>
      <x:c r="Z4" s="78"/>
    </x:row>
    <x:row r="5">
      <x:c r="A5" s="80" t="str">
        <x:v>Assumption</x:v>
      </x:c>
      <x:c r="B5" s="80" t="str">
        <x:v>Expected</x:v>
      </x:c>
      <x:c r="C5" s="80" t="str">
        <x:v>Guardrail</x:v>
      </x:c>
      <x:c r="D5" s="80" t="str">
        <x:v>Unit</x:v>
      </x:c>
      <x:c r="E5" s="80" t="str">
        <x:v>Scope</x:v>
      </x:c>
      <x:c r="F5" s="80" t="str">
        <x:v>Why it matters</x:v>
      </x:c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</x:row>
    <x:row r="6">
      <x:c r="A6" s="81" t="str">
        <x:v>Named users</x:v>
      </x:c>
      <x:c r="B6" s="82" t="n">
        <x:v>20</x:v>
      </x:c>
      <x:c r="C6" s="82" t="n">
        <x:v>40</x:v>
      </x:c>
      <x:c r="D6" s="81" t="str">
        <x:v>users</x:v>
      </x:c>
      <x:c r="E6" s="81" t="str">
        <x:v>Client</x:v>
      </x:c>
      <x:c r="F6" s="81" t="str">
        <x:v>Locked user input</x:v>
      </x:c>
      <x:c r="G6" s="78"/>
      <x:c r="H6" s="78"/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</x:row>
    <x:row r="7">
      <x:c r="A7" s="81" t="str">
        <x:v>Concurrent users</x:v>
      </x:c>
      <x:c r="B7" s="82" t="n">
        <x:v>15</x:v>
      </x:c>
      <x:c r="C7" s="82" t="n">
        <x:v>30</x:v>
      </x:c>
      <x:c r="D7" s="81" t="str">
        <x:v>users</x:v>
      </x:c>
      <x:c r="E7" s="81" t="str">
        <x:v>Client</x:v>
      </x:c>
      <x:c r="F7" s="81" t="str">
        <x:v>Locked user input</x:v>
      </x:c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78"/>
      <x:c r="W7" s="78"/>
      <x:c r="X7" s="78"/>
      <x:c r="Y7" s="78"/>
      <x:c r="Z7" s="78"/>
    </x:row>
    <x:row r="8">
      <x:c r="A8" s="81" t="str">
        <x:v>Working days</x:v>
      </x:c>
      <x:c r="B8" s="82" t="n">
        <x:v>26</x:v>
      </x:c>
      <x:c r="C8" s="82" t="n">
        <x:v>26</x:v>
      </x:c>
      <x:c r="D8" s="81" t="str">
        <x:v>days/month</x:v>
      </x:c>
      <x:c r="E8" s="81" t="str">
        <x:v>Client</x:v>
      </x:c>
      <x:c r="F8" s="81" t="str">
        <x:v>Locked user input</x:v>
      </x:c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/>
      <x:c r="U8" s="78"/>
      <x:c r="V8" s="78"/>
      <x:c r="W8" s="78"/>
      <x:c r="X8" s="78"/>
      <x:c r="Y8" s="78"/>
      <x:c r="Z8" s="78"/>
    </x:row>
    <x:row r="9">
      <x:c r="A9" s="81" t="str">
        <x:v>Operating hours</x:v>
      </x:c>
      <x:c r="B9" s="82" t="n">
        <x:v>12</x:v>
      </x:c>
      <x:c r="C9" s="82" t="n">
        <x:v>12</x:v>
      </x:c>
      <x:c r="D9" s="81" t="str">
        <x:v>hours/day</x:v>
      </x:c>
      <x:c r="E9" s="81" t="str">
        <x:v>Client</x:v>
      </x:c>
      <x:c r="F9" s="81" t="str">
        <x:v>Locked user input</x:v>
      </x:c>
      <x:c r="G9" s="78"/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78"/>
      <x:c r="U9" s="78"/>
      <x:c r="V9" s="78"/>
      <x:c r="W9" s="78"/>
      <x:c r="X9" s="78"/>
      <x:c r="Y9" s="78"/>
      <x:c r="Z9" s="78"/>
    </x:row>
    <x:row r="10">
      <x:c r="A10" s="81" t="str">
        <x:v>Locations</x:v>
      </x:c>
      <x:c r="B10" s="82" t="n">
        <x:v>2</x:v>
      </x:c>
      <x:c r="C10" s="82" t="n">
        <x:v>2</x:v>
      </x:c>
      <x:c r="D10" s="81" t="str">
        <x:v>sites</x:v>
      </x:c>
      <x:c r="E10" s="81" t="str">
        <x:v>Client</x:v>
      </x:c>
      <x:c r="F10" s="81" t="str">
        <x:v>Requires site-aware inventory/capacity/dispatch</x:v>
      </x:c>
      <x:c r="G10" s="78"/>
      <x:c r="H10" s="78"/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78"/>
      <x:c r="U10" s="78"/>
      <x:c r="V10" s="78"/>
      <x:c r="W10" s="78"/>
      <x:c r="X10" s="78"/>
      <x:c r="Y10" s="78"/>
      <x:c r="Z10" s="78"/>
    </x:row>
    <x:row r="11">
      <x:c r="A11" s="81" t="str">
        <x:v>Legal entities</x:v>
      </x:c>
      <x:c r="B11" s="82" t="n">
        <x:v>1</x:v>
      </x:c>
      <x:c r="C11" s="82" t="n">
        <x:v>1</x:v>
      </x:c>
      <x:c r="D11" s="81" t="str">
        <x:v>entity</x:v>
      </x:c>
      <x:c r="E11" s="81" t="str">
        <x:v>Client</x:v>
      </x:c>
      <x:c r="F11" s="81" t="str">
        <x:v>Single books/tax boundary</x:v>
      </x:c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78"/>
      <x:c r="U11" s="78"/>
      <x:c r="V11" s="78"/>
      <x:c r="W11" s="78"/>
      <x:c r="X11" s="78"/>
      <x:c r="Y11" s="78"/>
      <x:c r="Z11" s="78"/>
    </x:row>
    <x:row r="12">
      <x:c r="A12" s="81" t="str">
        <x:v>Polling interval</x:v>
      </x:c>
      <x:c r="B12" s="82" t="n">
        <x:v>60</x:v>
      </x:c>
      <x:c r="C12" s="82" t="n">
        <x:v>60</x:v>
      </x:c>
      <x:c r="D12" s="81" t="str">
        <x:v>seconds</x:v>
      </x:c>
      <x:c r="E12" s="81" t="str">
        <x:v>Product</x:v>
      </x:c>
      <x:c r="F12" s="81" t="str">
        <x:v>Current app refresh pattern</x:v>
      </x:c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78"/>
      <x:c r="U12" s="78"/>
      <x:c r="V12" s="78"/>
      <x:c r="W12" s="78"/>
      <x:c r="X12" s="78"/>
      <x:c r="Y12" s="78"/>
      <x:c r="Z12" s="78"/>
    </x:row>
    <x:row r="13">
      <x:c r="A13" s="81" t="str">
        <x:v>Job screens active share</x:v>
      </x:c>
      <x:c r="B13" s="82" t="n">
        <x:v>20</x:v>
      </x:c>
      <x:c r="C13" s="82" t="n">
        <x:v>40</x:v>
      </x:c>
      <x:c r="D13" s="81" t="str">
        <x:v>% of active time</x:v>
      </x:c>
      <x:c r="E13" s="81" t="str">
        <x:v>Product</x:v>
      </x:c>
      <x:c r="F13" s="81" t="str">
        <x:v>Extra Job Card/Job Work polling</x:v>
      </x:c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78"/>
      <x:c r="U13" s="78"/>
      <x:c r="V13" s="78"/>
      <x:c r="W13" s="78"/>
      <x:c r="X13" s="78"/>
      <x:c r="Y13" s="78"/>
      <x:c r="Z13" s="78"/>
    </x:row>
    <x:row r="14">
      <x:c r="A14" s="81" t="str">
        <x:v>Other interactions</x:v>
      </x:c>
      <x:c r="B14" s="82" t="n">
        <x:v>40</x:v>
      </x:c>
      <x:c r="C14" s="82" t="n">
        <x:v>80</x:v>
      </x:c>
      <x:c r="D14" s="81" t="str">
        <x:v>requests/user/day</x:v>
      </x:c>
      <x:c r="E14" s="81" t="str">
        <x:v>Product</x:v>
      </x:c>
      <x:c r="F14" s="81" t="str">
        <x:v>Saves, searches, reports and edits</x:v>
      </x:c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78"/>
      <x:c r="U14" s="78"/>
      <x:c r="V14" s="78"/>
      <x:c r="W14" s="78"/>
      <x:c r="X14" s="78"/>
      <x:c r="Y14" s="78"/>
      <x:c r="Z14" s="78"/>
    </x:row>
    <x:row r="15">
      <x:c r="A15" s="81" t="str">
        <x:v>Startup requests</x:v>
      </x:c>
      <x:c r="B15" s="82" t="n">
        <x:v>6</x:v>
      </x:c>
      <x:c r="C15" s="82" t="n">
        <x:v>10</x:v>
      </x:c>
      <x:c r="D15" s="81" t="str">
        <x:v>requests/user/day</x:v>
      </x:c>
      <x:c r="E15" s="81" t="str">
        <x:v>Product</x:v>
      </x:c>
      <x:c r="F15" s="81" t="str">
        <x:v>Initial data loads</x:v>
      </x:c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78"/>
      <x:c r="U15" s="78"/>
      <x:c r="V15" s="78"/>
      <x:c r="W15" s="78"/>
      <x:c r="X15" s="78"/>
      <x:c r="Y15" s="78"/>
      <x:c r="Z15" s="78"/>
    </x:row>
    <x:row r="16">
      <x:c r="A16" s="81" t="str">
        <x:v>Combined poll response after fix</x:v>
      </x:c>
      <x:c r="B16" s="82" t="n">
        <x:v>250</x:v>
      </x:c>
      <x:c r="C16" s="82" t="n">
        <x:v>600</x:v>
      </x:c>
      <x:c r="D16" s="81" t="str">
        <x:v>KB</x:v>
      </x:c>
      <x:c r="E16" s="81" t="str">
        <x:v>Product</x:v>
      </x:c>
      <x:c r="F16" s="81" t="str">
        <x:v>Requires lean list endpoints and external files</x:v>
      </x:c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78"/>
      <x:c r="U16" s="78"/>
      <x:c r="V16" s="78"/>
      <x:c r="W16" s="78"/>
      <x:c r="X16" s="78"/>
      <x:c r="Y16" s="78"/>
      <x:c r="Z16" s="78"/>
    </x:row>
    <x:row r="17">
      <x:c r="A17" s="81" t="str">
        <x:v>Average function wall time</x:v>
      </x:c>
      <x:c r="B17" s="82" t="n">
        <x:v>180</x:v>
      </x:c>
      <x:c r="C17" s="82" t="n">
        <x:v>600</x:v>
      </x:c>
      <x:c r="D17" s="81" t="str">
        <x:v>ms</x:v>
      </x:c>
      <x:c r="E17" s="81" t="str">
        <x:v>Infra</x:v>
      </x:c>
      <x:c r="F17" s="81" t="str">
        <x:v>Serverless duration model</x:v>
      </x:c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78"/>
      <x:c r="U17" s="78"/>
      <x:c r="V17" s="78"/>
      <x:c r="W17" s="78"/>
      <x:c r="X17" s="78"/>
      <x:c r="Y17" s="78"/>
      <x:c r="Z17" s="78"/>
    </x:row>
    <x:row r="18">
      <x:c r="A18" s="81" t="str">
        <x:v>Active CPU per invocation</x:v>
      </x:c>
      <x:c r="B18" s="82" t="n">
        <x:v>15</x:v>
      </x:c>
      <x:c r="C18" s="82" t="n">
        <x:v>35</x:v>
      </x:c>
      <x:c r="D18" s="81" t="str">
        <x:v>ms</x:v>
      </x:c>
      <x:c r="E18" s="81" t="str">
        <x:v>Infra</x:v>
      </x:c>
      <x:c r="F18" s="81" t="str">
        <x:v>Fluid compute estimate</x:v>
      </x:c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78"/>
      <x:c r="W18" s="78"/>
      <x:c r="X18" s="78"/>
      <x:c r="Y18" s="78"/>
      <x:c r="Z18" s="78"/>
    </x:row>
    <x:row r="19">
      <x:c r="A19" s="83" t="str">
        <x:v>Function memory</x:v>
      </x:c>
      <x:c r="B19" s="84" t="n">
        <x:v>2</x:v>
      </x:c>
      <x:c r="C19" s="84" t="n">
        <x:v>2</x:v>
      </x:c>
      <x:c r="D19" s="83" t="str">
        <x:v>GB</x:v>
      </x:c>
      <x:c r="E19" s="83" t="str">
        <x:v>Infra</x:v>
      </x:c>
      <x:c r="F19" s="83" t="str">
        <x:v>Working estimate</x:v>
      </x:c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78"/>
      <x:c r="W19" s="78"/>
      <x:c r="X19" s="78"/>
      <x:c r="Y19" s="78"/>
      <x:c r="Z19" s="78"/>
    </x:row>
    <x:row r="20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78"/>
      <x:c r="U20" s="78"/>
      <x:c r="V20" s="78"/>
      <x:c r="W20" s="78"/>
      <x:c r="X20" s="78"/>
      <x:c r="Y20" s="78"/>
      <x:c r="Z20" s="78"/>
    </x:row>
    <x:row r="21" ht="24" customHeight="1">
      <x:c r="A21" s="79" t="str">
        <x:v>B. Data, files and reliability</x:v>
      </x:c>
      <x:c r="B21" s="79"/>
      <x:c r="C21" s="79"/>
      <x:c r="D21" s="79"/>
      <x:c r="E21" s="79"/>
      <x:c r="F21" s="79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78"/>
    </x:row>
    <x:row r="22">
      <x:c r="A22" s="80" t="str">
        <x:v>Assumption</x:v>
      </x:c>
      <x:c r="B22" s="80" t="str">
        <x:v>Expected</x:v>
      </x:c>
      <x:c r="C22" s="80" t="str">
        <x:v>Guardrail</x:v>
      </x:c>
      <x:c r="D22" s="80" t="str">
        <x:v>Unit</x:v>
      </x:c>
      <x:c r="E22" s="80" t="str">
        <x:v>Scope</x:v>
      </x:c>
      <x:c r="F22" s="80" t="str">
        <x:v>Why it matters</x:v>
      </x:c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78"/>
      <x:c r="U22" s="78"/>
      <x:c r="V22" s="78"/>
      <x:c r="W22" s="78"/>
      <x:c r="X22" s="78"/>
      <x:c r="Y22" s="78"/>
      <x:c r="Z22" s="78"/>
    </x:row>
    <x:row r="23">
      <x:c r="A23" s="81" t="str">
        <x:v>Database at launch</x:v>
      </x:c>
      <x:c r="B23" s="82" t="n">
        <x:v>2</x:v>
      </x:c>
      <x:c r="C23" s="82" t="n">
        <x:v>4</x:v>
      </x:c>
      <x:c r="D23" s="81" t="str">
        <x:v>GB</x:v>
      </x:c>
      <x:c r="E23" s="81" t="str">
        <x:v>Client</x:v>
      </x:c>
      <x:c r="F23" s="81" t="str">
        <x:v>Structured ERP data only</x:v>
      </x:c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78"/>
      <x:c r="W23" s="78"/>
      <x:c r="X23" s="78"/>
      <x:c r="Y23" s="78"/>
      <x:c r="Z23" s="78"/>
    </x:row>
    <x:row r="24">
      <x:c r="A24" s="81" t="str">
        <x:v>Database growth</x:v>
      </x:c>
      <x:c r="B24" s="82" t="n">
        <x:v>0.4</x:v>
      </x:c>
      <x:c r="C24" s="82" t="n">
        <x:v>0.8</x:v>
      </x:c>
      <x:c r="D24" s="81" t="str">
        <x:v>GB/month</x:v>
      </x:c>
      <x:c r="E24" s="81" t="str">
        <x:v>Client</x:v>
      </x:c>
      <x:c r="F24" s="81" t="str">
        <x:v>24-month planning</x:v>
      </x:c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78"/>
      <x:c r="U24" s="78"/>
      <x:c r="V24" s="78"/>
      <x:c r="W24" s="78"/>
      <x:c r="X24" s="78"/>
      <x:c r="Y24" s="78"/>
      <x:c r="Z24" s="78"/>
    </x:row>
    <x:row r="25">
      <x:c r="A25" s="81" t="str">
        <x:v>Production database warm compute</x:v>
      </x:c>
      <x:c r="B25" s="82" t="n">
        <x:v>0.25</x:v>
      </x:c>
      <x:c r="C25" s="82" t="n">
        <x:v>0.5</x:v>
      </x:c>
      <x:c r="D25" s="81" t="str">
        <x:v>CU</x:v>
      </x:c>
      <x:c r="E25" s="81" t="str">
        <x:v>Client</x:v>
      </x:c>
      <x:c r="F25" s="81" t="str">
        <x:v>Avoid first-user cold starts</x:v>
      </x:c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78"/>
    </x:row>
    <x:row r="26">
      <x:c r="A26" s="81" t="str">
        <x:v>Staging + CI compute</x:v>
      </x:c>
      <x:c r="B26" s="82" t="n">
        <x:v>30</x:v>
      </x:c>
      <x:c r="C26" s="82" t="n">
        <x:v>60</x:v>
      </x:c>
      <x:c r="D26" s="81" t="str">
        <x:v>CU-hours/month</x:v>
      </x:c>
      <x:c r="E26" s="81" t="str">
        <x:v>Client</x:v>
      </x:c>
      <x:c r="F26" s="81" t="str">
        <x:v>Release confidence</x:v>
      </x:c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78"/>
      <x:c r="W26" s="78"/>
      <x:c r="X26" s="78"/>
      <x:c r="Y26" s="78"/>
      <x:c r="Z26" s="78"/>
    </x:row>
    <x:row r="27">
      <x:c r="A27" s="81" t="str">
        <x:v>Order slips per user-day</x:v>
      </x:c>
      <x:c r="B27" s="82" t="n">
        <x:v>1.15</x:v>
      </x:c>
      <x:c r="C27" s="82" t="n">
        <x:v>2.3</x:v>
      </x:c>
      <x:c r="D27" s="81" t="str">
        <x:v>documents</x:v>
      </x:c>
      <x:c r="E27" s="81" t="str">
        <x:v>Client</x:v>
      </x:c>
      <x:c r="F27" s="81" t="str">
        <x:v>AI extraction demand</x:v>
      </x:c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78"/>
      <x:c r="W27" s="78"/>
      <x:c r="X27" s="78"/>
      <x:c r="Y27" s="78"/>
      <x:c r="Z27" s="78"/>
    </x:row>
    <x:row r="28">
      <x:c r="A28" s="81" t="str">
        <x:v>PIs per user-day</x:v>
      </x:c>
      <x:c r="B28" s="82" t="n">
        <x:v>0.5</x:v>
      </x:c>
      <x:c r="C28" s="82" t="n">
        <x:v>1</x:v>
      </x:c>
      <x:c r="D28" s="81" t="str">
        <x:v>documents</x:v>
      </x:c>
      <x:c r="E28" s="81" t="str">
        <x:v>Client</x:v>
      </x:c>
      <x:c r="F28" s="81" t="str">
        <x:v>AI extraction demand</x:v>
      </x:c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78"/>
      <x:c r="U28" s="78"/>
      <x:c r="V28" s="78"/>
      <x:c r="W28" s="78"/>
      <x:c r="X28" s="78"/>
      <x:c r="Y28" s="78"/>
      <x:c r="Z28" s="78"/>
    </x:row>
    <x:row r="29">
      <x:c r="A29" s="81" t="str">
        <x:v>Product images</x:v>
      </x:c>
      <x:c r="B29" s="82" t="n">
        <x:v>20</x:v>
      </x:c>
      <x:c r="C29" s="82" t="n">
        <x:v>40</x:v>
      </x:c>
      <x:c r="D29" s="81" t="str">
        <x:v>files/month</x:v>
      </x:c>
      <x:c r="E29" s="81" t="str">
        <x:v>Client</x:v>
      </x:c>
      <x:c r="F29" s="81" t="str">
        <x:v>Catalogue growth</x:v>
      </x:c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</x:row>
    <x:row r="30">
      <x:c r="A30" s="81" t="str">
        <x:v>Excel/CSV imports</x:v>
      </x:c>
      <x:c r="B30" s="82" t="n">
        <x:v>30</x:v>
      </x:c>
      <x:c r="C30" s="82" t="n">
        <x:v>60</x:v>
      </x:c>
      <x:c r="D30" s="81" t="str">
        <x:v>files/month</x:v>
      </x:c>
      <x:c r="E30" s="81" t="str">
        <x:v>Client</x:v>
      </x:c>
      <x:c r="F30" s="81" t="str">
        <x:v>Bulk order/reference updates</x:v>
      </x:c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78"/>
    </x:row>
    <x:row r="31">
      <x:c r="A31" s="81" t="str">
        <x:v>Other files</x:v>
      </x:c>
      <x:c r="B31" s="82" t="n">
        <x:v>20</x:v>
      </x:c>
      <x:c r="C31" s="82" t="n">
        <x:v>40</x:v>
      </x:c>
      <x:c r="D31" s="81" t="str">
        <x:v>files/month</x:v>
      </x:c>
      <x:c r="E31" s="81" t="str">
        <x:v>Client</x:v>
      </x:c>
      <x:c r="F31" s="81" t="str">
        <x:v>Packing/supporting records</x:v>
      </x:c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78"/>
      <x:c r="W31" s="78"/>
      <x:c r="X31" s="78"/>
      <x:c r="Y31" s="78"/>
      <x:c r="Z31" s="78"/>
    </x:row>
    <x:row r="32">
      <x:c r="A32" s="81" t="str">
        <x:v>PITR retention</x:v>
      </x:c>
      <x:c r="B32" s="82" t="n">
        <x:v>30</x:v>
      </x:c>
      <x:c r="C32" s="82" t="n">
        <x:v>30</x:v>
      </x:c>
      <x:c r="D32" s="81" t="str">
        <x:v>days</x:v>
      </x:c>
      <x:c r="E32" s="81" t="str">
        <x:v>Client</x:v>
      </x:c>
      <x:c r="F32" s="81" t="str">
        <x:v>Neon Scale default</x:v>
      </x:c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78"/>
      <x:c r="U32" s="78"/>
      <x:c r="V32" s="78"/>
      <x:c r="W32" s="78"/>
      <x:c r="X32" s="78"/>
      <x:c r="Y32" s="78"/>
      <x:c r="Z32" s="78"/>
    </x:row>
    <x:row r="33">
      <x:c r="A33" s="81" t="str">
        <x:v>Off-provider backup retention</x:v>
      </x:c>
      <x:c r="B33" s="82" t="n">
        <x:v>90</x:v>
      </x:c>
      <x:c r="C33" s="82" t="n">
        <x:v>90</x:v>
      </x:c>
      <x:c r="D33" s="81" t="str">
        <x:v>days</x:v>
      </x:c>
      <x:c r="E33" s="81" t="str">
        <x:v>Client</x:v>
      </x:c>
      <x:c r="F33" s="81" t="str">
        <x:v>Vendor-independent recovery</x:v>
      </x:c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</x:row>
    <x:row r="34">
      <x:c r="A34" s="83" t="str">
        <x:v>Target uptime</x:v>
      </x:c>
      <x:c r="B34" s="84" t="n">
        <x:v>99.9</x:v>
      </x:c>
      <x:c r="C34" s="84" t="n">
        <x:v>99.9</x:v>
      </x:c>
      <x:c r="D34" s="83" t="str">
        <x:v>%</x:v>
      </x:c>
      <x:c r="E34" s="83" t="str">
        <x:v>Client</x:v>
      </x:c>
      <x:c r="F34" s="83" t="str">
        <x:v>Requires monitoring and incident process</x:v>
      </x:c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</x:row>
    <x:row r="35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</x:row>
    <x:row r="36" ht="24" customHeight="1">
      <x:c r="A36" s="79" t="str">
        <x:v>C. Finance, pricing and founder capacity</x:v>
      </x:c>
      <x:c r="B36" s="79"/>
      <x:c r="C36" s="79"/>
      <x:c r="D36" s="79"/>
      <x:c r="E36" s="79"/>
      <x:c r="F36" s="79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78"/>
      <x:c r="U36" s="78"/>
      <x:c r="V36" s="78"/>
      <x:c r="W36" s="78"/>
      <x:c r="X36" s="78"/>
      <x:c r="Y36" s="78"/>
      <x:c r="Z36" s="78"/>
    </x:row>
    <x:row r="37">
      <x:c r="A37" s="80" t="str">
        <x:v>Assumption</x:v>
      </x:c>
      <x:c r="B37" s="80" t="str">
        <x:v>Value</x:v>
      </x:c>
      <x:c r="C37" s="80" t="str">
        <x:v>Alternative</x:v>
      </x:c>
      <x:c r="D37" s="80" t="str">
        <x:v>Unit</x:v>
      </x:c>
      <x:c r="E37" s="80" t="str">
        <x:v>Treatment</x:v>
      </x:c>
      <x:c r="F37" s="80" t="str">
        <x:v>Note</x:v>
      </x:c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78"/>
    </x:row>
    <x:row r="38">
      <x:c r="A38" s="81" t="str">
        <x:v>USD/INR planning rate</x:v>
      </x:c>
      <x:c r="B38" s="85" t="n">
        <x:v>88</x:v>
      </x:c>
      <x:c r="C38" s="85" t="n">
        <x:v>92</x:v>
      </x:c>
      <x:c r="D38" s="81" t="str">
        <x:v>₹ per US$</x:v>
      </x:c>
      <x:c r="E38" s="81" t="str">
        <x:v>Input</x:v>
      </x:c>
      <x:c r="F38" s="81" t="str">
        <x:v>Use treasury rate when invoiced</x:v>
      </x:c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78"/>
    </x:row>
    <x:row r="39">
      <x:c r="A39" s="81" t="str">
        <x:v>Card/forex uplift</x:v>
      </x:c>
      <x:c r="B39" s="85" t="n">
        <x:v>3.5</x:v>
      </x:c>
      <x:c r="C39" s="85" t="n">
        <x:v>5</x:v>
      </x:c>
      <x:c r="D39" s="81" t="str">
        <x:v>%</x:v>
      </x:c>
      <x:c r="E39" s="81" t="str">
        <x:v>Input</x:v>
      </x:c>
      <x:c r="F39" s="81" t="str">
        <x:v>Bank/card conversion buffer</x:v>
      </x:c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78"/>
    </x:row>
    <x:row r="40">
      <x:c r="A40" s="81" t="str">
        <x:v>GST</x:v>
      </x:c>
      <x:c r="B40" s="85" t="n">
        <x:v>18</x:v>
      </x:c>
      <x:c r="C40" s="85" t="n">
        <x:v>18</x:v>
      </x:c>
      <x:c r="D40" s="81" t="str">
        <x:v>%</x:v>
      </x:c>
      <x:c r="E40" s="81" t="str">
        <x:v>Input</x:v>
      </x:c>
      <x:c r="F40" s="81" t="str">
        <x:v>Cash view; input-credit treatment needs CA</x:v>
      </x:c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78"/>
      <x:c r="U40" s="78"/>
      <x:c r="V40" s="78"/>
      <x:c r="W40" s="78"/>
      <x:c r="X40" s="78"/>
      <x:c r="Y40" s="78"/>
      <x:c r="Z40" s="78"/>
    </x:row>
    <x:row r="41">
      <x:c r="A41" s="81" t="str">
        <x:v>Founder economic rate</x:v>
      </x:c>
      <x:c r="B41" s="85" t="n">
        <x:v>2500</x:v>
      </x:c>
      <x:c r="C41" s="85" t="n">
        <x:v>3500</x:v>
      </x:c>
      <x:c r="D41" s="81" t="str">
        <x:v>₹/hour</x:v>
      </x:c>
      <x:c r="E41" s="81" t="str">
        <x:v>Input</x:v>
      </x:c>
      <x:c r="F41" s="81" t="str">
        <x:v>Opportunity cost, not cash salary</x:v>
      </x:c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</x:row>
    <x:row r="42">
      <x:c r="A42" s="81" t="str">
        <x:v>Target steady-state gross margin</x:v>
      </x:c>
      <x:c r="B42" s="85" t="n">
        <x:v>65</x:v>
      </x:c>
      <x:c r="C42" s="85" t="n">
        <x:v>70</x:v>
      </x:c>
      <x:c r="D42" s="81" t="str">
        <x:v>%</x:v>
      </x:c>
      <x:c r="E42" s="81" t="str">
        <x:v>Input</x:v>
      </x:c>
      <x:c r="F42" s="81" t="str">
        <x:v>After direct platform + support cost</x:v>
      </x:c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8"/>
    </x:row>
    <x:row r="43">
      <x:c r="A43" s="81" t="str">
        <x:v>Recommended implementation fee</x:v>
      </x:c>
      <x:c r="B43" s="86" t="n">
        <x:v>1000000</x:v>
      </x:c>
      <x:c r="C43" s="86" t="n">
        <x:v>1200000</x:v>
      </x:c>
      <x:c r="D43" s="81" t="str">
        <x:v>₹</x:v>
      </x:c>
      <x:c r="E43" s="81" t="str">
        <x:v>Quote</x:v>
      </x:c>
      <x:c r="F43" s="81" t="str">
        <x:v>Founding client / standard client</x:v>
      </x:c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78"/>
    </x:row>
    <x:row r="44">
      <x:c r="A44" s="81" t="str">
        <x:v>Recommended monthly fee</x:v>
      </x:c>
      <x:c r="B44" s="86" t="n">
        <x:v>150000</x:v>
      </x:c>
      <x:c r="C44" s="86" t="n">
        <x:v>175000</x:v>
      </x:c>
      <x:c r="D44" s="81" t="str">
        <x:v>₹/month</x:v>
      </x:c>
      <x:c r="E44" s="81" t="str">
        <x:v>Quote</x:v>
      </x:c>
      <x:c r="F44" s="81" t="str">
        <x:v>20 users, 2 sites, 1 entity</x:v>
      </x:c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</x:row>
    <x:row r="45">
      <x:c r="A45" s="81" t="str">
        <x:v>Initial term</x:v>
      </x:c>
      <x:c r="B45" s="82" t="n">
        <x:v>24</x:v>
      </x:c>
      <x:c r="C45" s="82" t="n">
        <x:v>36</x:v>
      </x:c>
      <x:c r="D45" s="81" t="str">
        <x:v>months</x:v>
      </x:c>
      <x:c r="E45" s="81" t="str">
        <x:v>Quote</x:v>
      </x:c>
      <x:c r="F45" s="81" t="str">
        <x:v>Protects implementation recovery</x:v>
      </x:c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78"/>
    </x:row>
    <x:row r="46">
      <x:c r="A46" s="81" t="str">
        <x:v>Founder hardening hours</x:v>
      </x:c>
      <x:c r="B46" s="82" t="n">
        <x:v>840</x:v>
      </x:c>
      <x:c r="C46" s="82" t="n">
        <x:v>1000</x:v>
      </x:c>
      <x:c r="D46" s="81" t="str">
        <x:v>hours</x:v>
      </x:c>
      <x:c r="E46" s="81" t="str">
        <x:v>Build</x:v>
      </x:c>
      <x:c r="F46" s="81" t="str">
        <x:v>Remaining official-launch work</x:v>
      </x:c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78"/>
      <x:c r="U46" s="78"/>
      <x:c r="V46" s="78"/>
      <x:c r="W46" s="78"/>
      <x:c r="X46" s="78"/>
      <x:c r="Y46" s="78"/>
      <x:c r="Z46" s="78"/>
    </x:row>
    <x:row r="47">
      <x:c r="A47" s="83" t="str">
        <x:v>Hardening tool runway</x:v>
      </x:c>
      <x:c r="B47" s="84" t="n">
        <x:v>6</x:v>
      </x:c>
      <x:c r="C47" s="84" t="n">
        <x:v>9</x:v>
      </x:c>
      <x:c r="D47" s="83" t="str">
        <x:v>months</x:v>
      </x:c>
      <x:c r="E47" s="83" t="str">
        <x:v>Build</x:v>
      </x:c>
      <x:c r="F47" s="83" t="str">
        <x:v>Developer subscriptions and test runway</x:v>
      </x:c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78"/>
      <x:c r="U47" s="78"/>
      <x:c r="V47" s="78"/>
      <x:c r="W47" s="78"/>
      <x:c r="X47" s="78"/>
      <x:c r="Y47" s="78"/>
      <x:c r="Z47" s="78"/>
    </x:row>
    <x:row r="48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78"/>
      <x:c r="U48" s="78"/>
      <x:c r="V48" s="78"/>
      <x:c r="W48" s="78"/>
      <x:c r="X48" s="78"/>
      <x:c r="Y48" s="78"/>
      <x:c r="Z48" s="78"/>
    </x:row>
    <x:row r="49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78"/>
      <x:c r="U49" s="78"/>
      <x:c r="V49" s="78"/>
      <x:c r="W49" s="78"/>
      <x:c r="X49" s="78"/>
      <x:c r="Y49" s="78"/>
      <x:c r="Z49" s="78"/>
    </x:row>
    <x:row r="50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78"/>
    </x:row>
    <x:row r="5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78"/>
      <x:c r="W51" s="78"/>
      <x:c r="X51" s="78"/>
      <x:c r="Y51" s="78"/>
      <x:c r="Z51" s="78"/>
    </x:row>
    <x:row r="52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78"/>
    </x:row>
    <x:row r="53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78"/>
    </x:row>
    <x:row r="54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78"/>
      <x:c r="U54" s="78"/>
      <x:c r="V54" s="78"/>
      <x:c r="W54" s="78"/>
      <x:c r="X54" s="78"/>
      <x:c r="Y54" s="78"/>
      <x:c r="Z54" s="78"/>
    </x:row>
    <x:row r="55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78"/>
    </x:row>
    <x:row r="56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78"/>
    </x:row>
    <x:row r="57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78"/>
    </x:row>
    <x:row r="58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</x:row>
    <x:row r="59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78"/>
      <x:c r="U59" s="78"/>
      <x:c r="V59" s="78"/>
      <x:c r="W59" s="78"/>
      <x:c r="X59" s="78"/>
      <x:c r="Y59" s="78"/>
      <x:c r="Z59" s="78"/>
    </x:row>
    <x:row r="60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</x:row>
    <x:row r="6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78"/>
      <x:c r="U61" s="78"/>
      <x:c r="V61" s="78"/>
      <x:c r="W61" s="78"/>
      <x:c r="X61" s="78"/>
      <x:c r="Y61" s="78"/>
      <x:c r="Z61" s="78"/>
    </x:row>
    <x:row r="62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78"/>
      <x:c r="U62" s="78"/>
      <x:c r="V62" s="78"/>
      <x:c r="W62" s="78"/>
      <x:c r="X62" s="78"/>
      <x:c r="Y62" s="78"/>
      <x:c r="Z62" s="78"/>
    </x:row>
    <x:row r="63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78"/>
    </x:row>
    <x:row r="64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78"/>
      <x:c r="U64" s="78"/>
      <x:c r="V64" s="78"/>
      <x:c r="W64" s="78"/>
      <x:c r="X64" s="78"/>
      <x:c r="Y64" s="78"/>
      <x:c r="Z64" s="78"/>
    </x:row>
    <x:row r="65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78"/>
      <x:c r="U65" s="78"/>
      <x:c r="V65" s="78"/>
      <x:c r="W65" s="78"/>
      <x:c r="X65" s="78"/>
      <x:c r="Y65" s="78"/>
      <x:c r="Z65" s="78"/>
    </x:row>
    <x:row r="66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78"/>
      <x:c r="U66" s="78"/>
      <x:c r="V66" s="78"/>
      <x:c r="W66" s="78"/>
      <x:c r="X66" s="78"/>
      <x:c r="Y66" s="78"/>
      <x:c r="Z66" s="78"/>
    </x:row>
    <x:row r="67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78"/>
      <x:c r="U67" s="78"/>
      <x:c r="V67" s="78"/>
      <x:c r="W67" s="78"/>
      <x:c r="X67" s="78"/>
      <x:c r="Y67" s="78"/>
      <x:c r="Z67" s="78"/>
    </x:row>
    <x:row r="68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78"/>
    </x:row>
    <x:row r="69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78"/>
      <x:c r="U69" s="78"/>
      <x:c r="V69" s="78"/>
      <x:c r="W69" s="78"/>
      <x:c r="X69" s="78"/>
      <x:c r="Y69" s="78"/>
      <x:c r="Z69" s="78"/>
    </x:row>
    <x:row r="70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78"/>
      <x:c r="U70" s="78"/>
      <x:c r="V70" s="78"/>
      <x:c r="W70" s="78"/>
      <x:c r="X70" s="78"/>
      <x:c r="Y70" s="78"/>
      <x:c r="Z70" s="78"/>
    </x:row>
    <x:row r="7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78"/>
      <x:c r="U71" s="78"/>
      <x:c r="V71" s="78"/>
      <x:c r="W71" s="78"/>
      <x:c r="X71" s="78"/>
      <x:c r="Y71" s="78"/>
      <x:c r="Z71" s="78"/>
    </x:row>
    <x:row r="72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78"/>
    </x:row>
    <x:row r="73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78"/>
      <x:c r="U73" s="78"/>
      <x:c r="V73" s="78"/>
      <x:c r="W73" s="78"/>
      <x:c r="X73" s="78"/>
      <x:c r="Y73" s="78"/>
      <x:c r="Z73" s="78"/>
    </x:row>
    <x:row r="74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78"/>
      <x:c r="U74" s="78"/>
      <x:c r="V74" s="78"/>
      <x:c r="W74" s="78"/>
      <x:c r="X74" s="78"/>
      <x:c r="Y74" s="78"/>
      <x:c r="Z74" s="78"/>
    </x:row>
    <x:row r="75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78"/>
    </x:row>
    <x:row r="76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78"/>
      <x:c r="U76" s="78"/>
      <x:c r="V76" s="78"/>
      <x:c r="W76" s="78"/>
      <x:c r="X76" s="78"/>
      <x:c r="Y76" s="78"/>
      <x:c r="Z76" s="78"/>
    </x:row>
    <x:row r="77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78"/>
    </x:row>
    <x:row r="78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78"/>
      <x:c r="U78" s="78"/>
      <x:c r="V78" s="78"/>
      <x:c r="W78" s="78"/>
      <x:c r="X78" s="78"/>
      <x:c r="Y78" s="78"/>
      <x:c r="Z78" s="78"/>
    </x:row>
    <x:row r="79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78"/>
      <x:c r="U79" s="78"/>
      <x:c r="V79" s="78"/>
      <x:c r="W79" s="78"/>
      <x:c r="X79" s="78"/>
      <x:c r="Y79" s="78"/>
      <x:c r="Z79" s="78"/>
    </x:row>
    <x:row r="80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78"/>
      <x:c r="U80" s="78"/>
      <x:c r="V80" s="78"/>
      <x:c r="W80" s="78"/>
      <x:c r="X80" s="78"/>
      <x:c r="Y80" s="78"/>
      <x:c r="Z80" s="78"/>
    </x:row>
    <x:row r="8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78"/>
      <x:c r="U81" s="78"/>
      <x:c r="V81" s="78"/>
      <x:c r="W81" s="78"/>
      <x:c r="X81" s="78"/>
      <x:c r="Y81" s="78"/>
      <x:c r="Z81" s="78"/>
    </x:row>
    <x:row r="82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78"/>
      <x:c r="U82" s="78"/>
      <x:c r="V82" s="78"/>
      <x:c r="W82" s="78"/>
      <x:c r="X82" s="78"/>
      <x:c r="Y82" s="78"/>
      <x:c r="Z82" s="78"/>
    </x:row>
    <x:row r="83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78"/>
      <x:c r="U83" s="78"/>
      <x:c r="V83" s="78"/>
      <x:c r="W83" s="78"/>
      <x:c r="X83" s="78"/>
      <x:c r="Y83" s="78"/>
      <x:c r="Z83" s="78"/>
    </x:row>
    <x:row r="84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78"/>
      <x:c r="U84" s="78"/>
      <x:c r="V84" s="78"/>
      <x:c r="W84" s="78"/>
      <x:c r="X84" s="78"/>
      <x:c r="Y84" s="78"/>
      <x:c r="Z84" s="78"/>
    </x:row>
    <x:row r="85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78"/>
      <x:c r="U85" s="78"/>
      <x:c r="V85" s="78"/>
      <x:c r="W85" s="78"/>
      <x:c r="X85" s="78"/>
      <x:c r="Y85" s="78"/>
      <x:c r="Z85" s="78"/>
    </x:row>
    <x:row r="86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78"/>
      <x:c r="U86" s="78"/>
      <x:c r="V86" s="78"/>
      <x:c r="W86" s="78"/>
      <x:c r="X86" s="78"/>
      <x:c r="Y86" s="78"/>
      <x:c r="Z86" s="78"/>
    </x:row>
    <x:row r="87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78"/>
      <x:c r="U87" s="78"/>
      <x:c r="V87" s="78"/>
      <x:c r="W87" s="78"/>
      <x:c r="X87" s="78"/>
      <x:c r="Y87" s="78"/>
      <x:c r="Z87" s="78"/>
    </x:row>
    <x:row r="88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78"/>
      <x:c r="U88" s="78"/>
      <x:c r="V88" s="78"/>
      <x:c r="W88" s="78"/>
      <x:c r="X88" s="78"/>
      <x:c r="Y88" s="78"/>
      <x:c r="Z88" s="78"/>
    </x:row>
    <x:row r="89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78"/>
      <x:c r="U89" s="78"/>
      <x:c r="V89" s="78"/>
      <x:c r="W89" s="78"/>
      <x:c r="X89" s="78"/>
      <x:c r="Y89" s="78"/>
      <x:c r="Z89" s="78"/>
    </x:row>
    <x:row r="90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78"/>
    </x:row>
    <x:row r="9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78"/>
      <x:c r="U91" s="78"/>
      <x:c r="V91" s="78"/>
      <x:c r="W91" s="78"/>
      <x:c r="X91" s="78"/>
      <x:c r="Y91" s="78"/>
      <x:c r="Z91" s="78"/>
    </x:row>
    <x:row r="92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78"/>
      <x:c r="U92" s="78"/>
      <x:c r="V92" s="78"/>
      <x:c r="W92" s="78"/>
      <x:c r="X92" s="78"/>
      <x:c r="Y92" s="78"/>
      <x:c r="Z92" s="78"/>
    </x:row>
    <x:row r="93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78"/>
      <x:c r="U93" s="78"/>
      <x:c r="V93" s="78"/>
      <x:c r="W93" s="78"/>
      <x:c r="X93" s="78"/>
      <x:c r="Y93" s="78"/>
      <x:c r="Z93" s="78"/>
    </x:row>
    <x:row r="94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78"/>
      <x:c r="U94" s="78"/>
      <x:c r="V94" s="78"/>
      <x:c r="W94" s="78"/>
      <x:c r="X94" s="78"/>
      <x:c r="Y94" s="78"/>
      <x:c r="Z94" s="78"/>
    </x:row>
    <x:row r="95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78"/>
      <x:c r="U95" s="78"/>
      <x:c r="V95" s="78"/>
      <x:c r="W95" s="78"/>
      <x:c r="X95" s="78"/>
      <x:c r="Y95" s="78"/>
      <x:c r="Z95" s="78"/>
    </x:row>
    <x:row r="96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78"/>
      <x:c r="U96" s="78"/>
      <x:c r="V96" s="78"/>
      <x:c r="W96" s="78"/>
      <x:c r="X96" s="78"/>
      <x:c r="Y96" s="78"/>
      <x:c r="Z96" s="78"/>
    </x:row>
    <x:row r="97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78"/>
      <x:c r="U97" s="78"/>
      <x:c r="V97" s="78"/>
      <x:c r="W97" s="78"/>
      <x:c r="X97" s="78"/>
      <x:c r="Y97" s="78"/>
      <x:c r="Z97" s="78"/>
    </x:row>
    <x:row r="98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78"/>
      <x:c r="U98" s="78"/>
      <x:c r="V98" s="78"/>
      <x:c r="W98" s="78"/>
      <x:c r="X98" s="78"/>
      <x:c r="Y98" s="78"/>
      <x:c r="Z98" s="78"/>
    </x:row>
    <x:row r="99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78"/>
      <x:c r="U99" s="78"/>
      <x:c r="V99" s="78"/>
      <x:c r="W99" s="78"/>
      <x:c r="X99" s="78"/>
      <x:c r="Y99" s="78"/>
      <x:c r="Z99" s="78"/>
    </x:row>
    <x:row r="100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78"/>
      <x:c r="U100" s="78"/>
      <x:c r="V100" s="78"/>
      <x:c r="W100" s="78"/>
      <x:c r="X100" s="78"/>
      <x:c r="Y100" s="78"/>
      <x:c r="Z100" s="78"/>
    </x:row>
    <x:row r="10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78"/>
      <x:c r="U101" s="78"/>
      <x:c r="V101" s="78"/>
      <x:c r="W101" s="78"/>
      <x:c r="X101" s="78"/>
      <x:c r="Y101" s="78"/>
      <x:c r="Z101" s="78"/>
    </x:row>
    <x:row r="102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78"/>
    </x:row>
    <x:row r="103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78"/>
    </x:row>
    <x:row r="104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78"/>
    </x:row>
    <x:row r="105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78"/>
      <x:c r="U105" s="78"/>
      <x:c r="V105" s="78"/>
      <x:c r="W105" s="78"/>
      <x:c r="X105" s="78"/>
      <x:c r="Y105" s="78"/>
      <x:c r="Z105" s="78"/>
    </x:row>
    <x:row r="106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78"/>
      <x:c r="U106" s="78"/>
      <x:c r="V106" s="78"/>
      <x:c r="W106" s="78"/>
      <x:c r="X106" s="78"/>
      <x:c r="Y106" s="78"/>
      <x:c r="Z106" s="78"/>
    </x:row>
    <x:row r="107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78"/>
      <x:c r="U107" s="78"/>
      <x:c r="V107" s="78"/>
      <x:c r="W107" s="78"/>
      <x:c r="X107" s="78"/>
      <x:c r="Y107" s="78"/>
      <x:c r="Z107" s="78"/>
    </x:row>
    <x:row r="108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78"/>
      <x:c r="U108" s="78"/>
      <x:c r="V108" s="78"/>
      <x:c r="W108" s="78"/>
      <x:c r="X108" s="78"/>
      <x:c r="Y108" s="78"/>
      <x:c r="Z108" s="78"/>
    </x:row>
    <x:row r="109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78"/>
      <x:c r="U109" s="78"/>
      <x:c r="V109" s="78"/>
      <x:c r="W109" s="78"/>
      <x:c r="X109" s="78"/>
      <x:c r="Y109" s="78"/>
      <x:c r="Z109" s="78"/>
    </x:row>
    <x:row r="110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</x:row>
    <x:row r="11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</x:row>
    <x:row r="112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</x:row>
    <x:row r="113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</x:row>
    <x:row r="114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</x:row>
    <x:row r="115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</x:row>
    <x:row r="116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</x:row>
    <x:row r="117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</x:row>
    <x:row r="118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</x:row>
    <x:row r="119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</x:row>
    <x:row r="120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</x:row>
    <x:row r="12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</x:row>
    <x:row r="122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</x:row>
    <x:row r="123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</x:row>
    <x:row r="124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</x:row>
    <x:row r="125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</x:row>
    <x:row r="126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</x:row>
    <x:row r="127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</x:row>
    <x:row r="128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</x:row>
    <x:row r="129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</x:row>
    <x:row r="130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</x:row>
    <x:row r="13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</x:row>
    <x:row r="132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</x:row>
    <x:row r="133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</x:row>
    <x:row r="134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</x:row>
    <x:row r="135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</x:row>
    <x:row r="136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</x:row>
    <x:row r="137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</x:row>
    <x:row r="138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</x:row>
    <x:row r="139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</x:row>
    <x:row r="140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</x:row>
    <x:row r="14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78"/>
      <x:c r="U141" s="78"/>
      <x:c r="V141" s="78"/>
      <x:c r="W141" s="78"/>
      <x:c r="X141" s="78"/>
      <x:c r="Y141" s="78"/>
      <x:c r="Z141" s="78"/>
    </x:row>
    <x:row r="142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78"/>
      <x:c r="U142" s="78"/>
      <x:c r="V142" s="78"/>
      <x:c r="W142" s="78"/>
      <x:c r="X142" s="78"/>
      <x:c r="Y142" s="78"/>
      <x:c r="Z142" s="78"/>
    </x:row>
    <x:row r="143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78"/>
      <x:c r="U143" s="78"/>
      <x:c r="V143" s="78"/>
      <x:c r="W143" s="78"/>
      <x:c r="X143" s="78"/>
      <x:c r="Y143" s="78"/>
      <x:c r="Z143" s="78"/>
    </x:row>
    <x:row r="144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78"/>
      <x:c r="U144" s="78"/>
      <x:c r="V144" s="78"/>
      <x:c r="W144" s="78"/>
      <x:c r="X144" s="78"/>
      <x:c r="Y144" s="78"/>
      <x:c r="Z144" s="78"/>
    </x:row>
    <x:row r="145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78"/>
      <x:c r="U145" s="78"/>
      <x:c r="V145" s="78"/>
      <x:c r="W145" s="78"/>
      <x:c r="X145" s="78"/>
      <x:c r="Y145" s="78"/>
      <x:c r="Z145" s="78"/>
    </x:row>
    <x:row r="146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78"/>
      <x:c r="U146" s="78"/>
      <x:c r="V146" s="78"/>
      <x:c r="W146" s="78"/>
      <x:c r="X146" s="78"/>
      <x:c r="Y146" s="78"/>
      <x:c r="Z146" s="78"/>
    </x:row>
    <x:row r="147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78"/>
      <x:c r="U147" s="78"/>
      <x:c r="V147" s="78"/>
      <x:c r="W147" s="78"/>
      <x:c r="X147" s="78"/>
      <x:c r="Y147" s="78"/>
      <x:c r="Z147" s="78"/>
    </x:row>
    <x:row r="148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78"/>
      <x:c r="U148" s="78"/>
      <x:c r="V148" s="78"/>
      <x:c r="W148" s="78"/>
      <x:c r="X148" s="78"/>
      <x:c r="Y148" s="78"/>
      <x:c r="Z148" s="78"/>
    </x:row>
    <x:row r="149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78"/>
      <x:c r="U149" s="78"/>
      <x:c r="V149" s="78"/>
      <x:c r="W149" s="78"/>
      <x:c r="X149" s="78"/>
      <x:c r="Y149" s="78"/>
      <x:c r="Z149" s="78"/>
    </x:row>
    <x:row r="150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78"/>
      <x:c r="U150" s="78"/>
      <x:c r="V150" s="78"/>
      <x:c r="W150" s="78"/>
      <x:c r="X150" s="78"/>
      <x:c r="Y150" s="78"/>
      <x:c r="Z150" s="78"/>
    </x:row>
    <x:row r="15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78"/>
      <x:c r="U151" s="78"/>
      <x:c r="V151" s="78"/>
      <x:c r="W151" s="78"/>
      <x:c r="X151" s="78"/>
      <x:c r="Y151" s="78"/>
      <x:c r="Z151" s="78"/>
    </x:row>
    <x:row r="152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78"/>
      <x:c r="U152" s="78"/>
      <x:c r="V152" s="78"/>
      <x:c r="W152" s="78"/>
      <x:c r="X152" s="78"/>
      <x:c r="Y152" s="78"/>
      <x:c r="Z152" s="78"/>
    </x:row>
    <x:row r="153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78"/>
      <x:c r="U153" s="78"/>
      <x:c r="V153" s="78"/>
      <x:c r="W153" s="78"/>
      <x:c r="X153" s="78"/>
      <x:c r="Y153" s="78"/>
      <x:c r="Z153" s="78"/>
    </x:row>
    <x:row r="154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78"/>
      <x:c r="U154" s="78"/>
      <x:c r="V154" s="78"/>
      <x:c r="W154" s="78"/>
      <x:c r="X154" s="78"/>
      <x:c r="Y154" s="78"/>
      <x:c r="Z154" s="78"/>
    </x:row>
    <x:row r="155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78"/>
      <x:c r="U155" s="78"/>
      <x:c r="V155" s="78"/>
      <x:c r="W155" s="78"/>
      <x:c r="X155" s="78"/>
      <x:c r="Y155" s="78"/>
      <x:c r="Z155" s="78"/>
    </x:row>
    <x:row r="156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78"/>
      <x:c r="U156" s="78"/>
      <x:c r="V156" s="78"/>
      <x:c r="W156" s="78"/>
      <x:c r="X156" s="78"/>
      <x:c r="Y156" s="78"/>
      <x:c r="Z156" s="78"/>
    </x:row>
    <x:row r="157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78"/>
      <x:c r="U157" s="78"/>
      <x:c r="V157" s="78"/>
      <x:c r="W157" s="78"/>
      <x:c r="X157" s="78"/>
      <x:c r="Y157" s="78"/>
      <x:c r="Z157" s="78"/>
    </x:row>
    <x:row r="158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78"/>
      <x:c r="U158" s="78"/>
      <x:c r="V158" s="78"/>
      <x:c r="W158" s="78"/>
      <x:c r="X158" s="78"/>
      <x:c r="Y158" s="78"/>
      <x:c r="Z158" s="78"/>
    </x:row>
    <x:row r="159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78"/>
      <x:c r="U159" s="78"/>
      <x:c r="V159" s="78"/>
      <x:c r="W159" s="78"/>
      <x:c r="X159" s="78"/>
      <x:c r="Y159" s="78"/>
      <x:c r="Z159" s="78"/>
    </x:row>
    <x:row r="160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78"/>
      <x:c r="U160" s="78"/>
      <x:c r="V160" s="78"/>
      <x:c r="W160" s="78"/>
      <x:c r="X160" s="78"/>
      <x:c r="Y160" s="78"/>
      <x:c r="Z160" s="78"/>
    </x:row>
    <x:row r="16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78"/>
      <x:c r="U161" s="78"/>
      <x:c r="V161" s="78"/>
      <x:c r="W161" s="78"/>
      <x:c r="X161" s="78"/>
      <x:c r="Y161" s="78"/>
      <x:c r="Z161" s="78"/>
    </x:row>
    <x:row r="162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78"/>
      <x:c r="U162" s="78"/>
      <x:c r="V162" s="78"/>
      <x:c r="W162" s="78"/>
      <x:c r="X162" s="78"/>
      <x:c r="Y162" s="78"/>
      <x:c r="Z162" s="78"/>
    </x:row>
    <x:row r="163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78"/>
      <x:c r="U163" s="78"/>
      <x:c r="V163" s="78"/>
      <x:c r="W163" s="78"/>
      <x:c r="X163" s="78"/>
      <x:c r="Y163" s="78"/>
      <x:c r="Z163" s="78"/>
    </x:row>
    <x:row r="164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78"/>
      <x:c r="U164" s="78"/>
      <x:c r="V164" s="78"/>
      <x:c r="W164" s="78"/>
      <x:c r="X164" s="78"/>
      <x:c r="Y164" s="78"/>
      <x:c r="Z164" s="78"/>
    </x:row>
    <x:row r="165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78"/>
      <x:c r="U165" s="78"/>
      <x:c r="V165" s="78"/>
      <x:c r="W165" s="78"/>
      <x:c r="X165" s="78"/>
      <x:c r="Y165" s="78"/>
      <x:c r="Z165" s="78"/>
    </x:row>
    <x:row r="166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78"/>
      <x:c r="U166" s="78"/>
      <x:c r="V166" s="78"/>
      <x:c r="W166" s="78"/>
      <x:c r="X166" s="78"/>
      <x:c r="Y166" s="78"/>
      <x:c r="Z166" s="78"/>
    </x:row>
    <x:row r="167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78"/>
      <x:c r="U167" s="78"/>
      <x:c r="V167" s="78"/>
      <x:c r="W167" s="78"/>
      <x:c r="X167" s="78"/>
      <x:c r="Y167" s="78"/>
      <x:c r="Z167" s="78"/>
    </x:row>
    <x:row r="168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78"/>
      <x:c r="U168" s="78"/>
      <x:c r="V168" s="78"/>
      <x:c r="W168" s="78"/>
      <x:c r="X168" s="78"/>
      <x:c r="Y168" s="78"/>
      <x:c r="Z168" s="78"/>
    </x:row>
    <x:row r="169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78"/>
      <x:c r="U169" s="78"/>
      <x:c r="V169" s="78"/>
      <x:c r="W169" s="78"/>
      <x:c r="X169" s="78"/>
      <x:c r="Y169" s="78"/>
      <x:c r="Z169" s="78"/>
    </x:row>
    <x:row r="170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78"/>
      <x:c r="U170" s="78"/>
      <x:c r="V170" s="78"/>
      <x:c r="W170" s="78"/>
      <x:c r="X170" s="78"/>
      <x:c r="Y170" s="78"/>
      <x:c r="Z170" s="78"/>
    </x:row>
    <x:row r="17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78"/>
      <x:c r="U171" s="78"/>
      <x:c r="V171" s="78"/>
      <x:c r="W171" s="78"/>
      <x:c r="X171" s="78"/>
      <x:c r="Y171" s="78"/>
      <x:c r="Z171" s="78"/>
    </x:row>
    <x:row r="172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78"/>
      <x:c r="U172" s="78"/>
      <x:c r="V172" s="78"/>
      <x:c r="W172" s="78"/>
      <x:c r="X172" s="78"/>
      <x:c r="Y172" s="78"/>
      <x:c r="Z172" s="78"/>
    </x:row>
    <x:row r="173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78"/>
      <x:c r="U173" s="78"/>
      <x:c r="V173" s="78"/>
      <x:c r="W173" s="78"/>
      <x:c r="X173" s="78"/>
      <x:c r="Y173" s="78"/>
      <x:c r="Z173" s="78"/>
    </x:row>
    <x:row r="174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78"/>
      <x:c r="U174" s="78"/>
      <x:c r="V174" s="78"/>
      <x:c r="W174" s="78"/>
      <x:c r="X174" s="78"/>
      <x:c r="Y174" s="78"/>
      <x:c r="Z174" s="78"/>
    </x:row>
    <x:row r="175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78"/>
      <x:c r="U175" s="78"/>
      <x:c r="V175" s="78"/>
      <x:c r="W175" s="78"/>
      <x:c r="X175" s="78"/>
      <x:c r="Y175" s="78"/>
      <x:c r="Z175" s="78"/>
    </x:row>
    <x:row r="176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78"/>
      <x:c r="U176" s="78"/>
      <x:c r="V176" s="78"/>
      <x:c r="W176" s="78"/>
      <x:c r="X176" s="78"/>
      <x:c r="Y176" s="78"/>
      <x:c r="Z176" s="78"/>
    </x:row>
    <x:row r="177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78"/>
      <x:c r="U177" s="78"/>
      <x:c r="V177" s="78"/>
      <x:c r="W177" s="78"/>
      <x:c r="X177" s="78"/>
      <x:c r="Y177" s="78"/>
      <x:c r="Z177" s="78"/>
    </x:row>
    <x:row r="178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78"/>
      <x:c r="U178" s="78"/>
      <x:c r="V178" s="78"/>
      <x:c r="W178" s="78"/>
      <x:c r="X178" s="78"/>
      <x:c r="Y178" s="78"/>
      <x:c r="Z178" s="78"/>
    </x:row>
    <x:row r="179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78"/>
      <x:c r="U179" s="78"/>
      <x:c r="V179" s="78"/>
      <x:c r="W179" s="78"/>
      <x:c r="X179" s="78"/>
      <x:c r="Y179" s="78"/>
      <x:c r="Z179" s="78"/>
    </x:row>
    <x:row r="180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78"/>
      <x:c r="U180" s="78"/>
      <x:c r="V180" s="78"/>
      <x:c r="W180" s="78"/>
      <x:c r="X180" s="78"/>
      <x:c r="Y180" s="78"/>
      <x:c r="Z180" s="78"/>
    </x:row>
    <x:row r="18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78"/>
      <x:c r="U181" s="78"/>
      <x:c r="V181" s="78"/>
      <x:c r="W181" s="78"/>
      <x:c r="X181" s="78"/>
      <x:c r="Y181" s="78"/>
      <x:c r="Z181" s="78"/>
    </x:row>
    <x:row r="182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78"/>
      <x:c r="U182" s="78"/>
      <x:c r="V182" s="78"/>
      <x:c r="W182" s="78"/>
      <x:c r="X182" s="78"/>
      <x:c r="Y182" s="78"/>
      <x:c r="Z182" s="78"/>
    </x:row>
    <x:row r="183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78"/>
      <x:c r="U183" s="78"/>
      <x:c r="V183" s="78"/>
      <x:c r="W183" s="78"/>
      <x:c r="X183" s="78"/>
      <x:c r="Y183" s="78"/>
      <x:c r="Z183" s="78"/>
    </x:row>
    <x:row r="184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78"/>
      <x:c r="U184" s="78"/>
      <x:c r="V184" s="78"/>
      <x:c r="W184" s="78"/>
      <x:c r="X184" s="78"/>
      <x:c r="Y184" s="78"/>
      <x:c r="Z184" s="78"/>
    </x:row>
    <x:row r="185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78"/>
      <x:c r="U185" s="78"/>
      <x:c r="V185" s="78"/>
      <x:c r="W185" s="78"/>
      <x:c r="X185" s="78"/>
      <x:c r="Y185" s="78"/>
      <x:c r="Z185" s="78"/>
    </x:row>
    <x:row r="186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78"/>
      <x:c r="U186" s="78"/>
      <x:c r="V186" s="78"/>
      <x:c r="W186" s="78"/>
      <x:c r="X186" s="78"/>
      <x:c r="Y186" s="78"/>
      <x:c r="Z186" s="78"/>
    </x:row>
    <x:row r="187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78"/>
      <x:c r="U187" s="78"/>
      <x:c r="V187" s="78"/>
      <x:c r="W187" s="78"/>
      <x:c r="X187" s="78"/>
      <x:c r="Y187" s="78"/>
      <x:c r="Z187" s="78"/>
    </x:row>
    <x:row r="188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78"/>
      <x:c r="U188" s="78"/>
      <x:c r="V188" s="78"/>
      <x:c r="W188" s="78"/>
      <x:c r="X188" s="78"/>
      <x:c r="Y188" s="78"/>
      <x:c r="Z188" s="78"/>
    </x:row>
    <x:row r="189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78"/>
      <x:c r="U189" s="78"/>
      <x:c r="V189" s="78"/>
      <x:c r="W189" s="78"/>
      <x:c r="X189" s="78"/>
      <x:c r="Y189" s="78"/>
      <x:c r="Z189" s="78"/>
    </x:row>
    <x:row r="190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78"/>
      <x:c r="U190" s="78"/>
      <x:c r="V190" s="78"/>
      <x:c r="W190" s="78"/>
      <x:c r="X190" s="78"/>
      <x:c r="Y190" s="78"/>
      <x:c r="Z190" s="78"/>
    </x:row>
    <x:row r="19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78"/>
      <x:c r="U191" s="78"/>
      <x:c r="V191" s="78"/>
      <x:c r="W191" s="78"/>
      <x:c r="X191" s="78"/>
      <x:c r="Y191" s="78"/>
      <x:c r="Z191" s="78"/>
    </x:row>
    <x:row r="192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78"/>
      <x:c r="U192" s="78"/>
      <x:c r="V192" s="78"/>
      <x:c r="W192" s="78"/>
      <x:c r="X192" s="78"/>
      <x:c r="Y192" s="78"/>
      <x:c r="Z192" s="78"/>
    </x:row>
    <x:row r="193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78"/>
      <x:c r="U193" s="78"/>
      <x:c r="V193" s="78"/>
      <x:c r="W193" s="78"/>
      <x:c r="X193" s="78"/>
      <x:c r="Y193" s="78"/>
      <x:c r="Z193" s="78"/>
    </x:row>
    <x:row r="194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78"/>
      <x:c r="U194" s="78"/>
      <x:c r="V194" s="78"/>
      <x:c r="W194" s="78"/>
      <x:c r="X194" s="78"/>
      <x:c r="Y194" s="78"/>
      <x:c r="Z194" s="78"/>
    </x:row>
    <x:row r="195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78"/>
    </x:row>
    <x:row r="196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78"/>
      <x:c r="U196" s="78"/>
      <x:c r="V196" s="78"/>
      <x:c r="W196" s="78"/>
      <x:c r="X196" s="78"/>
      <x:c r="Y196" s="78"/>
      <x:c r="Z196" s="78"/>
    </x:row>
    <x:row r="197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78"/>
      <x:c r="U197" s="78"/>
      <x:c r="V197" s="78"/>
      <x:c r="W197" s="78"/>
      <x:c r="X197" s="78"/>
      <x:c r="Y197" s="78"/>
      <x:c r="Z197" s="78"/>
    </x:row>
    <x:row r="198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78"/>
      <x:c r="U198" s="78"/>
      <x:c r="V198" s="78"/>
      <x:c r="W198" s="78"/>
      <x:c r="X198" s="78"/>
      <x:c r="Y198" s="78"/>
      <x:c r="Z198" s="78"/>
    </x:row>
    <x:row r="199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78"/>
    </x:row>
    <x:row r="200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78"/>
    </x:row>
  </x:sheetData>
  <x:mergeCells>
    <x:mergeCell ref="A1:F1"/>
    <x:mergeCell ref="A2:F2"/>
    <x:mergeCell ref="A4:F4"/>
    <x:mergeCell ref="A21:F21"/>
    <x:mergeCell ref="A36:F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7" hidden="0" customWidth="1"/>
    <x:col min="7" max="7" width="45" hidden="0" customWidth="1"/>
  </x:cols>
  <x:sheetData>
    <x:row r="1" ht="34" customHeight="1">
      <x:c r="A1" s="77" t="str">
        <x:v>Application usage model</x:v>
      </x:c>
      <x:c r="B1" s="77"/>
      <x:c r="C1" s="77"/>
      <x:c r="D1" s="77"/>
      <x:c r="E1" s="77"/>
      <x:c r="F1" s="77"/>
      <x:c r="G1" s="77"/>
      <x:c r="H1" s="78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  <x:c r="V1" s="78"/>
      <x:c r="W1" s="78"/>
      <x:c r="X1" s="78"/>
      <x:c r="Y1" s="78"/>
      <x:c r="Z1" s="78"/>
    </x:row>
    <x:row r="2" ht="28" customHeight="1">
      <x:c r="A2" s="5" t="str">
        <x:v>Derived from the current 60-second polling architecture and the locked 20-user / 15-concurrent-user operating profile.</x:v>
      </x:c>
      <x:c r="B2" s="5"/>
      <x:c r="C2" s="5"/>
      <x:c r="D2" s="5"/>
      <x:c r="E2" s="5"/>
      <x:c r="F2" s="5"/>
      <x:c r="G2" s="5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</x:row>
    <x:row r="4" ht="24" customHeight="1">
      <x:c r="A4" s="79" t="str">
        <x:v>Monthly request model</x:v>
      </x:c>
      <x:c r="B4" s="79"/>
      <x:c r="C4" s="79"/>
      <x:c r="D4" s="79"/>
      <x:c r="E4" s="79"/>
      <x:c r="F4" s="79"/>
      <x:c r="G4" s="79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8"/>
      <x:c r="V4" s="78"/>
      <x:c r="W4" s="78"/>
      <x:c r="X4" s="78"/>
      <x:c r="Y4" s="78"/>
      <x:c r="Z4" s="78"/>
    </x:row>
    <x:row r="5">
      <x:c r="A5" s="80" t="str">
        <x:v>Driver</x:v>
      </x:c>
      <x:c r="B5" s="80" t="str">
        <x:v>Expected</x:v>
      </x:c>
      <x:c r="C5" s="80" t="str">
        <x:v>Guardrail</x:v>
      </x:c>
      <x:c r="D5" s="80" t="str">
        <x:v>Unit</x:v>
      </x:c>
      <x:c r="E5" s="80" t="str">
        <x:v>Expected formula</x:v>
      </x:c>
      <x:c r="F5" s="80" t="str">
        <x:v>Guardrail formula</x:v>
      </x:c>
      <x:c r="G5" s="80" t="str">
        <x:v>Control</x:v>
      </x:c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</x:row>
    <x:row r="6">
      <x:c r="A6" s="81" t="str">
        <x:v>Active concurrent user-hours</x:v>
      </x:c>
      <x:c r="B6" s="87" t="n">
        <x:f>'Assumptions'!B7*'Assumptions'!B8*'Assumptions'!B9</x:f>
        <x:v>4680</x:v>
      </x:c>
      <x:c r="C6" s="87" t="n">
        <x:f>'Assumptions'!C7*'Assumptions'!C8*'Assumptions'!C9</x:f>
        <x:v>9360</x:v>
      </x:c>
      <x:c r="D6" s="81" t="str">
        <x:v>hours/month</x:v>
      </x:c>
      <x:c r="E6" s="81" t="str">
        <x:v>days × hours × concurrent users</x:v>
      </x:c>
      <x:c r="F6" s="81" t="str">
        <x:v>same</x:v>
      </x:c>
      <x:c r="G6" s="81" t="str">
        <x:v>Capacity baseline</x:v>
      </x:c>
      <x:c r="H6" s="78"/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</x:row>
    <x:row r="7">
      <x:c r="A7" s="81" t="str">
        <x:v>Main orders + dispatch polls</x:v>
      </x:c>
      <x:c r="B7" s="87" t="n">
        <x:f>B6*2*3600/'Assumptions'!B12</x:f>
        <x:v>561600</x:v>
      </x:c>
      <x:c r="C7" s="87" t="n">
        <x:f>C6*2*3600/'Assumptions'!C12</x:f>
        <x:v>1123200</x:v>
      </x:c>
      <x:c r="D7" s="81" t="str">
        <x:v>invocations</x:v>
      </x:c>
      <x:c r="E7" s="81" t="str">
        <x:v>2 endpoints every poll interval</x:v>
      </x:c>
      <x:c r="F7" s="81" t="str">
        <x:v>same</x:v>
      </x:c>
      <x:c r="G7" s="81" t="str">
        <x:v>Replace with event refresh before scale</x:v>
      </x:c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78"/>
      <x:c r="W7" s="78"/>
      <x:c r="X7" s="78"/>
      <x:c r="Y7" s="78"/>
      <x:c r="Z7" s="78"/>
    </x:row>
    <x:row r="8">
      <x:c r="A8" s="81" t="str">
        <x:v>Job Card + Job Work polls</x:v>
      </x:c>
      <x:c r="B8" s="87" t="n">
        <x:f>B6*2*3600/'Assumptions'!B12*'Assumptions'!B13/100</x:f>
        <x:v>112320</x:v>
      </x:c>
      <x:c r="C8" s="87" t="n">
        <x:f>C6*2*3600/'Assumptions'!C12*'Assumptions'!C13/100</x:f>
        <x:v>449280</x:v>
      </x:c>
      <x:c r="D8" s="81" t="str">
        <x:v>invocations</x:v>
      </x:c>
      <x:c r="E8" s="81" t="str">
        <x:v>2 endpoints × active share</x:v>
      </x:c>
      <x:c r="F8" s="81" t="str">
        <x:v>same</x:v>
      </x:c>
      <x:c r="G8" s="81" t="str">
        <x:v>Pause hidden tabs; cache</x:v>
      </x:c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/>
      <x:c r="U8" s="78"/>
      <x:c r="V8" s="78"/>
      <x:c r="W8" s="78"/>
      <x:c r="X8" s="78"/>
      <x:c r="Y8" s="78"/>
      <x:c r="Z8" s="78"/>
    </x:row>
    <x:row r="9">
      <x:c r="A9" s="81" t="str">
        <x:v>Other interactions</x:v>
      </x:c>
      <x:c r="B9" s="87" t="n">
        <x:f>'Assumptions'!B6*'Assumptions'!B8*'Assumptions'!B14</x:f>
        <x:v>20800</x:v>
      </x:c>
      <x:c r="C9" s="87" t="n">
        <x:f>'Assumptions'!C6*'Assumptions'!C8*'Assumptions'!C14</x:f>
        <x:v>83200</x:v>
      </x:c>
      <x:c r="D9" s="81" t="str">
        <x:v>invocations</x:v>
      </x:c>
      <x:c r="E9" s="81" t="str">
        <x:v>users × days × requests</x:v>
      </x:c>
      <x:c r="F9" s="81" t="str">
        <x:v>same</x:v>
      </x:c>
      <x:c r="G9" s="81" t="str">
        <x:v>Normal ERP actions</x:v>
      </x:c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78"/>
      <x:c r="U9" s="78"/>
      <x:c r="V9" s="78"/>
      <x:c r="W9" s="78"/>
      <x:c r="X9" s="78"/>
      <x:c r="Y9" s="78"/>
      <x:c r="Z9" s="78"/>
    </x:row>
    <x:row r="10">
      <x:c r="A10" s="81" t="str">
        <x:v>Startup loads</x:v>
      </x:c>
      <x:c r="B10" s="87" t="n">
        <x:f>'Assumptions'!B6*'Assumptions'!B8*'Assumptions'!B15</x:f>
        <x:v>3120</x:v>
      </x:c>
      <x:c r="C10" s="87" t="n">
        <x:f>'Assumptions'!C6*'Assumptions'!C8*'Assumptions'!C15</x:f>
        <x:v>10400</x:v>
      </x:c>
      <x:c r="D10" s="81" t="str">
        <x:v>invocations</x:v>
      </x:c>
      <x:c r="E10" s="81" t="str">
        <x:v>users × days × startup calls</x:v>
      </x:c>
      <x:c r="F10" s="81" t="str">
        <x:v>same</x:v>
      </x:c>
      <x:c r="G10" s="81" t="str">
        <x:v>Cache reference data</x:v>
      </x:c>
      <x:c r="H10" s="78"/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78"/>
      <x:c r="U10" s="78"/>
      <x:c r="V10" s="78"/>
      <x:c r="W10" s="78"/>
      <x:c r="X10" s="78"/>
      <x:c r="Y10" s="78"/>
      <x:c r="Z10" s="78"/>
    </x:row>
    <x:row r="11">
      <x:c r="A11" s="88" t="str">
        <x:v>Total function invocations</x:v>
      </x:c>
      <x:c r="B11" s="89" t="n">
        <x:f>SUM(B7:B10)</x:f>
        <x:v>697840</x:v>
      </x:c>
      <x:c r="C11" s="89" t="n">
        <x:f>SUM(C7:C10)</x:f>
        <x:v>1666080</x:v>
      </x:c>
      <x:c r="D11" s="88" t="str">
        <x:v>invocations</x:v>
      </x:c>
      <x:c r="E11" s="88" t="str">
        <x:v>sum</x:v>
      </x:c>
      <x:c r="F11" s="88" t="str">
        <x:v>sum</x:v>
      </x:c>
      <x:c r="G11" s="88" t="str">
        <x:v>Expected stays inside 1M included</x:v>
      </x:c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78"/>
      <x:c r="U11" s="78"/>
      <x:c r="V11" s="78"/>
      <x:c r="W11" s="78"/>
      <x:c r="X11" s="78"/>
      <x:c r="Y11" s="78"/>
      <x:c r="Z11" s="78"/>
    </x:row>
    <x:row r="12">
      <x:c r="A12" s="81" t="str">
        <x:v>Estimated response transfer</x:v>
      </x:c>
      <x:c r="B12" s="87" t="n">
        <x:f>(B7+B8)*'Assumptions'!B16/1024/1024</x:f>
        <x:v>160.675048828125</x:v>
      </x:c>
      <x:c r="C12" s="87" t="n">
        <x:f>(C7+C8)*'Assumptions'!C16/1024/1024</x:f>
        <x:v>899.7802734375</x:v>
      </x:c>
      <x:c r="D12" s="81" t="str">
        <x:v>GB/month</x:v>
      </x:c>
      <x:c r="E12" s="81" t="str">
        <x:v>polls × combined KB</x:v>
      </x:c>
      <x:c r="F12" s="81" t="str">
        <x:v>same</x:v>
      </x:c>
      <x:c r="G12" s="81" t="str">
        <x:v>Target under 1TB included</x:v>
      </x:c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78"/>
      <x:c r="U12" s="78"/>
      <x:c r="V12" s="78"/>
      <x:c r="W12" s="78"/>
      <x:c r="X12" s="78"/>
      <x:c r="Y12" s="78"/>
      <x:c r="Z12" s="78"/>
    </x:row>
    <x:row r="13">
      <x:c r="A13" s="81" t="str">
        <x:v>Function CPU time</x:v>
      </x:c>
      <x:c r="B13" s="87" t="n">
        <x:f>B11*'Assumptions'!B18/1000/3600</x:f>
        <x:v>2.9076666666666666</x:v>
      </x:c>
      <x:c r="C13" s="87" t="n">
        <x:f>C11*'Assumptions'!C18/1000/3600</x:f>
        <x:v>16.198</x:v>
      </x:c>
      <x:c r="D13" s="81" t="str">
        <x:v>CPU-hours</x:v>
      </x:c>
      <x:c r="E13" s="81" t="str">
        <x:v>invocations × active CPU</x:v>
      </x:c>
      <x:c r="F13" s="81" t="str">
        <x:v>same</x:v>
      </x:c>
      <x:c r="G13" s="81" t="str">
        <x:v>Expected near included 4h</x:v>
      </x:c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78"/>
      <x:c r="U13" s="78"/>
      <x:c r="V13" s="78"/>
      <x:c r="W13" s="78"/>
      <x:c r="X13" s="78"/>
      <x:c r="Y13" s="78"/>
      <x:c r="Z13" s="78"/>
    </x:row>
    <x:row r="14">
      <x:c r="A14" s="83" t="str">
        <x:v>Function memory duration</x:v>
      </x:c>
      <x:c r="B14" s="90" t="n">
        <x:f>B11*'Assumptions'!B17/1000/3600*'Assumptions'!B19</x:f>
        <x:v>69.78399999999999</x:v>
      </x:c>
      <x:c r="C14" s="90" t="n">
        <x:f>C11*'Assumptions'!C17/1000/3600*'Assumptions'!C19</x:f>
        <x:v>555.36</x:v>
      </x:c>
      <x:c r="D14" s="83" t="str">
        <x:v>GB-hours</x:v>
      </x:c>
      <x:c r="E14" s="83" t="str">
        <x:v>invocations × wall time × memory</x:v>
      </x:c>
      <x:c r="F14" s="83" t="str">
        <x:v>same</x:v>
      </x:c>
      <x:c r="G14" s="83" t="str">
        <x:v>Expected inside included 360 GB-h</x:v>
      </x:c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78"/>
      <x:c r="U14" s="78"/>
      <x:c r="V14" s="78"/>
      <x:c r="W14" s="78"/>
      <x:c r="X14" s="78"/>
      <x:c r="Y14" s="78"/>
      <x:c r="Z14" s="78"/>
    </x:row>
    <x:row r="15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78"/>
      <x:c r="U15" s="78"/>
      <x:c r="V15" s="78"/>
      <x:c r="W15" s="78"/>
      <x:c r="X15" s="78"/>
      <x:c r="Y15" s="78"/>
      <x:c r="Z15" s="78"/>
    </x:row>
    <x:row r="16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78"/>
      <x:c r="U16" s="78"/>
      <x:c r="V16" s="78"/>
      <x:c r="W16" s="78"/>
      <x:c r="X16" s="78"/>
      <x:c r="Y16" s="78"/>
      <x:c r="Z16" s="78"/>
    </x:row>
    <x:row r="17" ht="24" customHeight="1">
      <x:c r="A17" s="91" t="str">
        <x:v>File growth estimate</x:v>
      </x:c>
      <x:c r="B17" s="91"/>
      <x:c r="C17" s="91"/>
      <x:c r="D17" s="91"/>
      <x:c r="E17" s="91"/>
      <x:c r="F17" s="91"/>
      <x:c r="G17" s="91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78"/>
      <x:c r="U17" s="78"/>
      <x:c r="V17" s="78"/>
      <x:c r="W17" s="78"/>
      <x:c r="X17" s="78"/>
      <x:c r="Y17" s="78"/>
      <x:c r="Z17" s="78"/>
    </x:row>
    <x:row r="18">
      <x:c r="A18" s="80" t="str">
        <x:v>File class</x:v>
      </x:c>
      <x:c r="B18" s="80" t="str">
        <x:v>Files/month</x:v>
      </x:c>
      <x:c r="C18" s="80" t="str">
        <x:v>Average MB</x:v>
      </x:c>
      <x:c r="D18" s="80" t="str">
        <x:v>GB/month</x:v>
      </x:c>
      <x:c r="E18" s="80" t="str">
        <x:v>24-month GB</x:v>
      </x:c>
      <x:c r="F18" s="80" t="str">
        <x:v>Storage rule</x:v>
      </x:c>
      <x:c r="G18" s="80" t="str">
        <x:v>Note</x:v>
      </x:c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78"/>
      <x:c r="W18" s="78"/>
      <x:c r="X18" s="78"/>
      <x:c r="Y18" s="78"/>
      <x:c r="Z18" s="78"/>
    </x:row>
    <x:row r="19">
      <x:c r="A19" s="81" t="str">
        <x:v>Order slips</x:v>
      </x:c>
      <x:c r="B19" s="92" t="n">
        <x:f>'Assumptions'!B6*'Assumptions'!B8*'Assumptions'!B27</x:f>
        <x:v>598</x:v>
      </x:c>
      <x:c r="C19" s="93" t="n">
        <x:v>0.15</x:v>
      </x:c>
      <x:c r="D19" s="93" t="n">
        <x:f>B19*C19/1024</x:f>
        <x:v>0.08759765625</x:v>
      </x:c>
      <x:c r="E19" s="93" t="n">
        <x:f>D19*24</x:f>
        <x:v>2.10234375</x:v>
      </x:c>
      <x:c r="F19" s="81" t="str">
        <x:v>Private object storage</x:v>
      </x:c>
      <x:c r="G19" s="81" t="str">
        <x:v>Never return file bodies in list APIs</x:v>
      </x:c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78"/>
      <x:c r="W19" s="78"/>
      <x:c r="X19" s="78"/>
      <x:c r="Y19" s="78"/>
      <x:c r="Z19" s="78"/>
    </x:row>
    <x:row r="20">
      <x:c r="A20" s="81" t="str">
        <x:v>PIs</x:v>
      </x:c>
      <x:c r="B20" s="92" t="n">
        <x:f>'Assumptions'!B6*'Assumptions'!B8*'Assumptions'!B28</x:f>
        <x:v>260</x:v>
      </x:c>
      <x:c r="C20" s="93" t="n">
        <x:v>1.5</x:v>
      </x:c>
      <x:c r="D20" s="93" t="n">
        <x:f>B20*C20/1024</x:f>
        <x:v>0.380859375</x:v>
      </x:c>
      <x:c r="E20" s="93" t="n">
        <x:f>D20*24</x:f>
        <x:v>9.140625</x:v>
      </x:c>
      <x:c r="F20" s="81" t="str">
        <x:v>Private object storage</x:v>
      </x:c>
      <x:c r="G20" s="81" t="str">
        <x:v>Signed URLs; retention policy</x:v>
      </x:c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78"/>
      <x:c r="U20" s="78"/>
      <x:c r="V20" s="78"/>
      <x:c r="W20" s="78"/>
      <x:c r="X20" s="78"/>
      <x:c r="Y20" s="78"/>
      <x:c r="Z20" s="78"/>
    </x:row>
    <x:row r="21">
      <x:c r="A21" s="81" t="str">
        <x:v>Product images</x:v>
      </x:c>
      <x:c r="B21" s="92" t="n">
        <x:f>'Assumptions'!B29</x:f>
        <x:v>20</x:v>
      </x:c>
      <x:c r="C21" s="93" t="n">
        <x:v>0.25</x:v>
      </x:c>
      <x:c r="D21" s="93" t="n">
        <x:f>B21*C21/1024</x:f>
        <x:v>0.0048828125</x:v>
      </x:c>
      <x:c r="E21" s="93" t="n">
        <x:f>D21*24</x:f>
        <x:v>0.1171875</x:v>
      </x:c>
      <x:c r="F21" s="81" t="str">
        <x:v>Object storage</x:v>
      </x:c>
      <x:c r="G21" s="81" t="str">
        <x:v>Store URLs, not data URLs</x:v>
      </x:c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78"/>
    </x:row>
    <x:row r="22">
      <x:c r="A22" s="81" t="str">
        <x:v>Excel/CSV imports</x:v>
      </x:c>
      <x:c r="B22" s="92" t="n">
        <x:f>'Assumptions'!B30</x:f>
        <x:v>30</x:v>
      </x:c>
      <x:c r="C22" s="93" t="n">
        <x:v>2</x:v>
      </x:c>
      <x:c r="D22" s="93" t="n">
        <x:f>B22*C22/1024</x:f>
        <x:v>0.05859375</x:v>
      </x:c>
      <x:c r="E22" s="93" t="n">
        <x:f>D22*24</x:f>
        <x:v>1.40625</x:v>
      </x:c>
      <x:c r="F22" s="81" t="str">
        <x:v>Object storage</x:v>
      </x:c>
      <x:c r="G22" s="81" t="str">
        <x:v>Quarantine + malware scan</x:v>
      </x:c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78"/>
      <x:c r="U22" s="78"/>
      <x:c r="V22" s="78"/>
      <x:c r="W22" s="78"/>
      <x:c r="X22" s="78"/>
      <x:c r="Y22" s="78"/>
      <x:c r="Z22" s="78"/>
    </x:row>
    <x:row r="23">
      <x:c r="A23" s="81" t="str">
        <x:v>Other files</x:v>
      </x:c>
      <x:c r="B23" s="92" t="n">
        <x:f>'Assumptions'!B31</x:f>
        <x:v>20</x:v>
      </x:c>
      <x:c r="C23" s="93" t="n">
        <x:v>0.5</x:v>
      </x:c>
      <x:c r="D23" s="93" t="n">
        <x:f>B23*C23/1024</x:f>
        <x:v>0.009765625</x:v>
      </x:c>
      <x:c r="E23" s="93" t="n">
        <x:f>D23*24</x:f>
        <x:v>0.234375</x:v>
      </x:c>
      <x:c r="F23" s="81" t="str">
        <x:v>Object storage</x:v>
      </x:c>
      <x:c r="G23" s="81" t="str">
        <x:v>Purpose-limited retention</x:v>
      </x:c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78"/>
      <x:c r="W23" s="78"/>
      <x:c r="X23" s="78"/>
      <x:c r="Y23" s="78"/>
      <x:c r="Z23" s="78"/>
    </x:row>
    <x:row r="24">
      <x:c r="A24" s="94" t="str">
        <x:v>Total</x:v>
      </x:c>
      <x:c r="B24" s="95"/>
      <x:c r="C24" s="96"/>
      <x:c r="D24" s="96" t="n">
        <x:f>SUM(D19:D23)</x:f>
        <x:v>0.54169921875</x:v>
      </x:c>
      <x:c r="E24" s="96" t="n">
        <x:f>SUM(E19:E23)*1.3</x:f>
        <x:v>16.901015625</x:v>
      </x:c>
      <x:c r="F24" s="94" t="str">
        <x:v>Includes 30% versioning / metadata headroom</x:v>
      </x:c>
      <x:c r="G24" s="94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78"/>
      <x:c r="U24" s="78"/>
      <x:c r="V24" s="78"/>
      <x:c r="W24" s="78"/>
      <x:c r="X24" s="78"/>
      <x:c r="Y24" s="78"/>
      <x:c r="Z24" s="78"/>
    </x:row>
    <x:row r="25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78"/>
    </x:row>
    <x:row r="26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78"/>
      <x:c r="W26" s="78"/>
      <x:c r="X26" s="78"/>
      <x:c r="Y26" s="78"/>
      <x:c r="Z26" s="78"/>
    </x:row>
    <x:row r="27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78"/>
      <x:c r="W27" s="78"/>
      <x:c r="X27" s="78"/>
      <x:c r="Y27" s="78"/>
      <x:c r="Z27" s="78"/>
    </x:row>
    <x:row r="28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78"/>
      <x:c r="U28" s="78"/>
      <x:c r="V28" s="78"/>
      <x:c r="W28" s="78"/>
      <x:c r="X28" s="78"/>
      <x:c r="Y28" s="78"/>
      <x:c r="Z28" s="78"/>
    </x:row>
    <x:row r="29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</x:row>
    <x:row r="30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78"/>
    </x:row>
    <x:row r="3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78"/>
      <x:c r="W31" s="78"/>
      <x:c r="X31" s="78"/>
      <x:c r="Y31" s="78"/>
      <x:c r="Z31" s="78"/>
    </x:row>
    <x:row r="32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78"/>
      <x:c r="U32" s="78"/>
      <x:c r="V32" s="78"/>
      <x:c r="W32" s="78"/>
      <x:c r="X32" s="78"/>
      <x:c r="Y32" s="78"/>
      <x:c r="Z32" s="78"/>
    </x:row>
    <x:row r="33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</x:row>
    <x:row r="34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</x:row>
    <x:row r="35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</x:row>
    <x:row r="36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78"/>
      <x:c r="U36" s="78"/>
      <x:c r="V36" s="78"/>
      <x:c r="W36" s="78"/>
      <x:c r="X36" s="78"/>
      <x:c r="Y36" s="78"/>
      <x:c r="Z36" s="78"/>
    </x:row>
    <x:row r="37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78"/>
    </x:row>
    <x:row r="38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78"/>
    </x:row>
    <x:row r="39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78"/>
    </x:row>
    <x:row r="40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78"/>
      <x:c r="U40" s="78"/>
      <x:c r="V40" s="78"/>
      <x:c r="W40" s="78"/>
      <x:c r="X40" s="78"/>
      <x:c r="Y40" s="78"/>
      <x:c r="Z40" s="78"/>
    </x:row>
    <x:row r="4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</x:row>
    <x:row r="42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8"/>
    </x:row>
    <x:row r="43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78"/>
    </x:row>
    <x:row r="44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</x:row>
    <x:row r="45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78"/>
    </x:row>
    <x:row r="46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78"/>
      <x:c r="U46" s="78"/>
      <x:c r="V46" s="78"/>
      <x:c r="W46" s="78"/>
      <x:c r="X46" s="78"/>
      <x:c r="Y46" s="78"/>
      <x:c r="Z46" s="78"/>
    </x:row>
    <x:row r="47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78"/>
      <x:c r="U47" s="78"/>
      <x:c r="V47" s="78"/>
      <x:c r="W47" s="78"/>
      <x:c r="X47" s="78"/>
      <x:c r="Y47" s="78"/>
      <x:c r="Z47" s="78"/>
    </x:row>
    <x:row r="48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78"/>
      <x:c r="U48" s="78"/>
      <x:c r="V48" s="78"/>
      <x:c r="W48" s="78"/>
      <x:c r="X48" s="78"/>
      <x:c r="Y48" s="78"/>
      <x:c r="Z48" s="78"/>
    </x:row>
    <x:row r="49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78"/>
      <x:c r="U49" s="78"/>
      <x:c r="V49" s="78"/>
      <x:c r="W49" s="78"/>
      <x:c r="X49" s="78"/>
      <x:c r="Y49" s="78"/>
      <x:c r="Z49" s="78"/>
    </x:row>
    <x:row r="50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78"/>
    </x:row>
    <x:row r="5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78"/>
      <x:c r="W51" s="78"/>
      <x:c r="X51" s="78"/>
      <x:c r="Y51" s="78"/>
      <x:c r="Z51" s="78"/>
    </x:row>
    <x:row r="52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78"/>
    </x:row>
    <x:row r="53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78"/>
    </x:row>
    <x:row r="54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78"/>
      <x:c r="U54" s="78"/>
      <x:c r="V54" s="78"/>
      <x:c r="W54" s="78"/>
      <x:c r="X54" s="78"/>
      <x:c r="Y54" s="78"/>
      <x:c r="Z54" s="78"/>
    </x:row>
    <x:row r="55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78"/>
    </x:row>
    <x:row r="56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78"/>
    </x:row>
    <x:row r="57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78"/>
    </x:row>
    <x:row r="58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</x:row>
    <x:row r="59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78"/>
      <x:c r="U59" s="78"/>
      <x:c r="V59" s="78"/>
      <x:c r="W59" s="78"/>
      <x:c r="X59" s="78"/>
      <x:c r="Y59" s="78"/>
      <x:c r="Z59" s="78"/>
    </x:row>
    <x:row r="60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</x:row>
    <x:row r="6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78"/>
      <x:c r="U61" s="78"/>
      <x:c r="V61" s="78"/>
      <x:c r="W61" s="78"/>
      <x:c r="X61" s="78"/>
      <x:c r="Y61" s="78"/>
      <x:c r="Z61" s="78"/>
    </x:row>
    <x:row r="62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78"/>
      <x:c r="U62" s="78"/>
      <x:c r="V62" s="78"/>
      <x:c r="W62" s="78"/>
      <x:c r="X62" s="78"/>
      <x:c r="Y62" s="78"/>
      <x:c r="Z62" s="78"/>
    </x:row>
    <x:row r="63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78"/>
    </x:row>
    <x:row r="64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78"/>
      <x:c r="U64" s="78"/>
      <x:c r="V64" s="78"/>
      <x:c r="W64" s="78"/>
      <x:c r="X64" s="78"/>
      <x:c r="Y64" s="78"/>
      <x:c r="Z64" s="78"/>
    </x:row>
    <x:row r="65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78"/>
      <x:c r="U65" s="78"/>
      <x:c r="V65" s="78"/>
      <x:c r="W65" s="78"/>
      <x:c r="X65" s="78"/>
      <x:c r="Y65" s="78"/>
      <x:c r="Z65" s="78"/>
    </x:row>
    <x:row r="66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78"/>
      <x:c r="U66" s="78"/>
      <x:c r="V66" s="78"/>
      <x:c r="W66" s="78"/>
      <x:c r="X66" s="78"/>
      <x:c r="Y66" s="78"/>
      <x:c r="Z66" s="78"/>
    </x:row>
    <x:row r="67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78"/>
      <x:c r="U67" s="78"/>
      <x:c r="V67" s="78"/>
      <x:c r="W67" s="78"/>
      <x:c r="X67" s="78"/>
      <x:c r="Y67" s="78"/>
      <x:c r="Z67" s="78"/>
    </x:row>
    <x:row r="68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78"/>
    </x:row>
    <x:row r="69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78"/>
      <x:c r="U69" s="78"/>
      <x:c r="V69" s="78"/>
      <x:c r="W69" s="78"/>
      <x:c r="X69" s="78"/>
      <x:c r="Y69" s="78"/>
      <x:c r="Z69" s="78"/>
    </x:row>
    <x:row r="70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78"/>
      <x:c r="U70" s="78"/>
      <x:c r="V70" s="78"/>
      <x:c r="W70" s="78"/>
      <x:c r="X70" s="78"/>
      <x:c r="Y70" s="78"/>
      <x:c r="Z70" s="78"/>
    </x:row>
    <x:row r="7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78"/>
      <x:c r="U71" s="78"/>
      <x:c r="V71" s="78"/>
      <x:c r="W71" s="78"/>
      <x:c r="X71" s="78"/>
      <x:c r="Y71" s="78"/>
      <x:c r="Z71" s="78"/>
    </x:row>
    <x:row r="72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78"/>
    </x:row>
    <x:row r="73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78"/>
      <x:c r="U73" s="78"/>
      <x:c r="V73" s="78"/>
      <x:c r="W73" s="78"/>
      <x:c r="X73" s="78"/>
      <x:c r="Y73" s="78"/>
      <x:c r="Z73" s="78"/>
    </x:row>
    <x:row r="74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78"/>
      <x:c r="U74" s="78"/>
      <x:c r="V74" s="78"/>
      <x:c r="W74" s="78"/>
      <x:c r="X74" s="78"/>
      <x:c r="Y74" s="78"/>
      <x:c r="Z74" s="78"/>
    </x:row>
    <x:row r="75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78"/>
    </x:row>
    <x:row r="76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78"/>
      <x:c r="U76" s="78"/>
      <x:c r="V76" s="78"/>
      <x:c r="W76" s="78"/>
      <x:c r="X76" s="78"/>
      <x:c r="Y76" s="78"/>
      <x:c r="Z76" s="78"/>
    </x:row>
    <x:row r="77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78"/>
    </x:row>
    <x:row r="78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78"/>
      <x:c r="U78" s="78"/>
      <x:c r="V78" s="78"/>
      <x:c r="W78" s="78"/>
      <x:c r="X78" s="78"/>
      <x:c r="Y78" s="78"/>
      <x:c r="Z78" s="78"/>
    </x:row>
    <x:row r="79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78"/>
      <x:c r="U79" s="78"/>
      <x:c r="V79" s="78"/>
      <x:c r="W79" s="78"/>
      <x:c r="X79" s="78"/>
      <x:c r="Y79" s="78"/>
      <x:c r="Z79" s="78"/>
    </x:row>
    <x:row r="80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78"/>
      <x:c r="U80" s="78"/>
      <x:c r="V80" s="78"/>
      <x:c r="W80" s="78"/>
      <x:c r="X80" s="78"/>
      <x:c r="Y80" s="78"/>
      <x:c r="Z80" s="78"/>
    </x:row>
    <x:row r="8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78"/>
      <x:c r="U81" s="78"/>
      <x:c r="V81" s="78"/>
      <x:c r="W81" s="78"/>
      <x:c r="X81" s="78"/>
      <x:c r="Y81" s="78"/>
      <x:c r="Z81" s="78"/>
    </x:row>
    <x:row r="82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78"/>
      <x:c r="U82" s="78"/>
      <x:c r="V82" s="78"/>
      <x:c r="W82" s="78"/>
      <x:c r="X82" s="78"/>
      <x:c r="Y82" s="78"/>
      <x:c r="Z82" s="78"/>
    </x:row>
    <x:row r="83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78"/>
      <x:c r="U83" s="78"/>
      <x:c r="V83" s="78"/>
      <x:c r="W83" s="78"/>
      <x:c r="X83" s="78"/>
      <x:c r="Y83" s="78"/>
      <x:c r="Z83" s="78"/>
    </x:row>
    <x:row r="84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78"/>
      <x:c r="U84" s="78"/>
      <x:c r="V84" s="78"/>
      <x:c r="W84" s="78"/>
      <x:c r="X84" s="78"/>
      <x:c r="Y84" s="78"/>
      <x:c r="Z84" s="78"/>
    </x:row>
    <x:row r="85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78"/>
      <x:c r="U85" s="78"/>
      <x:c r="V85" s="78"/>
      <x:c r="W85" s="78"/>
      <x:c r="X85" s="78"/>
      <x:c r="Y85" s="78"/>
      <x:c r="Z85" s="78"/>
    </x:row>
    <x:row r="86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78"/>
      <x:c r="U86" s="78"/>
      <x:c r="V86" s="78"/>
      <x:c r="W86" s="78"/>
      <x:c r="X86" s="78"/>
      <x:c r="Y86" s="78"/>
      <x:c r="Z86" s="78"/>
    </x:row>
    <x:row r="87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78"/>
      <x:c r="U87" s="78"/>
      <x:c r="V87" s="78"/>
      <x:c r="W87" s="78"/>
      <x:c r="X87" s="78"/>
      <x:c r="Y87" s="78"/>
      <x:c r="Z87" s="78"/>
    </x:row>
    <x:row r="88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78"/>
      <x:c r="U88" s="78"/>
      <x:c r="V88" s="78"/>
      <x:c r="W88" s="78"/>
      <x:c r="X88" s="78"/>
      <x:c r="Y88" s="78"/>
      <x:c r="Z88" s="78"/>
    </x:row>
    <x:row r="89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78"/>
      <x:c r="U89" s="78"/>
      <x:c r="V89" s="78"/>
      <x:c r="W89" s="78"/>
      <x:c r="X89" s="78"/>
      <x:c r="Y89" s="78"/>
      <x:c r="Z89" s="78"/>
    </x:row>
    <x:row r="90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78"/>
    </x:row>
    <x:row r="9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78"/>
      <x:c r="U91" s="78"/>
      <x:c r="V91" s="78"/>
      <x:c r="W91" s="78"/>
      <x:c r="X91" s="78"/>
      <x:c r="Y91" s="78"/>
      <x:c r="Z91" s="78"/>
    </x:row>
    <x:row r="92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78"/>
      <x:c r="U92" s="78"/>
      <x:c r="V92" s="78"/>
      <x:c r="W92" s="78"/>
      <x:c r="X92" s="78"/>
      <x:c r="Y92" s="78"/>
      <x:c r="Z92" s="78"/>
    </x:row>
    <x:row r="93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78"/>
      <x:c r="U93" s="78"/>
      <x:c r="V93" s="78"/>
      <x:c r="W93" s="78"/>
      <x:c r="X93" s="78"/>
      <x:c r="Y93" s="78"/>
      <x:c r="Z93" s="78"/>
    </x:row>
    <x:row r="94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78"/>
      <x:c r="U94" s="78"/>
      <x:c r="V94" s="78"/>
      <x:c r="W94" s="78"/>
      <x:c r="X94" s="78"/>
      <x:c r="Y94" s="78"/>
      <x:c r="Z94" s="78"/>
    </x:row>
    <x:row r="95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78"/>
      <x:c r="U95" s="78"/>
      <x:c r="V95" s="78"/>
      <x:c r="W95" s="78"/>
      <x:c r="X95" s="78"/>
      <x:c r="Y95" s="78"/>
      <x:c r="Z95" s="78"/>
    </x:row>
    <x:row r="96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78"/>
      <x:c r="U96" s="78"/>
      <x:c r="V96" s="78"/>
      <x:c r="W96" s="78"/>
      <x:c r="X96" s="78"/>
      <x:c r="Y96" s="78"/>
      <x:c r="Z96" s="78"/>
    </x:row>
    <x:row r="97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78"/>
      <x:c r="U97" s="78"/>
      <x:c r="V97" s="78"/>
      <x:c r="W97" s="78"/>
      <x:c r="X97" s="78"/>
      <x:c r="Y97" s="78"/>
      <x:c r="Z97" s="78"/>
    </x:row>
    <x:row r="98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78"/>
      <x:c r="U98" s="78"/>
      <x:c r="V98" s="78"/>
      <x:c r="W98" s="78"/>
      <x:c r="X98" s="78"/>
      <x:c r="Y98" s="78"/>
      <x:c r="Z98" s="78"/>
    </x:row>
    <x:row r="99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78"/>
      <x:c r="U99" s="78"/>
      <x:c r="V99" s="78"/>
      <x:c r="W99" s="78"/>
      <x:c r="X99" s="78"/>
      <x:c r="Y99" s="78"/>
      <x:c r="Z99" s="78"/>
    </x:row>
    <x:row r="100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78"/>
      <x:c r="U100" s="78"/>
      <x:c r="V100" s="78"/>
      <x:c r="W100" s="78"/>
      <x:c r="X100" s="78"/>
      <x:c r="Y100" s="78"/>
      <x:c r="Z100" s="78"/>
    </x:row>
    <x:row r="10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78"/>
      <x:c r="U101" s="78"/>
      <x:c r="V101" s="78"/>
      <x:c r="W101" s="78"/>
      <x:c r="X101" s="78"/>
      <x:c r="Y101" s="78"/>
      <x:c r="Z101" s="78"/>
    </x:row>
    <x:row r="102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78"/>
    </x:row>
    <x:row r="103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78"/>
    </x:row>
    <x:row r="104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78"/>
    </x:row>
    <x:row r="105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78"/>
      <x:c r="U105" s="78"/>
      <x:c r="V105" s="78"/>
      <x:c r="W105" s="78"/>
      <x:c r="X105" s="78"/>
      <x:c r="Y105" s="78"/>
      <x:c r="Z105" s="78"/>
    </x:row>
    <x:row r="106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78"/>
      <x:c r="U106" s="78"/>
      <x:c r="V106" s="78"/>
      <x:c r="W106" s="78"/>
      <x:c r="X106" s="78"/>
      <x:c r="Y106" s="78"/>
      <x:c r="Z106" s="78"/>
    </x:row>
    <x:row r="107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78"/>
      <x:c r="U107" s="78"/>
      <x:c r="V107" s="78"/>
      <x:c r="W107" s="78"/>
      <x:c r="X107" s="78"/>
      <x:c r="Y107" s="78"/>
      <x:c r="Z107" s="78"/>
    </x:row>
    <x:row r="108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78"/>
      <x:c r="U108" s="78"/>
      <x:c r="V108" s="78"/>
      <x:c r="W108" s="78"/>
      <x:c r="X108" s="78"/>
      <x:c r="Y108" s="78"/>
      <x:c r="Z108" s="78"/>
    </x:row>
    <x:row r="109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78"/>
      <x:c r="U109" s="78"/>
      <x:c r="V109" s="78"/>
      <x:c r="W109" s="78"/>
      <x:c r="X109" s="78"/>
      <x:c r="Y109" s="78"/>
      <x:c r="Z109" s="78"/>
    </x:row>
    <x:row r="110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</x:row>
    <x:row r="11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</x:row>
    <x:row r="112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</x:row>
    <x:row r="113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</x:row>
    <x:row r="114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</x:row>
    <x:row r="115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</x:row>
    <x:row r="116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</x:row>
    <x:row r="117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</x:row>
    <x:row r="118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</x:row>
    <x:row r="119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</x:row>
    <x:row r="120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</x:row>
    <x:row r="12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</x:row>
    <x:row r="122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</x:row>
    <x:row r="123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</x:row>
    <x:row r="124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</x:row>
    <x:row r="125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</x:row>
    <x:row r="126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</x:row>
    <x:row r="127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</x:row>
    <x:row r="128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</x:row>
    <x:row r="129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</x:row>
    <x:row r="130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</x:row>
    <x:row r="13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</x:row>
    <x:row r="132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</x:row>
    <x:row r="133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</x:row>
    <x:row r="134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</x:row>
    <x:row r="135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</x:row>
    <x:row r="136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</x:row>
    <x:row r="137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</x:row>
    <x:row r="138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</x:row>
    <x:row r="139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</x:row>
    <x:row r="140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</x:row>
    <x:row r="14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78"/>
      <x:c r="U141" s="78"/>
      <x:c r="V141" s="78"/>
      <x:c r="W141" s="78"/>
      <x:c r="X141" s="78"/>
      <x:c r="Y141" s="78"/>
      <x:c r="Z141" s="78"/>
    </x:row>
    <x:row r="142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78"/>
      <x:c r="U142" s="78"/>
      <x:c r="V142" s="78"/>
      <x:c r="W142" s="78"/>
      <x:c r="X142" s="78"/>
      <x:c r="Y142" s="78"/>
      <x:c r="Z142" s="78"/>
    </x:row>
    <x:row r="143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78"/>
      <x:c r="U143" s="78"/>
      <x:c r="V143" s="78"/>
      <x:c r="W143" s="78"/>
      <x:c r="X143" s="78"/>
      <x:c r="Y143" s="78"/>
      <x:c r="Z143" s="78"/>
    </x:row>
    <x:row r="144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78"/>
      <x:c r="U144" s="78"/>
      <x:c r="V144" s="78"/>
      <x:c r="W144" s="78"/>
      <x:c r="X144" s="78"/>
      <x:c r="Y144" s="78"/>
      <x:c r="Z144" s="78"/>
    </x:row>
    <x:row r="145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78"/>
      <x:c r="U145" s="78"/>
      <x:c r="V145" s="78"/>
      <x:c r="W145" s="78"/>
      <x:c r="X145" s="78"/>
      <x:c r="Y145" s="78"/>
      <x:c r="Z145" s="78"/>
    </x:row>
    <x:row r="146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78"/>
      <x:c r="U146" s="78"/>
      <x:c r="V146" s="78"/>
      <x:c r="W146" s="78"/>
      <x:c r="X146" s="78"/>
      <x:c r="Y146" s="78"/>
      <x:c r="Z146" s="78"/>
    </x:row>
    <x:row r="147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78"/>
      <x:c r="U147" s="78"/>
      <x:c r="V147" s="78"/>
      <x:c r="W147" s="78"/>
      <x:c r="X147" s="78"/>
      <x:c r="Y147" s="78"/>
      <x:c r="Z147" s="78"/>
    </x:row>
    <x:row r="148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78"/>
      <x:c r="U148" s="78"/>
      <x:c r="V148" s="78"/>
      <x:c r="W148" s="78"/>
      <x:c r="X148" s="78"/>
      <x:c r="Y148" s="78"/>
      <x:c r="Z148" s="78"/>
    </x:row>
    <x:row r="149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78"/>
      <x:c r="U149" s="78"/>
      <x:c r="V149" s="78"/>
      <x:c r="W149" s="78"/>
      <x:c r="X149" s="78"/>
      <x:c r="Y149" s="78"/>
      <x:c r="Z149" s="78"/>
    </x:row>
    <x:row r="150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78"/>
      <x:c r="U150" s="78"/>
      <x:c r="V150" s="78"/>
      <x:c r="W150" s="78"/>
      <x:c r="X150" s="78"/>
      <x:c r="Y150" s="78"/>
      <x:c r="Z150" s="78"/>
    </x:row>
    <x:row r="15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78"/>
      <x:c r="U151" s="78"/>
      <x:c r="V151" s="78"/>
      <x:c r="W151" s="78"/>
      <x:c r="X151" s="78"/>
      <x:c r="Y151" s="78"/>
      <x:c r="Z151" s="78"/>
    </x:row>
    <x:row r="152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78"/>
      <x:c r="U152" s="78"/>
      <x:c r="V152" s="78"/>
      <x:c r="W152" s="78"/>
      <x:c r="X152" s="78"/>
      <x:c r="Y152" s="78"/>
      <x:c r="Z152" s="78"/>
    </x:row>
    <x:row r="153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78"/>
      <x:c r="U153" s="78"/>
      <x:c r="V153" s="78"/>
      <x:c r="W153" s="78"/>
      <x:c r="X153" s="78"/>
      <x:c r="Y153" s="78"/>
      <x:c r="Z153" s="78"/>
    </x:row>
    <x:row r="154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78"/>
      <x:c r="U154" s="78"/>
      <x:c r="V154" s="78"/>
      <x:c r="W154" s="78"/>
      <x:c r="X154" s="78"/>
      <x:c r="Y154" s="78"/>
      <x:c r="Z154" s="78"/>
    </x:row>
    <x:row r="155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78"/>
      <x:c r="U155" s="78"/>
      <x:c r="V155" s="78"/>
      <x:c r="W155" s="78"/>
      <x:c r="X155" s="78"/>
      <x:c r="Y155" s="78"/>
      <x:c r="Z155" s="78"/>
    </x:row>
    <x:row r="156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78"/>
      <x:c r="U156" s="78"/>
      <x:c r="V156" s="78"/>
      <x:c r="W156" s="78"/>
      <x:c r="X156" s="78"/>
      <x:c r="Y156" s="78"/>
      <x:c r="Z156" s="78"/>
    </x:row>
    <x:row r="157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78"/>
      <x:c r="U157" s="78"/>
      <x:c r="V157" s="78"/>
      <x:c r="W157" s="78"/>
      <x:c r="X157" s="78"/>
      <x:c r="Y157" s="78"/>
      <x:c r="Z157" s="78"/>
    </x:row>
    <x:row r="158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78"/>
      <x:c r="U158" s="78"/>
      <x:c r="V158" s="78"/>
      <x:c r="W158" s="78"/>
      <x:c r="X158" s="78"/>
      <x:c r="Y158" s="78"/>
      <x:c r="Z158" s="78"/>
    </x:row>
    <x:row r="159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78"/>
      <x:c r="U159" s="78"/>
      <x:c r="V159" s="78"/>
      <x:c r="W159" s="78"/>
      <x:c r="X159" s="78"/>
      <x:c r="Y159" s="78"/>
      <x:c r="Z159" s="78"/>
    </x:row>
    <x:row r="160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78"/>
      <x:c r="U160" s="78"/>
      <x:c r="V160" s="78"/>
      <x:c r="W160" s="78"/>
      <x:c r="X160" s="78"/>
      <x:c r="Y160" s="78"/>
      <x:c r="Z160" s="78"/>
    </x:row>
    <x:row r="16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78"/>
      <x:c r="U161" s="78"/>
      <x:c r="V161" s="78"/>
      <x:c r="W161" s="78"/>
      <x:c r="X161" s="78"/>
      <x:c r="Y161" s="78"/>
      <x:c r="Z161" s="78"/>
    </x:row>
    <x:row r="162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78"/>
      <x:c r="U162" s="78"/>
      <x:c r="V162" s="78"/>
      <x:c r="W162" s="78"/>
      <x:c r="X162" s="78"/>
      <x:c r="Y162" s="78"/>
      <x:c r="Z162" s="78"/>
    </x:row>
    <x:row r="163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78"/>
      <x:c r="U163" s="78"/>
      <x:c r="V163" s="78"/>
      <x:c r="W163" s="78"/>
      <x:c r="X163" s="78"/>
      <x:c r="Y163" s="78"/>
      <x:c r="Z163" s="78"/>
    </x:row>
    <x:row r="164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78"/>
      <x:c r="U164" s="78"/>
      <x:c r="V164" s="78"/>
      <x:c r="W164" s="78"/>
      <x:c r="X164" s="78"/>
      <x:c r="Y164" s="78"/>
      <x:c r="Z164" s="78"/>
    </x:row>
    <x:row r="165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78"/>
      <x:c r="U165" s="78"/>
      <x:c r="V165" s="78"/>
      <x:c r="W165" s="78"/>
      <x:c r="X165" s="78"/>
      <x:c r="Y165" s="78"/>
      <x:c r="Z165" s="78"/>
    </x:row>
    <x:row r="166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78"/>
      <x:c r="U166" s="78"/>
      <x:c r="V166" s="78"/>
      <x:c r="W166" s="78"/>
      <x:c r="X166" s="78"/>
      <x:c r="Y166" s="78"/>
      <x:c r="Z166" s="78"/>
    </x:row>
    <x:row r="167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78"/>
      <x:c r="U167" s="78"/>
      <x:c r="V167" s="78"/>
      <x:c r="W167" s="78"/>
      <x:c r="X167" s="78"/>
      <x:c r="Y167" s="78"/>
      <x:c r="Z167" s="78"/>
    </x:row>
    <x:row r="168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78"/>
      <x:c r="U168" s="78"/>
      <x:c r="V168" s="78"/>
      <x:c r="W168" s="78"/>
      <x:c r="X168" s="78"/>
      <x:c r="Y168" s="78"/>
      <x:c r="Z168" s="78"/>
    </x:row>
    <x:row r="169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78"/>
      <x:c r="U169" s="78"/>
      <x:c r="V169" s="78"/>
      <x:c r="W169" s="78"/>
      <x:c r="X169" s="78"/>
      <x:c r="Y169" s="78"/>
      <x:c r="Z169" s="78"/>
    </x:row>
    <x:row r="170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78"/>
      <x:c r="U170" s="78"/>
      <x:c r="V170" s="78"/>
      <x:c r="W170" s="78"/>
      <x:c r="X170" s="78"/>
      <x:c r="Y170" s="78"/>
      <x:c r="Z170" s="78"/>
    </x:row>
    <x:row r="17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78"/>
      <x:c r="U171" s="78"/>
      <x:c r="V171" s="78"/>
      <x:c r="W171" s="78"/>
      <x:c r="X171" s="78"/>
      <x:c r="Y171" s="78"/>
      <x:c r="Z171" s="78"/>
    </x:row>
    <x:row r="172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78"/>
      <x:c r="U172" s="78"/>
      <x:c r="V172" s="78"/>
      <x:c r="W172" s="78"/>
      <x:c r="X172" s="78"/>
      <x:c r="Y172" s="78"/>
      <x:c r="Z172" s="78"/>
    </x:row>
    <x:row r="173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78"/>
      <x:c r="U173" s="78"/>
      <x:c r="V173" s="78"/>
      <x:c r="W173" s="78"/>
      <x:c r="X173" s="78"/>
      <x:c r="Y173" s="78"/>
      <x:c r="Z173" s="78"/>
    </x:row>
    <x:row r="174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78"/>
      <x:c r="U174" s="78"/>
      <x:c r="V174" s="78"/>
      <x:c r="W174" s="78"/>
      <x:c r="X174" s="78"/>
      <x:c r="Y174" s="78"/>
      <x:c r="Z174" s="78"/>
    </x:row>
    <x:row r="175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78"/>
      <x:c r="U175" s="78"/>
      <x:c r="V175" s="78"/>
      <x:c r="W175" s="78"/>
      <x:c r="X175" s="78"/>
      <x:c r="Y175" s="78"/>
      <x:c r="Z175" s="78"/>
    </x:row>
    <x:row r="176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78"/>
      <x:c r="U176" s="78"/>
      <x:c r="V176" s="78"/>
      <x:c r="W176" s="78"/>
      <x:c r="X176" s="78"/>
      <x:c r="Y176" s="78"/>
      <x:c r="Z176" s="78"/>
    </x:row>
    <x:row r="177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78"/>
      <x:c r="U177" s="78"/>
      <x:c r="V177" s="78"/>
      <x:c r="W177" s="78"/>
      <x:c r="X177" s="78"/>
      <x:c r="Y177" s="78"/>
      <x:c r="Z177" s="78"/>
    </x:row>
    <x:row r="178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78"/>
      <x:c r="U178" s="78"/>
      <x:c r="V178" s="78"/>
      <x:c r="W178" s="78"/>
      <x:c r="X178" s="78"/>
      <x:c r="Y178" s="78"/>
      <x:c r="Z178" s="78"/>
    </x:row>
    <x:row r="179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78"/>
      <x:c r="U179" s="78"/>
      <x:c r="V179" s="78"/>
      <x:c r="W179" s="78"/>
      <x:c r="X179" s="78"/>
      <x:c r="Y179" s="78"/>
      <x:c r="Z179" s="78"/>
    </x:row>
    <x:row r="180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78"/>
      <x:c r="U180" s="78"/>
      <x:c r="V180" s="78"/>
      <x:c r="W180" s="78"/>
      <x:c r="X180" s="78"/>
      <x:c r="Y180" s="78"/>
      <x:c r="Z180" s="78"/>
    </x:row>
    <x:row r="18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78"/>
      <x:c r="U181" s="78"/>
      <x:c r="V181" s="78"/>
      <x:c r="W181" s="78"/>
      <x:c r="X181" s="78"/>
      <x:c r="Y181" s="78"/>
      <x:c r="Z181" s="78"/>
    </x:row>
    <x:row r="182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78"/>
      <x:c r="U182" s="78"/>
      <x:c r="V182" s="78"/>
      <x:c r="W182" s="78"/>
      <x:c r="X182" s="78"/>
      <x:c r="Y182" s="78"/>
      <x:c r="Z182" s="78"/>
    </x:row>
    <x:row r="183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78"/>
      <x:c r="U183" s="78"/>
      <x:c r="V183" s="78"/>
      <x:c r="W183" s="78"/>
      <x:c r="X183" s="78"/>
      <x:c r="Y183" s="78"/>
      <x:c r="Z183" s="78"/>
    </x:row>
    <x:row r="184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78"/>
      <x:c r="U184" s="78"/>
      <x:c r="V184" s="78"/>
      <x:c r="W184" s="78"/>
      <x:c r="X184" s="78"/>
      <x:c r="Y184" s="78"/>
      <x:c r="Z184" s="78"/>
    </x:row>
    <x:row r="185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78"/>
      <x:c r="U185" s="78"/>
      <x:c r="V185" s="78"/>
      <x:c r="W185" s="78"/>
      <x:c r="X185" s="78"/>
      <x:c r="Y185" s="78"/>
      <x:c r="Z185" s="78"/>
    </x:row>
    <x:row r="186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78"/>
      <x:c r="U186" s="78"/>
      <x:c r="V186" s="78"/>
      <x:c r="W186" s="78"/>
      <x:c r="X186" s="78"/>
      <x:c r="Y186" s="78"/>
      <x:c r="Z186" s="78"/>
    </x:row>
    <x:row r="187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78"/>
      <x:c r="U187" s="78"/>
      <x:c r="V187" s="78"/>
      <x:c r="W187" s="78"/>
      <x:c r="X187" s="78"/>
      <x:c r="Y187" s="78"/>
      <x:c r="Z187" s="78"/>
    </x:row>
    <x:row r="188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78"/>
      <x:c r="U188" s="78"/>
      <x:c r="V188" s="78"/>
      <x:c r="W188" s="78"/>
      <x:c r="X188" s="78"/>
      <x:c r="Y188" s="78"/>
      <x:c r="Z188" s="78"/>
    </x:row>
    <x:row r="189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78"/>
      <x:c r="U189" s="78"/>
      <x:c r="V189" s="78"/>
      <x:c r="W189" s="78"/>
      <x:c r="X189" s="78"/>
      <x:c r="Y189" s="78"/>
      <x:c r="Z189" s="78"/>
    </x:row>
    <x:row r="190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78"/>
      <x:c r="U190" s="78"/>
      <x:c r="V190" s="78"/>
      <x:c r="W190" s="78"/>
      <x:c r="X190" s="78"/>
      <x:c r="Y190" s="78"/>
      <x:c r="Z190" s="78"/>
    </x:row>
    <x:row r="19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78"/>
      <x:c r="U191" s="78"/>
      <x:c r="V191" s="78"/>
      <x:c r="W191" s="78"/>
      <x:c r="X191" s="78"/>
      <x:c r="Y191" s="78"/>
      <x:c r="Z191" s="78"/>
    </x:row>
    <x:row r="192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78"/>
      <x:c r="U192" s="78"/>
      <x:c r="V192" s="78"/>
      <x:c r="W192" s="78"/>
      <x:c r="X192" s="78"/>
      <x:c r="Y192" s="78"/>
      <x:c r="Z192" s="78"/>
    </x:row>
    <x:row r="193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78"/>
      <x:c r="U193" s="78"/>
      <x:c r="V193" s="78"/>
      <x:c r="W193" s="78"/>
      <x:c r="X193" s="78"/>
      <x:c r="Y193" s="78"/>
      <x:c r="Z193" s="78"/>
    </x:row>
    <x:row r="194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78"/>
      <x:c r="U194" s="78"/>
      <x:c r="V194" s="78"/>
      <x:c r="W194" s="78"/>
      <x:c r="X194" s="78"/>
      <x:c r="Y194" s="78"/>
      <x:c r="Z194" s="78"/>
    </x:row>
    <x:row r="195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78"/>
    </x:row>
    <x:row r="196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78"/>
      <x:c r="U196" s="78"/>
      <x:c r="V196" s="78"/>
      <x:c r="W196" s="78"/>
      <x:c r="X196" s="78"/>
      <x:c r="Y196" s="78"/>
      <x:c r="Z196" s="78"/>
    </x:row>
    <x:row r="197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78"/>
      <x:c r="U197" s="78"/>
      <x:c r="V197" s="78"/>
      <x:c r="W197" s="78"/>
      <x:c r="X197" s="78"/>
      <x:c r="Y197" s="78"/>
      <x:c r="Z197" s="78"/>
    </x:row>
    <x:row r="198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78"/>
      <x:c r="U198" s="78"/>
      <x:c r="V198" s="78"/>
      <x:c r="W198" s="78"/>
      <x:c r="X198" s="78"/>
      <x:c r="Y198" s="78"/>
      <x:c r="Z198" s="78"/>
    </x:row>
    <x:row r="199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78"/>
    </x:row>
    <x:row r="200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78"/>
    </x:row>
  </x:sheetData>
  <x:mergeCells>
    <x:mergeCell ref="A1:G1"/>
    <x:mergeCell ref="A2:G2"/>
    <x:mergeCell ref="A4:G4"/>
    <x:mergeCell ref="A17:G17"/>
    <x:mergeCell ref="F24:G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9" hidden="0" customWidth="1"/>
    <x:col min="4" max="4" width="34" hidden="0" customWidth="1"/>
    <x:col min="5" max="5" width="14" hidden="0" customWidth="1"/>
    <x:col min="6" max="6" width="19" hidden="0" customWidth="1"/>
    <x:col min="7" max="7" width="22" hidden="0" customWidth="1"/>
    <x:col min="8" max="8" width="15" hidden="0" customWidth="1"/>
    <x:col min="9" max="9" width="18" hidden="0" customWidth="1"/>
  </x:cols>
  <x:sheetData>
    <x:row r="1" ht="34" customHeight="1">
      <x:c r="A1" s="77" t="str">
        <x:v>Production AI usage and exhaustion controls</x:v>
      </x:c>
      <x:c r="B1" s="77"/>
      <x:c r="C1" s="77"/>
      <x:c r="D1" s="77"/>
      <x:c r="E1" s="77"/>
      <x:c r="F1" s="77"/>
      <x:c r="G1" s="77"/>
      <x:c r="H1" s="77"/>
      <x:c r="I1" s="77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  <x:c r="V1" s="78"/>
      <x:c r="W1" s="78"/>
      <x:c r="X1" s="78"/>
      <x:c r="Y1" s="78"/>
      <x:c r="Z1" s="78"/>
    </x:row>
    <x:row r="2" ht="28" customHeight="1">
      <x:c r="A2" s="5" t="str">
        <x:v>AI is used for document reading and explanation—not for Factory OS planning calculations, which remain deterministic.</x:v>
      </x:c>
      <x:c r="B2" s="5"/>
      <x:c r="C2" s="5"/>
      <x:c r="D2" s="5"/>
      <x:c r="E2" s="5"/>
      <x:c r="F2" s="5"/>
      <x:c r="G2" s="5"/>
      <x:c r="H2" s="5"/>
      <x:c r="I2" s="5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</x:row>
    <x:row r="4" ht="24" customHeight="1">
      <x:c r="A4" s="79" t="str">
        <x:v>Anthropic API token model</x:v>
      </x:c>
      <x:c r="B4" s="79"/>
      <x:c r="C4" s="79"/>
      <x:c r="D4" s="79"/>
      <x:c r="E4" s="79"/>
      <x:c r="F4" s="79"/>
      <x:c r="G4" s="79"/>
      <x:c r="H4" s="79"/>
      <x:c r="I4" s="79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8"/>
      <x:c r="V4" s="78"/>
      <x:c r="W4" s="78"/>
      <x:c r="X4" s="78"/>
      <x:c r="Y4" s="78"/>
      <x:c r="Z4" s="78"/>
    </x:row>
    <x:row r="5">
      <x:c r="A5" s="80" t="str">
        <x:v>Workload</x:v>
      </x:c>
      <x:c r="B5" s="80" t="str">
        <x:v>Expected calls</x:v>
      </x:c>
      <x:c r="C5" s="80" t="str">
        <x:v>Input tok/call</x:v>
      </x:c>
      <x:c r="D5" s="80" t="str">
        <x:v>Output tok/call</x:v>
      </x:c>
      <x:c r="E5" s="80" t="str">
        <x:v>Guardrail calls</x:v>
      </x:c>
      <x:c r="F5" s="80" t="str">
        <x:v>Guardrail input</x:v>
      </x:c>
      <x:c r="G5" s="80" t="str">
        <x:v>Guardrail output</x:v>
      </x:c>
      <x:c r="H5" s="80" t="str">
        <x:v>Expected US$</x:v>
      </x:c>
      <x:c r="I5" s="80" t="str">
        <x:v>Guardrail US$</x:v>
      </x:c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</x:row>
    <x:row r="6">
      <x:c r="A6" s="81" t="str">
        <x:v>Order slip extraction</x:v>
      </x:c>
      <x:c r="B6" s="81" t="n">
        <x:f>'Assumptions'!B6*'Assumptions'!B8*'Assumptions'!B27</x:f>
        <x:v>598</x:v>
      </x:c>
      <x:c r="C6" s="81" t="n">
        <x:v>4500</x:v>
      </x:c>
      <x:c r="D6" s="81" t="n">
        <x:v>1200</x:v>
      </x:c>
      <x:c r="E6" s="81" t="n">
        <x:f>'Assumptions'!C6*'Assumptions'!C8*'Assumptions'!C27</x:f>
        <x:v>2392</x:v>
      </x:c>
      <x:c r="F6" s="81" t="n">
        <x:v>6500</x:v>
      </x:c>
      <x:c r="G6" s="81" t="n">
        <x:v>2000</x:v>
      </x:c>
      <x:c r="H6" s="97" t="n">
        <x:f>B6*(C6*$B$14+D6*$D$14)/1000000</x:f>
        <x:v>18.837</x:v>
      </x:c>
      <x:c r="I6" s="97" t="n">
        <x:f>E6*(F6*$B$14+G6*$D$14)/1000000</x:f>
        <x:v>118.404</x:v>
      </x:c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</x:row>
    <x:row r="7">
      <x:c r="A7" s="81" t="str">
        <x:v>PI extraction</x:v>
      </x:c>
      <x:c r="B7" s="81" t="n">
        <x:f>'Assumptions'!B6*'Assumptions'!B8*'Assumptions'!B28</x:f>
        <x:v>260</x:v>
      </x:c>
      <x:c r="C7" s="81" t="n">
        <x:v>8000</x:v>
      </x:c>
      <x:c r="D7" s="81" t="n">
        <x:v>3000</x:v>
      </x:c>
      <x:c r="E7" s="81" t="n">
        <x:f>'Assumptions'!C6*'Assumptions'!C8*'Assumptions'!C28</x:f>
        <x:v>1040</x:v>
      </x:c>
      <x:c r="F7" s="81" t="n">
        <x:v>12000</x:v>
      </x:c>
      <x:c r="G7" s="81" t="n">
        <x:v>5000</x:v>
      </x:c>
      <x:c r="H7" s="97" t="n">
        <x:f>B7*(C7*$B$14+D7*$D$14)/1000000</x:f>
        <x:v>17.94</x:v>
      </x:c>
      <x:c r="I7" s="97" t="n">
        <x:f>E7*(F7*$B$14+G7*$D$14)/1000000</x:f>
        <x:v>115.44</x:v>
      </x:c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78"/>
      <x:c r="W7" s="78"/>
      <x:c r="X7" s="78"/>
      <x:c r="Y7" s="78"/>
      <x:c r="Z7" s="78"/>
    </x:row>
    <x:row r="8">
      <x:c r="A8" s="81" t="str">
        <x:v>ERP copilot</x:v>
      </x:c>
      <x:c r="B8" s="81" t="n">
        <x:f>'Assumptions'!B6*'Assumptions'!B8*60%*3</x:f>
        <x:v>936</x:v>
      </x:c>
      <x:c r="C8" s="81" t="n">
        <x:v>25000</x:v>
      </x:c>
      <x:c r="D8" s="81" t="n">
        <x:v>600</x:v>
      </x:c>
      <x:c r="E8" s="81" t="n">
        <x:f>'Assumptions'!C6*'Assumptions'!C8*60%*6</x:f>
        <x:v>3744</x:v>
      </x:c>
      <x:c r="F8" s="81" t="n">
        <x:v>40000</x:v>
      </x:c>
      <x:c r="G8" s="81" t="n">
        <x:v>1000</x:v>
      </x:c>
      <x:c r="H8" s="97" t="n">
        <x:f>B8*(C8*$B$14+D8*$D$14)/1000000</x:f>
        <x:v>78.624</x:v>
      </x:c>
      <x:c r="I8" s="97" t="n">
        <x:f>E8*(F8*$B$14+G8*$D$14)/1000000</x:f>
        <x:v>505.44</x:v>
      </x:c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/>
      <x:c r="U8" s="78"/>
      <x:c r="V8" s="78"/>
      <x:c r="W8" s="78"/>
      <x:c r="X8" s="78"/>
      <x:c r="Y8" s="78"/>
      <x:c r="Z8" s="78"/>
    </x:row>
    <x:row r="9">
      <x:c r="A9" s="83" t="str">
        <x:v>Background evals / retries</x:v>
      </x:c>
      <x:c r="B9" s="83" t="n">
        <x:v>100</x:v>
      </x:c>
      <x:c r="C9" s="83" t="n">
        <x:v>10000</x:v>
      </x:c>
      <x:c r="D9" s="83" t="n">
        <x:v>1000</x:v>
      </x:c>
      <x:c r="E9" s="83" t="n">
        <x:v>200</x:v>
      </x:c>
      <x:c r="F9" s="83" t="n">
        <x:v>20000</x:v>
      </x:c>
      <x:c r="G9" s="83" t="n">
        <x:v>2000</x:v>
      </x:c>
      <x:c r="H9" s="98" t="n">
        <x:f>B9*(C9*$B$14+D9*$D$14)/1000000</x:f>
        <x:v>4.5</x:v>
      </x:c>
      <x:c r="I9" s="98" t="n">
        <x:f>E9*(F9*$B$14+G9*$D$14)/1000000</x:f>
        <x:v>18</x:v>
      </x:c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78"/>
      <x:c r="U9" s="78"/>
      <x:c r="V9" s="78"/>
      <x:c r="W9" s="78"/>
      <x:c r="X9" s="78"/>
      <x:c r="Y9" s="78"/>
      <x:c r="Z9" s="78"/>
    </x:row>
    <x:row r="10">
      <x:c r="A10" s="99" t="str">
        <x:v>Subtotal</x:v>
      </x:c>
      <x:c r="B10" s="99"/>
      <x:c r="C10" s="99"/>
      <x:c r="D10" s="99"/>
      <x:c r="E10" s="99"/>
      <x:c r="F10" s="99"/>
      <x:c r="G10" s="99"/>
      <x:c r="H10" s="100" t="n">
        <x:f>SUM(H6:H9)</x:f>
        <x:v>119.901</x:v>
      </x:c>
      <x:c r="I10" s="100" t="n">
        <x:f>SUM(I6:I9)</x:f>
        <x:v>757.284</x:v>
      </x:c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78"/>
      <x:c r="U10" s="78"/>
      <x:c r="V10" s="78"/>
      <x:c r="W10" s="78"/>
      <x:c r="X10" s="78"/>
      <x:c r="Y10" s="78"/>
      <x:c r="Z10" s="78"/>
    </x:row>
    <x:row r="11">
      <x:c r="A11" s="99" t="str">
        <x:v>With retries / variance reserve</x:v>
      </x:c>
      <x:c r="B11" s="99"/>
      <x:c r="C11" s="99"/>
      <x:c r="D11" s="99"/>
      <x:c r="E11" s="99"/>
      <x:c r="F11" s="99"/>
      <x:c r="G11" s="99"/>
      <x:c r="H11" s="100" t="n">
        <x:f>H10*1.25</x:f>
        <x:v>149.87625</x:v>
      </x:c>
      <x:c r="I11" s="100" t="n">
        <x:f>I10*1.15</x:f>
        <x:v>870.8765999999999</x:v>
      </x:c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78"/>
      <x:c r="U11" s="78"/>
      <x:c r="V11" s="78"/>
      <x:c r="W11" s="78"/>
      <x:c r="X11" s="78"/>
      <x:c r="Y11" s="78"/>
      <x:c r="Z11" s="78"/>
    </x:row>
    <x:row r="12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78"/>
      <x:c r="U12" s="78"/>
      <x:c r="V12" s="78"/>
      <x:c r="W12" s="78"/>
      <x:c r="X12" s="78"/>
      <x:c r="Y12" s="78"/>
      <x:c r="Z12" s="78"/>
    </x:row>
    <x:row r="13">
      <x:c r="A13" s="80" t="str">
        <x:v>Model input price / MTok</x:v>
      </x:c>
      <x:c r="B13" s="80" t="str">
        <x:v>US$</x:v>
      </x:c>
      <x:c r="C13" s="80" t="str">
        <x:v>Model output price / MTok</x:v>
      </x:c>
      <x:c r="D13" s="80" t="str">
        <x:v>US$</x:v>
      </x:c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78"/>
      <x:c r="U13" s="78"/>
      <x:c r="V13" s="78"/>
      <x:c r="W13" s="78"/>
      <x:c r="X13" s="78"/>
      <x:c r="Y13" s="78"/>
      <x:c r="Z13" s="78"/>
    </x:row>
    <x:row r="14">
      <x:c r="A14" s="81" t="str">
        <x:v>Claude Sonnet 4.6 input</x:v>
      </x:c>
      <x:c r="B14" s="82" t="n">
        <x:v>3</x:v>
      </x:c>
      <x:c r="C14" s="81" t="str">
        <x:v>Claude Sonnet 4.6 output</x:v>
      </x:c>
      <x:c r="D14" s="82" t="n">
        <x:v>15</x:v>
      </x:c>
      <x:c r="E14" s="78"/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78"/>
      <x:c r="U14" s="78"/>
      <x:c r="V14" s="78"/>
      <x:c r="W14" s="78"/>
      <x:c r="X14" s="78"/>
      <x:c r="Y14" s="78"/>
      <x:c r="Z14" s="78"/>
    </x:row>
    <x:row r="15">
      <x:c r="A15" s="83" t="str">
        <x:v>Potential Sonnet 5 input</x:v>
      </x:c>
      <x:c r="B15" s="84" t="n">
        <x:v>2</x:v>
      </x:c>
      <x:c r="C15" s="83" t="str">
        <x:v>Potential Sonnet 5 output</x:v>
      </x:c>
      <x:c r="D15" s="84" t="n">
        <x:v>10</x:v>
      </x:c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78"/>
      <x:c r="U15" s="78"/>
      <x:c r="V15" s="78"/>
      <x:c r="W15" s="78"/>
      <x:c r="X15" s="78"/>
      <x:c r="Y15" s="78"/>
      <x:c r="Z15" s="78"/>
    </x:row>
    <x:row r="16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78"/>
      <x:c r="U16" s="78"/>
      <x:c r="V16" s="78"/>
      <x:c r="W16" s="78"/>
      <x:c r="X16" s="78"/>
      <x:c r="Y16" s="78"/>
      <x:c r="Z16" s="78"/>
    </x:row>
    <x:row r="17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78"/>
      <x:c r="U17" s="78"/>
      <x:c r="V17" s="78"/>
      <x:c r="W17" s="78"/>
      <x:c r="X17" s="78"/>
      <x:c r="Y17" s="78"/>
      <x:c r="Z17" s="78"/>
    </x:row>
    <x:row r="18" ht="24" customHeight="1">
      <x:c r="A18" s="101" t="str">
        <x:v>Controls that prevent API stoppage</x:v>
      </x:c>
      <x:c r="B18" s="101"/>
      <x:c r="C18" s="101"/>
      <x:c r="D18" s="101"/>
      <x:c r="E18" s="101"/>
      <x:c r="F18" s="101"/>
      <x:c r="G18" s="101"/>
      <x:c r="H18" s="101"/>
      <x:c r="I18" s="101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78"/>
      <x:c r="W18" s="78"/>
      <x:c r="X18" s="78"/>
      <x:c r="Y18" s="78"/>
      <x:c r="Z18" s="78"/>
    </x:row>
    <x:row r="19">
      <x:c r="A19" s="80" t="str">
        <x:v>Control</x:v>
      </x:c>
      <x:c r="B19" s="80" t="str">
        <x:v>Setting</x:v>
      </x:c>
      <x:c r="C19" s="80" t="str">
        <x:v>Trigger</x:v>
      </x:c>
      <x:c r="D19" s="80" t="str">
        <x:v>Response</x:v>
      </x:c>
      <x:c r="E19" s="80" t="str">
        <x:v>Owner</x:v>
      </x:c>
      <x:c r="F19" s="80" t="str">
        <x:v>Evidence</x:v>
      </x:c>
      <x:c r="G19" s="80" t="str">
        <x:v>Risk prevented</x:v>
      </x:c>
      <x:c r="H19" s="80" t="str">
        <x:v>Launch status</x:v>
      </x:c>
      <x:c r="I19" s="80" t="str">
        <x:v>Monthly allowance</x:v>
      </x:c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78"/>
      <x:c r="W19" s="78"/>
      <x:c r="X19" s="78"/>
      <x:c r="Y19" s="78"/>
      <x:c r="Z19" s="78"/>
    </x:row>
    <x:row r="20">
      <x:c r="A20" s="81" t="str">
        <x:v>Anthropic organization tier</x:v>
      </x:c>
      <x:c r="B20" s="81" t="str">
        <x:v>Build tier</x:v>
      </x:c>
      <x:c r="C20" s="81" t="str">
        <x:v>$1,000 monthly cap</x:v>
      </x:c>
      <x:c r="D20" s="81" t="str">
        <x:v>Request tier raise before 70%</x:v>
      </x:c>
      <x:c r="E20" s="81" t="str">
        <x:v>Founder</x:v>
      </x:c>
      <x:c r="F20" s="81" t="str">
        <x:v>Console screenshot</x:v>
      </x:c>
      <x:c r="G20" s="81" t="str">
        <x:v>Provider hard stop</x:v>
      </x:c>
      <x:c r="H20" s="102" t="str">
        <x:v>Required</x:v>
      </x:c>
      <x:c r="I20" s="81" t="str">
        <x:v>$1,000</x:v>
      </x:c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78"/>
      <x:c r="U20" s="78"/>
      <x:c r="V20" s="78"/>
      <x:c r="W20" s="78"/>
      <x:c r="X20" s="78"/>
      <x:c r="Y20" s="78"/>
      <x:c r="Z20" s="78"/>
    </x:row>
    <x:row r="21">
      <x:c r="A21" s="81" t="str">
        <x:v>Production workspace limit</x:v>
      </x:c>
      <x:c r="B21" s="81" t="str">
        <x:v>$750</x:v>
      </x:c>
      <x:c r="C21" s="81" t="str">
        <x:v>50/75/90% alerts</x:v>
      </x:c>
      <x:c r="D21" s="81" t="str">
        <x:v>Review anomalies; raise deliberately</x:v>
      </x:c>
      <x:c r="E21" s="81" t="str">
        <x:v>Founder</x:v>
      </x:c>
      <x:c r="F21" s="81" t="str">
        <x:v>Billing alerts</x:v>
      </x:c>
      <x:c r="G21" s="81" t="str">
        <x:v>Runaway spend</x:v>
      </x:c>
      <x:c r="H21" s="102" t="str">
        <x:v>Required</x:v>
      </x:c>
      <x:c r="I21" s="81" t="str">
        <x:v>$750</x:v>
      </x:c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78"/>
    </x:row>
    <x:row r="22">
      <x:c r="A22" s="81" t="str">
        <x:v>Prepaid credit auto-reload</x:v>
      </x:c>
      <x:c r="B22" s="81" t="str">
        <x:v>$200 threshold → $500 balance</x:v>
      </x:c>
      <x:c r="C22" s="81" t="str">
        <x:v>Balance below threshold</x:v>
      </x:c>
      <x:c r="D22" s="81" t="str">
        <x:v>Automatic refill + card backup</x:v>
      </x:c>
      <x:c r="E22" s="81" t="str">
        <x:v>Founder</x:v>
      </x:c>
      <x:c r="F22" s="81" t="str">
        <x:v>Test transaction</x:v>
      </x:c>
      <x:c r="G22" s="81" t="str">
        <x:v>Credit exhaustion</x:v>
      </x:c>
      <x:c r="H22" s="102" t="str">
        <x:v>Required</x:v>
      </x:c>
      <x:c r="I22" s="81" t="str">
        <x:v>$500 funded</x:v>
      </x:c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78"/>
      <x:c r="U22" s="78"/>
      <x:c r="V22" s="78"/>
      <x:c r="W22" s="78"/>
      <x:c r="X22" s="78"/>
      <x:c r="Y22" s="78"/>
      <x:c r="Z22" s="78"/>
    </x:row>
    <x:row r="23">
      <x:c r="A23" s="81" t="str">
        <x:v>Per-user AI quota</x:v>
      </x:c>
      <x:c r="B23" s="81" t="str">
        <x:v>Soft warning then admin override</x:v>
      </x:c>
      <x:c r="C23" s="81" t="str">
        <x:v>80% of allowance</x:v>
      </x:c>
      <x:c r="D23" s="81" t="str">
        <x:v>Continue critical extraction; defer chat</x:v>
      </x:c>
      <x:c r="E23" s="81" t="str">
        <x:v>Client admin</x:v>
      </x:c>
      <x:c r="F23" s="81" t="str">
        <x:v>Usage dashboard</x:v>
      </x:c>
      <x:c r="G23" s="81" t="str">
        <x:v>Noisy-user outage</x:v>
      </x:c>
      <x:c r="H23" s="102" t="str">
        <x:v>Required</x:v>
      </x:c>
      <x:c r="I23" s="81" t="str">
        <x:v>Policy</x:v>
      </x:c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78"/>
      <x:c r="W23" s="78"/>
      <x:c r="X23" s="78"/>
      <x:c r="Y23" s="78"/>
      <x:c r="Z23" s="78"/>
    </x:row>
    <x:row r="24">
      <x:c r="A24" s="83" t="str">
        <x:v>Fallback workflow</x:v>
      </x:c>
      <x:c r="B24" s="83" t="str">
        <x:v>Manual review queue</x:v>
      </x:c>
      <x:c r="C24" s="83" t="str">
        <x:v>API timeout / 429 / low confidence</x:v>
      </x:c>
      <x:c r="D24" s="83" t="str">
        <x:v>Save document; retry with backoff</x:v>
      </x:c>
      <x:c r="E24" s="83" t="str">
        <x:v>Ops</x:v>
      </x:c>
      <x:c r="F24" s="83" t="str">
        <x:v>Runbook + drill</x:v>
      </x:c>
      <x:c r="G24" s="83" t="str">
        <x:v>Business stoppage</x:v>
      </x:c>
      <x:c r="H24" s="103" t="str">
        <x:v>Required</x:v>
      </x:c>
      <x:c r="I24" s="83" t="str">
        <x:v>Included</x:v>
      </x:c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78"/>
      <x:c r="U24" s="78"/>
      <x:c r="V24" s="78"/>
      <x:c r="W24" s="78"/>
      <x:c r="X24" s="78"/>
      <x:c r="Y24" s="78"/>
      <x:c r="Z24" s="78"/>
    </x:row>
    <x:row r="25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78"/>
    </x:row>
    <x:row r="26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78"/>
      <x:c r="W26" s="78"/>
      <x:c r="X26" s="78"/>
      <x:c r="Y26" s="78"/>
      <x:c r="Z26" s="78"/>
    </x:row>
    <x:row r="27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78"/>
      <x:c r="W27" s="78"/>
      <x:c r="X27" s="78"/>
      <x:c r="Y27" s="78"/>
      <x:c r="Z27" s="78"/>
    </x:row>
    <x:row r="28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78"/>
      <x:c r="U28" s="78"/>
      <x:c r="V28" s="78"/>
      <x:c r="W28" s="78"/>
      <x:c r="X28" s="78"/>
      <x:c r="Y28" s="78"/>
      <x:c r="Z28" s="78"/>
    </x:row>
    <x:row r="29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</x:row>
    <x:row r="30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78"/>
    </x:row>
    <x:row r="3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78"/>
      <x:c r="W31" s="78"/>
      <x:c r="X31" s="78"/>
      <x:c r="Y31" s="78"/>
      <x:c r="Z31" s="78"/>
    </x:row>
    <x:row r="32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78"/>
      <x:c r="U32" s="78"/>
      <x:c r="V32" s="78"/>
      <x:c r="W32" s="78"/>
      <x:c r="X32" s="78"/>
      <x:c r="Y32" s="78"/>
      <x:c r="Z32" s="78"/>
    </x:row>
    <x:row r="33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</x:row>
    <x:row r="34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</x:row>
    <x:row r="35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</x:row>
    <x:row r="36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78"/>
      <x:c r="U36" s="78"/>
      <x:c r="V36" s="78"/>
      <x:c r="W36" s="78"/>
      <x:c r="X36" s="78"/>
      <x:c r="Y36" s="78"/>
      <x:c r="Z36" s="78"/>
    </x:row>
    <x:row r="37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78"/>
    </x:row>
    <x:row r="38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78"/>
    </x:row>
    <x:row r="39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78"/>
    </x:row>
    <x:row r="40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78"/>
      <x:c r="U40" s="78"/>
      <x:c r="V40" s="78"/>
      <x:c r="W40" s="78"/>
      <x:c r="X40" s="78"/>
      <x:c r="Y40" s="78"/>
      <x:c r="Z40" s="78"/>
    </x:row>
    <x:row r="4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</x:row>
    <x:row r="42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8"/>
    </x:row>
    <x:row r="43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78"/>
    </x:row>
    <x:row r="44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</x:row>
    <x:row r="45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78"/>
    </x:row>
    <x:row r="46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78"/>
      <x:c r="U46" s="78"/>
      <x:c r="V46" s="78"/>
      <x:c r="W46" s="78"/>
      <x:c r="X46" s="78"/>
      <x:c r="Y46" s="78"/>
      <x:c r="Z46" s="78"/>
    </x:row>
    <x:row r="47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78"/>
      <x:c r="U47" s="78"/>
      <x:c r="V47" s="78"/>
      <x:c r="W47" s="78"/>
      <x:c r="X47" s="78"/>
      <x:c r="Y47" s="78"/>
      <x:c r="Z47" s="78"/>
    </x:row>
    <x:row r="48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78"/>
      <x:c r="U48" s="78"/>
      <x:c r="V48" s="78"/>
      <x:c r="W48" s="78"/>
      <x:c r="X48" s="78"/>
      <x:c r="Y48" s="78"/>
      <x:c r="Z48" s="78"/>
    </x:row>
    <x:row r="49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78"/>
      <x:c r="U49" s="78"/>
      <x:c r="V49" s="78"/>
      <x:c r="W49" s="78"/>
      <x:c r="X49" s="78"/>
      <x:c r="Y49" s="78"/>
      <x:c r="Z49" s="78"/>
    </x:row>
    <x:row r="50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78"/>
    </x:row>
    <x:row r="5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78"/>
      <x:c r="W51" s="78"/>
      <x:c r="X51" s="78"/>
      <x:c r="Y51" s="78"/>
      <x:c r="Z51" s="78"/>
    </x:row>
    <x:row r="52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78"/>
    </x:row>
    <x:row r="53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78"/>
    </x:row>
    <x:row r="54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78"/>
      <x:c r="U54" s="78"/>
      <x:c r="V54" s="78"/>
      <x:c r="W54" s="78"/>
      <x:c r="X54" s="78"/>
      <x:c r="Y54" s="78"/>
      <x:c r="Z54" s="78"/>
    </x:row>
    <x:row r="55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78"/>
    </x:row>
    <x:row r="56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78"/>
    </x:row>
    <x:row r="57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78"/>
    </x:row>
    <x:row r="58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</x:row>
    <x:row r="59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78"/>
      <x:c r="U59" s="78"/>
      <x:c r="V59" s="78"/>
      <x:c r="W59" s="78"/>
      <x:c r="X59" s="78"/>
      <x:c r="Y59" s="78"/>
      <x:c r="Z59" s="78"/>
    </x:row>
    <x:row r="60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</x:row>
    <x:row r="6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78"/>
      <x:c r="U61" s="78"/>
      <x:c r="V61" s="78"/>
      <x:c r="W61" s="78"/>
      <x:c r="X61" s="78"/>
      <x:c r="Y61" s="78"/>
      <x:c r="Z61" s="78"/>
    </x:row>
    <x:row r="62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78"/>
      <x:c r="U62" s="78"/>
      <x:c r="V62" s="78"/>
      <x:c r="W62" s="78"/>
      <x:c r="X62" s="78"/>
      <x:c r="Y62" s="78"/>
      <x:c r="Z62" s="78"/>
    </x:row>
    <x:row r="63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78"/>
    </x:row>
    <x:row r="64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78"/>
      <x:c r="U64" s="78"/>
      <x:c r="V64" s="78"/>
      <x:c r="W64" s="78"/>
      <x:c r="X64" s="78"/>
      <x:c r="Y64" s="78"/>
      <x:c r="Z64" s="78"/>
    </x:row>
    <x:row r="65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78"/>
      <x:c r="U65" s="78"/>
      <x:c r="V65" s="78"/>
      <x:c r="W65" s="78"/>
      <x:c r="X65" s="78"/>
      <x:c r="Y65" s="78"/>
      <x:c r="Z65" s="78"/>
    </x:row>
    <x:row r="66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78"/>
      <x:c r="U66" s="78"/>
      <x:c r="V66" s="78"/>
      <x:c r="W66" s="78"/>
      <x:c r="X66" s="78"/>
      <x:c r="Y66" s="78"/>
      <x:c r="Z66" s="78"/>
    </x:row>
    <x:row r="67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78"/>
      <x:c r="U67" s="78"/>
      <x:c r="V67" s="78"/>
      <x:c r="W67" s="78"/>
      <x:c r="X67" s="78"/>
      <x:c r="Y67" s="78"/>
      <x:c r="Z67" s="78"/>
    </x:row>
    <x:row r="68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78"/>
    </x:row>
    <x:row r="69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78"/>
      <x:c r="U69" s="78"/>
      <x:c r="V69" s="78"/>
      <x:c r="W69" s="78"/>
      <x:c r="X69" s="78"/>
      <x:c r="Y69" s="78"/>
      <x:c r="Z69" s="78"/>
    </x:row>
    <x:row r="70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78"/>
      <x:c r="U70" s="78"/>
      <x:c r="V70" s="78"/>
      <x:c r="W70" s="78"/>
      <x:c r="X70" s="78"/>
      <x:c r="Y70" s="78"/>
      <x:c r="Z70" s="78"/>
    </x:row>
    <x:row r="7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78"/>
      <x:c r="U71" s="78"/>
      <x:c r="V71" s="78"/>
      <x:c r="W71" s="78"/>
      <x:c r="X71" s="78"/>
      <x:c r="Y71" s="78"/>
      <x:c r="Z71" s="78"/>
    </x:row>
    <x:row r="72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78"/>
    </x:row>
    <x:row r="73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78"/>
      <x:c r="U73" s="78"/>
      <x:c r="V73" s="78"/>
      <x:c r="W73" s="78"/>
      <x:c r="X73" s="78"/>
      <x:c r="Y73" s="78"/>
      <x:c r="Z73" s="78"/>
    </x:row>
    <x:row r="74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78"/>
      <x:c r="U74" s="78"/>
      <x:c r="V74" s="78"/>
      <x:c r="W74" s="78"/>
      <x:c r="X74" s="78"/>
      <x:c r="Y74" s="78"/>
      <x:c r="Z74" s="78"/>
    </x:row>
    <x:row r="75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78"/>
    </x:row>
    <x:row r="76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78"/>
      <x:c r="U76" s="78"/>
      <x:c r="V76" s="78"/>
      <x:c r="W76" s="78"/>
      <x:c r="X76" s="78"/>
      <x:c r="Y76" s="78"/>
      <x:c r="Z76" s="78"/>
    </x:row>
    <x:row r="77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78"/>
    </x:row>
    <x:row r="78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78"/>
      <x:c r="U78" s="78"/>
      <x:c r="V78" s="78"/>
      <x:c r="W78" s="78"/>
      <x:c r="X78" s="78"/>
      <x:c r="Y78" s="78"/>
      <x:c r="Z78" s="78"/>
    </x:row>
    <x:row r="79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78"/>
      <x:c r="U79" s="78"/>
      <x:c r="V79" s="78"/>
      <x:c r="W79" s="78"/>
      <x:c r="X79" s="78"/>
      <x:c r="Y79" s="78"/>
      <x:c r="Z79" s="78"/>
    </x:row>
    <x:row r="80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78"/>
      <x:c r="U80" s="78"/>
      <x:c r="V80" s="78"/>
      <x:c r="W80" s="78"/>
      <x:c r="X80" s="78"/>
      <x:c r="Y80" s="78"/>
      <x:c r="Z80" s="78"/>
    </x:row>
    <x:row r="8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78"/>
      <x:c r="U81" s="78"/>
      <x:c r="V81" s="78"/>
      <x:c r="W81" s="78"/>
      <x:c r="X81" s="78"/>
      <x:c r="Y81" s="78"/>
      <x:c r="Z81" s="78"/>
    </x:row>
    <x:row r="82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78"/>
      <x:c r="U82" s="78"/>
      <x:c r="V82" s="78"/>
      <x:c r="W82" s="78"/>
      <x:c r="X82" s="78"/>
      <x:c r="Y82" s="78"/>
      <x:c r="Z82" s="78"/>
    </x:row>
    <x:row r="83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78"/>
      <x:c r="U83" s="78"/>
      <x:c r="V83" s="78"/>
      <x:c r="W83" s="78"/>
      <x:c r="X83" s="78"/>
      <x:c r="Y83" s="78"/>
      <x:c r="Z83" s="78"/>
    </x:row>
    <x:row r="84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78"/>
      <x:c r="U84" s="78"/>
      <x:c r="V84" s="78"/>
      <x:c r="W84" s="78"/>
      <x:c r="X84" s="78"/>
      <x:c r="Y84" s="78"/>
      <x:c r="Z84" s="78"/>
    </x:row>
    <x:row r="85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78"/>
      <x:c r="U85" s="78"/>
      <x:c r="V85" s="78"/>
      <x:c r="W85" s="78"/>
      <x:c r="X85" s="78"/>
      <x:c r="Y85" s="78"/>
      <x:c r="Z85" s="78"/>
    </x:row>
    <x:row r="86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78"/>
      <x:c r="U86" s="78"/>
      <x:c r="V86" s="78"/>
      <x:c r="W86" s="78"/>
      <x:c r="X86" s="78"/>
      <x:c r="Y86" s="78"/>
      <x:c r="Z86" s="78"/>
    </x:row>
    <x:row r="87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78"/>
      <x:c r="U87" s="78"/>
      <x:c r="V87" s="78"/>
      <x:c r="W87" s="78"/>
      <x:c r="X87" s="78"/>
      <x:c r="Y87" s="78"/>
      <x:c r="Z87" s="78"/>
    </x:row>
    <x:row r="88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78"/>
      <x:c r="U88" s="78"/>
      <x:c r="V88" s="78"/>
      <x:c r="W88" s="78"/>
      <x:c r="X88" s="78"/>
      <x:c r="Y88" s="78"/>
      <x:c r="Z88" s="78"/>
    </x:row>
    <x:row r="89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78"/>
      <x:c r="U89" s="78"/>
      <x:c r="V89" s="78"/>
      <x:c r="W89" s="78"/>
      <x:c r="X89" s="78"/>
      <x:c r="Y89" s="78"/>
      <x:c r="Z89" s="78"/>
    </x:row>
    <x:row r="90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78"/>
    </x:row>
    <x:row r="9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78"/>
      <x:c r="U91" s="78"/>
      <x:c r="V91" s="78"/>
      <x:c r="W91" s="78"/>
      <x:c r="X91" s="78"/>
      <x:c r="Y91" s="78"/>
      <x:c r="Z91" s="78"/>
    </x:row>
    <x:row r="92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78"/>
      <x:c r="U92" s="78"/>
      <x:c r="V92" s="78"/>
      <x:c r="W92" s="78"/>
      <x:c r="X92" s="78"/>
      <x:c r="Y92" s="78"/>
      <x:c r="Z92" s="78"/>
    </x:row>
    <x:row r="93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78"/>
      <x:c r="U93" s="78"/>
      <x:c r="V93" s="78"/>
      <x:c r="W93" s="78"/>
      <x:c r="X93" s="78"/>
      <x:c r="Y93" s="78"/>
      <x:c r="Z93" s="78"/>
    </x:row>
    <x:row r="94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78"/>
      <x:c r="U94" s="78"/>
      <x:c r="V94" s="78"/>
      <x:c r="W94" s="78"/>
      <x:c r="X94" s="78"/>
      <x:c r="Y94" s="78"/>
      <x:c r="Z94" s="78"/>
    </x:row>
    <x:row r="95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78"/>
      <x:c r="U95" s="78"/>
      <x:c r="V95" s="78"/>
      <x:c r="W95" s="78"/>
      <x:c r="X95" s="78"/>
      <x:c r="Y95" s="78"/>
      <x:c r="Z95" s="78"/>
    </x:row>
    <x:row r="96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78"/>
      <x:c r="U96" s="78"/>
      <x:c r="V96" s="78"/>
      <x:c r="W96" s="78"/>
      <x:c r="X96" s="78"/>
      <x:c r="Y96" s="78"/>
      <x:c r="Z96" s="78"/>
    </x:row>
    <x:row r="97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78"/>
      <x:c r="U97" s="78"/>
      <x:c r="V97" s="78"/>
      <x:c r="W97" s="78"/>
      <x:c r="X97" s="78"/>
      <x:c r="Y97" s="78"/>
      <x:c r="Z97" s="78"/>
    </x:row>
    <x:row r="98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78"/>
      <x:c r="U98" s="78"/>
      <x:c r="V98" s="78"/>
      <x:c r="W98" s="78"/>
      <x:c r="X98" s="78"/>
      <x:c r="Y98" s="78"/>
      <x:c r="Z98" s="78"/>
    </x:row>
    <x:row r="99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78"/>
      <x:c r="U99" s="78"/>
      <x:c r="V99" s="78"/>
      <x:c r="W99" s="78"/>
      <x:c r="X99" s="78"/>
      <x:c r="Y99" s="78"/>
      <x:c r="Z99" s="78"/>
    </x:row>
    <x:row r="100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78"/>
      <x:c r="U100" s="78"/>
      <x:c r="V100" s="78"/>
      <x:c r="W100" s="78"/>
      <x:c r="X100" s="78"/>
      <x:c r="Y100" s="78"/>
      <x:c r="Z100" s="78"/>
    </x:row>
    <x:row r="10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78"/>
      <x:c r="U101" s="78"/>
      <x:c r="V101" s="78"/>
      <x:c r="W101" s="78"/>
      <x:c r="X101" s="78"/>
      <x:c r="Y101" s="78"/>
      <x:c r="Z101" s="78"/>
    </x:row>
    <x:row r="102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78"/>
    </x:row>
    <x:row r="103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78"/>
    </x:row>
    <x:row r="104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78"/>
    </x:row>
    <x:row r="105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78"/>
      <x:c r="U105" s="78"/>
      <x:c r="V105" s="78"/>
      <x:c r="W105" s="78"/>
      <x:c r="X105" s="78"/>
      <x:c r="Y105" s="78"/>
      <x:c r="Z105" s="78"/>
    </x:row>
    <x:row r="106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78"/>
      <x:c r="U106" s="78"/>
      <x:c r="V106" s="78"/>
      <x:c r="W106" s="78"/>
      <x:c r="X106" s="78"/>
      <x:c r="Y106" s="78"/>
      <x:c r="Z106" s="78"/>
    </x:row>
    <x:row r="107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78"/>
      <x:c r="U107" s="78"/>
      <x:c r="V107" s="78"/>
      <x:c r="W107" s="78"/>
      <x:c r="X107" s="78"/>
      <x:c r="Y107" s="78"/>
      <x:c r="Z107" s="78"/>
    </x:row>
    <x:row r="108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78"/>
      <x:c r="U108" s="78"/>
      <x:c r="V108" s="78"/>
      <x:c r="W108" s="78"/>
      <x:c r="X108" s="78"/>
      <x:c r="Y108" s="78"/>
      <x:c r="Z108" s="78"/>
    </x:row>
    <x:row r="109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78"/>
      <x:c r="U109" s="78"/>
      <x:c r="V109" s="78"/>
      <x:c r="W109" s="78"/>
      <x:c r="X109" s="78"/>
      <x:c r="Y109" s="78"/>
      <x:c r="Z109" s="78"/>
    </x:row>
    <x:row r="110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</x:row>
    <x:row r="11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</x:row>
    <x:row r="112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</x:row>
    <x:row r="113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</x:row>
    <x:row r="114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</x:row>
    <x:row r="115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</x:row>
    <x:row r="116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</x:row>
    <x:row r="117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</x:row>
    <x:row r="118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</x:row>
    <x:row r="119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</x:row>
    <x:row r="120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</x:row>
    <x:row r="12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</x:row>
    <x:row r="122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</x:row>
    <x:row r="123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</x:row>
    <x:row r="124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</x:row>
    <x:row r="125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</x:row>
    <x:row r="126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</x:row>
    <x:row r="127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</x:row>
    <x:row r="128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</x:row>
    <x:row r="129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</x:row>
    <x:row r="130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</x:row>
    <x:row r="13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</x:row>
    <x:row r="132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</x:row>
    <x:row r="133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</x:row>
    <x:row r="134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</x:row>
    <x:row r="135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</x:row>
    <x:row r="136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</x:row>
    <x:row r="137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</x:row>
    <x:row r="138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</x:row>
    <x:row r="139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</x:row>
    <x:row r="140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</x:row>
    <x:row r="14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78"/>
      <x:c r="U141" s="78"/>
      <x:c r="V141" s="78"/>
      <x:c r="W141" s="78"/>
      <x:c r="X141" s="78"/>
      <x:c r="Y141" s="78"/>
      <x:c r="Z141" s="78"/>
    </x:row>
    <x:row r="142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78"/>
      <x:c r="U142" s="78"/>
      <x:c r="V142" s="78"/>
      <x:c r="W142" s="78"/>
      <x:c r="X142" s="78"/>
      <x:c r="Y142" s="78"/>
      <x:c r="Z142" s="78"/>
    </x:row>
    <x:row r="143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78"/>
      <x:c r="U143" s="78"/>
      <x:c r="V143" s="78"/>
      <x:c r="W143" s="78"/>
      <x:c r="X143" s="78"/>
      <x:c r="Y143" s="78"/>
      <x:c r="Z143" s="78"/>
    </x:row>
    <x:row r="144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78"/>
      <x:c r="U144" s="78"/>
      <x:c r="V144" s="78"/>
      <x:c r="W144" s="78"/>
      <x:c r="X144" s="78"/>
      <x:c r="Y144" s="78"/>
      <x:c r="Z144" s="78"/>
    </x:row>
    <x:row r="145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78"/>
      <x:c r="U145" s="78"/>
      <x:c r="V145" s="78"/>
      <x:c r="W145" s="78"/>
      <x:c r="X145" s="78"/>
      <x:c r="Y145" s="78"/>
      <x:c r="Z145" s="78"/>
    </x:row>
    <x:row r="146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78"/>
      <x:c r="U146" s="78"/>
      <x:c r="V146" s="78"/>
      <x:c r="W146" s="78"/>
      <x:c r="X146" s="78"/>
      <x:c r="Y146" s="78"/>
      <x:c r="Z146" s="78"/>
    </x:row>
    <x:row r="147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78"/>
      <x:c r="U147" s="78"/>
      <x:c r="V147" s="78"/>
      <x:c r="W147" s="78"/>
      <x:c r="X147" s="78"/>
      <x:c r="Y147" s="78"/>
      <x:c r="Z147" s="78"/>
    </x:row>
    <x:row r="148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78"/>
      <x:c r="U148" s="78"/>
      <x:c r="V148" s="78"/>
      <x:c r="W148" s="78"/>
      <x:c r="X148" s="78"/>
      <x:c r="Y148" s="78"/>
      <x:c r="Z148" s="78"/>
    </x:row>
    <x:row r="149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78"/>
      <x:c r="U149" s="78"/>
      <x:c r="V149" s="78"/>
      <x:c r="W149" s="78"/>
      <x:c r="X149" s="78"/>
      <x:c r="Y149" s="78"/>
      <x:c r="Z149" s="78"/>
    </x:row>
    <x:row r="150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78"/>
      <x:c r="U150" s="78"/>
      <x:c r="V150" s="78"/>
      <x:c r="W150" s="78"/>
      <x:c r="X150" s="78"/>
      <x:c r="Y150" s="78"/>
      <x:c r="Z150" s="78"/>
    </x:row>
    <x:row r="15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78"/>
      <x:c r="U151" s="78"/>
      <x:c r="V151" s="78"/>
      <x:c r="W151" s="78"/>
      <x:c r="X151" s="78"/>
      <x:c r="Y151" s="78"/>
      <x:c r="Z151" s="78"/>
    </x:row>
    <x:row r="152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78"/>
      <x:c r="U152" s="78"/>
      <x:c r="V152" s="78"/>
      <x:c r="W152" s="78"/>
      <x:c r="X152" s="78"/>
      <x:c r="Y152" s="78"/>
      <x:c r="Z152" s="78"/>
    </x:row>
    <x:row r="153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78"/>
      <x:c r="U153" s="78"/>
      <x:c r="V153" s="78"/>
      <x:c r="W153" s="78"/>
      <x:c r="X153" s="78"/>
      <x:c r="Y153" s="78"/>
      <x:c r="Z153" s="78"/>
    </x:row>
    <x:row r="154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78"/>
      <x:c r="U154" s="78"/>
      <x:c r="V154" s="78"/>
      <x:c r="W154" s="78"/>
      <x:c r="X154" s="78"/>
      <x:c r="Y154" s="78"/>
      <x:c r="Z154" s="78"/>
    </x:row>
    <x:row r="155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78"/>
      <x:c r="U155" s="78"/>
      <x:c r="V155" s="78"/>
      <x:c r="W155" s="78"/>
      <x:c r="X155" s="78"/>
      <x:c r="Y155" s="78"/>
      <x:c r="Z155" s="78"/>
    </x:row>
    <x:row r="156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78"/>
      <x:c r="U156" s="78"/>
      <x:c r="V156" s="78"/>
      <x:c r="W156" s="78"/>
      <x:c r="X156" s="78"/>
      <x:c r="Y156" s="78"/>
      <x:c r="Z156" s="78"/>
    </x:row>
    <x:row r="157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78"/>
      <x:c r="U157" s="78"/>
      <x:c r="V157" s="78"/>
      <x:c r="W157" s="78"/>
      <x:c r="X157" s="78"/>
      <x:c r="Y157" s="78"/>
      <x:c r="Z157" s="78"/>
    </x:row>
    <x:row r="158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78"/>
      <x:c r="U158" s="78"/>
      <x:c r="V158" s="78"/>
      <x:c r="W158" s="78"/>
      <x:c r="X158" s="78"/>
      <x:c r="Y158" s="78"/>
      <x:c r="Z158" s="78"/>
    </x:row>
    <x:row r="159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78"/>
      <x:c r="U159" s="78"/>
      <x:c r="V159" s="78"/>
      <x:c r="W159" s="78"/>
      <x:c r="X159" s="78"/>
      <x:c r="Y159" s="78"/>
      <x:c r="Z159" s="78"/>
    </x:row>
    <x:row r="160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78"/>
      <x:c r="U160" s="78"/>
      <x:c r="V160" s="78"/>
      <x:c r="W160" s="78"/>
      <x:c r="X160" s="78"/>
      <x:c r="Y160" s="78"/>
      <x:c r="Z160" s="78"/>
    </x:row>
    <x:row r="16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78"/>
      <x:c r="U161" s="78"/>
      <x:c r="V161" s="78"/>
      <x:c r="W161" s="78"/>
      <x:c r="X161" s="78"/>
      <x:c r="Y161" s="78"/>
      <x:c r="Z161" s="78"/>
    </x:row>
    <x:row r="162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78"/>
      <x:c r="U162" s="78"/>
      <x:c r="V162" s="78"/>
      <x:c r="W162" s="78"/>
      <x:c r="X162" s="78"/>
      <x:c r="Y162" s="78"/>
      <x:c r="Z162" s="78"/>
    </x:row>
    <x:row r="163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78"/>
      <x:c r="U163" s="78"/>
      <x:c r="V163" s="78"/>
      <x:c r="W163" s="78"/>
      <x:c r="X163" s="78"/>
      <x:c r="Y163" s="78"/>
      <x:c r="Z163" s="78"/>
    </x:row>
    <x:row r="164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78"/>
      <x:c r="U164" s="78"/>
      <x:c r="V164" s="78"/>
      <x:c r="W164" s="78"/>
      <x:c r="X164" s="78"/>
      <x:c r="Y164" s="78"/>
      <x:c r="Z164" s="78"/>
    </x:row>
    <x:row r="165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78"/>
      <x:c r="U165" s="78"/>
      <x:c r="V165" s="78"/>
      <x:c r="W165" s="78"/>
      <x:c r="X165" s="78"/>
      <x:c r="Y165" s="78"/>
      <x:c r="Z165" s="78"/>
    </x:row>
    <x:row r="166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78"/>
      <x:c r="U166" s="78"/>
      <x:c r="V166" s="78"/>
      <x:c r="W166" s="78"/>
      <x:c r="X166" s="78"/>
      <x:c r="Y166" s="78"/>
      <x:c r="Z166" s="78"/>
    </x:row>
    <x:row r="167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78"/>
      <x:c r="U167" s="78"/>
      <x:c r="V167" s="78"/>
      <x:c r="W167" s="78"/>
      <x:c r="X167" s="78"/>
      <x:c r="Y167" s="78"/>
      <x:c r="Z167" s="78"/>
    </x:row>
    <x:row r="168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78"/>
      <x:c r="U168" s="78"/>
      <x:c r="V168" s="78"/>
      <x:c r="W168" s="78"/>
      <x:c r="X168" s="78"/>
      <x:c r="Y168" s="78"/>
      <x:c r="Z168" s="78"/>
    </x:row>
    <x:row r="169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78"/>
      <x:c r="U169" s="78"/>
      <x:c r="V169" s="78"/>
      <x:c r="W169" s="78"/>
      <x:c r="X169" s="78"/>
      <x:c r="Y169" s="78"/>
      <x:c r="Z169" s="78"/>
    </x:row>
    <x:row r="170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78"/>
      <x:c r="U170" s="78"/>
      <x:c r="V170" s="78"/>
      <x:c r="W170" s="78"/>
      <x:c r="X170" s="78"/>
      <x:c r="Y170" s="78"/>
      <x:c r="Z170" s="78"/>
    </x:row>
    <x:row r="17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78"/>
      <x:c r="U171" s="78"/>
      <x:c r="V171" s="78"/>
      <x:c r="W171" s="78"/>
      <x:c r="X171" s="78"/>
      <x:c r="Y171" s="78"/>
      <x:c r="Z171" s="78"/>
    </x:row>
    <x:row r="172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78"/>
      <x:c r="U172" s="78"/>
      <x:c r="V172" s="78"/>
      <x:c r="W172" s="78"/>
      <x:c r="X172" s="78"/>
      <x:c r="Y172" s="78"/>
      <x:c r="Z172" s="78"/>
    </x:row>
    <x:row r="173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78"/>
      <x:c r="U173" s="78"/>
      <x:c r="V173" s="78"/>
      <x:c r="W173" s="78"/>
      <x:c r="X173" s="78"/>
      <x:c r="Y173" s="78"/>
      <x:c r="Z173" s="78"/>
    </x:row>
    <x:row r="174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78"/>
      <x:c r="U174" s="78"/>
      <x:c r="V174" s="78"/>
      <x:c r="W174" s="78"/>
      <x:c r="X174" s="78"/>
      <x:c r="Y174" s="78"/>
      <x:c r="Z174" s="78"/>
    </x:row>
    <x:row r="175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78"/>
      <x:c r="U175" s="78"/>
      <x:c r="V175" s="78"/>
      <x:c r="W175" s="78"/>
      <x:c r="X175" s="78"/>
      <x:c r="Y175" s="78"/>
      <x:c r="Z175" s="78"/>
    </x:row>
    <x:row r="176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78"/>
      <x:c r="U176" s="78"/>
      <x:c r="V176" s="78"/>
      <x:c r="W176" s="78"/>
      <x:c r="X176" s="78"/>
      <x:c r="Y176" s="78"/>
      <x:c r="Z176" s="78"/>
    </x:row>
    <x:row r="177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78"/>
      <x:c r="U177" s="78"/>
      <x:c r="V177" s="78"/>
      <x:c r="W177" s="78"/>
      <x:c r="X177" s="78"/>
      <x:c r="Y177" s="78"/>
      <x:c r="Z177" s="78"/>
    </x:row>
    <x:row r="178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78"/>
      <x:c r="U178" s="78"/>
      <x:c r="V178" s="78"/>
      <x:c r="W178" s="78"/>
      <x:c r="X178" s="78"/>
      <x:c r="Y178" s="78"/>
      <x:c r="Z178" s="78"/>
    </x:row>
    <x:row r="179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78"/>
      <x:c r="U179" s="78"/>
      <x:c r="V179" s="78"/>
      <x:c r="W179" s="78"/>
      <x:c r="X179" s="78"/>
      <x:c r="Y179" s="78"/>
      <x:c r="Z179" s="78"/>
    </x:row>
    <x:row r="180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78"/>
      <x:c r="U180" s="78"/>
      <x:c r="V180" s="78"/>
      <x:c r="W180" s="78"/>
      <x:c r="X180" s="78"/>
      <x:c r="Y180" s="78"/>
      <x:c r="Z180" s="78"/>
    </x:row>
    <x:row r="18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78"/>
      <x:c r="U181" s="78"/>
      <x:c r="V181" s="78"/>
      <x:c r="W181" s="78"/>
      <x:c r="X181" s="78"/>
      <x:c r="Y181" s="78"/>
      <x:c r="Z181" s="78"/>
    </x:row>
    <x:row r="182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78"/>
      <x:c r="U182" s="78"/>
      <x:c r="V182" s="78"/>
      <x:c r="W182" s="78"/>
      <x:c r="X182" s="78"/>
      <x:c r="Y182" s="78"/>
      <x:c r="Z182" s="78"/>
    </x:row>
    <x:row r="183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78"/>
      <x:c r="U183" s="78"/>
      <x:c r="V183" s="78"/>
      <x:c r="W183" s="78"/>
      <x:c r="X183" s="78"/>
      <x:c r="Y183" s="78"/>
      <x:c r="Z183" s="78"/>
    </x:row>
    <x:row r="184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78"/>
      <x:c r="U184" s="78"/>
      <x:c r="V184" s="78"/>
      <x:c r="W184" s="78"/>
      <x:c r="X184" s="78"/>
      <x:c r="Y184" s="78"/>
      <x:c r="Z184" s="78"/>
    </x:row>
    <x:row r="185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78"/>
      <x:c r="U185" s="78"/>
      <x:c r="V185" s="78"/>
      <x:c r="W185" s="78"/>
      <x:c r="X185" s="78"/>
      <x:c r="Y185" s="78"/>
      <x:c r="Z185" s="78"/>
    </x:row>
    <x:row r="186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78"/>
      <x:c r="U186" s="78"/>
      <x:c r="V186" s="78"/>
      <x:c r="W186" s="78"/>
      <x:c r="X186" s="78"/>
      <x:c r="Y186" s="78"/>
      <x:c r="Z186" s="78"/>
    </x:row>
    <x:row r="187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78"/>
      <x:c r="U187" s="78"/>
      <x:c r="V187" s="78"/>
      <x:c r="W187" s="78"/>
      <x:c r="X187" s="78"/>
      <x:c r="Y187" s="78"/>
      <x:c r="Z187" s="78"/>
    </x:row>
    <x:row r="188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78"/>
      <x:c r="U188" s="78"/>
      <x:c r="V188" s="78"/>
      <x:c r="W188" s="78"/>
      <x:c r="X188" s="78"/>
      <x:c r="Y188" s="78"/>
      <x:c r="Z188" s="78"/>
    </x:row>
    <x:row r="189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78"/>
      <x:c r="U189" s="78"/>
      <x:c r="V189" s="78"/>
      <x:c r="W189" s="78"/>
      <x:c r="X189" s="78"/>
      <x:c r="Y189" s="78"/>
      <x:c r="Z189" s="78"/>
    </x:row>
    <x:row r="190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78"/>
      <x:c r="U190" s="78"/>
      <x:c r="V190" s="78"/>
      <x:c r="W190" s="78"/>
      <x:c r="X190" s="78"/>
      <x:c r="Y190" s="78"/>
      <x:c r="Z190" s="78"/>
    </x:row>
    <x:row r="19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78"/>
      <x:c r="U191" s="78"/>
      <x:c r="V191" s="78"/>
      <x:c r="W191" s="78"/>
      <x:c r="X191" s="78"/>
      <x:c r="Y191" s="78"/>
      <x:c r="Z191" s="78"/>
    </x:row>
    <x:row r="192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78"/>
      <x:c r="U192" s="78"/>
      <x:c r="V192" s="78"/>
      <x:c r="W192" s="78"/>
      <x:c r="X192" s="78"/>
      <x:c r="Y192" s="78"/>
      <x:c r="Z192" s="78"/>
    </x:row>
    <x:row r="193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78"/>
      <x:c r="U193" s="78"/>
      <x:c r="V193" s="78"/>
      <x:c r="W193" s="78"/>
      <x:c r="X193" s="78"/>
      <x:c r="Y193" s="78"/>
      <x:c r="Z193" s="78"/>
    </x:row>
    <x:row r="194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78"/>
      <x:c r="U194" s="78"/>
      <x:c r="V194" s="78"/>
      <x:c r="W194" s="78"/>
      <x:c r="X194" s="78"/>
      <x:c r="Y194" s="78"/>
      <x:c r="Z194" s="78"/>
    </x:row>
    <x:row r="195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78"/>
    </x:row>
    <x:row r="196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78"/>
      <x:c r="U196" s="78"/>
      <x:c r="V196" s="78"/>
      <x:c r="W196" s="78"/>
      <x:c r="X196" s="78"/>
      <x:c r="Y196" s="78"/>
      <x:c r="Z196" s="78"/>
    </x:row>
    <x:row r="197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78"/>
      <x:c r="U197" s="78"/>
      <x:c r="V197" s="78"/>
      <x:c r="W197" s="78"/>
      <x:c r="X197" s="78"/>
      <x:c r="Y197" s="78"/>
      <x:c r="Z197" s="78"/>
    </x:row>
    <x:row r="198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78"/>
      <x:c r="U198" s="78"/>
      <x:c r="V198" s="78"/>
      <x:c r="W198" s="78"/>
      <x:c r="X198" s="78"/>
      <x:c r="Y198" s="78"/>
      <x:c r="Z198" s="78"/>
    </x:row>
    <x:row r="199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78"/>
    </x:row>
    <x:row r="200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78"/>
    </x:row>
  </x:sheetData>
  <x:mergeCells>
    <x:mergeCell ref="A1:I1"/>
    <x:mergeCell ref="A2:I2"/>
    <x:mergeCell ref="A4:I4"/>
    <x:mergeCell ref="A10:G10"/>
    <x:mergeCell ref="A11:G11"/>
    <x:mergeCell ref="A18:I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30" hidden="0" customWidth="1"/>
    <x:col min="6" max="6" width="38" hidden="0" customWidth="1"/>
    <x:col min="7" max="7" width="44" hidden="0" customWidth="1"/>
  </x:cols>
  <x:sheetData>
    <x:row r="1" ht="34" customHeight="1">
      <x:c r="A1" s="77" t="str">
        <x:v>Monthly production COGS</x:v>
      </x:c>
      <x:c r="B1" s="77"/>
      <x:c r="C1" s="77"/>
      <x:c r="D1" s="77"/>
      <x:c r="E1" s="77"/>
      <x:c r="F1" s="77"/>
      <x:c r="G1" s="77"/>
      <x:c r="H1" s="78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  <x:c r="V1" s="78"/>
      <x:c r="W1" s="78"/>
      <x:c r="X1" s="78"/>
      <x:c r="Y1" s="78"/>
      <x:c r="Z1" s="78"/>
    </x:row>
    <x:row r="2" ht="28" customHeight="1">
      <x:c r="A2" s="5" t="str">
        <x:v>Expected is likely monthly consumption. Funded guardrail is the cash/credit envelope held to avoid a usage-limit incident.</x:v>
      </x:c>
      <x:c r="B2" s="5"/>
      <x:c r="C2" s="5"/>
      <x:c r="D2" s="5"/>
      <x:c r="E2" s="5"/>
      <x:c r="F2" s="5"/>
      <x:c r="G2" s="5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</x:row>
    <x:row r="4" ht="24" customHeight="1">
      <x:c r="A4" s="79" t="str">
        <x:v>Shared production services</x:v>
      </x:c>
      <x:c r="B4" s="79"/>
      <x:c r="C4" s="79"/>
      <x:c r="D4" s="79"/>
      <x:c r="E4" s="79"/>
      <x:c r="F4" s="79"/>
      <x:c r="G4" s="79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8"/>
      <x:c r="V4" s="78"/>
      <x:c r="W4" s="78"/>
      <x:c r="X4" s="78"/>
      <x:c r="Y4" s="78"/>
      <x:c r="Z4" s="78"/>
    </x:row>
    <x:row r="5">
      <x:c r="A5" s="80" t="str">
        <x:v>Cost head</x:v>
      </x:c>
      <x:c r="B5" s="80" t="str">
        <x:v>Expected US$</x:v>
      </x:c>
      <x:c r="C5" s="80" t="str">
        <x:v>Guardrail US$</x:v>
      </x:c>
      <x:c r="D5" s="80" t="str">
        <x:v>Allocation</x:v>
      </x:c>
      <x:c r="E5" s="80" t="str">
        <x:v>Billing basis</x:v>
      </x:c>
      <x:c r="F5" s="80" t="str">
        <x:v>Included capability</x:v>
      </x:c>
      <x:c r="G5" s="80" t="str">
        <x:v>Source / note</x:v>
      </x:c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</x:row>
    <x:row r="6">
      <x:c r="A6" s="81" t="str">
        <x:v>Vercel Pro</x:v>
      </x:c>
      <x:c r="B6" s="97" t="n">
        <x:v>20</x:v>
      </x:c>
      <x:c r="C6" s="97" t="n">
        <x:v>40</x:v>
      </x:c>
      <x:c r="D6" s="81" t="str">
        <x:v>Shared</x:v>
      </x:c>
      <x:c r="E6" s="81" t="str">
        <x:v>Team platform + overage buffer</x:v>
      </x:c>
      <x:c r="F6" s="81" t="str">
        <x:v>Deployment, CDN, functions, WAF</x:v>
      </x:c>
      <x:c r="G6" s="81" t="str">
        <x:v>One deploying seat; usage credit included</x:v>
      </x:c>
      <x:c r="H6" s="78"/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</x:row>
    <x:row r="7">
      <x:c r="A7" s="81" t="str">
        <x:v>Monitoring + incident response</x:v>
      </x:c>
      <x:c r="B7" s="97" t="n">
        <x:v>64</x:v>
      </x:c>
      <x:c r="C7" s="97" t="n">
        <x:v>64</x:v>
      </x:c>
      <x:c r="D7" s="81" t="str">
        <x:v>Shared</x:v>
      </x:c>
      <x:c r="E7" s="81" t="str">
        <x:v>Better Stack Responder + telemetry</x:v>
      </x:c>
      <x:c r="F7" s="81" t="str">
        <x:v>Uptime, logs, on-call</x:v>
      </x:c>
      <x:c r="G7" s="81" t="str">
        <x:v>Do not launch with provider logs alone</x:v>
      </x:c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78"/>
      <x:c r="W7" s="78"/>
      <x:c r="X7" s="78"/>
      <x:c r="Y7" s="78"/>
      <x:c r="Z7" s="78"/>
    </x:row>
    <x:row r="8">
      <x:c r="A8" s="81" t="str">
        <x:v>Transactional email</x:v>
      </x:c>
      <x:c r="B8" s="97" t="n">
        <x:v>20</x:v>
      </x:c>
      <x:c r="C8" s="97" t="n">
        <x:v>20</x:v>
      </x:c>
      <x:c r="D8" s="81" t="str">
        <x:v>Shared</x:v>
      </x:c>
      <x:c r="E8" s="81" t="str">
        <x:v>Resend Pro allowance</x:v>
      </x:c>
      <x:c r="F8" s="81" t="str">
        <x:v>Password reset, alerts, reports</x:v>
      </x:c>
      <x:c r="G8" s="81" t="str">
        <x:v>50k emails/month allowance</x:v>
      </x:c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/>
      <x:c r="U8" s="78"/>
      <x:c r="V8" s="78"/>
      <x:c r="W8" s="78"/>
      <x:c r="X8" s="78"/>
      <x:c r="Y8" s="78"/>
      <x:c r="Z8" s="78"/>
    </x:row>
    <x:row r="9">
      <x:c r="A9" s="83" t="str">
        <x:v>Security / dependency scanning</x:v>
      </x:c>
      <x:c r="B9" s="98" t="n">
        <x:v>20</x:v>
      </x:c>
      <x:c r="C9" s="98" t="n">
        <x:v>30</x:v>
      </x:c>
      <x:c r="D9" s="83" t="str">
        <x:v>Shared</x:v>
      </x:c>
      <x:c r="E9" s="83" t="str">
        <x:v>Allowance</x:v>
      </x:c>
      <x:c r="F9" s="83" t="str">
        <x:v>Secrets/dependencies/app checks</x:v>
      </x:c>
      <x:c r="G9" s="83" t="str">
        <x:v>May be replaced by bundled service</x:v>
      </x:c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78"/>
      <x:c r="U9" s="78"/>
      <x:c r="V9" s="78"/>
      <x:c r="W9" s="78"/>
      <x:c r="X9" s="78"/>
      <x:c r="Y9" s="78"/>
      <x:c r="Z9" s="78"/>
    </x:row>
    <x:row r="10">
      <x:c r="A10" s="104" t="str">
        <x:v>Shared production subtotal</x:v>
      </x:c>
      <x:c r="B10" s="105" t="n">
        <x:f>SUM(B6:B9)</x:f>
        <x:v>124</x:v>
      </x:c>
      <x:c r="C10" s="105" t="n">
        <x:f>SUM(C6:C9)</x:f>
        <x:v>154</x:v>
      </x:c>
      <x:c r="D10" s="104" t="str">
        <x:v>Allocated across every live client deployment</x:v>
      </x:c>
      <x:c r="E10" s="104"/>
      <x:c r="F10" s="104"/>
      <x:c r="G10" s="104"/>
      <x:c r="H10" s="78"/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78"/>
      <x:c r="U10" s="78"/>
      <x:c r="V10" s="78"/>
      <x:c r="W10" s="78"/>
      <x:c r="X10" s="78"/>
      <x:c r="Y10" s="78"/>
      <x:c r="Z10" s="78"/>
    </x:row>
    <x:row r="11">
      <x:c r="A11" s="78"/>
      <x:c r="B11" s="106"/>
      <x:c r="C11" s="106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78"/>
      <x:c r="U11" s="78"/>
      <x:c r="V11" s="78"/>
      <x:c r="W11" s="78"/>
      <x:c r="X11" s="78"/>
      <x:c r="Y11" s="78"/>
      <x:c r="Z11" s="78"/>
    </x:row>
    <x:row r="12">
      <x:c r="A12" s="78"/>
      <x:c r="B12" s="106"/>
      <x:c r="C12" s="106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78"/>
      <x:c r="U12" s="78"/>
      <x:c r="V12" s="78"/>
      <x:c r="W12" s="78"/>
      <x:c r="X12" s="78"/>
      <x:c r="Y12" s="78"/>
      <x:c r="Z12" s="78"/>
    </x:row>
    <x:row r="13" ht="24" customHeight="1">
      <x:c r="A13" s="91" t="str">
        <x:v>Per-client isolated deployment</x:v>
      </x:c>
      <x:c r="B13" s="107"/>
      <x:c r="C13" s="107"/>
      <x:c r="D13" s="91"/>
      <x:c r="E13" s="91"/>
      <x:c r="F13" s="91"/>
      <x:c r="G13" s="91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78"/>
      <x:c r="U13" s="78"/>
      <x:c r="V13" s="78"/>
      <x:c r="W13" s="78"/>
      <x:c r="X13" s="78"/>
      <x:c r="Y13" s="78"/>
      <x:c r="Z13" s="78"/>
    </x:row>
    <x:row r="14">
      <x:c r="A14" s="80" t="str">
        <x:v>Cost head</x:v>
      </x:c>
      <x:c r="B14" s="108" t="str">
        <x:v>Expected US$</x:v>
      </x:c>
      <x:c r="C14" s="108" t="str">
        <x:v>Guardrail US$</x:v>
      </x:c>
      <x:c r="D14" s="80" t="str">
        <x:v>Allocation</x:v>
      </x:c>
      <x:c r="E14" s="80" t="str">
        <x:v>Billing basis</x:v>
      </x:c>
      <x:c r="F14" s="80" t="str">
        <x:v>Included capability</x:v>
      </x:c>
      <x:c r="G14" s="80" t="str">
        <x:v>Source / note</x:v>
      </x:c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78"/>
      <x:c r="U14" s="78"/>
      <x:c r="V14" s="78"/>
      <x:c r="W14" s="78"/>
      <x:c r="X14" s="78"/>
      <x:c r="Y14" s="78"/>
      <x:c r="Z14" s="78"/>
    </x:row>
    <x:row r="15">
      <x:c r="A15" s="81" t="str">
        <x:v>Neon Scale database</x:v>
      </x:c>
      <x:c r="B15" s="97" t="n">
        <x:v>55</x:v>
      </x:c>
      <x:c r="C15" s="97" t="n">
        <x:v>100</x:v>
      </x:c>
      <x:c r="D15" s="81" t="str">
        <x:v>Per client</x:v>
      </x:c>
      <x:c r="E15" s="81" t="str">
        <x:v>Warm prod + staging + storage/PITR</x:v>
      </x:c>
      <x:c r="F15" s="81" t="str">
        <x:v>30-day recovery, SLA/security controls</x:v>
      </x:c>
      <x:c r="G15" s="81" t="str">
        <x:v>Launch is cheaper but lacks enterprise controls</x:v>
      </x:c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78"/>
      <x:c r="U15" s="78"/>
      <x:c r="V15" s="78"/>
      <x:c r="W15" s="78"/>
      <x:c r="X15" s="78"/>
      <x:c r="Y15" s="78"/>
      <x:c r="Z15" s="78"/>
    </x:row>
    <x:row r="16">
      <x:c r="A16" s="81" t="str">
        <x:v>Anthropic production API</x:v>
      </x:c>
      <x:c r="B16" s="97" t="n">
        <x:f>'AI Usage'!H11</x:f>
        <x:v>149.87625</x:v>
      </x:c>
      <x:c r="C16" s="97" t="n">
        <x:v>500</x:v>
      </x:c>
      <x:c r="D16" s="81" t="str">
        <x:v>Per client</x:v>
      </x:c>
      <x:c r="E16" s="81" t="str">
        <x:v>Tokens + funded reserve</x:v>
      </x:c>
      <x:c r="F16" s="81" t="str">
        <x:v>Document extraction + copilot</x:v>
      </x:c>
      <x:c r="G16" s="81" t="str">
        <x:v>Guardrail intentionally exceeds stress forecast</x:v>
      </x:c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78"/>
      <x:c r="U16" s="78"/>
      <x:c r="V16" s="78"/>
      <x:c r="W16" s="78"/>
      <x:c r="X16" s="78"/>
      <x:c r="Y16" s="78"/>
      <x:c r="Z16" s="78"/>
    </x:row>
    <x:row r="17">
      <x:c r="A17" s="81" t="str">
        <x:v>Private object storage</x:v>
      </x:c>
      <x:c r="B17" s="97" t="n">
        <x:v>5</x:v>
      </x:c>
      <x:c r="C17" s="97" t="n">
        <x:v>10</x:v>
      </x:c>
      <x:c r="D17" s="81" t="str">
        <x:v>Per client</x:v>
      </x:c>
      <x:c r="E17" s="81" t="str">
        <x:v>Files + versions + transfer</x:v>
      </x:c>
      <x:c r="F17" s="81" t="str">
        <x:v>Slips, PIs, images and imports</x:v>
      </x:c>
      <x:c r="G17" s="81" t="str">
        <x:v>Move all base64 bodies out of Postgres</x:v>
      </x:c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78"/>
      <x:c r="U17" s="78"/>
      <x:c r="V17" s="78"/>
      <x:c r="W17" s="78"/>
      <x:c r="X17" s="78"/>
      <x:c r="Y17" s="78"/>
      <x:c r="Z17" s="78"/>
    </x:row>
    <x:row r="18">
      <x:c r="A18" s="81" t="str">
        <x:v>Off-provider encrypted backup</x:v>
      </x:c>
      <x:c r="B18" s="97" t="n">
        <x:v>5</x:v>
      </x:c>
      <x:c r="C18" s="97" t="n">
        <x:v>10</x:v>
      </x:c>
      <x:c r="D18" s="81" t="str">
        <x:v>Per client</x:v>
      </x:c>
      <x:c r="E18" s="81" t="str">
        <x:v>Daily dump + retention</x:v>
      </x:c>
      <x:c r="F18" s="81" t="str">
        <x:v>Vendor-independent restore</x:v>
      </x:c>
      <x:c r="G18" s="81" t="str">
        <x:v>Quarterly restore drill</x:v>
      </x:c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78"/>
      <x:c r="W18" s="78"/>
      <x:c r="X18" s="78"/>
      <x:c r="Y18" s="78"/>
      <x:c r="Z18" s="78"/>
    </x:row>
    <x:row r="19">
      <x:c r="A19" s="81" t="str">
        <x:v>Domain / DNS allocation</x:v>
      </x:c>
      <x:c r="B19" s="97" t="n">
        <x:v>2</x:v>
      </x:c>
      <x:c r="C19" s="97" t="n">
        <x:v>2</x:v>
      </x:c>
      <x:c r="D19" s="81" t="str">
        <x:v>Per client</x:v>
      </x:c>
      <x:c r="E19" s="81" t="str">
        <x:v>Annualized</x:v>
      </x:c>
      <x:c r="F19" s="81" t="str">
        <x:v>Client URL</x:v>
      </x:c>
      <x:c r="G19" s="81" t="str">
        <x:v>Dedicated subdomain may reduce this</x:v>
      </x:c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78"/>
      <x:c r="W19" s="78"/>
      <x:c r="X19" s="78"/>
      <x:c r="Y19" s="78"/>
      <x:c r="Z19" s="78"/>
    </x:row>
    <x:row r="20">
      <x:c r="A20" s="81" t="str">
        <x:v>SSO / SCIM reserve</x:v>
      </x:c>
      <x:c r="B20" s="97" t="n">
        <x:v>0</x:v>
      </x:c>
      <x:c r="C20" s="97" t="n">
        <x:v>125</x:v>
      </x:c>
      <x:c r="D20" s="81" t="str">
        <x:v>Optional/client</x:v>
      </x:c>
      <x:c r="E20" s="81" t="str">
        <x:v>Enterprise connection</x:v>
      </x:c>
      <x:c r="F20" s="81" t="str">
        <x:v>Identity lifecycle</x:v>
      </x:c>
      <x:c r="G20" s="81" t="str">
        <x:v>Quote separately unless required</x:v>
      </x:c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78"/>
      <x:c r="U20" s="78"/>
      <x:c r="V20" s="78"/>
      <x:c r="W20" s="78"/>
      <x:c r="X20" s="78"/>
      <x:c r="Y20" s="78"/>
      <x:c r="Z20" s="78"/>
    </x:row>
    <x:row r="21">
      <x:c r="A21" s="83" t="str">
        <x:v>WhatsApp/SMS reserve</x:v>
      </x:c>
      <x:c r="B21" s="98" t="n">
        <x:v>0</x:v>
      </x:c>
      <x:c r="C21" s="98" t="n">
        <x:v>25</x:v>
      </x:c>
      <x:c r="D21" s="83" t="str">
        <x:v>Optional/client</x:v>
      </x:c>
      <x:c r="E21" s="83" t="str">
        <x:v>Provider usage</x:v>
      </x:c>
      <x:c r="F21" s="83" t="str">
        <x:v>Operational messages / OTP</x:v>
      </x:c>
      <x:c r="G21" s="83" t="str">
        <x:v>Pass through usage + service margin</x:v>
      </x:c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78"/>
    </x:row>
    <x:row r="22">
      <x:c r="A22" s="104" t="str">
        <x:v>Per-client subtotal</x:v>
      </x:c>
      <x:c r="B22" s="105" t="n">
        <x:f>SUM(B15:B21)</x:f>
        <x:v>216.87625</x:v>
      </x:c>
      <x:c r="C22" s="105" t="n">
        <x:f>SUM(C15:C21)</x:f>
        <x:v>772</x:v>
      </x:c>
      <x:c r="D22" s="104" t="str">
        <x:v>Expected includes usage; Guardrail includes funded resilience and optional enterprise capacity</x:v>
      </x:c>
      <x:c r="E22" s="104"/>
      <x:c r="F22" s="104"/>
      <x:c r="G22" s="104"/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78"/>
      <x:c r="U22" s="78"/>
      <x:c r="V22" s="78"/>
      <x:c r="W22" s="78"/>
      <x:c r="X22" s="78"/>
      <x:c r="Y22" s="78"/>
      <x:c r="Z22" s="78"/>
    </x:row>
    <x:row r="23">
      <x:c r="A23" s="78"/>
      <x:c r="B23" s="106"/>
      <x:c r="C23" s="106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78"/>
      <x:c r="W23" s="78"/>
      <x:c r="X23" s="78"/>
      <x:c r="Y23" s="78"/>
      <x:c r="Z23" s="78"/>
    </x:row>
    <x:row r="24">
      <x:c r="A24" s="78"/>
      <x:c r="B24" s="106"/>
      <x:c r="C24" s="106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78"/>
      <x:c r="U24" s="78"/>
      <x:c r="V24" s="78"/>
      <x:c r="W24" s="78"/>
      <x:c r="X24" s="78"/>
      <x:c r="Y24" s="78"/>
      <x:c r="Z24" s="78"/>
    </x:row>
    <x:row r="25" ht="24" customHeight="1">
      <x:c r="A25" s="101" t="str">
        <x:v>Shared solo-founder engineering capacity</x:v>
      </x:c>
      <x:c r="B25" s="109"/>
      <x:c r="C25" s="109"/>
      <x:c r="D25" s="101"/>
      <x:c r="E25" s="101"/>
      <x:c r="F25" s="101"/>
      <x:c r="G25" s="101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78"/>
    </x:row>
    <x:row r="26">
      <x:c r="A26" s="80" t="str">
        <x:v>Cost head</x:v>
      </x:c>
      <x:c r="B26" s="108" t="str">
        <x:v>Expected US$</x:v>
      </x:c>
      <x:c r="C26" s="108" t="str">
        <x:v>Guardrail US$</x:v>
      </x:c>
      <x:c r="D26" s="80" t="str">
        <x:v>Allocation</x:v>
      </x:c>
      <x:c r="E26" s="80" t="str">
        <x:v>Billing basis</x:v>
      </x:c>
      <x:c r="F26" s="80" t="str">
        <x:v>Purpose</x:v>
      </x:c>
      <x:c r="G26" s="80" t="str">
        <x:v>Note</x:v>
      </x:c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78"/>
      <x:c r="W26" s="78"/>
      <x:c r="X26" s="78"/>
      <x:c r="Y26" s="78"/>
      <x:c r="Z26" s="78"/>
    </x:row>
    <x:row r="27">
      <x:c r="A27" s="81" t="str">
        <x:v>Claude Max 20×</x:v>
      </x:c>
      <x:c r="B27" s="97" t="n">
        <x:v>200</x:v>
      </x:c>
      <x:c r="C27" s="97" t="n">
        <x:v>200</x:v>
      </x:c>
      <x:c r="D27" s="81" t="str">
        <x:v>Shared</x:v>
      </x:c>
      <x:c r="E27" s="81" t="str">
        <x:v>Subscription</x:v>
      </x:c>
      <x:c r="F27" s="81" t="str">
        <x:v>Primary product development</x:v>
      </x:c>
      <x:c r="G27" s="81" t="str">
        <x:v>Separate from production API</x:v>
      </x:c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78"/>
      <x:c r="W27" s="78"/>
      <x:c r="X27" s="78"/>
      <x:c r="Y27" s="78"/>
      <x:c r="Z27" s="78"/>
    </x:row>
    <x:row r="28">
      <x:c r="A28" s="81" t="str">
        <x:v>ChatGPT Pro / Codex</x:v>
      </x:c>
      <x:c r="B28" s="97" t="n">
        <x:v>200</x:v>
      </x:c>
      <x:c r="C28" s="97" t="n">
        <x:v>200</x:v>
      </x:c>
      <x:c r="D28" s="81" t="str">
        <x:v>Shared</x:v>
      </x:c>
      <x:c r="E28" s="81" t="str">
        <x:v>Subscription</x:v>
      </x:c>
      <x:c r="F28" s="81" t="str">
        <x:v>Code generation, review, testing</x:v>
      </x:c>
      <x:c r="G28" s="81" t="str">
        <x:v>Separate from production API</x:v>
      </x:c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78"/>
      <x:c r="U28" s="78"/>
      <x:c r="V28" s="78"/>
      <x:c r="W28" s="78"/>
      <x:c r="X28" s="78"/>
      <x:c r="Y28" s="78"/>
      <x:c r="Z28" s="78"/>
    </x:row>
    <x:row r="29">
      <x:c r="A29" s="81" t="str">
        <x:v>Claude overflow API credits</x:v>
      </x:c>
      <x:c r="B29" s="97" t="n">
        <x:v>100</x:v>
      </x:c>
      <x:c r="C29" s="97" t="n">
        <x:v>100</x:v>
      </x:c>
      <x:c r="D29" s="81" t="str">
        <x:v>Shared</x:v>
      </x:c>
      <x:c r="E29" s="81" t="str">
        <x:v>Funded allowance</x:v>
      </x:c>
      <x:c r="F29" s="81" t="str">
        <x:v>Agentic overflow / batch work</x:v>
      </x:c>
      <x:c r="G29" s="81" t="str">
        <x:v>Auto-reload with cap</x:v>
      </x:c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</x:row>
    <x:row r="30">
      <x:c r="A30" s="81" t="str">
        <x:v>Codex flexible credits</x:v>
      </x:c>
      <x:c r="B30" s="97" t="n">
        <x:v>100</x:v>
      </x:c>
      <x:c r="C30" s="97" t="n">
        <x:v>100</x:v>
      </x:c>
      <x:c r="D30" s="81" t="str">
        <x:v>Shared</x:v>
      </x:c>
      <x:c r="E30" s="81" t="str">
        <x:v>Funded allowance</x:v>
      </x:c>
      <x:c r="F30" s="81" t="str">
        <x:v>Work beyond included usage</x:v>
      </x:c>
      <x:c r="G30" s="81" t="str">
        <x:v>Auto-top-up with cap</x:v>
      </x:c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78"/>
    </x:row>
    <x:row r="31">
      <x:c r="A31" s="81" t="str">
        <x:v>GitHub Team</x:v>
      </x:c>
      <x:c r="B31" s="97" t="n">
        <x:v>4</x:v>
      </x:c>
      <x:c r="C31" s="97" t="n">
        <x:v>4</x:v>
      </x:c>
      <x:c r="D31" s="81" t="str">
        <x:v>Shared</x:v>
      </x:c>
      <x:c r="E31" s="81" t="str">
        <x:v>One seat</x:v>
      </x:c>
      <x:c r="F31" s="81" t="str">
        <x:v>Source control and review</x:v>
      </x:c>
      <x:c r="G31" s="81" t="str">
        <x:v>Add seats when staffing</x:v>
      </x:c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78"/>
      <x:c r="W31" s="78"/>
      <x:c r="X31" s="78"/>
      <x:c r="Y31" s="78"/>
      <x:c r="Z31" s="78"/>
    </x:row>
    <x:row r="32">
      <x:c r="A32" s="81" t="str">
        <x:v>1Password Teams Starter</x:v>
      </x:c>
      <x:c r="B32" s="97" t="n">
        <x:v>24.95</x:v>
      </x:c>
      <x:c r="C32" s="97" t="n">
        <x:v>24.95</x:v>
      </x:c>
      <x:c r="D32" s="81" t="str">
        <x:v>Shared</x:v>
      </x:c>
      <x:c r="E32" s="81" t="str">
        <x:v>Team plan</x:v>
      </x:c>
      <x:c r="F32" s="81" t="str">
        <x:v>Secrets and recovery</x:v>
      </x:c>
      <x:c r="G32" s="81" t="str">
        <x:v>Up to 10 users</x:v>
      </x:c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78"/>
      <x:c r="U32" s="78"/>
      <x:c r="V32" s="78"/>
      <x:c r="W32" s="78"/>
      <x:c r="X32" s="78"/>
      <x:c r="Y32" s="78"/>
      <x:c r="Z32" s="78"/>
    </x:row>
    <x:row r="33">
      <x:c r="A33" s="83" t="str">
        <x:v>Misc. developer services</x:v>
      </x:c>
      <x:c r="B33" s="98" t="n">
        <x:v>25</x:v>
      </x:c>
      <x:c r="C33" s="98" t="n">
        <x:v>50</x:v>
      </x:c>
      <x:c r="D33" s="83" t="str">
        <x:v>Shared</x:v>
      </x:c>
      <x:c r="E33" s="83" t="str">
        <x:v>Allowance</x:v>
      </x:c>
      <x:c r="F33" s="83" t="str">
        <x:v>Testing, email, package services</x:v>
      </x:c>
      <x:c r="G33" s="83" t="str">
        <x:v>Review quarterly</x:v>
      </x:c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</x:row>
    <x:row r="34">
      <x:c r="A34" s="68" t="str">
        <x:v>Shared engineering subtotal</x:v>
      </x:c>
      <x:c r="B34" s="110" t="n">
        <x:f>SUM(B27:B33)</x:f>
        <x:v>653.95</x:v>
      </x:c>
      <x:c r="C34" s="110" t="n">
        <x:f>SUM(C27:C33)</x:f>
        <x:v>678.95</x:v>
      </x:c>
      <x:c r="D34" s="68" t="str">
        <x:v>This is a company operating cost, not a per-client API charge</x:v>
      </x:c>
      <x:c r="E34" s="68"/>
      <x:c r="F34" s="68"/>
      <x:c r="G34" s="6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</x:row>
    <x:row r="35">
      <x:c r="A35" s="78"/>
      <x:c r="B35" s="106"/>
      <x:c r="C35" s="106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</x:row>
    <x:row r="36">
      <x:c r="A36" s="78"/>
      <x:c r="B36" s="106"/>
      <x:c r="C36" s="106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78"/>
      <x:c r="U36" s="78"/>
      <x:c r="V36" s="78"/>
      <x:c r="W36" s="78"/>
      <x:c r="X36" s="78"/>
      <x:c r="Y36" s="78"/>
      <x:c r="Z36" s="78"/>
    </x:row>
    <x:row r="37" ht="24" customHeight="1">
      <x:c r="A37" s="79" t="str">
        <x:v>One-client monthly cash view</x:v>
      </x:c>
      <x:c r="B37" s="111"/>
      <x:c r="C37" s="111"/>
      <x:c r="D37" s="79"/>
      <x:c r="E37" s="79"/>
      <x:c r="F37" s="79"/>
      <x:c r="G37" s="79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78"/>
    </x:row>
    <x:row r="38">
      <x:c r="A38" s="80" t="str">
        <x:v>Metric</x:v>
      </x:c>
      <x:c r="B38" s="108" t="str">
        <x:v>Expected</x:v>
      </x:c>
      <x:c r="C38" s="108" t="str">
        <x:v>Guardrail</x:v>
      </x:c>
      <x:c r="D38" s="80" t="str">
        <x:v>Unit</x:v>
      </x:c>
      <x:c r="E38" s="80" t="str">
        <x:v>Formula</x:v>
      </x:c>
      <x:c r="F38" s="80" t="str">
        <x:v>Interpretation</x:v>
      </x:c>
      <x:c r="G38" s="80" t="str">
        <x:v>Commercial treatment</x:v>
      </x:c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78"/>
    </x:row>
    <x:row r="39">
      <x:c r="A39" s="81" t="str">
        <x:v>Production platform</x:v>
      </x:c>
      <x:c r="B39" s="97" t="n">
        <x:f>B10+B22</x:f>
        <x:v>340.87625</x:v>
      </x:c>
      <x:c r="C39" s="97" t="n">
        <x:f>C10+C22</x:f>
        <x:v>926</x:v>
      </x:c>
      <x:c r="D39" s="81" t="str">
        <x:v>US$/month</x:v>
      </x:c>
      <x:c r="E39" s="81" t="str">
        <x:v>shared production + client</x:v>
      </x:c>
      <x:c r="F39" s="81" t="str">
        <x:v>Live service cost</x:v>
      </x:c>
      <x:c r="G39" s="81" t="str">
        <x:v>Recurring COGS</x:v>
      </x:c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78"/>
    </x:row>
    <x:row r="40">
      <x:c r="A40" s="81" t="str">
        <x:v>Including founder engineering tools</x:v>
      </x:c>
      <x:c r="B40" s="97" t="n">
        <x:f>B39+B34</x:f>
        <x:v>994.8262500000001</x:v>
      </x:c>
      <x:c r="C40" s="97" t="n">
        <x:f>C39+C34</x:f>
        <x:v>1604.95</x:v>
      </x:c>
      <x:c r="D40" s="81" t="str">
        <x:v>US$/month</x:v>
      </x:c>
      <x:c r="E40" s="81" t="str">
        <x:v>+ shared engineering</x:v>
      </x:c>
      <x:c r="F40" s="81" t="str">
        <x:v>One-client cash burn</x:v>
      </x:c>
      <x:c r="G40" s="81" t="str">
        <x:v>Do not pretend this is zero</x:v>
      </x:c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78"/>
      <x:c r="U40" s="78"/>
      <x:c r="V40" s="78"/>
      <x:c r="W40" s="78"/>
      <x:c r="X40" s="78"/>
      <x:c r="Y40" s="78"/>
      <x:c r="Z40" s="78"/>
    </x:row>
    <x:row r="41">
      <x:c r="A41" s="88" t="str">
        <x:v>Cash burn incl. FX + GST</x:v>
      </x:c>
      <x:c r="B41" s="112" t="n">
        <x:f>B40*'Assumptions'!B38*(1+'Assumptions'!B39/100)*(1+'Assumptions'!B40/100)</x:f>
        <x:v>106918.35432299999</x:v>
      </x:c>
      <x:c r="C41" s="112" t="n">
        <x:f>C40*'Assumptions'!B38*(1+'Assumptions'!B39/100)*(1+'Assumptions'!B40/100)</x:f>
        <x:v>172491.03827999998</x:v>
      </x:c>
      <x:c r="D41" s="88" t="str">
        <x:v>₹/month</x:v>
      </x:c>
      <x:c r="E41" s="88" t="str">
        <x:v>US$ × FX × card × GST</x:v>
      </x:c>
      <x:c r="F41" s="88" t="str">
        <x:v>Funding requirement</x:v>
      </x:c>
      <x:c r="G41" s="88" t="str">
        <x:v>GST may be creditable</x:v>
      </x:c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</x:row>
    <x:row r="42">
      <x:c r="A42" s="113" t="str">
        <x:v>24-month cash run-rate</x:v>
      </x:c>
      <x:c r="B42" s="114" t="n">
        <x:f>B41*24</x:f>
        <x:v>2566040.5037519997</x:v>
      </x:c>
      <x:c r="C42" s="114" t="n">
        <x:f>C41*24</x:f>
        <x:v>4139784.9187199995</x:v>
      </x:c>
      <x:c r="D42" s="113" t="str">
        <x:v>₹</x:v>
      </x:c>
      <x:c r="E42" s="113" t="str">
        <x:v>monthly × 24</x:v>
      </x:c>
      <x:c r="F42" s="113" t="str">
        <x:v>Excludes one-time launch</x:v>
      </x:c>
      <x:c r="G42" s="113" t="str">
        <x:v>Use in runway plan</x:v>
      </x:c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8"/>
    </x:row>
    <x:row r="43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78"/>
    </x:row>
    <x:row r="44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</x:row>
    <x:row r="45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78"/>
    </x:row>
    <x:row r="46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78"/>
      <x:c r="U46" s="78"/>
      <x:c r="V46" s="78"/>
      <x:c r="W46" s="78"/>
      <x:c r="X46" s="78"/>
      <x:c r="Y46" s="78"/>
      <x:c r="Z46" s="78"/>
    </x:row>
    <x:row r="47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78"/>
      <x:c r="U47" s="78"/>
      <x:c r="V47" s="78"/>
      <x:c r="W47" s="78"/>
      <x:c r="X47" s="78"/>
      <x:c r="Y47" s="78"/>
      <x:c r="Z47" s="78"/>
    </x:row>
    <x:row r="48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78"/>
      <x:c r="U48" s="78"/>
      <x:c r="V48" s="78"/>
      <x:c r="W48" s="78"/>
      <x:c r="X48" s="78"/>
      <x:c r="Y48" s="78"/>
      <x:c r="Z48" s="78"/>
    </x:row>
    <x:row r="49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78"/>
      <x:c r="U49" s="78"/>
      <x:c r="V49" s="78"/>
      <x:c r="W49" s="78"/>
      <x:c r="X49" s="78"/>
      <x:c r="Y49" s="78"/>
      <x:c r="Z49" s="78"/>
    </x:row>
    <x:row r="50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78"/>
    </x:row>
    <x:row r="5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78"/>
      <x:c r="W51" s="78"/>
      <x:c r="X51" s="78"/>
      <x:c r="Y51" s="78"/>
      <x:c r="Z51" s="78"/>
    </x:row>
    <x:row r="52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78"/>
    </x:row>
    <x:row r="53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78"/>
    </x:row>
    <x:row r="54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78"/>
      <x:c r="U54" s="78"/>
      <x:c r="V54" s="78"/>
      <x:c r="W54" s="78"/>
      <x:c r="X54" s="78"/>
      <x:c r="Y54" s="78"/>
      <x:c r="Z54" s="78"/>
    </x:row>
    <x:row r="55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78"/>
    </x:row>
    <x:row r="56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78"/>
    </x:row>
    <x:row r="57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78"/>
    </x:row>
    <x:row r="58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</x:row>
    <x:row r="59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78"/>
      <x:c r="U59" s="78"/>
      <x:c r="V59" s="78"/>
      <x:c r="W59" s="78"/>
      <x:c r="X59" s="78"/>
      <x:c r="Y59" s="78"/>
      <x:c r="Z59" s="78"/>
    </x:row>
    <x:row r="60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</x:row>
    <x:row r="6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78"/>
      <x:c r="U61" s="78"/>
      <x:c r="V61" s="78"/>
      <x:c r="W61" s="78"/>
      <x:c r="X61" s="78"/>
      <x:c r="Y61" s="78"/>
      <x:c r="Z61" s="78"/>
    </x:row>
    <x:row r="62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78"/>
      <x:c r="U62" s="78"/>
      <x:c r="V62" s="78"/>
      <x:c r="W62" s="78"/>
      <x:c r="X62" s="78"/>
      <x:c r="Y62" s="78"/>
      <x:c r="Z62" s="78"/>
    </x:row>
    <x:row r="63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78"/>
    </x:row>
    <x:row r="64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78"/>
      <x:c r="U64" s="78"/>
      <x:c r="V64" s="78"/>
      <x:c r="W64" s="78"/>
      <x:c r="X64" s="78"/>
      <x:c r="Y64" s="78"/>
      <x:c r="Z64" s="78"/>
    </x:row>
    <x:row r="65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78"/>
      <x:c r="U65" s="78"/>
      <x:c r="V65" s="78"/>
      <x:c r="W65" s="78"/>
      <x:c r="X65" s="78"/>
      <x:c r="Y65" s="78"/>
      <x:c r="Z65" s="78"/>
    </x:row>
    <x:row r="66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78"/>
      <x:c r="U66" s="78"/>
      <x:c r="V66" s="78"/>
      <x:c r="W66" s="78"/>
      <x:c r="X66" s="78"/>
      <x:c r="Y66" s="78"/>
      <x:c r="Z66" s="78"/>
    </x:row>
    <x:row r="67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78"/>
      <x:c r="U67" s="78"/>
      <x:c r="V67" s="78"/>
      <x:c r="W67" s="78"/>
      <x:c r="X67" s="78"/>
      <x:c r="Y67" s="78"/>
      <x:c r="Z67" s="78"/>
    </x:row>
    <x:row r="68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78"/>
    </x:row>
    <x:row r="69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78"/>
      <x:c r="U69" s="78"/>
      <x:c r="V69" s="78"/>
      <x:c r="W69" s="78"/>
      <x:c r="X69" s="78"/>
      <x:c r="Y69" s="78"/>
      <x:c r="Z69" s="78"/>
    </x:row>
    <x:row r="70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78"/>
      <x:c r="U70" s="78"/>
      <x:c r="V70" s="78"/>
      <x:c r="W70" s="78"/>
      <x:c r="X70" s="78"/>
      <x:c r="Y70" s="78"/>
      <x:c r="Z70" s="78"/>
    </x:row>
    <x:row r="7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78"/>
      <x:c r="U71" s="78"/>
      <x:c r="V71" s="78"/>
      <x:c r="W71" s="78"/>
      <x:c r="X71" s="78"/>
      <x:c r="Y71" s="78"/>
      <x:c r="Z71" s="78"/>
    </x:row>
    <x:row r="72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78"/>
    </x:row>
    <x:row r="73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78"/>
      <x:c r="U73" s="78"/>
      <x:c r="V73" s="78"/>
      <x:c r="W73" s="78"/>
      <x:c r="X73" s="78"/>
      <x:c r="Y73" s="78"/>
      <x:c r="Z73" s="78"/>
    </x:row>
    <x:row r="74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78"/>
      <x:c r="U74" s="78"/>
      <x:c r="V74" s="78"/>
      <x:c r="W74" s="78"/>
      <x:c r="X74" s="78"/>
      <x:c r="Y74" s="78"/>
      <x:c r="Z74" s="78"/>
    </x:row>
    <x:row r="75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78"/>
    </x:row>
    <x:row r="76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78"/>
      <x:c r="U76" s="78"/>
      <x:c r="V76" s="78"/>
      <x:c r="W76" s="78"/>
      <x:c r="X76" s="78"/>
      <x:c r="Y76" s="78"/>
      <x:c r="Z76" s="78"/>
    </x:row>
    <x:row r="77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78"/>
    </x:row>
    <x:row r="78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78"/>
      <x:c r="U78" s="78"/>
      <x:c r="V78" s="78"/>
      <x:c r="W78" s="78"/>
      <x:c r="X78" s="78"/>
      <x:c r="Y78" s="78"/>
      <x:c r="Z78" s="78"/>
    </x:row>
    <x:row r="79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78"/>
      <x:c r="U79" s="78"/>
      <x:c r="V79" s="78"/>
      <x:c r="W79" s="78"/>
      <x:c r="X79" s="78"/>
      <x:c r="Y79" s="78"/>
      <x:c r="Z79" s="78"/>
    </x:row>
    <x:row r="80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78"/>
      <x:c r="U80" s="78"/>
      <x:c r="V80" s="78"/>
      <x:c r="W80" s="78"/>
      <x:c r="X80" s="78"/>
      <x:c r="Y80" s="78"/>
      <x:c r="Z80" s="78"/>
    </x:row>
    <x:row r="8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78"/>
      <x:c r="U81" s="78"/>
      <x:c r="V81" s="78"/>
      <x:c r="W81" s="78"/>
      <x:c r="X81" s="78"/>
      <x:c r="Y81" s="78"/>
      <x:c r="Z81" s="78"/>
    </x:row>
    <x:row r="82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78"/>
      <x:c r="U82" s="78"/>
      <x:c r="V82" s="78"/>
      <x:c r="W82" s="78"/>
      <x:c r="X82" s="78"/>
      <x:c r="Y82" s="78"/>
      <x:c r="Z82" s="78"/>
    </x:row>
    <x:row r="83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78"/>
      <x:c r="U83" s="78"/>
      <x:c r="V83" s="78"/>
      <x:c r="W83" s="78"/>
      <x:c r="X83" s="78"/>
      <x:c r="Y83" s="78"/>
      <x:c r="Z83" s="78"/>
    </x:row>
    <x:row r="84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78"/>
      <x:c r="U84" s="78"/>
      <x:c r="V84" s="78"/>
      <x:c r="W84" s="78"/>
      <x:c r="X84" s="78"/>
      <x:c r="Y84" s="78"/>
      <x:c r="Z84" s="78"/>
    </x:row>
    <x:row r="85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78"/>
      <x:c r="U85" s="78"/>
      <x:c r="V85" s="78"/>
      <x:c r="W85" s="78"/>
      <x:c r="X85" s="78"/>
      <x:c r="Y85" s="78"/>
      <x:c r="Z85" s="78"/>
    </x:row>
    <x:row r="86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78"/>
      <x:c r="U86" s="78"/>
      <x:c r="V86" s="78"/>
      <x:c r="W86" s="78"/>
      <x:c r="X86" s="78"/>
      <x:c r="Y86" s="78"/>
      <x:c r="Z86" s="78"/>
    </x:row>
    <x:row r="87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78"/>
      <x:c r="U87" s="78"/>
      <x:c r="V87" s="78"/>
      <x:c r="W87" s="78"/>
      <x:c r="X87" s="78"/>
      <x:c r="Y87" s="78"/>
      <x:c r="Z87" s="78"/>
    </x:row>
    <x:row r="88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78"/>
      <x:c r="U88" s="78"/>
      <x:c r="V88" s="78"/>
      <x:c r="W88" s="78"/>
      <x:c r="X88" s="78"/>
      <x:c r="Y88" s="78"/>
      <x:c r="Z88" s="78"/>
    </x:row>
    <x:row r="89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78"/>
      <x:c r="U89" s="78"/>
      <x:c r="V89" s="78"/>
      <x:c r="W89" s="78"/>
      <x:c r="X89" s="78"/>
      <x:c r="Y89" s="78"/>
      <x:c r="Z89" s="78"/>
    </x:row>
    <x:row r="90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78"/>
    </x:row>
    <x:row r="9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78"/>
      <x:c r="U91" s="78"/>
      <x:c r="V91" s="78"/>
      <x:c r="W91" s="78"/>
      <x:c r="X91" s="78"/>
      <x:c r="Y91" s="78"/>
      <x:c r="Z91" s="78"/>
    </x:row>
    <x:row r="92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78"/>
      <x:c r="U92" s="78"/>
      <x:c r="V92" s="78"/>
      <x:c r="W92" s="78"/>
      <x:c r="X92" s="78"/>
      <x:c r="Y92" s="78"/>
      <x:c r="Z92" s="78"/>
    </x:row>
    <x:row r="93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78"/>
      <x:c r="U93" s="78"/>
      <x:c r="V93" s="78"/>
      <x:c r="W93" s="78"/>
      <x:c r="X93" s="78"/>
      <x:c r="Y93" s="78"/>
      <x:c r="Z93" s="78"/>
    </x:row>
    <x:row r="94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78"/>
      <x:c r="U94" s="78"/>
      <x:c r="V94" s="78"/>
      <x:c r="W94" s="78"/>
      <x:c r="X94" s="78"/>
      <x:c r="Y94" s="78"/>
      <x:c r="Z94" s="78"/>
    </x:row>
    <x:row r="95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78"/>
      <x:c r="U95" s="78"/>
      <x:c r="V95" s="78"/>
      <x:c r="W95" s="78"/>
      <x:c r="X95" s="78"/>
      <x:c r="Y95" s="78"/>
      <x:c r="Z95" s="78"/>
    </x:row>
    <x:row r="96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78"/>
      <x:c r="U96" s="78"/>
      <x:c r="V96" s="78"/>
      <x:c r="W96" s="78"/>
      <x:c r="X96" s="78"/>
      <x:c r="Y96" s="78"/>
      <x:c r="Z96" s="78"/>
    </x:row>
    <x:row r="97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78"/>
      <x:c r="U97" s="78"/>
      <x:c r="V97" s="78"/>
      <x:c r="W97" s="78"/>
      <x:c r="X97" s="78"/>
      <x:c r="Y97" s="78"/>
      <x:c r="Z97" s="78"/>
    </x:row>
    <x:row r="98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78"/>
      <x:c r="U98" s="78"/>
      <x:c r="V98" s="78"/>
      <x:c r="W98" s="78"/>
      <x:c r="X98" s="78"/>
      <x:c r="Y98" s="78"/>
      <x:c r="Z98" s="78"/>
    </x:row>
    <x:row r="99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78"/>
      <x:c r="U99" s="78"/>
      <x:c r="V99" s="78"/>
      <x:c r="W99" s="78"/>
      <x:c r="X99" s="78"/>
      <x:c r="Y99" s="78"/>
      <x:c r="Z99" s="78"/>
    </x:row>
    <x:row r="100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78"/>
      <x:c r="U100" s="78"/>
      <x:c r="V100" s="78"/>
      <x:c r="W100" s="78"/>
      <x:c r="X100" s="78"/>
      <x:c r="Y100" s="78"/>
      <x:c r="Z100" s="78"/>
    </x:row>
    <x:row r="10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78"/>
      <x:c r="U101" s="78"/>
      <x:c r="V101" s="78"/>
      <x:c r="W101" s="78"/>
      <x:c r="X101" s="78"/>
      <x:c r="Y101" s="78"/>
      <x:c r="Z101" s="78"/>
    </x:row>
    <x:row r="102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78"/>
    </x:row>
    <x:row r="103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78"/>
    </x:row>
    <x:row r="104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78"/>
    </x:row>
    <x:row r="105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78"/>
      <x:c r="U105" s="78"/>
      <x:c r="V105" s="78"/>
      <x:c r="W105" s="78"/>
      <x:c r="X105" s="78"/>
      <x:c r="Y105" s="78"/>
      <x:c r="Z105" s="78"/>
    </x:row>
    <x:row r="106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78"/>
      <x:c r="U106" s="78"/>
      <x:c r="V106" s="78"/>
      <x:c r="W106" s="78"/>
      <x:c r="X106" s="78"/>
      <x:c r="Y106" s="78"/>
      <x:c r="Z106" s="78"/>
    </x:row>
    <x:row r="107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78"/>
      <x:c r="U107" s="78"/>
      <x:c r="V107" s="78"/>
      <x:c r="W107" s="78"/>
      <x:c r="X107" s="78"/>
      <x:c r="Y107" s="78"/>
      <x:c r="Z107" s="78"/>
    </x:row>
    <x:row r="108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78"/>
      <x:c r="U108" s="78"/>
      <x:c r="V108" s="78"/>
      <x:c r="W108" s="78"/>
      <x:c r="X108" s="78"/>
      <x:c r="Y108" s="78"/>
      <x:c r="Z108" s="78"/>
    </x:row>
    <x:row r="109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78"/>
      <x:c r="U109" s="78"/>
      <x:c r="V109" s="78"/>
      <x:c r="W109" s="78"/>
      <x:c r="X109" s="78"/>
      <x:c r="Y109" s="78"/>
      <x:c r="Z109" s="78"/>
    </x:row>
    <x:row r="110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</x:row>
    <x:row r="11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</x:row>
    <x:row r="112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</x:row>
    <x:row r="113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</x:row>
    <x:row r="114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</x:row>
    <x:row r="115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</x:row>
    <x:row r="116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</x:row>
    <x:row r="117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</x:row>
    <x:row r="118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</x:row>
    <x:row r="119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</x:row>
    <x:row r="120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</x:row>
    <x:row r="12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</x:row>
    <x:row r="122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</x:row>
    <x:row r="123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</x:row>
    <x:row r="124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</x:row>
    <x:row r="125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</x:row>
    <x:row r="126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</x:row>
    <x:row r="127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</x:row>
    <x:row r="128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</x:row>
    <x:row r="129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</x:row>
    <x:row r="130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</x:row>
    <x:row r="13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</x:row>
    <x:row r="132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</x:row>
    <x:row r="133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</x:row>
    <x:row r="134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</x:row>
    <x:row r="135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</x:row>
    <x:row r="136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</x:row>
    <x:row r="137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</x:row>
    <x:row r="138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</x:row>
    <x:row r="139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</x:row>
    <x:row r="140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</x:row>
    <x:row r="14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78"/>
      <x:c r="U141" s="78"/>
      <x:c r="V141" s="78"/>
      <x:c r="W141" s="78"/>
      <x:c r="X141" s="78"/>
      <x:c r="Y141" s="78"/>
      <x:c r="Z141" s="78"/>
    </x:row>
    <x:row r="142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78"/>
      <x:c r="U142" s="78"/>
      <x:c r="V142" s="78"/>
      <x:c r="W142" s="78"/>
      <x:c r="X142" s="78"/>
      <x:c r="Y142" s="78"/>
      <x:c r="Z142" s="78"/>
    </x:row>
    <x:row r="143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78"/>
      <x:c r="U143" s="78"/>
      <x:c r="V143" s="78"/>
      <x:c r="W143" s="78"/>
      <x:c r="X143" s="78"/>
      <x:c r="Y143" s="78"/>
      <x:c r="Z143" s="78"/>
    </x:row>
    <x:row r="144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78"/>
      <x:c r="U144" s="78"/>
      <x:c r="V144" s="78"/>
      <x:c r="W144" s="78"/>
      <x:c r="X144" s="78"/>
      <x:c r="Y144" s="78"/>
      <x:c r="Z144" s="78"/>
    </x:row>
    <x:row r="145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78"/>
      <x:c r="U145" s="78"/>
      <x:c r="V145" s="78"/>
      <x:c r="W145" s="78"/>
      <x:c r="X145" s="78"/>
      <x:c r="Y145" s="78"/>
      <x:c r="Z145" s="78"/>
    </x:row>
    <x:row r="146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78"/>
      <x:c r="U146" s="78"/>
      <x:c r="V146" s="78"/>
      <x:c r="W146" s="78"/>
      <x:c r="X146" s="78"/>
      <x:c r="Y146" s="78"/>
      <x:c r="Z146" s="78"/>
    </x:row>
    <x:row r="147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78"/>
      <x:c r="U147" s="78"/>
      <x:c r="V147" s="78"/>
      <x:c r="W147" s="78"/>
      <x:c r="X147" s="78"/>
      <x:c r="Y147" s="78"/>
      <x:c r="Z147" s="78"/>
    </x:row>
    <x:row r="148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78"/>
      <x:c r="U148" s="78"/>
      <x:c r="V148" s="78"/>
      <x:c r="W148" s="78"/>
      <x:c r="X148" s="78"/>
      <x:c r="Y148" s="78"/>
      <x:c r="Z148" s="78"/>
    </x:row>
    <x:row r="149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78"/>
      <x:c r="U149" s="78"/>
      <x:c r="V149" s="78"/>
      <x:c r="W149" s="78"/>
      <x:c r="X149" s="78"/>
      <x:c r="Y149" s="78"/>
      <x:c r="Z149" s="78"/>
    </x:row>
    <x:row r="150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78"/>
      <x:c r="U150" s="78"/>
      <x:c r="V150" s="78"/>
      <x:c r="W150" s="78"/>
      <x:c r="X150" s="78"/>
      <x:c r="Y150" s="78"/>
      <x:c r="Z150" s="78"/>
    </x:row>
    <x:row r="15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78"/>
      <x:c r="U151" s="78"/>
      <x:c r="V151" s="78"/>
      <x:c r="W151" s="78"/>
      <x:c r="X151" s="78"/>
      <x:c r="Y151" s="78"/>
      <x:c r="Z151" s="78"/>
    </x:row>
    <x:row r="152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78"/>
      <x:c r="U152" s="78"/>
      <x:c r="V152" s="78"/>
      <x:c r="W152" s="78"/>
      <x:c r="X152" s="78"/>
      <x:c r="Y152" s="78"/>
      <x:c r="Z152" s="78"/>
    </x:row>
    <x:row r="153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78"/>
      <x:c r="U153" s="78"/>
      <x:c r="V153" s="78"/>
      <x:c r="W153" s="78"/>
      <x:c r="X153" s="78"/>
      <x:c r="Y153" s="78"/>
      <x:c r="Z153" s="78"/>
    </x:row>
    <x:row r="154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78"/>
      <x:c r="U154" s="78"/>
      <x:c r="V154" s="78"/>
      <x:c r="W154" s="78"/>
      <x:c r="X154" s="78"/>
      <x:c r="Y154" s="78"/>
      <x:c r="Z154" s="78"/>
    </x:row>
    <x:row r="155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78"/>
      <x:c r="U155" s="78"/>
      <x:c r="V155" s="78"/>
      <x:c r="W155" s="78"/>
      <x:c r="X155" s="78"/>
      <x:c r="Y155" s="78"/>
      <x:c r="Z155" s="78"/>
    </x:row>
    <x:row r="156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78"/>
      <x:c r="U156" s="78"/>
      <x:c r="V156" s="78"/>
      <x:c r="W156" s="78"/>
      <x:c r="X156" s="78"/>
      <x:c r="Y156" s="78"/>
      <x:c r="Z156" s="78"/>
    </x:row>
    <x:row r="157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78"/>
      <x:c r="U157" s="78"/>
      <x:c r="V157" s="78"/>
      <x:c r="W157" s="78"/>
      <x:c r="X157" s="78"/>
      <x:c r="Y157" s="78"/>
      <x:c r="Z157" s="78"/>
    </x:row>
    <x:row r="158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78"/>
      <x:c r="U158" s="78"/>
      <x:c r="V158" s="78"/>
      <x:c r="W158" s="78"/>
      <x:c r="X158" s="78"/>
      <x:c r="Y158" s="78"/>
      <x:c r="Z158" s="78"/>
    </x:row>
    <x:row r="159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78"/>
      <x:c r="U159" s="78"/>
      <x:c r="V159" s="78"/>
      <x:c r="W159" s="78"/>
      <x:c r="X159" s="78"/>
      <x:c r="Y159" s="78"/>
      <x:c r="Z159" s="78"/>
    </x:row>
    <x:row r="160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78"/>
      <x:c r="U160" s="78"/>
      <x:c r="V160" s="78"/>
      <x:c r="W160" s="78"/>
      <x:c r="X160" s="78"/>
      <x:c r="Y160" s="78"/>
      <x:c r="Z160" s="78"/>
    </x:row>
    <x:row r="16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78"/>
      <x:c r="U161" s="78"/>
      <x:c r="V161" s="78"/>
      <x:c r="W161" s="78"/>
      <x:c r="X161" s="78"/>
      <x:c r="Y161" s="78"/>
      <x:c r="Z161" s="78"/>
    </x:row>
    <x:row r="162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78"/>
      <x:c r="U162" s="78"/>
      <x:c r="V162" s="78"/>
      <x:c r="W162" s="78"/>
      <x:c r="X162" s="78"/>
      <x:c r="Y162" s="78"/>
      <x:c r="Z162" s="78"/>
    </x:row>
    <x:row r="163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78"/>
      <x:c r="U163" s="78"/>
      <x:c r="V163" s="78"/>
      <x:c r="W163" s="78"/>
      <x:c r="X163" s="78"/>
      <x:c r="Y163" s="78"/>
      <x:c r="Z163" s="78"/>
    </x:row>
    <x:row r="164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78"/>
      <x:c r="U164" s="78"/>
      <x:c r="V164" s="78"/>
      <x:c r="W164" s="78"/>
      <x:c r="X164" s="78"/>
      <x:c r="Y164" s="78"/>
      <x:c r="Z164" s="78"/>
    </x:row>
    <x:row r="165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78"/>
      <x:c r="U165" s="78"/>
      <x:c r="V165" s="78"/>
      <x:c r="W165" s="78"/>
      <x:c r="X165" s="78"/>
      <x:c r="Y165" s="78"/>
      <x:c r="Z165" s="78"/>
    </x:row>
    <x:row r="166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78"/>
      <x:c r="U166" s="78"/>
      <x:c r="V166" s="78"/>
      <x:c r="W166" s="78"/>
      <x:c r="X166" s="78"/>
      <x:c r="Y166" s="78"/>
      <x:c r="Z166" s="78"/>
    </x:row>
    <x:row r="167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78"/>
      <x:c r="U167" s="78"/>
      <x:c r="V167" s="78"/>
      <x:c r="W167" s="78"/>
      <x:c r="X167" s="78"/>
      <x:c r="Y167" s="78"/>
      <x:c r="Z167" s="78"/>
    </x:row>
    <x:row r="168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78"/>
      <x:c r="U168" s="78"/>
      <x:c r="V168" s="78"/>
      <x:c r="W168" s="78"/>
      <x:c r="X168" s="78"/>
      <x:c r="Y168" s="78"/>
      <x:c r="Z168" s="78"/>
    </x:row>
    <x:row r="169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78"/>
      <x:c r="U169" s="78"/>
      <x:c r="V169" s="78"/>
      <x:c r="W169" s="78"/>
      <x:c r="X169" s="78"/>
      <x:c r="Y169" s="78"/>
      <x:c r="Z169" s="78"/>
    </x:row>
    <x:row r="170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78"/>
      <x:c r="U170" s="78"/>
      <x:c r="V170" s="78"/>
      <x:c r="W170" s="78"/>
      <x:c r="X170" s="78"/>
      <x:c r="Y170" s="78"/>
      <x:c r="Z170" s="78"/>
    </x:row>
    <x:row r="17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78"/>
      <x:c r="U171" s="78"/>
      <x:c r="V171" s="78"/>
      <x:c r="W171" s="78"/>
      <x:c r="X171" s="78"/>
      <x:c r="Y171" s="78"/>
      <x:c r="Z171" s="78"/>
    </x:row>
    <x:row r="172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78"/>
      <x:c r="U172" s="78"/>
      <x:c r="V172" s="78"/>
      <x:c r="W172" s="78"/>
      <x:c r="X172" s="78"/>
      <x:c r="Y172" s="78"/>
      <x:c r="Z172" s="78"/>
    </x:row>
    <x:row r="173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78"/>
      <x:c r="U173" s="78"/>
      <x:c r="V173" s="78"/>
      <x:c r="W173" s="78"/>
      <x:c r="X173" s="78"/>
      <x:c r="Y173" s="78"/>
      <x:c r="Z173" s="78"/>
    </x:row>
    <x:row r="174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78"/>
      <x:c r="U174" s="78"/>
      <x:c r="V174" s="78"/>
      <x:c r="W174" s="78"/>
      <x:c r="X174" s="78"/>
      <x:c r="Y174" s="78"/>
      <x:c r="Z174" s="78"/>
    </x:row>
    <x:row r="175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78"/>
      <x:c r="U175" s="78"/>
      <x:c r="V175" s="78"/>
      <x:c r="W175" s="78"/>
      <x:c r="X175" s="78"/>
      <x:c r="Y175" s="78"/>
      <x:c r="Z175" s="78"/>
    </x:row>
    <x:row r="176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78"/>
      <x:c r="U176" s="78"/>
      <x:c r="V176" s="78"/>
      <x:c r="W176" s="78"/>
      <x:c r="X176" s="78"/>
      <x:c r="Y176" s="78"/>
      <x:c r="Z176" s="78"/>
    </x:row>
    <x:row r="177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78"/>
      <x:c r="U177" s="78"/>
      <x:c r="V177" s="78"/>
      <x:c r="W177" s="78"/>
      <x:c r="X177" s="78"/>
      <x:c r="Y177" s="78"/>
      <x:c r="Z177" s="78"/>
    </x:row>
    <x:row r="178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78"/>
      <x:c r="U178" s="78"/>
      <x:c r="V178" s="78"/>
      <x:c r="W178" s="78"/>
      <x:c r="X178" s="78"/>
      <x:c r="Y178" s="78"/>
      <x:c r="Z178" s="78"/>
    </x:row>
    <x:row r="179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78"/>
      <x:c r="U179" s="78"/>
      <x:c r="V179" s="78"/>
      <x:c r="W179" s="78"/>
      <x:c r="X179" s="78"/>
      <x:c r="Y179" s="78"/>
      <x:c r="Z179" s="78"/>
    </x:row>
    <x:row r="180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78"/>
      <x:c r="U180" s="78"/>
      <x:c r="V180" s="78"/>
      <x:c r="W180" s="78"/>
      <x:c r="X180" s="78"/>
      <x:c r="Y180" s="78"/>
      <x:c r="Z180" s="78"/>
    </x:row>
    <x:row r="18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78"/>
      <x:c r="U181" s="78"/>
      <x:c r="V181" s="78"/>
      <x:c r="W181" s="78"/>
      <x:c r="X181" s="78"/>
      <x:c r="Y181" s="78"/>
      <x:c r="Z181" s="78"/>
    </x:row>
    <x:row r="182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78"/>
      <x:c r="U182" s="78"/>
      <x:c r="V182" s="78"/>
      <x:c r="W182" s="78"/>
      <x:c r="X182" s="78"/>
      <x:c r="Y182" s="78"/>
      <x:c r="Z182" s="78"/>
    </x:row>
    <x:row r="183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78"/>
      <x:c r="U183" s="78"/>
      <x:c r="V183" s="78"/>
      <x:c r="W183" s="78"/>
      <x:c r="X183" s="78"/>
      <x:c r="Y183" s="78"/>
      <x:c r="Z183" s="78"/>
    </x:row>
    <x:row r="184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78"/>
      <x:c r="U184" s="78"/>
      <x:c r="V184" s="78"/>
      <x:c r="W184" s="78"/>
      <x:c r="X184" s="78"/>
      <x:c r="Y184" s="78"/>
      <x:c r="Z184" s="78"/>
    </x:row>
    <x:row r="185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78"/>
      <x:c r="U185" s="78"/>
      <x:c r="V185" s="78"/>
      <x:c r="W185" s="78"/>
      <x:c r="X185" s="78"/>
      <x:c r="Y185" s="78"/>
      <x:c r="Z185" s="78"/>
    </x:row>
    <x:row r="186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78"/>
      <x:c r="U186" s="78"/>
      <x:c r="V186" s="78"/>
      <x:c r="W186" s="78"/>
      <x:c r="X186" s="78"/>
      <x:c r="Y186" s="78"/>
      <x:c r="Z186" s="78"/>
    </x:row>
    <x:row r="187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78"/>
      <x:c r="U187" s="78"/>
      <x:c r="V187" s="78"/>
      <x:c r="W187" s="78"/>
      <x:c r="X187" s="78"/>
      <x:c r="Y187" s="78"/>
      <x:c r="Z187" s="78"/>
    </x:row>
    <x:row r="188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78"/>
      <x:c r="U188" s="78"/>
      <x:c r="V188" s="78"/>
      <x:c r="W188" s="78"/>
      <x:c r="X188" s="78"/>
      <x:c r="Y188" s="78"/>
      <x:c r="Z188" s="78"/>
    </x:row>
    <x:row r="189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78"/>
      <x:c r="U189" s="78"/>
      <x:c r="V189" s="78"/>
      <x:c r="W189" s="78"/>
      <x:c r="X189" s="78"/>
      <x:c r="Y189" s="78"/>
      <x:c r="Z189" s="78"/>
    </x:row>
    <x:row r="190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78"/>
      <x:c r="U190" s="78"/>
      <x:c r="V190" s="78"/>
      <x:c r="W190" s="78"/>
      <x:c r="X190" s="78"/>
      <x:c r="Y190" s="78"/>
      <x:c r="Z190" s="78"/>
    </x:row>
    <x:row r="19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78"/>
      <x:c r="U191" s="78"/>
      <x:c r="V191" s="78"/>
      <x:c r="W191" s="78"/>
      <x:c r="X191" s="78"/>
      <x:c r="Y191" s="78"/>
      <x:c r="Z191" s="78"/>
    </x:row>
    <x:row r="192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78"/>
      <x:c r="U192" s="78"/>
      <x:c r="V192" s="78"/>
      <x:c r="W192" s="78"/>
      <x:c r="X192" s="78"/>
      <x:c r="Y192" s="78"/>
      <x:c r="Z192" s="78"/>
    </x:row>
    <x:row r="193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78"/>
      <x:c r="U193" s="78"/>
      <x:c r="V193" s="78"/>
      <x:c r="W193" s="78"/>
      <x:c r="X193" s="78"/>
      <x:c r="Y193" s="78"/>
      <x:c r="Z193" s="78"/>
    </x:row>
    <x:row r="194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78"/>
      <x:c r="U194" s="78"/>
      <x:c r="V194" s="78"/>
      <x:c r="W194" s="78"/>
      <x:c r="X194" s="78"/>
      <x:c r="Y194" s="78"/>
      <x:c r="Z194" s="78"/>
    </x:row>
    <x:row r="195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78"/>
    </x:row>
    <x:row r="196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78"/>
      <x:c r="U196" s="78"/>
      <x:c r="V196" s="78"/>
      <x:c r="W196" s="78"/>
      <x:c r="X196" s="78"/>
      <x:c r="Y196" s="78"/>
      <x:c r="Z196" s="78"/>
    </x:row>
    <x:row r="197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78"/>
      <x:c r="U197" s="78"/>
      <x:c r="V197" s="78"/>
      <x:c r="W197" s="78"/>
      <x:c r="X197" s="78"/>
      <x:c r="Y197" s="78"/>
      <x:c r="Z197" s="78"/>
    </x:row>
    <x:row r="198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78"/>
      <x:c r="U198" s="78"/>
      <x:c r="V198" s="78"/>
      <x:c r="W198" s="78"/>
      <x:c r="X198" s="78"/>
      <x:c r="Y198" s="78"/>
      <x:c r="Z198" s="78"/>
    </x:row>
    <x:row r="199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78"/>
    </x:row>
    <x:row r="200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78"/>
    </x:row>
  </x:sheetData>
  <x:mergeCells>
    <x:mergeCell ref="A1:G1"/>
    <x:mergeCell ref="A2:G2"/>
    <x:mergeCell ref="A4:G4"/>
    <x:mergeCell ref="D10:G10"/>
    <x:mergeCell ref="A13:G13"/>
    <x:mergeCell ref="D22:G22"/>
    <x:mergeCell ref="A25:G25"/>
    <x:mergeCell ref="D34:G34"/>
    <x:mergeCell ref="A37:G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8" hidden="0" customWidth="1"/>
    <x:col min="3" max="3" width="16" hidden="0" customWidth="1"/>
    <x:col min="4" max="4" width="16" hidden="0" customWidth="1"/>
    <x:col min="5" max="5" width="45" hidden="0" customWidth="1"/>
    <x:col min="6" max="6" width="42" hidden="0" customWidth="1"/>
    <x:col min="7" max="7" width="17" hidden="0" customWidth="1"/>
  </x:cols>
  <x:sheetData>
    <x:row r="1" ht="34" customHeight="1">
      <x:c r="A1" s="77" t="str">
        <x:v>Official-launch investment</x:v>
      </x:c>
      <x:c r="B1" s="77"/>
      <x:c r="C1" s="77"/>
      <x:c r="D1" s="77"/>
      <x:c r="E1" s="77"/>
      <x:c r="F1" s="77"/>
      <x:c r="G1" s="77"/>
      <x:c r="H1" s="78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  <x:c r="V1" s="78"/>
      <x:c r="W1" s="78"/>
      <x:c r="X1" s="78"/>
      <x:c r="Y1" s="78"/>
      <x:c r="Z1" s="78"/>
    </x:row>
    <x:row r="2" ht="28" customHeight="1">
      <x:c r="A2" s="5" t="str">
        <x:v>Cash readiness is separated from founder time so the model does not hide the real economic cost of a solo build.</x:v>
      </x:c>
      <x:c r="B2" s="5"/>
      <x:c r="C2" s="5"/>
      <x:c r="D2" s="5"/>
      <x:c r="E2" s="5"/>
      <x:c r="F2" s="5"/>
      <x:c r="G2" s="5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</x:row>
    <x:row r="4" ht="24" customHeight="1">
      <x:c r="A4" s="79" t="str">
        <x:v>One-time cash requirement</x:v>
      </x:c>
      <x:c r="B4" s="79"/>
      <x:c r="C4" s="79"/>
      <x:c r="D4" s="79"/>
      <x:c r="E4" s="79"/>
      <x:c r="F4" s="79"/>
      <x:c r="G4" s="79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8"/>
      <x:c r="V4" s="78"/>
      <x:c r="W4" s="78"/>
      <x:c r="X4" s="78"/>
      <x:c r="Y4" s="78"/>
      <x:c r="Z4" s="78"/>
    </x:row>
    <x:row r="5">
      <x:c r="A5" s="80" t="str">
        <x:v>Workstream</x:v>
      </x:c>
      <x:c r="B5" s="80" t="str">
        <x:v>Basis</x:v>
      </x:c>
      <x:c r="C5" s="80" t="str">
        <x:v>Cash ₹</x:v>
      </x:c>
      <x:c r="D5" s="80" t="str">
        <x:v>Included</x:v>
      </x:c>
      <x:c r="E5" s="80" t="str">
        <x:v>Acceptance evidence</x:v>
      </x:c>
      <x:c r="F5" s="80" t="str">
        <x:v>Owner</x:v>
      </x:c>
      <x:c r="G5" s="80" t="str">
        <x:v>Notes</x:v>
      </x:c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</x:row>
    <x:row r="6">
      <x:c r="A6" s="81" t="str">
        <x:v>Six-month development-tool runway</x:v>
      </x:c>
      <x:c r="B6" s="81" t="str">
        <x:v>6 months × shared engineering tools</x:v>
      </x:c>
      <x:c r="C6" s="92" t="n">
        <x:f>'Assumptions'!B47*'Runtime COGS'!B34*'Assumptions'!B38*(1+'Assumptions'!B39/100)*(1+'Assumptions'!B40/100)</x:f>
        <x:v>421697.30328</x:v>
      </x:c>
      <x:c r="D6" s="81" t="str">
        <x:v>Claude/Codex/GitHub/secrets/services</x:v>
      </x:c>
      <x:c r="E6" s="81" t="str">
        <x:v>Funded subscriptions and caps</x:v>
      </x:c>
      <x:c r="F6" s="81" t="str">
        <x:v>Founder</x:v>
      </x:c>
      <x:c r="G6" s="81" t="str">
        <x:v>Avoid stopping mid-hardening</x:v>
      </x:c>
      <x:c r="H6" s="78"/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</x:row>
    <x:row r="7">
      <x:c r="A7" s="81" t="str">
        <x:v>Independent penetration test</x:v>
      </x:c>
      <x:c r="B7" s="81" t="str">
        <x:v>Budgetary allowance</x:v>
      </x:c>
      <x:c r="C7" s="92" t="n">
        <x:v>250000</x:v>
      </x:c>
      <x:c r="D7" s="81" t="str">
        <x:v>Web app + API retest</x:v>
      </x:c>
      <x:c r="E7" s="81" t="str">
        <x:v>Report and closure evidence</x:v>
      </x:c>
      <x:c r="F7" s="81" t="str">
        <x:v>External</x:v>
      </x:c>
      <x:c r="G7" s="81" t="str">
        <x:v>Budgetary allowance; obtain quotes</x:v>
      </x:c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78"/>
      <x:c r="W7" s="78"/>
      <x:c r="X7" s="78"/>
      <x:c r="Y7" s="78"/>
      <x:c r="Z7" s="78"/>
    </x:row>
    <x:row r="8">
      <x:c r="A8" s="81" t="str">
        <x:v>Legal, privacy, IP and DPA</x:v>
      </x:c>
      <x:c r="B8" s="81" t="str">
        <x:v>Budgetary allowance</x:v>
      </x:c>
      <x:c r="C8" s="92" t="n">
        <x:v>125000</x:v>
      </x:c>
      <x:c r="D8" s="81" t="str">
        <x:v>MSA/SOW/DPA/privacy/IP assignment</x:v>
      </x:c>
      <x:c r="E8" s="81" t="str">
        <x:v>Signed templates</x:v>
      </x:c>
      <x:c r="F8" s="81" t="str">
        <x:v>Counsel</x:v>
      </x:c>
      <x:c r="G8" s="81" t="str">
        <x:v>Budgetary allowance</x:v>
      </x:c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/>
      <x:c r="U8" s="78"/>
      <x:c r="V8" s="78"/>
      <x:c r="W8" s="78"/>
      <x:c r="X8" s="78"/>
      <x:c r="Y8" s="78"/>
      <x:c r="Z8" s="78"/>
    </x:row>
    <x:row r="9">
      <x:c r="A9" s="81" t="str">
        <x:v>Accounting, tax and business setup</x:v>
      </x:c>
      <x:c r="B9" s="81" t="str">
        <x:v>Budgetary allowance</x:v>
      </x:c>
      <x:c r="C9" s="92" t="n">
        <x:v>50000</x:v>
      </x:c>
      <x:c r="D9" s="81" t="str">
        <x:v>GST/invoicing/insurance review</x:v>
      </x:c>
      <x:c r="E9" s="81" t="str">
        <x:v>CA sign-off</x:v>
      </x:c>
      <x:c r="F9" s="81" t="str">
        <x:v>CA</x:v>
      </x:c>
      <x:c r="G9" s="81" t="str">
        <x:v>Budgetary allowance</x:v>
      </x:c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78"/>
      <x:c r="U9" s="78"/>
      <x:c r="V9" s="78"/>
      <x:c r="W9" s="78"/>
      <x:c r="X9" s="78"/>
      <x:c r="Y9" s="78"/>
      <x:c r="Z9" s="78"/>
    </x:row>
    <x:row r="10">
      <x:c r="A10" s="81" t="str">
        <x:v>Laptop, test devices, UPS, backup internet</x:v>
      </x:c>
      <x:c r="B10" s="81" t="str">
        <x:v>Budgetary allowance</x:v>
      </x:c>
      <x:c r="C10" s="92" t="n">
        <x:v>125000</x:v>
      </x:c>
      <x:c r="D10" s="81" t="str">
        <x:v>Founder continuity equipment</x:v>
      </x:c>
      <x:c r="E10" s="81" t="str">
        <x:v>Asset and failover test</x:v>
      </x:c>
      <x:c r="F10" s="81" t="str">
        <x:v>Founder</x:v>
      </x:c>
      <x:c r="G10" s="81" t="str">
        <x:v>Replace if already owned</x:v>
      </x:c>
      <x:c r="H10" s="78"/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78"/>
      <x:c r="U10" s="78"/>
      <x:c r="V10" s="78"/>
      <x:c r="W10" s="78"/>
      <x:c r="X10" s="78"/>
      <x:c r="Y10" s="78"/>
      <x:c r="Z10" s="78"/>
    </x:row>
    <x:row r="11">
      <x:c r="A11" s="81" t="str">
        <x:v>Client migration, UAT, training and travel</x:v>
      </x:c>
      <x:c r="B11" s="81" t="str">
        <x:v>Budgetary allowance</x:v>
      </x:c>
      <x:c r="C11" s="92" t="n">
        <x:v>150000</x:v>
      </x:c>
      <x:c r="D11" s="81" t="str">
        <x:v>Two sites; first go-live</x:v>
      </x:c>
      <x:c r="E11" s="81" t="str">
        <x:v>Signed UAT and training record</x:v>
      </x:c>
      <x:c r="F11" s="81" t="str">
        <x:v>Founder</x:v>
      </x:c>
      <x:c r="G11" s="81" t="str">
        <x:v>Client-specific</x:v>
      </x:c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78"/>
      <x:c r="U11" s="78"/>
      <x:c r="V11" s="78"/>
      <x:c r="W11" s="78"/>
      <x:c r="X11" s="78"/>
      <x:c r="Y11" s="78"/>
      <x:c r="Z11" s="78"/>
    </x:row>
    <x:row r="12">
      <x:c r="A12" s="83" t="str">
        <x:v>DR and release rehearsal</x:v>
      </x:c>
      <x:c r="B12" s="83" t="str">
        <x:v>Budgetary allowance</x:v>
      </x:c>
      <x:c r="C12" s="115" t="n">
        <x:v>50000</x:v>
      </x:c>
      <x:c r="D12" s="83" t="str">
        <x:v>Restore, rollback and incident drill</x:v>
      </x:c>
      <x:c r="E12" s="83" t="str">
        <x:v>Timestamped drill report</x:v>
      </x:c>
      <x:c r="F12" s="83" t="str">
        <x:v>Founder</x:v>
      </x:c>
      <x:c r="G12" s="83" t="str">
        <x:v>Budgetary allowance</x:v>
      </x:c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78"/>
      <x:c r="U12" s="78"/>
      <x:c r="V12" s="78"/>
      <x:c r="W12" s="78"/>
      <x:c r="X12" s="78"/>
      <x:c r="Y12" s="78"/>
      <x:c r="Z12" s="78"/>
    </x:row>
    <x:row r="13">
      <x:c r="A13" s="104" t="str">
        <x:v>Cash subtotal</x:v>
      </x:c>
      <x:c r="B13" s="104"/>
      <x:c r="C13" s="116" t="n">
        <x:f>SUM(C6:C12)</x:f>
        <x:v>1171697.30328</x:v>
      </x:c>
      <x:c r="D13" s="104"/>
      <x:c r="E13" s="104"/>
      <x:c r="F13" s="104"/>
      <x:c r="G13" s="104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78"/>
      <x:c r="U13" s="78"/>
      <x:c r="V13" s="78"/>
      <x:c r="W13" s="78"/>
      <x:c r="X13" s="78"/>
      <x:c r="Y13" s="78"/>
      <x:c r="Z13" s="78"/>
    </x:row>
    <x:row r="14">
      <x:c r="A14" s="104" t="str">
        <x:v>Contingency</x:v>
      </x:c>
      <x:c r="B14" s="104"/>
      <x:c r="C14" s="116" t="n">
        <x:f>C13*20%</x:f>
        <x:v>234339.46065600004</x:v>
      </x:c>
      <x:c r="D14" s="104" t="str">
        <x:v>20% until external quotes and client data are locked</x:v>
      </x:c>
      <x:c r="E14" s="104"/>
      <x:c r="F14" s="104"/>
      <x:c r="G14" s="104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78"/>
      <x:c r="U14" s="78"/>
      <x:c r="V14" s="78"/>
      <x:c r="W14" s="78"/>
      <x:c r="X14" s="78"/>
      <x:c r="Y14" s="78"/>
      <x:c r="Z14" s="78"/>
    </x:row>
    <x:row r="15">
      <x:c r="A15" s="104" t="str">
        <x:v>Total launch cash</x:v>
      </x:c>
      <x:c r="B15" s="104"/>
      <x:c r="C15" s="116" t="n">
        <x:f>C13+C14</x:f>
        <x:v>1406036.7639360002</x:v>
      </x:c>
      <x:c r="D15" s="104" t="str">
        <x:v>Fund before committing a go-live date</x:v>
      </x:c>
      <x:c r="E15" s="104"/>
      <x:c r="F15" s="104"/>
      <x:c r="G15" s="104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78"/>
      <x:c r="U15" s="78"/>
      <x:c r="V15" s="78"/>
      <x:c r="W15" s="78"/>
      <x:c r="X15" s="78"/>
      <x:c r="Y15" s="78"/>
      <x:c r="Z15" s="78"/>
    </x:row>
    <x:row r="16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78"/>
      <x:c r="U16" s="78"/>
      <x:c r="V16" s="78"/>
      <x:c r="W16" s="78"/>
      <x:c r="X16" s="78"/>
      <x:c r="Y16" s="78"/>
      <x:c r="Z16" s="78"/>
    </x:row>
    <x:row r="17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78"/>
      <x:c r="U17" s="78"/>
      <x:c r="V17" s="78"/>
      <x:c r="W17" s="78"/>
      <x:c r="X17" s="78"/>
      <x:c r="Y17" s="78"/>
      <x:c r="Z17" s="78"/>
    </x:row>
    <x:row r="18" ht="24" customHeight="1">
      <x:c r="A18" s="101" t="str">
        <x:v>Founder hardening work — economic cost</x:v>
      </x:c>
      <x:c r="B18" s="101"/>
      <x:c r="C18" s="101"/>
      <x:c r="D18" s="101"/>
      <x:c r="E18" s="101"/>
      <x:c r="F18" s="101"/>
      <x:c r="G18" s="101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78"/>
      <x:c r="W18" s="78"/>
      <x:c r="X18" s="78"/>
      <x:c r="Y18" s="78"/>
      <x:c r="Z18" s="78"/>
    </x:row>
    <x:row r="19">
      <x:c r="A19" s="80" t="str">
        <x:v>Workstream</x:v>
      </x:c>
      <x:c r="B19" s="80" t="str">
        <x:v>Hours</x:v>
      </x:c>
      <x:c r="C19" s="80" t="str">
        <x:v>Rate ₹/h</x:v>
      </x:c>
      <x:c r="D19" s="80" t="str">
        <x:v>Economic ₹</x:v>
      </x:c>
      <x:c r="E19" s="80" t="str">
        <x:v>Why required</x:v>
      </x:c>
      <x:c r="F19" s="80" t="str">
        <x:v>Exit criterion</x:v>
      </x:c>
      <x:c r="G19" s="80" t="str">
        <x:v>Cash/economic</x:v>
      </x:c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78"/>
      <x:c r="W19" s="78"/>
      <x:c r="X19" s="78"/>
      <x:c r="Y19" s="78"/>
      <x:c r="Z19" s="78"/>
    </x:row>
    <x:row r="20">
      <x:c r="A20" s="81" t="str">
        <x:v>Location-aware data model</x:v>
      </x:c>
      <x:c r="B20" s="81" t="n">
        <x:v>120</x:v>
      </x:c>
      <x:c r="C20" s="92" t="n">
        <x:f>'Assumptions'!B41</x:f>
        <x:v>2500</x:v>
      </x:c>
      <x:c r="D20" s="92" t="n">
        <x:f>B20*C20</x:f>
        <x:v>300000</x:v>
      </x:c>
      <x:c r="E20" s="81" t="str">
        <x:v>Two sites need stock/capacity/order boundaries</x:v>
      </x:c>
      <x:c r="F20" s="81" t="str">
        <x:v>Site isolation tests pass</x:v>
      </x:c>
      <x:c r="G20" s="81" t="str">
        <x:v>Economic</x:v>
      </x:c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78"/>
      <x:c r="U20" s="78"/>
      <x:c r="V20" s="78"/>
      <x:c r="W20" s="78"/>
      <x:c r="X20" s="78"/>
      <x:c r="Y20" s="78"/>
      <x:c r="Z20" s="78"/>
    </x:row>
    <x:row r="21">
      <x:c r="A21" s="81" t="str">
        <x:v>Immutable audit trail</x:v>
      </x:c>
      <x:c r="B21" s="81" t="n">
        <x:v>80</x:v>
      </x:c>
      <x:c r="C21" s="92" t="n">
        <x:f>'Assumptions'!B41</x:f>
        <x:v>2500</x:v>
      </x:c>
      <x:c r="D21" s="92" t="n">
        <x:f>B21*C21</x:f>
        <x:v>200000</x:v>
      </x:c>
      <x:c r="E21" s="81" t="str">
        <x:v>ERP changes need accountability</x:v>
      </x:c>
      <x:c r="F21" s="81" t="str">
        <x:v>Exportable actor/time/before-after log</x:v>
      </x:c>
      <x:c r="G21" s="81" t="str">
        <x:v>Economic</x:v>
      </x:c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78"/>
    </x:row>
    <x:row r="22">
      <x:c r="A22" s="81" t="str">
        <x:v>Object storage + pagination</x:v>
      </x:c>
      <x:c r="B22" s="81" t="n">
        <x:v>90</x:v>
      </x:c>
      <x:c r="C22" s="92" t="n">
        <x:f>'Assumptions'!B41</x:f>
        <x:v>2500</x:v>
      </x:c>
      <x:c r="D22" s="92" t="n">
        <x:f>B22*C22</x:f>
        <x:v>225000</x:v>
      </x:c>
      <x:c r="E22" s="81" t="str">
        <x:v>Remove base64 blobs and large list responses</x:v>
      </x:c>
      <x:c r="F22" s="81" t="str">
        <x:v>No API list response approaches 4.5MB</x:v>
      </x:c>
      <x:c r="G22" s="81" t="str">
        <x:v>Economic</x:v>
      </x:c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78"/>
      <x:c r="U22" s="78"/>
      <x:c r="V22" s="78"/>
      <x:c r="W22" s="78"/>
      <x:c r="X22" s="78"/>
      <x:c r="Y22" s="78"/>
      <x:c r="Z22" s="78"/>
    </x:row>
    <x:row r="23">
      <x:c r="A23" s="81" t="str">
        <x:v>MFA/SSO/session hardening</x:v>
      </x:c>
      <x:c r="B23" s="81" t="n">
        <x:v>90</x:v>
      </x:c>
      <x:c r="C23" s="92" t="n">
        <x:f>'Assumptions'!B41</x:f>
        <x:v>2500</x:v>
      </x:c>
      <x:c r="D23" s="92" t="n">
        <x:f>B23*C23</x:f>
        <x:v>225000</x:v>
      </x:c>
      <x:c r="E23" s="81" t="str">
        <x:v>Current built-in auth is not enterprise-grade</x:v>
      </x:c>
      <x:c r="F23" s="81" t="str">
        <x:v>Security review and access tests pass</x:v>
      </x:c>
      <x:c r="G23" s="81" t="str">
        <x:v>Economic</x:v>
      </x:c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78"/>
      <x:c r="W23" s="78"/>
      <x:c r="X23" s="78"/>
      <x:c r="Y23" s="78"/>
      <x:c r="Z23" s="78"/>
    </x:row>
    <x:row r="24">
      <x:c r="A24" s="81" t="str">
        <x:v>Live-Postgres integration + E2E tests</x:v>
      </x:c>
      <x:c r="B24" s="81" t="n">
        <x:v>150</x:v>
      </x:c>
      <x:c r="C24" s="92" t="n">
        <x:f>'Assumptions'!B41</x:f>
        <x:v>2500</x:v>
      </x:c>
      <x:c r="D24" s="92" t="n">
        <x:f>B24*C24</x:f>
        <x:v>375000</x:v>
      </x:c>
      <x:c r="E24" s="81" t="str">
        <x:v>Browser engine tests are not enough</x:v>
      </x:c>
      <x:c r="F24" s="81" t="str">
        <x:v>Critical workflows pass against staging</x:v>
      </x:c>
      <x:c r="G24" s="81" t="str">
        <x:v>Economic</x:v>
      </x:c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78"/>
      <x:c r="U24" s="78"/>
      <x:c r="V24" s="78"/>
      <x:c r="W24" s="78"/>
      <x:c r="X24" s="78"/>
      <x:c r="Y24" s="78"/>
      <x:c r="Z24" s="78"/>
    </x:row>
    <x:row r="25">
      <x:c r="A25" s="81" t="str">
        <x:v>Observability, backups and recovery</x:v>
      </x:c>
      <x:c r="B25" s="81" t="n">
        <x:v>90</x:v>
      </x:c>
      <x:c r="C25" s="92" t="n">
        <x:f>'Assumptions'!B41</x:f>
        <x:v>2500</x:v>
      </x:c>
      <x:c r="D25" s="92" t="n">
        <x:f>B25*C25</x:f>
        <x:v>225000</x:v>
      </x:c>
      <x:c r="E25" s="81" t="str">
        <x:v>Official uptime needs evidence</x:v>
      </x:c>
      <x:c r="F25" s="81" t="str">
        <x:v>Restore and alert drills pass</x:v>
      </x:c>
      <x:c r="G25" s="81" t="str">
        <x:v>Economic</x:v>
      </x:c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78"/>
    </x:row>
    <x:row r="26">
      <x:c r="A26" s="81" t="str">
        <x:v>Performance and polling reduction</x:v>
      </x:c>
      <x:c r="B26" s="81" t="n">
        <x:v>100</x:v>
      </x:c>
      <x:c r="C26" s="92" t="n">
        <x:f>'Assumptions'!B41</x:f>
        <x:v>2500</x:v>
      </x:c>
      <x:c r="D26" s="92" t="n">
        <x:f>B26*C26</x:f>
        <x:v>250000</x:v>
      </x:c>
      <x:c r="E26" s="81" t="str">
        <x:v>Polling dominates requests and transfer</x:v>
      </x:c>
      <x:c r="F26" s="81" t="str">
        <x:v>Load test meets p95 targets</x:v>
      </x:c>
      <x:c r="G26" s="81" t="str">
        <x:v>Economic</x:v>
      </x:c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78"/>
      <x:c r="W26" s="78"/>
      <x:c r="X26" s="78"/>
      <x:c r="Y26" s="78"/>
      <x:c r="Z26" s="78"/>
    </x:row>
    <x:row r="27">
      <x:c r="A27" s="81" t="str">
        <x:v>Data readiness and migration</x:v>
      </x:c>
      <x:c r="B27" s="81" t="n">
        <x:v>70</x:v>
      </x:c>
      <x:c r="C27" s="92" t="n">
        <x:f>'Assumptions'!B41</x:f>
        <x:v>2500</x:v>
      </x:c>
      <x:c r="D27" s="92" t="n">
        <x:f>B27*C27</x:f>
        <x:v>175000</x:v>
      </x:c>
      <x:c r="E27" s="81" t="str">
        <x:v>Client masters are incomplete</x:v>
      </x:c>
      <x:c r="F27" s="81" t="str">
        <x:v>Reconciled import and sign-off</x:v>
      </x:c>
      <x:c r="G27" s="81" t="str">
        <x:v>Economic</x:v>
      </x:c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78"/>
      <x:c r="W27" s="78"/>
      <x:c r="X27" s="78"/>
      <x:c r="Y27" s="78"/>
      <x:c r="Z27" s="78"/>
    </x:row>
    <x:row r="28">
      <x:c r="A28" s="83" t="str">
        <x:v>UAT, training and operating docs</x:v>
      </x:c>
      <x:c r="B28" s="83" t="n">
        <x:v>50</x:v>
      </x:c>
      <x:c r="C28" s="115" t="n">
        <x:f>'Assumptions'!B41</x:f>
        <x:v>2500</x:v>
      </x:c>
      <x:c r="D28" s="115" t="n">
        <x:f>B28*C28</x:f>
        <x:v>125000</x:v>
      </x:c>
      <x:c r="E28" s="83" t="str">
        <x:v>Adoption and support continuity</x:v>
      </x:c>
      <x:c r="F28" s="83" t="str">
        <x:v>Signed UAT and runbooks</x:v>
      </x:c>
      <x:c r="G28" s="83" t="str">
        <x:v>Economic</x:v>
      </x:c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78"/>
      <x:c r="U28" s="78"/>
      <x:c r="V28" s="78"/>
      <x:c r="W28" s="78"/>
      <x:c r="X28" s="78"/>
      <x:c r="Y28" s="78"/>
      <x:c r="Z28" s="78"/>
    </x:row>
    <x:row r="29">
      <x:c r="A29" s="68" t="str">
        <x:v>Total founder hardening</x:v>
      </x:c>
      <x:c r="B29" s="68" t="n">
        <x:f>SUM(B20:B28)</x:f>
        <x:v>840</x:v>
      </x:c>
      <x:c r="C29" s="117" t="n">
        <x:f>'Assumptions'!B41</x:f>
        <x:v>2500</x:v>
      </x:c>
      <x:c r="D29" s="117" t="n">
        <x:f>SUM(D20:D28)</x:f>
        <x:v>2100000</x:v>
      </x:c>
      <x:c r="E29" s="68" t="str">
        <x:v>Product R&amp;D investment; amortize across multiple clients</x:v>
      </x:c>
      <x:c r="F29" s="68"/>
      <x:c r="G29" s="6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</x:row>
    <x:row r="30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78"/>
    </x:row>
    <x:row r="3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78"/>
      <x:c r="W31" s="78"/>
      <x:c r="X31" s="78"/>
      <x:c r="Y31" s="78"/>
      <x:c r="Z31" s="78"/>
    </x:row>
    <x:row r="32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78"/>
      <x:c r="U32" s="78"/>
      <x:c r="V32" s="78"/>
      <x:c r="W32" s="78"/>
      <x:c r="X32" s="78"/>
      <x:c r="Y32" s="78"/>
      <x:c r="Z32" s="78"/>
    </x:row>
    <x:row r="33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</x:row>
    <x:row r="34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</x:row>
    <x:row r="35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</x:row>
    <x:row r="36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78"/>
      <x:c r="U36" s="78"/>
      <x:c r="V36" s="78"/>
      <x:c r="W36" s="78"/>
      <x:c r="X36" s="78"/>
      <x:c r="Y36" s="78"/>
      <x:c r="Z36" s="78"/>
    </x:row>
    <x:row r="37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78"/>
    </x:row>
    <x:row r="38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78"/>
    </x:row>
    <x:row r="39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78"/>
    </x:row>
    <x:row r="40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78"/>
      <x:c r="U40" s="78"/>
      <x:c r="V40" s="78"/>
      <x:c r="W40" s="78"/>
      <x:c r="X40" s="78"/>
      <x:c r="Y40" s="78"/>
      <x:c r="Z40" s="78"/>
    </x:row>
    <x:row r="4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</x:row>
    <x:row r="42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8"/>
    </x:row>
    <x:row r="43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78"/>
    </x:row>
    <x:row r="44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</x:row>
    <x:row r="45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78"/>
    </x:row>
    <x:row r="46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78"/>
      <x:c r="U46" s="78"/>
      <x:c r="V46" s="78"/>
      <x:c r="W46" s="78"/>
      <x:c r="X46" s="78"/>
      <x:c r="Y46" s="78"/>
      <x:c r="Z46" s="78"/>
    </x:row>
    <x:row r="47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78"/>
      <x:c r="U47" s="78"/>
      <x:c r="V47" s="78"/>
      <x:c r="W47" s="78"/>
      <x:c r="X47" s="78"/>
      <x:c r="Y47" s="78"/>
      <x:c r="Z47" s="78"/>
    </x:row>
    <x:row r="48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78"/>
      <x:c r="U48" s="78"/>
      <x:c r="V48" s="78"/>
      <x:c r="W48" s="78"/>
      <x:c r="X48" s="78"/>
      <x:c r="Y48" s="78"/>
      <x:c r="Z48" s="78"/>
    </x:row>
    <x:row r="49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78"/>
      <x:c r="U49" s="78"/>
      <x:c r="V49" s="78"/>
      <x:c r="W49" s="78"/>
      <x:c r="X49" s="78"/>
      <x:c r="Y49" s="78"/>
      <x:c r="Z49" s="78"/>
    </x:row>
    <x:row r="50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78"/>
    </x:row>
    <x:row r="5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78"/>
      <x:c r="W51" s="78"/>
      <x:c r="X51" s="78"/>
      <x:c r="Y51" s="78"/>
      <x:c r="Z51" s="78"/>
    </x:row>
    <x:row r="52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78"/>
    </x:row>
    <x:row r="53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78"/>
    </x:row>
    <x:row r="54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78"/>
      <x:c r="U54" s="78"/>
      <x:c r="V54" s="78"/>
      <x:c r="W54" s="78"/>
      <x:c r="X54" s="78"/>
      <x:c r="Y54" s="78"/>
      <x:c r="Z54" s="78"/>
    </x:row>
    <x:row r="55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78"/>
    </x:row>
    <x:row r="56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78"/>
    </x:row>
    <x:row r="57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78"/>
    </x:row>
    <x:row r="58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</x:row>
    <x:row r="59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78"/>
      <x:c r="U59" s="78"/>
      <x:c r="V59" s="78"/>
      <x:c r="W59" s="78"/>
      <x:c r="X59" s="78"/>
      <x:c r="Y59" s="78"/>
      <x:c r="Z59" s="78"/>
    </x:row>
    <x:row r="60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</x:row>
    <x:row r="6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78"/>
      <x:c r="U61" s="78"/>
      <x:c r="V61" s="78"/>
      <x:c r="W61" s="78"/>
      <x:c r="X61" s="78"/>
      <x:c r="Y61" s="78"/>
      <x:c r="Z61" s="78"/>
    </x:row>
    <x:row r="62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78"/>
      <x:c r="U62" s="78"/>
      <x:c r="V62" s="78"/>
      <x:c r="W62" s="78"/>
      <x:c r="X62" s="78"/>
      <x:c r="Y62" s="78"/>
      <x:c r="Z62" s="78"/>
    </x:row>
    <x:row r="63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78"/>
    </x:row>
    <x:row r="64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78"/>
      <x:c r="U64" s="78"/>
      <x:c r="V64" s="78"/>
      <x:c r="W64" s="78"/>
      <x:c r="X64" s="78"/>
      <x:c r="Y64" s="78"/>
      <x:c r="Z64" s="78"/>
    </x:row>
    <x:row r="65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78"/>
      <x:c r="U65" s="78"/>
      <x:c r="V65" s="78"/>
      <x:c r="W65" s="78"/>
      <x:c r="X65" s="78"/>
      <x:c r="Y65" s="78"/>
      <x:c r="Z65" s="78"/>
    </x:row>
    <x:row r="66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78"/>
      <x:c r="U66" s="78"/>
      <x:c r="V66" s="78"/>
      <x:c r="W66" s="78"/>
      <x:c r="X66" s="78"/>
      <x:c r="Y66" s="78"/>
      <x:c r="Z66" s="78"/>
    </x:row>
    <x:row r="67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78"/>
      <x:c r="U67" s="78"/>
      <x:c r="V67" s="78"/>
      <x:c r="W67" s="78"/>
      <x:c r="X67" s="78"/>
      <x:c r="Y67" s="78"/>
      <x:c r="Z67" s="78"/>
    </x:row>
    <x:row r="68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78"/>
    </x:row>
    <x:row r="69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78"/>
      <x:c r="U69" s="78"/>
      <x:c r="V69" s="78"/>
      <x:c r="W69" s="78"/>
      <x:c r="X69" s="78"/>
      <x:c r="Y69" s="78"/>
      <x:c r="Z69" s="78"/>
    </x:row>
    <x:row r="70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78"/>
      <x:c r="U70" s="78"/>
      <x:c r="V70" s="78"/>
      <x:c r="W70" s="78"/>
      <x:c r="X70" s="78"/>
      <x:c r="Y70" s="78"/>
      <x:c r="Z70" s="78"/>
    </x:row>
    <x:row r="7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78"/>
      <x:c r="U71" s="78"/>
      <x:c r="V71" s="78"/>
      <x:c r="W71" s="78"/>
      <x:c r="X71" s="78"/>
      <x:c r="Y71" s="78"/>
      <x:c r="Z71" s="78"/>
    </x:row>
    <x:row r="72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78"/>
    </x:row>
    <x:row r="73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78"/>
      <x:c r="U73" s="78"/>
      <x:c r="V73" s="78"/>
      <x:c r="W73" s="78"/>
      <x:c r="X73" s="78"/>
      <x:c r="Y73" s="78"/>
      <x:c r="Z73" s="78"/>
    </x:row>
    <x:row r="74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78"/>
      <x:c r="U74" s="78"/>
      <x:c r="V74" s="78"/>
      <x:c r="W74" s="78"/>
      <x:c r="X74" s="78"/>
      <x:c r="Y74" s="78"/>
      <x:c r="Z74" s="78"/>
    </x:row>
    <x:row r="75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78"/>
    </x:row>
    <x:row r="76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78"/>
      <x:c r="U76" s="78"/>
      <x:c r="V76" s="78"/>
      <x:c r="W76" s="78"/>
      <x:c r="X76" s="78"/>
      <x:c r="Y76" s="78"/>
      <x:c r="Z76" s="78"/>
    </x:row>
    <x:row r="77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78"/>
    </x:row>
    <x:row r="78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78"/>
      <x:c r="U78" s="78"/>
      <x:c r="V78" s="78"/>
      <x:c r="W78" s="78"/>
      <x:c r="X78" s="78"/>
      <x:c r="Y78" s="78"/>
      <x:c r="Z78" s="78"/>
    </x:row>
    <x:row r="79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78"/>
      <x:c r="U79" s="78"/>
      <x:c r="V79" s="78"/>
      <x:c r="W79" s="78"/>
      <x:c r="X79" s="78"/>
      <x:c r="Y79" s="78"/>
      <x:c r="Z79" s="78"/>
    </x:row>
    <x:row r="80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78"/>
      <x:c r="U80" s="78"/>
      <x:c r="V80" s="78"/>
      <x:c r="W80" s="78"/>
      <x:c r="X80" s="78"/>
      <x:c r="Y80" s="78"/>
      <x:c r="Z80" s="78"/>
    </x:row>
    <x:row r="8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78"/>
      <x:c r="U81" s="78"/>
      <x:c r="V81" s="78"/>
      <x:c r="W81" s="78"/>
      <x:c r="X81" s="78"/>
      <x:c r="Y81" s="78"/>
      <x:c r="Z81" s="78"/>
    </x:row>
    <x:row r="82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78"/>
      <x:c r="U82" s="78"/>
      <x:c r="V82" s="78"/>
      <x:c r="W82" s="78"/>
      <x:c r="X82" s="78"/>
      <x:c r="Y82" s="78"/>
      <x:c r="Z82" s="78"/>
    </x:row>
    <x:row r="83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78"/>
      <x:c r="U83" s="78"/>
      <x:c r="V83" s="78"/>
      <x:c r="W83" s="78"/>
      <x:c r="X83" s="78"/>
      <x:c r="Y83" s="78"/>
      <x:c r="Z83" s="78"/>
    </x:row>
    <x:row r="84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78"/>
      <x:c r="U84" s="78"/>
      <x:c r="V84" s="78"/>
      <x:c r="W84" s="78"/>
      <x:c r="X84" s="78"/>
      <x:c r="Y84" s="78"/>
      <x:c r="Z84" s="78"/>
    </x:row>
    <x:row r="85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78"/>
      <x:c r="U85" s="78"/>
      <x:c r="V85" s="78"/>
      <x:c r="W85" s="78"/>
      <x:c r="X85" s="78"/>
      <x:c r="Y85" s="78"/>
      <x:c r="Z85" s="78"/>
    </x:row>
    <x:row r="86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78"/>
      <x:c r="U86" s="78"/>
      <x:c r="V86" s="78"/>
      <x:c r="W86" s="78"/>
      <x:c r="X86" s="78"/>
      <x:c r="Y86" s="78"/>
      <x:c r="Z86" s="78"/>
    </x:row>
    <x:row r="87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78"/>
      <x:c r="U87" s="78"/>
      <x:c r="V87" s="78"/>
      <x:c r="W87" s="78"/>
      <x:c r="X87" s="78"/>
      <x:c r="Y87" s="78"/>
      <x:c r="Z87" s="78"/>
    </x:row>
    <x:row r="88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78"/>
      <x:c r="U88" s="78"/>
      <x:c r="V88" s="78"/>
      <x:c r="W88" s="78"/>
      <x:c r="X88" s="78"/>
      <x:c r="Y88" s="78"/>
      <x:c r="Z88" s="78"/>
    </x:row>
    <x:row r="89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78"/>
      <x:c r="U89" s="78"/>
      <x:c r="V89" s="78"/>
      <x:c r="W89" s="78"/>
      <x:c r="X89" s="78"/>
      <x:c r="Y89" s="78"/>
      <x:c r="Z89" s="78"/>
    </x:row>
    <x:row r="90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78"/>
    </x:row>
    <x:row r="9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78"/>
      <x:c r="U91" s="78"/>
      <x:c r="V91" s="78"/>
      <x:c r="W91" s="78"/>
      <x:c r="X91" s="78"/>
      <x:c r="Y91" s="78"/>
      <x:c r="Z91" s="78"/>
    </x:row>
    <x:row r="92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78"/>
      <x:c r="U92" s="78"/>
      <x:c r="V92" s="78"/>
      <x:c r="W92" s="78"/>
      <x:c r="X92" s="78"/>
      <x:c r="Y92" s="78"/>
      <x:c r="Z92" s="78"/>
    </x:row>
    <x:row r="93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78"/>
      <x:c r="U93" s="78"/>
      <x:c r="V93" s="78"/>
      <x:c r="W93" s="78"/>
      <x:c r="X93" s="78"/>
      <x:c r="Y93" s="78"/>
      <x:c r="Z93" s="78"/>
    </x:row>
    <x:row r="94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78"/>
      <x:c r="U94" s="78"/>
      <x:c r="V94" s="78"/>
      <x:c r="W94" s="78"/>
      <x:c r="X94" s="78"/>
      <x:c r="Y94" s="78"/>
      <x:c r="Z94" s="78"/>
    </x:row>
    <x:row r="95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78"/>
      <x:c r="U95" s="78"/>
      <x:c r="V95" s="78"/>
      <x:c r="W95" s="78"/>
      <x:c r="X95" s="78"/>
      <x:c r="Y95" s="78"/>
      <x:c r="Z95" s="78"/>
    </x:row>
    <x:row r="96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78"/>
      <x:c r="U96" s="78"/>
      <x:c r="V96" s="78"/>
      <x:c r="W96" s="78"/>
      <x:c r="X96" s="78"/>
      <x:c r="Y96" s="78"/>
      <x:c r="Z96" s="78"/>
    </x:row>
    <x:row r="97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78"/>
      <x:c r="U97" s="78"/>
      <x:c r="V97" s="78"/>
      <x:c r="W97" s="78"/>
      <x:c r="X97" s="78"/>
      <x:c r="Y97" s="78"/>
      <x:c r="Z97" s="78"/>
    </x:row>
    <x:row r="98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78"/>
      <x:c r="U98" s="78"/>
      <x:c r="V98" s="78"/>
      <x:c r="W98" s="78"/>
      <x:c r="X98" s="78"/>
      <x:c r="Y98" s="78"/>
      <x:c r="Z98" s="78"/>
    </x:row>
    <x:row r="99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78"/>
      <x:c r="U99" s="78"/>
      <x:c r="V99" s="78"/>
      <x:c r="W99" s="78"/>
      <x:c r="X99" s="78"/>
      <x:c r="Y99" s="78"/>
      <x:c r="Z99" s="78"/>
    </x:row>
    <x:row r="100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78"/>
      <x:c r="U100" s="78"/>
      <x:c r="V100" s="78"/>
      <x:c r="W100" s="78"/>
      <x:c r="X100" s="78"/>
      <x:c r="Y100" s="78"/>
      <x:c r="Z100" s="78"/>
    </x:row>
    <x:row r="10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78"/>
      <x:c r="U101" s="78"/>
      <x:c r="V101" s="78"/>
      <x:c r="W101" s="78"/>
      <x:c r="X101" s="78"/>
      <x:c r="Y101" s="78"/>
      <x:c r="Z101" s="78"/>
    </x:row>
    <x:row r="102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78"/>
    </x:row>
    <x:row r="103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78"/>
    </x:row>
    <x:row r="104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78"/>
    </x:row>
    <x:row r="105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78"/>
      <x:c r="U105" s="78"/>
      <x:c r="V105" s="78"/>
      <x:c r="W105" s="78"/>
      <x:c r="X105" s="78"/>
      <x:c r="Y105" s="78"/>
      <x:c r="Z105" s="78"/>
    </x:row>
    <x:row r="106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78"/>
      <x:c r="U106" s="78"/>
      <x:c r="V106" s="78"/>
      <x:c r="W106" s="78"/>
      <x:c r="X106" s="78"/>
      <x:c r="Y106" s="78"/>
      <x:c r="Z106" s="78"/>
    </x:row>
    <x:row r="107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78"/>
      <x:c r="U107" s="78"/>
      <x:c r="V107" s="78"/>
      <x:c r="W107" s="78"/>
      <x:c r="X107" s="78"/>
      <x:c r="Y107" s="78"/>
      <x:c r="Z107" s="78"/>
    </x:row>
    <x:row r="108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78"/>
      <x:c r="U108" s="78"/>
      <x:c r="V108" s="78"/>
      <x:c r="W108" s="78"/>
      <x:c r="X108" s="78"/>
      <x:c r="Y108" s="78"/>
      <x:c r="Z108" s="78"/>
    </x:row>
    <x:row r="109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78"/>
      <x:c r="U109" s="78"/>
      <x:c r="V109" s="78"/>
      <x:c r="W109" s="78"/>
      <x:c r="X109" s="78"/>
      <x:c r="Y109" s="78"/>
      <x:c r="Z109" s="78"/>
    </x:row>
    <x:row r="110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</x:row>
    <x:row r="11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</x:row>
    <x:row r="112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</x:row>
    <x:row r="113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</x:row>
    <x:row r="114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</x:row>
    <x:row r="115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</x:row>
    <x:row r="116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</x:row>
    <x:row r="117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</x:row>
    <x:row r="118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</x:row>
    <x:row r="119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</x:row>
    <x:row r="120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</x:row>
    <x:row r="12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</x:row>
    <x:row r="122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</x:row>
    <x:row r="123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</x:row>
    <x:row r="124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</x:row>
    <x:row r="125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</x:row>
    <x:row r="126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</x:row>
    <x:row r="127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</x:row>
    <x:row r="128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</x:row>
    <x:row r="129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</x:row>
    <x:row r="130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</x:row>
    <x:row r="13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</x:row>
    <x:row r="132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</x:row>
    <x:row r="133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</x:row>
    <x:row r="134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</x:row>
    <x:row r="135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</x:row>
    <x:row r="136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</x:row>
    <x:row r="137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</x:row>
    <x:row r="138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</x:row>
    <x:row r="139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</x:row>
    <x:row r="140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</x:row>
    <x:row r="14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78"/>
      <x:c r="U141" s="78"/>
      <x:c r="V141" s="78"/>
      <x:c r="W141" s="78"/>
      <x:c r="X141" s="78"/>
      <x:c r="Y141" s="78"/>
      <x:c r="Z141" s="78"/>
    </x:row>
    <x:row r="142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78"/>
      <x:c r="U142" s="78"/>
      <x:c r="V142" s="78"/>
      <x:c r="W142" s="78"/>
      <x:c r="X142" s="78"/>
      <x:c r="Y142" s="78"/>
      <x:c r="Z142" s="78"/>
    </x:row>
    <x:row r="143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78"/>
      <x:c r="U143" s="78"/>
      <x:c r="V143" s="78"/>
      <x:c r="W143" s="78"/>
      <x:c r="X143" s="78"/>
      <x:c r="Y143" s="78"/>
      <x:c r="Z143" s="78"/>
    </x:row>
    <x:row r="144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78"/>
      <x:c r="U144" s="78"/>
      <x:c r="V144" s="78"/>
      <x:c r="W144" s="78"/>
      <x:c r="X144" s="78"/>
      <x:c r="Y144" s="78"/>
      <x:c r="Z144" s="78"/>
    </x:row>
    <x:row r="145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78"/>
      <x:c r="U145" s="78"/>
      <x:c r="V145" s="78"/>
      <x:c r="W145" s="78"/>
      <x:c r="X145" s="78"/>
      <x:c r="Y145" s="78"/>
      <x:c r="Z145" s="78"/>
    </x:row>
    <x:row r="146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78"/>
      <x:c r="U146" s="78"/>
      <x:c r="V146" s="78"/>
      <x:c r="W146" s="78"/>
      <x:c r="X146" s="78"/>
      <x:c r="Y146" s="78"/>
      <x:c r="Z146" s="78"/>
    </x:row>
    <x:row r="147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78"/>
      <x:c r="U147" s="78"/>
      <x:c r="V147" s="78"/>
      <x:c r="W147" s="78"/>
      <x:c r="X147" s="78"/>
      <x:c r="Y147" s="78"/>
      <x:c r="Z147" s="78"/>
    </x:row>
    <x:row r="148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78"/>
      <x:c r="U148" s="78"/>
      <x:c r="V148" s="78"/>
      <x:c r="W148" s="78"/>
      <x:c r="X148" s="78"/>
      <x:c r="Y148" s="78"/>
      <x:c r="Z148" s="78"/>
    </x:row>
    <x:row r="149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78"/>
      <x:c r="U149" s="78"/>
      <x:c r="V149" s="78"/>
      <x:c r="W149" s="78"/>
      <x:c r="X149" s="78"/>
      <x:c r="Y149" s="78"/>
      <x:c r="Z149" s="78"/>
    </x:row>
    <x:row r="150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78"/>
      <x:c r="U150" s="78"/>
      <x:c r="V150" s="78"/>
      <x:c r="W150" s="78"/>
      <x:c r="X150" s="78"/>
      <x:c r="Y150" s="78"/>
      <x:c r="Z150" s="78"/>
    </x:row>
    <x:row r="15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78"/>
      <x:c r="U151" s="78"/>
      <x:c r="V151" s="78"/>
      <x:c r="W151" s="78"/>
      <x:c r="X151" s="78"/>
      <x:c r="Y151" s="78"/>
      <x:c r="Z151" s="78"/>
    </x:row>
    <x:row r="152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78"/>
      <x:c r="U152" s="78"/>
      <x:c r="V152" s="78"/>
      <x:c r="W152" s="78"/>
      <x:c r="X152" s="78"/>
      <x:c r="Y152" s="78"/>
      <x:c r="Z152" s="78"/>
    </x:row>
    <x:row r="153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78"/>
      <x:c r="U153" s="78"/>
      <x:c r="V153" s="78"/>
      <x:c r="W153" s="78"/>
      <x:c r="X153" s="78"/>
      <x:c r="Y153" s="78"/>
      <x:c r="Z153" s="78"/>
    </x:row>
    <x:row r="154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78"/>
      <x:c r="U154" s="78"/>
      <x:c r="V154" s="78"/>
      <x:c r="W154" s="78"/>
      <x:c r="X154" s="78"/>
      <x:c r="Y154" s="78"/>
      <x:c r="Z154" s="78"/>
    </x:row>
    <x:row r="155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78"/>
      <x:c r="U155" s="78"/>
      <x:c r="V155" s="78"/>
      <x:c r="W155" s="78"/>
      <x:c r="X155" s="78"/>
      <x:c r="Y155" s="78"/>
      <x:c r="Z155" s="78"/>
    </x:row>
    <x:row r="156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78"/>
      <x:c r="U156" s="78"/>
      <x:c r="V156" s="78"/>
      <x:c r="W156" s="78"/>
      <x:c r="X156" s="78"/>
      <x:c r="Y156" s="78"/>
      <x:c r="Z156" s="78"/>
    </x:row>
    <x:row r="157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78"/>
      <x:c r="U157" s="78"/>
      <x:c r="V157" s="78"/>
      <x:c r="W157" s="78"/>
      <x:c r="X157" s="78"/>
      <x:c r="Y157" s="78"/>
      <x:c r="Z157" s="78"/>
    </x:row>
    <x:row r="158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78"/>
      <x:c r="U158" s="78"/>
      <x:c r="V158" s="78"/>
      <x:c r="W158" s="78"/>
      <x:c r="X158" s="78"/>
      <x:c r="Y158" s="78"/>
      <x:c r="Z158" s="78"/>
    </x:row>
    <x:row r="159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78"/>
      <x:c r="U159" s="78"/>
      <x:c r="V159" s="78"/>
      <x:c r="W159" s="78"/>
      <x:c r="X159" s="78"/>
      <x:c r="Y159" s="78"/>
      <x:c r="Z159" s="78"/>
    </x:row>
    <x:row r="160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78"/>
      <x:c r="U160" s="78"/>
      <x:c r="V160" s="78"/>
      <x:c r="W160" s="78"/>
      <x:c r="X160" s="78"/>
      <x:c r="Y160" s="78"/>
      <x:c r="Z160" s="78"/>
    </x:row>
    <x:row r="16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78"/>
      <x:c r="U161" s="78"/>
      <x:c r="V161" s="78"/>
      <x:c r="W161" s="78"/>
      <x:c r="X161" s="78"/>
      <x:c r="Y161" s="78"/>
      <x:c r="Z161" s="78"/>
    </x:row>
    <x:row r="162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78"/>
      <x:c r="U162" s="78"/>
      <x:c r="V162" s="78"/>
      <x:c r="W162" s="78"/>
      <x:c r="X162" s="78"/>
      <x:c r="Y162" s="78"/>
      <x:c r="Z162" s="78"/>
    </x:row>
    <x:row r="163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78"/>
      <x:c r="U163" s="78"/>
      <x:c r="V163" s="78"/>
      <x:c r="W163" s="78"/>
      <x:c r="X163" s="78"/>
      <x:c r="Y163" s="78"/>
      <x:c r="Z163" s="78"/>
    </x:row>
    <x:row r="164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78"/>
      <x:c r="U164" s="78"/>
      <x:c r="V164" s="78"/>
      <x:c r="W164" s="78"/>
      <x:c r="X164" s="78"/>
      <x:c r="Y164" s="78"/>
      <x:c r="Z164" s="78"/>
    </x:row>
    <x:row r="165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78"/>
      <x:c r="U165" s="78"/>
      <x:c r="V165" s="78"/>
      <x:c r="W165" s="78"/>
      <x:c r="X165" s="78"/>
      <x:c r="Y165" s="78"/>
      <x:c r="Z165" s="78"/>
    </x:row>
    <x:row r="166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78"/>
      <x:c r="U166" s="78"/>
      <x:c r="V166" s="78"/>
      <x:c r="W166" s="78"/>
      <x:c r="X166" s="78"/>
      <x:c r="Y166" s="78"/>
      <x:c r="Z166" s="78"/>
    </x:row>
    <x:row r="167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78"/>
      <x:c r="U167" s="78"/>
      <x:c r="V167" s="78"/>
      <x:c r="W167" s="78"/>
      <x:c r="X167" s="78"/>
      <x:c r="Y167" s="78"/>
      <x:c r="Z167" s="78"/>
    </x:row>
    <x:row r="168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78"/>
      <x:c r="U168" s="78"/>
      <x:c r="V168" s="78"/>
      <x:c r="W168" s="78"/>
      <x:c r="X168" s="78"/>
      <x:c r="Y168" s="78"/>
      <x:c r="Z168" s="78"/>
    </x:row>
    <x:row r="169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78"/>
      <x:c r="U169" s="78"/>
      <x:c r="V169" s="78"/>
      <x:c r="W169" s="78"/>
      <x:c r="X169" s="78"/>
      <x:c r="Y169" s="78"/>
      <x:c r="Z169" s="78"/>
    </x:row>
    <x:row r="170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78"/>
      <x:c r="U170" s="78"/>
      <x:c r="V170" s="78"/>
      <x:c r="W170" s="78"/>
      <x:c r="X170" s="78"/>
      <x:c r="Y170" s="78"/>
      <x:c r="Z170" s="78"/>
    </x:row>
    <x:row r="17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78"/>
      <x:c r="U171" s="78"/>
      <x:c r="V171" s="78"/>
      <x:c r="W171" s="78"/>
      <x:c r="X171" s="78"/>
      <x:c r="Y171" s="78"/>
      <x:c r="Z171" s="78"/>
    </x:row>
    <x:row r="172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78"/>
      <x:c r="U172" s="78"/>
      <x:c r="V172" s="78"/>
      <x:c r="W172" s="78"/>
      <x:c r="X172" s="78"/>
      <x:c r="Y172" s="78"/>
      <x:c r="Z172" s="78"/>
    </x:row>
    <x:row r="173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78"/>
      <x:c r="U173" s="78"/>
      <x:c r="V173" s="78"/>
      <x:c r="W173" s="78"/>
      <x:c r="X173" s="78"/>
      <x:c r="Y173" s="78"/>
      <x:c r="Z173" s="78"/>
    </x:row>
    <x:row r="174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78"/>
      <x:c r="U174" s="78"/>
      <x:c r="V174" s="78"/>
      <x:c r="W174" s="78"/>
      <x:c r="X174" s="78"/>
      <x:c r="Y174" s="78"/>
      <x:c r="Z174" s="78"/>
    </x:row>
    <x:row r="175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78"/>
      <x:c r="U175" s="78"/>
      <x:c r="V175" s="78"/>
      <x:c r="W175" s="78"/>
      <x:c r="X175" s="78"/>
      <x:c r="Y175" s="78"/>
      <x:c r="Z175" s="78"/>
    </x:row>
    <x:row r="176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78"/>
      <x:c r="U176" s="78"/>
      <x:c r="V176" s="78"/>
      <x:c r="W176" s="78"/>
      <x:c r="X176" s="78"/>
      <x:c r="Y176" s="78"/>
      <x:c r="Z176" s="78"/>
    </x:row>
    <x:row r="177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78"/>
      <x:c r="U177" s="78"/>
      <x:c r="V177" s="78"/>
      <x:c r="W177" s="78"/>
      <x:c r="X177" s="78"/>
      <x:c r="Y177" s="78"/>
      <x:c r="Z177" s="78"/>
    </x:row>
    <x:row r="178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78"/>
      <x:c r="U178" s="78"/>
      <x:c r="V178" s="78"/>
      <x:c r="W178" s="78"/>
      <x:c r="X178" s="78"/>
      <x:c r="Y178" s="78"/>
      <x:c r="Z178" s="78"/>
    </x:row>
    <x:row r="179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78"/>
      <x:c r="U179" s="78"/>
      <x:c r="V179" s="78"/>
      <x:c r="W179" s="78"/>
      <x:c r="X179" s="78"/>
      <x:c r="Y179" s="78"/>
      <x:c r="Z179" s="78"/>
    </x:row>
    <x:row r="180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78"/>
      <x:c r="U180" s="78"/>
      <x:c r="V180" s="78"/>
      <x:c r="W180" s="78"/>
      <x:c r="X180" s="78"/>
      <x:c r="Y180" s="78"/>
      <x:c r="Z180" s="78"/>
    </x:row>
    <x:row r="18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78"/>
      <x:c r="U181" s="78"/>
      <x:c r="V181" s="78"/>
      <x:c r="W181" s="78"/>
      <x:c r="X181" s="78"/>
      <x:c r="Y181" s="78"/>
      <x:c r="Z181" s="78"/>
    </x:row>
    <x:row r="182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78"/>
      <x:c r="U182" s="78"/>
      <x:c r="V182" s="78"/>
      <x:c r="W182" s="78"/>
      <x:c r="X182" s="78"/>
      <x:c r="Y182" s="78"/>
      <x:c r="Z182" s="78"/>
    </x:row>
    <x:row r="183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78"/>
      <x:c r="U183" s="78"/>
      <x:c r="V183" s="78"/>
      <x:c r="W183" s="78"/>
      <x:c r="X183" s="78"/>
      <x:c r="Y183" s="78"/>
      <x:c r="Z183" s="78"/>
    </x:row>
    <x:row r="184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78"/>
      <x:c r="U184" s="78"/>
      <x:c r="V184" s="78"/>
      <x:c r="W184" s="78"/>
      <x:c r="X184" s="78"/>
      <x:c r="Y184" s="78"/>
      <x:c r="Z184" s="78"/>
    </x:row>
    <x:row r="185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78"/>
      <x:c r="U185" s="78"/>
      <x:c r="V185" s="78"/>
      <x:c r="W185" s="78"/>
      <x:c r="X185" s="78"/>
      <x:c r="Y185" s="78"/>
      <x:c r="Z185" s="78"/>
    </x:row>
    <x:row r="186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78"/>
      <x:c r="U186" s="78"/>
      <x:c r="V186" s="78"/>
      <x:c r="W186" s="78"/>
      <x:c r="X186" s="78"/>
      <x:c r="Y186" s="78"/>
      <x:c r="Z186" s="78"/>
    </x:row>
    <x:row r="187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78"/>
      <x:c r="U187" s="78"/>
      <x:c r="V187" s="78"/>
      <x:c r="W187" s="78"/>
      <x:c r="X187" s="78"/>
      <x:c r="Y187" s="78"/>
      <x:c r="Z187" s="78"/>
    </x:row>
    <x:row r="188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78"/>
      <x:c r="U188" s="78"/>
      <x:c r="V188" s="78"/>
      <x:c r="W188" s="78"/>
      <x:c r="X188" s="78"/>
      <x:c r="Y188" s="78"/>
      <x:c r="Z188" s="78"/>
    </x:row>
    <x:row r="189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78"/>
      <x:c r="U189" s="78"/>
      <x:c r="V189" s="78"/>
      <x:c r="W189" s="78"/>
      <x:c r="X189" s="78"/>
      <x:c r="Y189" s="78"/>
      <x:c r="Z189" s="78"/>
    </x:row>
    <x:row r="190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78"/>
      <x:c r="U190" s="78"/>
      <x:c r="V190" s="78"/>
      <x:c r="W190" s="78"/>
      <x:c r="X190" s="78"/>
      <x:c r="Y190" s="78"/>
      <x:c r="Z190" s="78"/>
    </x:row>
    <x:row r="19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78"/>
      <x:c r="U191" s="78"/>
      <x:c r="V191" s="78"/>
      <x:c r="W191" s="78"/>
      <x:c r="X191" s="78"/>
      <x:c r="Y191" s="78"/>
      <x:c r="Z191" s="78"/>
    </x:row>
    <x:row r="192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78"/>
      <x:c r="U192" s="78"/>
      <x:c r="V192" s="78"/>
      <x:c r="W192" s="78"/>
      <x:c r="X192" s="78"/>
      <x:c r="Y192" s="78"/>
      <x:c r="Z192" s="78"/>
    </x:row>
    <x:row r="193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78"/>
      <x:c r="U193" s="78"/>
      <x:c r="V193" s="78"/>
      <x:c r="W193" s="78"/>
      <x:c r="X193" s="78"/>
      <x:c r="Y193" s="78"/>
      <x:c r="Z193" s="78"/>
    </x:row>
    <x:row r="194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78"/>
      <x:c r="U194" s="78"/>
      <x:c r="V194" s="78"/>
      <x:c r="W194" s="78"/>
      <x:c r="X194" s="78"/>
      <x:c r="Y194" s="78"/>
      <x:c r="Z194" s="78"/>
    </x:row>
    <x:row r="195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78"/>
    </x:row>
    <x:row r="196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78"/>
      <x:c r="U196" s="78"/>
      <x:c r="V196" s="78"/>
      <x:c r="W196" s="78"/>
      <x:c r="X196" s="78"/>
      <x:c r="Y196" s="78"/>
      <x:c r="Z196" s="78"/>
    </x:row>
    <x:row r="197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78"/>
      <x:c r="U197" s="78"/>
      <x:c r="V197" s="78"/>
      <x:c r="W197" s="78"/>
      <x:c r="X197" s="78"/>
      <x:c r="Y197" s="78"/>
      <x:c r="Z197" s="78"/>
    </x:row>
    <x:row r="198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78"/>
      <x:c r="U198" s="78"/>
      <x:c r="V198" s="78"/>
      <x:c r="W198" s="78"/>
      <x:c r="X198" s="78"/>
      <x:c r="Y198" s="78"/>
      <x:c r="Z198" s="78"/>
    </x:row>
    <x:row r="199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78"/>
    </x:row>
    <x:row r="200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78"/>
    </x:row>
  </x:sheetData>
  <x:mergeCells>
    <x:mergeCell ref="A1:G1"/>
    <x:mergeCell ref="A2:G2"/>
    <x:mergeCell ref="A4:G4"/>
    <x:mergeCell ref="A13:B13"/>
    <x:mergeCell ref="D13:G13"/>
    <x:mergeCell ref="A14:B14"/>
    <x:mergeCell ref="D14:G14"/>
    <x:mergeCell ref="A15:B15"/>
    <x:mergeCell ref="D15:G15"/>
    <x:mergeCell ref="A18:G18"/>
    <x:mergeCell ref="E29:G2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39" hidden="0" customWidth="1"/>
    <x:col min="4" max="4" width="34" hidden="0" customWidth="1"/>
    <x:col min="5" max="5" width="15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77" t="str">
        <x:v>Shared-code, isolated-deployment economics</x:v>
      </x:c>
      <x:c r="B1" s="77"/>
      <x:c r="C1" s="77"/>
      <x:c r="D1" s="77"/>
      <x:c r="E1" s="77"/>
      <x:c r="F1" s="77"/>
      <x:c r="G1" s="77"/>
      <x:c r="H1" s="77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  <x:c r="V1" s="78"/>
      <x:c r="W1" s="78"/>
      <x:c r="X1" s="78"/>
      <x:c r="Y1" s="78"/>
      <x:c r="Z1" s="78"/>
    </x:row>
    <x:row r="2" ht="28" customHeight="1">
      <x:c r="A2" s="5" t="str">
        <x:v>Recommended path: one codebase; one Vercel project and one Neon project/database per client. This limits blast radius without duplicating code.</x:v>
      </x:c>
      <x:c r="B2" s="5"/>
      <x:c r="C2" s="5"/>
      <x:c r="D2" s="5"/>
      <x:c r="E2" s="5"/>
      <x:c r="F2" s="5"/>
      <x:c r="G2" s="5"/>
      <x:c r="H2" s="5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</x:row>
    <x:row r="4" ht="24" customHeight="1">
      <x:c r="A4" s="79" t="str">
        <x:v>Monthly economics by active client count</x:v>
      </x:c>
      <x:c r="B4" s="79"/>
      <x:c r="C4" s="79"/>
      <x:c r="D4" s="79"/>
      <x:c r="E4" s="79"/>
      <x:c r="F4" s="79"/>
      <x:c r="G4" s="79"/>
      <x:c r="H4" s="79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8"/>
      <x:c r="V4" s="78"/>
      <x:c r="W4" s="78"/>
      <x:c r="X4" s="78"/>
      <x:c r="Y4" s="78"/>
      <x:c r="Z4" s="78"/>
    </x:row>
    <x:row r="5">
      <x:c r="A5" s="80" t="str">
        <x:v>Clients</x:v>
      </x:c>
      <x:c r="B5" s="80" t="str">
        <x:v>Total cash ₹</x:v>
      </x:c>
      <x:c r="C5" s="80" t="str">
        <x:v>Cash ₹/client</x:v>
      </x:c>
      <x:c r="D5" s="80" t="str">
        <x:v>Support hours</x:v>
      </x:c>
      <x:c r="E5" s="80" t="str">
        <x:v>Support econ. ₹/client</x:v>
      </x:c>
      <x:c r="F5" s="80" t="str">
        <x:v>True ₹/client</x:v>
      </x:c>
      <x:c r="G5" s="80" t="str">
        <x:v>Monthly quote ₹</x:v>
      </x:c>
      <x:c r="H5" s="80" t="str">
        <x:v>Gross margin</x:v>
      </x:c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</x:row>
    <x:row r="6">
      <x:c r="A6" s="81" t="n">
        <x:v>1</x:v>
      </x:c>
      <x:c r="B6" s="92" t="n">
        <x:f>('Runtime COGS'!B10+'Runtime COGS'!B34+A6*'Runtime COGS'!B22)*'Assumptions'!B38*(1+'Assumptions'!B39/100)*(1+'Assumptions'!B40/100)</x:f>
        <x:v>106918.35432299999</x:v>
      </x:c>
      <x:c r="C6" s="92" t="n">
        <x:f>B6/A6</x:f>
        <x:v>106918.35432299999</x:v>
      </x:c>
      <x:c r="D6" s="92" t="n">
        <x:f>30+8*(A6-1)</x:f>
        <x:v>30</x:v>
      </x:c>
      <x:c r="E6" s="92" t="n">
        <x:f>D6*'Assumptions'!B41/A6</x:f>
        <x:v>75000</x:v>
      </x:c>
      <x:c r="F6" s="92" t="n">
        <x:f>C6+E6</x:f>
        <x:v>181918.354323</x:v>
      </x:c>
      <x:c r="G6" s="92" t="n">
        <x:f>'Assumptions'!B44</x:f>
        <x:v>150000</x:v>
      </x:c>
      <x:c r="H6" s="118" t="n">
        <x:f>(G6-F6)/G6</x:f>
        <x:v>-0.21278902882000006</x:v>
      </x:c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</x:row>
    <x:row r="7">
      <x:c r="A7" s="81" t="n">
        <x:v>2</x:v>
      </x:c>
      <x:c r="B7" s="92" t="n">
        <x:f>('Runtime COGS'!B10+'Runtime COGS'!B34+A7*'Runtime COGS'!B22)*'Assumptions'!B38*(1+'Assumptions'!B39/100)*(1+'Assumptions'!B40/100)</x:f>
        <x:v>130226.999166</x:v>
      </x:c>
      <x:c r="C7" s="92" t="n">
        <x:f>B7/A7</x:f>
        <x:v>65113.499583</x:v>
      </x:c>
      <x:c r="D7" s="92" t="n">
        <x:f>30+8*(A7-1)</x:f>
        <x:v>38</x:v>
      </x:c>
      <x:c r="E7" s="92" t="n">
        <x:f>D7*'Assumptions'!B41/A7</x:f>
        <x:v>47500</x:v>
      </x:c>
      <x:c r="F7" s="92" t="n">
        <x:f>C7+E7</x:f>
        <x:v>112613.499583</x:v>
      </x:c>
      <x:c r="G7" s="92" t="n">
        <x:f>'Assumptions'!B44</x:f>
        <x:v>150000</x:v>
      </x:c>
      <x:c r="H7" s="118" t="n">
        <x:f>(G7-F7)/G7</x:f>
        <x:v>0.24924333611333335</x:v>
      </x:c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78"/>
      <x:c r="W7" s="78"/>
      <x:c r="X7" s="78"/>
      <x:c r="Y7" s="78"/>
      <x:c r="Z7" s="78"/>
    </x:row>
    <x:row r="8">
      <x:c r="A8" s="81" t="n">
        <x:v>3</x:v>
      </x:c>
      <x:c r="B8" s="92" t="n">
        <x:f>('Runtime COGS'!B10+'Runtime COGS'!B34+A8*'Runtime COGS'!B22)*'Assumptions'!B38*(1+'Assumptions'!B39/100)*(1+'Assumptions'!B40/100)</x:f>
        <x:v>153535.64400899998</x:v>
      </x:c>
      <x:c r="C8" s="92" t="n">
        <x:f>B8/A8</x:f>
        <x:v>51178.548002999996</x:v>
      </x:c>
      <x:c r="D8" s="92" t="n">
        <x:f>30+8*(A8-1)</x:f>
        <x:v>46</x:v>
      </x:c>
      <x:c r="E8" s="92" t="n">
        <x:f>D8*'Assumptions'!B41/A8</x:f>
        <x:v>38333.333333333336</x:v>
      </x:c>
      <x:c r="F8" s="92" t="n">
        <x:f>C8+E8</x:f>
        <x:v>89511.88133633333</x:v>
      </x:c>
      <x:c r="G8" s="92" t="n">
        <x:f>'Assumptions'!B44</x:f>
        <x:v>150000</x:v>
      </x:c>
      <x:c r="H8" s="118" t="n">
        <x:f>(G8-F8)/G8</x:f>
        <x:v>0.40325412442444447</x:v>
      </x:c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/>
      <x:c r="U8" s="78"/>
      <x:c r="V8" s="78"/>
      <x:c r="W8" s="78"/>
      <x:c r="X8" s="78"/>
      <x:c r="Y8" s="78"/>
      <x:c r="Z8" s="78"/>
    </x:row>
    <x:row r="9">
      <x:c r="A9" s="119" t="n">
        <x:v>5</x:v>
      </x:c>
      <x:c r="B9" s="120" t="n">
        <x:f>('Runtime COGS'!B10+'Runtime COGS'!B34+A9*'Runtime COGS'!B22)*'Assumptions'!B38*(1+'Assumptions'!B39/100)*(1+'Assumptions'!B40/100)</x:f>
        <x:v>200152.93369499999</x:v>
      </x:c>
      <x:c r="C9" s="120" t="n">
        <x:f>B9/A9</x:f>
        <x:v>40030.586739</x:v>
      </x:c>
      <x:c r="D9" s="120" t="n">
        <x:f>30+8*(A9-1)</x:f>
        <x:v>62</x:v>
      </x:c>
      <x:c r="E9" s="120" t="n">
        <x:f>D9*'Assumptions'!B41/A9</x:f>
        <x:v>31000</x:v>
      </x:c>
      <x:c r="F9" s="120" t="n">
        <x:f>C9+E9</x:f>
        <x:v>71030.58673899999</x:v>
      </x:c>
      <x:c r="G9" s="120" t="n">
        <x:f>'Assumptions'!B44</x:f>
        <x:v>150000</x:v>
      </x:c>
      <x:c r="H9" s="121" t="n">
        <x:f>(G9-F9)/G9</x:f>
        <x:v>0.5264627550733334</x:v>
      </x:c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78"/>
      <x:c r="U9" s="78"/>
      <x:c r="V9" s="78"/>
      <x:c r="W9" s="78"/>
      <x:c r="X9" s="78"/>
      <x:c r="Y9" s="78"/>
      <x:c r="Z9" s="78"/>
    </x:row>
    <x:row r="10">
      <x:c r="A10" s="81" t="n">
        <x:v>10</x:v>
      </x:c>
      <x:c r="B10" s="92" t="n">
        <x:f>('Runtime COGS'!B10+'Runtime COGS'!B34+A10*'Runtime COGS'!B22)*'Assumptions'!B38*(1+'Assumptions'!B39/100)*(1+'Assumptions'!B40/100)</x:f>
        <x:v>316696.1579099999</x:v>
      </x:c>
      <x:c r="C10" s="92" t="n">
        <x:f>B10/A10</x:f>
        <x:v>31669.61579099999</x:v>
      </x:c>
      <x:c r="D10" s="92" t="n">
        <x:f>30+8*(A10-1)</x:f>
        <x:v>102</x:v>
      </x:c>
      <x:c r="E10" s="92" t="n">
        <x:f>D10*'Assumptions'!B41/A10</x:f>
        <x:v>25500</x:v>
      </x:c>
      <x:c r="F10" s="92" t="n">
        <x:f>C10+E10</x:f>
        <x:v>57169.61579099999</x:v>
      </x:c>
      <x:c r="G10" s="92" t="n">
        <x:f>'Assumptions'!B44</x:f>
        <x:v>150000</x:v>
      </x:c>
      <x:c r="H10" s="118" t="n">
        <x:f>(G10-F10)/G10</x:f>
        <x:v>0.6188692280600001</x:v>
      </x:c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78"/>
      <x:c r="U10" s="78"/>
      <x:c r="V10" s="78"/>
      <x:c r="W10" s="78"/>
      <x:c r="X10" s="78"/>
      <x:c r="Y10" s="78"/>
      <x:c r="Z10" s="78"/>
    </x:row>
    <x:row r="11">
      <x:c r="A11" s="122" t="n">
        <x:v>25</x:v>
      </x:c>
      <x:c r="B11" s="123" t="n">
        <x:f>('Runtime COGS'!B10+'Runtime COGS'!B34+A11*'Runtime COGS'!B22)*'Assumptions'!B38*(1+'Assumptions'!B39/100)*(1+'Assumptions'!B40/100)</x:f>
        <x:v>666325.8305549999</x:v>
      </x:c>
      <x:c r="C11" s="123" t="n">
        <x:f>B11/A11</x:f>
        <x:v>26653.033222199996</x:v>
      </x:c>
      <x:c r="D11" s="123" t="n">
        <x:f>30+8*(A11-1)</x:f>
        <x:v>222</x:v>
      </x:c>
      <x:c r="E11" s="123" t="n">
        <x:f>D11*'Assumptions'!B41/A11</x:f>
        <x:v>22200</x:v>
      </x:c>
      <x:c r="F11" s="123" t="n">
        <x:f>C11+E11</x:f>
        <x:v>48853.0332222</x:v>
      </x:c>
      <x:c r="G11" s="123" t="n">
        <x:f>'Assumptions'!B44</x:f>
        <x:v>150000</x:v>
      </x:c>
      <x:c r="H11" s="124" t="n">
        <x:f>(G11-F11)/G11</x:f>
        <x:v>0.674313111852</x:v>
      </x:c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78"/>
      <x:c r="U11" s="78"/>
      <x:c r="V11" s="78"/>
      <x:c r="W11" s="78"/>
      <x:c r="X11" s="78"/>
      <x:c r="Y11" s="78"/>
      <x:c r="Z11" s="78"/>
    </x:row>
    <x:row r="12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78"/>
      <x:c r="U12" s="78"/>
      <x:c r="V12" s="78"/>
      <x:c r="W12" s="78"/>
      <x:c r="X12" s="78"/>
      <x:c r="Y12" s="78"/>
      <x:c r="Z12" s="78"/>
    </x:row>
    <x:row r="13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78"/>
      <x:c r="U13" s="78"/>
      <x:c r="V13" s="78"/>
      <x:c r="W13" s="78"/>
      <x:c r="X13" s="78"/>
      <x:c r="Y13" s="78"/>
      <x:c r="Z13" s="78"/>
    </x:row>
    <x:row r="14" ht="24" customHeight="1">
      <x:c r="A14" s="101" t="str">
        <x:v>Scale decisions</x:v>
      </x:c>
      <x:c r="B14" s="101"/>
      <x:c r="C14" s="101"/>
      <x:c r="D14" s="101"/>
      <x:c r="E14" s="101"/>
      <x:c r="F14" s="101"/>
      <x:c r="G14" s="101"/>
      <x:c r="H14" s="101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78"/>
      <x:c r="U14" s="78"/>
      <x:c r="V14" s="78"/>
      <x:c r="W14" s="78"/>
      <x:c r="X14" s="78"/>
      <x:c r="Y14" s="78"/>
      <x:c r="Z14" s="78"/>
    </x:row>
    <x:row r="15">
      <x:c r="A15" s="80" t="str">
        <x:v>Breakpoint</x:v>
      </x:c>
      <x:c r="B15" s="80" t="str">
        <x:v>Decision</x:v>
      </x:c>
      <x:c r="C15" s="80" t="str">
        <x:v>Reason</x:v>
      </x:c>
      <x:c r="D15" s="80" t="str">
        <x:v>Minimum control</x:v>
      </x:c>
      <x:c r="E15" s="80" t="str">
        <x:v>Owner</x:v>
      </x:c>
      <x:c r="F15" s="80" t="str">
        <x:v>Budget impact</x:v>
      </x:c>
      <x:c r="G15" s="80" t="str">
        <x:v>Timing</x:v>
      </x:c>
      <x:c r="H15" s="80" t="str">
        <x:v>Status</x:v>
      </x:c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78"/>
      <x:c r="U15" s="78"/>
      <x:c r="V15" s="78"/>
      <x:c r="W15" s="78"/>
      <x:c r="X15" s="78"/>
      <x:c r="Y15" s="78"/>
      <x:c r="Z15" s="78"/>
    </x:row>
    <x:row r="16">
      <x:c r="A16" s="81" t="str">
        <x:v>1–3 clients</x:v>
      </x:c>
      <x:c r="B16" s="81" t="str">
        <x:v>Founder-led, isolated deployments</x:v>
      </x:c>
      <x:c r="C16" s="81" t="str">
        <x:v>Product boundaries still changing</x:v>
      </x:c>
      <x:c r="D16" s="81" t="str">
        <x:v>Runbooks + per-client backups</x:v>
      </x:c>
      <x:c r="E16" s="81" t="str">
        <x:v>Founder</x:v>
      </x:c>
      <x:c r="F16" s="81" t="str">
        <x:v>Contained</x:v>
      </x:c>
      <x:c r="G16" s="81" t="str">
        <x:v>Now</x:v>
      </x:c>
      <x:c r="H16" s="102" t="str">
        <x:v>Recommended</x:v>
      </x:c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78"/>
      <x:c r="U16" s="78"/>
      <x:c r="V16" s="78"/>
      <x:c r="W16" s="78"/>
      <x:c r="X16" s="78"/>
      <x:c r="Y16" s="78"/>
      <x:c r="Z16" s="78"/>
    </x:row>
    <x:row r="17">
      <x:c r="A17" s="81" t="str">
        <x:v>4–5 clients</x:v>
      </x:c>
      <x:c r="B17" s="81" t="str">
        <x:v>Add part-time support / implementation help</x:v>
      </x:c>
      <x:c r="C17" s="81" t="str">
        <x:v>Support reaches 50–62 hours/month</x:v>
      </x:c>
      <x:c r="D17" s="81" t="str">
        <x:v>Ticketing and release calendar</x:v>
      </x:c>
      <x:c r="E17" s="81" t="str">
        <x:v>Founder</x:v>
      </x:c>
      <x:c r="F17" s="81" t="str">
        <x:v>Quote-funded</x:v>
      </x:c>
      <x:c r="G17" s="81" t="str">
        <x:v>Before client 5</x:v>
      </x:c>
      <x:c r="H17" s="102" t="str">
        <x:v>Plan</x:v>
      </x:c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78"/>
      <x:c r="U17" s="78"/>
      <x:c r="V17" s="78"/>
      <x:c r="W17" s="78"/>
      <x:c r="X17" s="78"/>
      <x:c r="Y17" s="78"/>
      <x:c r="Z17" s="78"/>
    </x:row>
    <x:row r="18">
      <x:c r="A18" s="81" t="str">
        <x:v>6–10 clients</x:v>
      </x:c>
      <x:c r="B18" s="81" t="str">
        <x:v>Hire full-time support/QA</x:v>
      </x:c>
      <x:c r="C18" s="81" t="str">
        <x:v>Solo coverage and regression risk rise</x:v>
      </x:c>
      <x:c r="D18" s="81" t="str">
        <x:v>Separation of duties</x:v>
      </x:c>
      <x:c r="E18" s="81" t="str">
        <x:v>Company</x:v>
      </x:c>
      <x:c r="F18" s="81" t="str">
        <x:v>Add payroll</x:v>
      </x:c>
      <x:c r="G18" s="81" t="str">
        <x:v>Before client 8</x:v>
      </x:c>
      <x:c r="H18" s="102" t="str">
        <x:v>Required</x:v>
      </x:c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78"/>
      <x:c r="W18" s="78"/>
      <x:c r="X18" s="78"/>
      <x:c r="Y18" s="78"/>
      <x:c r="Z18" s="78"/>
    </x:row>
    <x:row r="19">
      <x:c r="A19" s="81" t="str">
        <x:v>10+ clients</x:v>
      </x:c>
      <x:c r="B19" s="81" t="str">
        <x:v>Evaluate control plane and tenant automation</x:v>
      </x:c>
      <x:c r="C19" s="81" t="str">
        <x:v>Manual environment operations stop scaling</x:v>
      </x:c>
      <x:c r="D19" s="81" t="str">
        <x:v>Provisioning/audit automation</x:v>
      </x:c>
      <x:c r="E19" s="81" t="str">
        <x:v>Engineering</x:v>
      </x:c>
      <x:c r="F19" s="81" t="str">
        <x:v>Product investment</x:v>
      </x:c>
      <x:c r="G19" s="81" t="str">
        <x:v>After repeatable fit</x:v>
      </x:c>
      <x:c r="H19" s="102" t="str">
        <x:v>Evaluate</x:v>
      </x:c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78"/>
      <x:c r="W19" s="78"/>
      <x:c r="X19" s="78"/>
      <x:c r="Y19" s="78"/>
      <x:c r="Z19" s="78"/>
    </x:row>
    <x:row r="20">
      <x:c r="A20" s="83" t="str">
        <x:v>25 clients</x:v>
      </x:c>
      <x:c r="B20" s="83" t="str">
        <x:v>Do not remain solo</x:v>
      </x:c>
      <x:c r="C20" s="83" t="str">
        <x:v>222 modeled support hours/month before sales/build</x:v>
      </x:c>
      <x:c r="D20" s="83" t="str">
        <x:v>Named backup owner and on-call</x:v>
      </x:c>
      <x:c r="E20" s="83" t="str">
        <x:v>Company</x:v>
      </x:c>
      <x:c r="F20" s="83" t="str">
        <x:v>Material</x:v>
      </x:c>
      <x:c r="G20" s="83" t="str">
        <x:v>Well before 25</x:v>
      </x:c>
      <x:c r="H20" s="103" t="str">
        <x:v>Hard stop</x:v>
      </x:c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78"/>
      <x:c r="U20" s="78"/>
      <x:c r="V20" s="78"/>
      <x:c r="W20" s="78"/>
      <x:c r="X20" s="78"/>
      <x:c r="Y20" s="78"/>
      <x:c r="Z20" s="78"/>
    </x:row>
    <x:row r="2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78"/>
    </x:row>
    <x:row r="22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78"/>
      <x:c r="U22" s="78"/>
      <x:c r="V22" s="78"/>
      <x:c r="W22" s="78"/>
      <x:c r="X22" s="78"/>
      <x:c r="Y22" s="78"/>
      <x:c r="Z22" s="78"/>
    </x:row>
    <x:row r="23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78"/>
      <x:c r="W23" s="78"/>
      <x:c r="X23" s="78"/>
      <x:c r="Y23" s="78"/>
      <x:c r="Z23" s="78"/>
    </x:row>
    <x:row r="24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78"/>
      <x:c r="U24" s="78"/>
      <x:c r="V24" s="78"/>
      <x:c r="W24" s="78"/>
      <x:c r="X24" s="78"/>
      <x:c r="Y24" s="78"/>
      <x:c r="Z24" s="78"/>
    </x:row>
    <x:row r="25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78"/>
    </x:row>
    <x:row r="26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78"/>
      <x:c r="W26" s="78"/>
      <x:c r="X26" s="78"/>
      <x:c r="Y26" s="78"/>
      <x:c r="Z26" s="78"/>
    </x:row>
    <x:row r="27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78"/>
      <x:c r="W27" s="78"/>
      <x:c r="X27" s="78"/>
      <x:c r="Y27" s="78"/>
      <x:c r="Z27" s="78"/>
    </x:row>
    <x:row r="28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78"/>
      <x:c r="U28" s="78"/>
      <x:c r="V28" s="78"/>
      <x:c r="W28" s="78"/>
      <x:c r="X28" s="78"/>
      <x:c r="Y28" s="78"/>
      <x:c r="Z28" s="78"/>
    </x:row>
    <x:row r="29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</x:row>
    <x:row r="30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78"/>
    </x:row>
    <x:row r="3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78"/>
      <x:c r="W31" s="78"/>
      <x:c r="X31" s="78"/>
      <x:c r="Y31" s="78"/>
      <x:c r="Z31" s="78"/>
    </x:row>
    <x:row r="32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78"/>
      <x:c r="U32" s="78"/>
      <x:c r="V32" s="78"/>
      <x:c r="W32" s="78"/>
      <x:c r="X32" s="78"/>
      <x:c r="Y32" s="78"/>
      <x:c r="Z32" s="78"/>
    </x:row>
    <x:row r="33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</x:row>
    <x:row r="34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</x:row>
    <x:row r="35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</x:row>
    <x:row r="36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78"/>
      <x:c r="U36" s="78"/>
      <x:c r="V36" s="78"/>
      <x:c r="W36" s="78"/>
      <x:c r="X36" s="78"/>
      <x:c r="Y36" s="78"/>
      <x:c r="Z36" s="78"/>
    </x:row>
    <x:row r="37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78"/>
    </x:row>
    <x:row r="38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78"/>
    </x:row>
    <x:row r="39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78"/>
    </x:row>
    <x:row r="40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78"/>
      <x:c r="U40" s="78"/>
      <x:c r="V40" s="78"/>
      <x:c r="W40" s="78"/>
      <x:c r="X40" s="78"/>
      <x:c r="Y40" s="78"/>
      <x:c r="Z40" s="78"/>
    </x:row>
    <x:row r="4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</x:row>
    <x:row r="42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8"/>
    </x:row>
    <x:row r="43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78"/>
    </x:row>
    <x:row r="44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</x:row>
    <x:row r="45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78"/>
    </x:row>
    <x:row r="46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78"/>
      <x:c r="U46" s="78"/>
      <x:c r="V46" s="78"/>
      <x:c r="W46" s="78"/>
      <x:c r="X46" s="78"/>
      <x:c r="Y46" s="78"/>
      <x:c r="Z46" s="78"/>
    </x:row>
    <x:row r="47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78"/>
      <x:c r="U47" s="78"/>
      <x:c r="V47" s="78"/>
      <x:c r="W47" s="78"/>
      <x:c r="X47" s="78"/>
      <x:c r="Y47" s="78"/>
      <x:c r="Z47" s="78"/>
    </x:row>
    <x:row r="48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78"/>
      <x:c r="U48" s="78"/>
      <x:c r="V48" s="78"/>
      <x:c r="W48" s="78"/>
      <x:c r="X48" s="78"/>
      <x:c r="Y48" s="78"/>
      <x:c r="Z48" s="78"/>
    </x:row>
    <x:row r="49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78"/>
      <x:c r="U49" s="78"/>
      <x:c r="V49" s="78"/>
      <x:c r="W49" s="78"/>
      <x:c r="X49" s="78"/>
      <x:c r="Y49" s="78"/>
      <x:c r="Z49" s="78"/>
    </x:row>
    <x:row r="50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78"/>
    </x:row>
    <x:row r="5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78"/>
      <x:c r="W51" s="78"/>
      <x:c r="X51" s="78"/>
      <x:c r="Y51" s="78"/>
      <x:c r="Z51" s="78"/>
    </x:row>
    <x:row r="52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78"/>
    </x:row>
    <x:row r="53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78"/>
    </x:row>
    <x:row r="54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78"/>
      <x:c r="U54" s="78"/>
      <x:c r="V54" s="78"/>
      <x:c r="W54" s="78"/>
      <x:c r="X54" s="78"/>
      <x:c r="Y54" s="78"/>
      <x:c r="Z54" s="78"/>
    </x:row>
    <x:row r="55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78"/>
    </x:row>
    <x:row r="56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78"/>
    </x:row>
    <x:row r="57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78"/>
    </x:row>
    <x:row r="58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</x:row>
    <x:row r="59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78"/>
      <x:c r="U59" s="78"/>
      <x:c r="V59" s="78"/>
      <x:c r="W59" s="78"/>
      <x:c r="X59" s="78"/>
      <x:c r="Y59" s="78"/>
      <x:c r="Z59" s="78"/>
    </x:row>
    <x:row r="60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</x:row>
    <x:row r="6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78"/>
      <x:c r="U61" s="78"/>
      <x:c r="V61" s="78"/>
      <x:c r="W61" s="78"/>
      <x:c r="X61" s="78"/>
      <x:c r="Y61" s="78"/>
      <x:c r="Z61" s="78"/>
    </x:row>
    <x:row r="62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78"/>
      <x:c r="U62" s="78"/>
      <x:c r="V62" s="78"/>
      <x:c r="W62" s="78"/>
      <x:c r="X62" s="78"/>
      <x:c r="Y62" s="78"/>
      <x:c r="Z62" s="78"/>
    </x:row>
    <x:row r="63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78"/>
    </x:row>
    <x:row r="64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78"/>
      <x:c r="U64" s="78"/>
      <x:c r="V64" s="78"/>
      <x:c r="W64" s="78"/>
      <x:c r="X64" s="78"/>
      <x:c r="Y64" s="78"/>
      <x:c r="Z64" s="78"/>
    </x:row>
    <x:row r="65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78"/>
      <x:c r="U65" s="78"/>
      <x:c r="V65" s="78"/>
      <x:c r="W65" s="78"/>
      <x:c r="X65" s="78"/>
      <x:c r="Y65" s="78"/>
      <x:c r="Z65" s="78"/>
    </x:row>
    <x:row r="66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78"/>
      <x:c r="U66" s="78"/>
      <x:c r="V66" s="78"/>
      <x:c r="W66" s="78"/>
      <x:c r="X66" s="78"/>
      <x:c r="Y66" s="78"/>
      <x:c r="Z66" s="78"/>
    </x:row>
    <x:row r="67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78"/>
      <x:c r="U67" s="78"/>
      <x:c r="V67" s="78"/>
      <x:c r="W67" s="78"/>
      <x:c r="X67" s="78"/>
      <x:c r="Y67" s="78"/>
      <x:c r="Z67" s="78"/>
    </x:row>
    <x:row r="68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78"/>
    </x:row>
    <x:row r="69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78"/>
      <x:c r="U69" s="78"/>
      <x:c r="V69" s="78"/>
      <x:c r="W69" s="78"/>
      <x:c r="X69" s="78"/>
      <x:c r="Y69" s="78"/>
      <x:c r="Z69" s="78"/>
    </x:row>
    <x:row r="70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78"/>
      <x:c r="U70" s="78"/>
      <x:c r="V70" s="78"/>
      <x:c r="W70" s="78"/>
      <x:c r="X70" s="78"/>
      <x:c r="Y70" s="78"/>
      <x:c r="Z70" s="78"/>
    </x:row>
    <x:row r="7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78"/>
      <x:c r="U71" s="78"/>
      <x:c r="V71" s="78"/>
      <x:c r="W71" s="78"/>
      <x:c r="X71" s="78"/>
      <x:c r="Y71" s="78"/>
      <x:c r="Z71" s="78"/>
    </x:row>
    <x:row r="72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78"/>
    </x:row>
    <x:row r="73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78"/>
      <x:c r="U73" s="78"/>
      <x:c r="V73" s="78"/>
      <x:c r="W73" s="78"/>
      <x:c r="X73" s="78"/>
      <x:c r="Y73" s="78"/>
      <x:c r="Z73" s="78"/>
    </x:row>
    <x:row r="74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78"/>
      <x:c r="U74" s="78"/>
      <x:c r="V74" s="78"/>
      <x:c r="W74" s="78"/>
      <x:c r="X74" s="78"/>
      <x:c r="Y74" s="78"/>
      <x:c r="Z74" s="78"/>
    </x:row>
    <x:row r="75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78"/>
    </x:row>
    <x:row r="76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78"/>
      <x:c r="U76" s="78"/>
      <x:c r="V76" s="78"/>
      <x:c r="W76" s="78"/>
      <x:c r="X76" s="78"/>
      <x:c r="Y76" s="78"/>
      <x:c r="Z76" s="78"/>
    </x:row>
    <x:row r="77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78"/>
    </x:row>
    <x:row r="78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78"/>
      <x:c r="U78" s="78"/>
      <x:c r="V78" s="78"/>
      <x:c r="W78" s="78"/>
      <x:c r="X78" s="78"/>
      <x:c r="Y78" s="78"/>
      <x:c r="Z78" s="78"/>
    </x:row>
    <x:row r="79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78"/>
      <x:c r="U79" s="78"/>
      <x:c r="V79" s="78"/>
      <x:c r="W79" s="78"/>
      <x:c r="X79" s="78"/>
      <x:c r="Y79" s="78"/>
      <x:c r="Z79" s="78"/>
    </x:row>
    <x:row r="80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78"/>
      <x:c r="U80" s="78"/>
      <x:c r="V80" s="78"/>
      <x:c r="W80" s="78"/>
      <x:c r="X80" s="78"/>
      <x:c r="Y80" s="78"/>
      <x:c r="Z80" s="78"/>
    </x:row>
    <x:row r="8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78"/>
      <x:c r="U81" s="78"/>
      <x:c r="V81" s="78"/>
      <x:c r="W81" s="78"/>
      <x:c r="X81" s="78"/>
      <x:c r="Y81" s="78"/>
      <x:c r="Z81" s="78"/>
    </x:row>
    <x:row r="82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78"/>
      <x:c r="U82" s="78"/>
      <x:c r="V82" s="78"/>
      <x:c r="W82" s="78"/>
      <x:c r="X82" s="78"/>
      <x:c r="Y82" s="78"/>
      <x:c r="Z82" s="78"/>
    </x:row>
    <x:row r="83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78"/>
      <x:c r="U83" s="78"/>
      <x:c r="V83" s="78"/>
      <x:c r="W83" s="78"/>
      <x:c r="X83" s="78"/>
      <x:c r="Y83" s="78"/>
      <x:c r="Z83" s="78"/>
    </x:row>
    <x:row r="84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78"/>
      <x:c r="U84" s="78"/>
      <x:c r="V84" s="78"/>
      <x:c r="W84" s="78"/>
      <x:c r="X84" s="78"/>
      <x:c r="Y84" s="78"/>
      <x:c r="Z84" s="78"/>
    </x:row>
    <x:row r="85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78"/>
      <x:c r="U85" s="78"/>
      <x:c r="V85" s="78"/>
      <x:c r="W85" s="78"/>
      <x:c r="X85" s="78"/>
      <x:c r="Y85" s="78"/>
      <x:c r="Z85" s="78"/>
    </x:row>
    <x:row r="86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78"/>
      <x:c r="U86" s="78"/>
      <x:c r="V86" s="78"/>
      <x:c r="W86" s="78"/>
      <x:c r="X86" s="78"/>
      <x:c r="Y86" s="78"/>
      <x:c r="Z86" s="78"/>
    </x:row>
    <x:row r="87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78"/>
      <x:c r="U87" s="78"/>
      <x:c r="V87" s="78"/>
      <x:c r="W87" s="78"/>
      <x:c r="X87" s="78"/>
      <x:c r="Y87" s="78"/>
      <x:c r="Z87" s="78"/>
    </x:row>
    <x:row r="88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78"/>
      <x:c r="U88" s="78"/>
      <x:c r="V88" s="78"/>
      <x:c r="W88" s="78"/>
      <x:c r="X88" s="78"/>
      <x:c r="Y88" s="78"/>
      <x:c r="Z88" s="78"/>
    </x:row>
    <x:row r="89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78"/>
      <x:c r="U89" s="78"/>
      <x:c r="V89" s="78"/>
      <x:c r="W89" s="78"/>
      <x:c r="X89" s="78"/>
      <x:c r="Y89" s="78"/>
      <x:c r="Z89" s="78"/>
    </x:row>
    <x:row r="90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78"/>
    </x:row>
    <x:row r="9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78"/>
      <x:c r="U91" s="78"/>
      <x:c r="V91" s="78"/>
      <x:c r="W91" s="78"/>
      <x:c r="X91" s="78"/>
      <x:c r="Y91" s="78"/>
      <x:c r="Z91" s="78"/>
    </x:row>
    <x:row r="92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78"/>
      <x:c r="U92" s="78"/>
      <x:c r="V92" s="78"/>
      <x:c r="W92" s="78"/>
      <x:c r="X92" s="78"/>
      <x:c r="Y92" s="78"/>
      <x:c r="Z92" s="78"/>
    </x:row>
    <x:row r="93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78"/>
      <x:c r="U93" s="78"/>
      <x:c r="V93" s="78"/>
      <x:c r="W93" s="78"/>
      <x:c r="X93" s="78"/>
      <x:c r="Y93" s="78"/>
      <x:c r="Z93" s="78"/>
    </x:row>
    <x:row r="94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78"/>
      <x:c r="U94" s="78"/>
      <x:c r="V94" s="78"/>
      <x:c r="W94" s="78"/>
      <x:c r="X94" s="78"/>
      <x:c r="Y94" s="78"/>
      <x:c r="Z94" s="78"/>
    </x:row>
    <x:row r="95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78"/>
      <x:c r="U95" s="78"/>
      <x:c r="V95" s="78"/>
      <x:c r="W95" s="78"/>
      <x:c r="X95" s="78"/>
      <x:c r="Y95" s="78"/>
      <x:c r="Z95" s="78"/>
    </x:row>
    <x:row r="96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78"/>
      <x:c r="U96" s="78"/>
      <x:c r="V96" s="78"/>
      <x:c r="W96" s="78"/>
      <x:c r="X96" s="78"/>
      <x:c r="Y96" s="78"/>
      <x:c r="Z96" s="78"/>
    </x:row>
    <x:row r="97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78"/>
      <x:c r="U97" s="78"/>
      <x:c r="V97" s="78"/>
      <x:c r="W97" s="78"/>
      <x:c r="X97" s="78"/>
      <x:c r="Y97" s="78"/>
      <x:c r="Z97" s="78"/>
    </x:row>
    <x:row r="98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78"/>
      <x:c r="U98" s="78"/>
      <x:c r="V98" s="78"/>
      <x:c r="W98" s="78"/>
      <x:c r="X98" s="78"/>
      <x:c r="Y98" s="78"/>
      <x:c r="Z98" s="78"/>
    </x:row>
    <x:row r="99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78"/>
      <x:c r="U99" s="78"/>
      <x:c r="V99" s="78"/>
      <x:c r="W99" s="78"/>
      <x:c r="X99" s="78"/>
      <x:c r="Y99" s="78"/>
      <x:c r="Z99" s="78"/>
    </x:row>
    <x:row r="100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78"/>
      <x:c r="U100" s="78"/>
      <x:c r="V100" s="78"/>
      <x:c r="W100" s="78"/>
      <x:c r="X100" s="78"/>
      <x:c r="Y100" s="78"/>
      <x:c r="Z100" s="78"/>
    </x:row>
    <x:row r="10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78"/>
      <x:c r="U101" s="78"/>
      <x:c r="V101" s="78"/>
      <x:c r="W101" s="78"/>
      <x:c r="X101" s="78"/>
      <x:c r="Y101" s="78"/>
      <x:c r="Z101" s="78"/>
    </x:row>
    <x:row r="102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78"/>
    </x:row>
    <x:row r="103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78"/>
    </x:row>
    <x:row r="104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78"/>
    </x:row>
    <x:row r="105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78"/>
      <x:c r="U105" s="78"/>
      <x:c r="V105" s="78"/>
      <x:c r="W105" s="78"/>
      <x:c r="X105" s="78"/>
      <x:c r="Y105" s="78"/>
      <x:c r="Z105" s="78"/>
    </x:row>
    <x:row r="106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78"/>
      <x:c r="U106" s="78"/>
      <x:c r="V106" s="78"/>
      <x:c r="W106" s="78"/>
      <x:c r="X106" s="78"/>
      <x:c r="Y106" s="78"/>
      <x:c r="Z106" s="78"/>
    </x:row>
    <x:row r="107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78"/>
      <x:c r="U107" s="78"/>
      <x:c r="V107" s="78"/>
      <x:c r="W107" s="78"/>
      <x:c r="X107" s="78"/>
      <x:c r="Y107" s="78"/>
      <x:c r="Z107" s="78"/>
    </x:row>
    <x:row r="108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78"/>
      <x:c r="U108" s="78"/>
      <x:c r="V108" s="78"/>
      <x:c r="W108" s="78"/>
      <x:c r="X108" s="78"/>
      <x:c r="Y108" s="78"/>
      <x:c r="Z108" s="78"/>
    </x:row>
    <x:row r="109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78"/>
      <x:c r="U109" s="78"/>
      <x:c r="V109" s="78"/>
      <x:c r="W109" s="78"/>
      <x:c r="X109" s="78"/>
      <x:c r="Y109" s="78"/>
      <x:c r="Z109" s="78"/>
    </x:row>
    <x:row r="110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</x:row>
    <x:row r="11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</x:row>
    <x:row r="112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</x:row>
    <x:row r="113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</x:row>
    <x:row r="114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</x:row>
    <x:row r="115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</x:row>
    <x:row r="116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</x:row>
    <x:row r="117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</x:row>
    <x:row r="118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</x:row>
    <x:row r="119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</x:row>
    <x:row r="120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</x:row>
    <x:row r="12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</x:row>
    <x:row r="122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</x:row>
    <x:row r="123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</x:row>
    <x:row r="124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</x:row>
    <x:row r="125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</x:row>
    <x:row r="126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</x:row>
    <x:row r="127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</x:row>
    <x:row r="128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</x:row>
    <x:row r="129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</x:row>
    <x:row r="130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</x:row>
    <x:row r="13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</x:row>
    <x:row r="132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</x:row>
    <x:row r="133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</x:row>
    <x:row r="134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</x:row>
    <x:row r="135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</x:row>
    <x:row r="136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</x:row>
    <x:row r="137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</x:row>
    <x:row r="138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</x:row>
    <x:row r="139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</x:row>
    <x:row r="140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</x:row>
    <x:row r="14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78"/>
      <x:c r="U141" s="78"/>
      <x:c r="V141" s="78"/>
      <x:c r="W141" s="78"/>
      <x:c r="X141" s="78"/>
      <x:c r="Y141" s="78"/>
      <x:c r="Z141" s="78"/>
    </x:row>
    <x:row r="142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78"/>
      <x:c r="U142" s="78"/>
      <x:c r="V142" s="78"/>
      <x:c r="W142" s="78"/>
      <x:c r="X142" s="78"/>
      <x:c r="Y142" s="78"/>
      <x:c r="Z142" s="78"/>
    </x:row>
    <x:row r="143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78"/>
      <x:c r="U143" s="78"/>
      <x:c r="V143" s="78"/>
      <x:c r="W143" s="78"/>
      <x:c r="X143" s="78"/>
      <x:c r="Y143" s="78"/>
      <x:c r="Z143" s="78"/>
    </x:row>
    <x:row r="144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78"/>
      <x:c r="U144" s="78"/>
      <x:c r="V144" s="78"/>
      <x:c r="W144" s="78"/>
      <x:c r="X144" s="78"/>
      <x:c r="Y144" s="78"/>
      <x:c r="Z144" s="78"/>
    </x:row>
    <x:row r="145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78"/>
      <x:c r="U145" s="78"/>
      <x:c r="V145" s="78"/>
      <x:c r="W145" s="78"/>
      <x:c r="X145" s="78"/>
      <x:c r="Y145" s="78"/>
      <x:c r="Z145" s="78"/>
    </x:row>
    <x:row r="146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78"/>
      <x:c r="U146" s="78"/>
      <x:c r="V146" s="78"/>
      <x:c r="W146" s="78"/>
      <x:c r="X146" s="78"/>
      <x:c r="Y146" s="78"/>
      <x:c r="Z146" s="78"/>
    </x:row>
    <x:row r="147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78"/>
      <x:c r="U147" s="78"/>
      <x:c r="V147" s="78"/>
      <x:c r="W147" s="78"/>
      <x:c r="X147" s="78"/>
      <x:c r="Y147" s="78"/>
      <x:c r="Z147" s="78"/>
    </x:row>
    <x:row r="148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78"/>
      <x:c r="U148" s="78"/>
      <x:c r="V148" s="78"/>
      <x:c r="W148" s="78"/>
      <x:c r="X148" s="78"/>
      <x:c r="Y148" s="78"/>
      <x:c r="Z148" s="78"/>
    </x:row>
    <x:row r="149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78"/>
      <x:c r="U149" s="78"/>
      <x:c r="V149" s="78"/>
      <x:c r="W149" s="78"/>
      <x:c r="X149" s="78"/>
      <x:c r="Y149" s="78"/>
      <x:c r="Z149" s="78"/>
    </x:row>
    <x:row r="150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78"/>
      <x:c r="U150" s="78"/>
      <x:c r="V150" s="78"/>
      <x:c r="W150" s="78"/>
      <x:c r="X150" s="78"/>
      <x:c r="Y150" s="78"/>
      <x:c r="Z150" s="78"/>
    </x:row>
    <x:row r="15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78"/>
      <x:c r="U151" s="78"/>
      <x:c r="V151" s="78"/>
      <x:c r="W151" s="78"/>
      <x:c r="X151" s="78"/>
      <x:c r="Y151" s="78"/>
      <x:c r="Z151" s="78"/>
    </x:row>
    <x:row r="152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78"/>
      <x:c r="U152" s="78"/>
      <x:c r="V152" s="78"/>
      <x:c r="W152" s="78"/>
      <x:c r="X152" s="78"/>
      <x:c r="Y152" s="78"/>
      <x:c r="Z152" s="78"/>
    </x:row>
    <x:row r="153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78"/>
      <x:c r="U153" s="78"/>
      <x:c r="V153" s="78"/>
      <x:c r="W153" s="78"/>
      <x:c r="X153" s="78"/>
      <x:c r="Y153" s="78"/>
      <x:c r="Z153" s="78"/>
    </x:row>
    <x:row r="154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78"/>
      <x:c r="U154" s="78"/>
      <x:c r="V154" s="78"/>
      <x:c r="W154" s="78"/>
      <x:c r="X154" s="78"/>
      <x:c r="Y154" s="78"/>
      <x:c r="Z154" s="78"/>
    </x:row>
    <x:row r="155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78"/>
      <x:c r="U155" s="78"/>
      <x:c r="V155" s="78"/>
      <x:c r="W155" s="78"/>
      <x:c r="X155" s="78"/>
      <x:c r="Y155" s="78"/>
      <x:c r="Z155" s="78"/>
    </x:row>
    <x:row r="156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78"/>
      <x:c r="U156" s="78"/>
      <x:c r="V156" s="78"/>
      <x:c r="W156" s="78"/>
      <x:c r="X156" s="78"/>
      <x:c r="Y156" s="78"/>
      <x:c r="Z156" s="78"/>
    </x:row>
    <x:row r="157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78"/>
      <x:c r="U157" s="78"/>
      <x:c r="V157" s="78"/>
      <x:c r="W157" s="78"/>
      <x:c r="X157" s="78"/>
      <x:c r="Y157" s="78"/>
      <x:c r="Z157" s="78"/>
    </x:row>
    <x:row r="158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78"/>
      <x:c r="U158" s="78"/>
      <x:c r="V158" s="78"/>
      <x:c r="W158" s="78"/>
      <x:c r="X158" s="78"/>
      <x:c r="Y158" s="78"/>
      <x:c r="Z158" s="78"/>
    </x:row>
    <x:row r="159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78"/>
      <x:c r="U159" s="78"/>
      <x:c r="V159" s="78"/>
      <x:c r="W159" s="78"/>
      <x:c r="X159" s="78"/>
      <x:c r="Y159" s="78"/>
      <x:c r="Z159" s="78"/>
    </x:row>
    <x:row r="160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78"/>
      <x:c r="U160" s="78"/>
      <x:c r="V160" s="78"/>
      <x:c r="W160" s="78"/>
      <x:c r="X160" s="78"/>
      <x:c r="Y160" s="78"/>
      <x:c r="Z160" s="78"/>
    </x:row>
    <x:row r="16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78"/>
      <x:c r="U161" s="78"/>
      <x:c r="V161" s="78"/>
      <x:c r="W161" s="78"/>
      <x:c r="X161" s="78"/>
      <x:c r="Y161" s="78"/>
      <x:c r="Z161" s="78"/>
    </x:row>
    <x:row r="162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78"/>
      <x:c r="U162" s="78"/>
      <x:c r="V162" s="78"/>
      <x:c r="W162" s="78"/>
      <x:c r="X162" s="78"/>
      <x:c r="Y162" s="78"/>
      <x:c r="Z162" s="78"/>
    </x:row>
    <x:row r="163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78"/>
      <x:c r="U163" s="78"/>
      <x:c r="V163" s="78"/>
      <x:c r="W163" s="78"/>
      <x:c r="X163" s="78"/>
      <x:c r="Y163" s="78"/>
      <x:c r="Z163" s="78"/>
    </x:row>
    <x:row r="164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78"/>
      <x:c r="U164" s="78"/>
      <x:c r="V164" s="78"/>
      <x:c r="W164" s="78"/>
      <x:c r="X164" s="78"/>
      <x:c r="Y164" s="78"/>
      <x:c r="Z164" s="78"/>
    </x:row>
    <x:row r="165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78"/>
      <x:c r="U165" s="78"/>
      <x:c r="V165" s="78"/>
      <x:c r="W165" s="78"/>
      <x:c r="X165" s="78"/>
      <x:c r="Y165" s="78"/>
      <x:c r="Z165" s="78"/>
    </x:row>
    <x:row r="166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78"/>
      <x:c r="U166" s="78"/>
      <x:c r="V166" s="78"/>
      <x:c r="W166" s="78"/>
      <x:c r="X166" s="78"/>
      <x:c r="Y166" s="78"/>
      <x:c r="Z166" s="78"/>
    </x:row>
    <x:row r="167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78"/>
      <x:c r="U167" s="78"/>
      <x:c r="V167" s="78"/>
      <x:c r="W167" s="78"/>
      <x:c r="X167" s="78"/>
      <x:c r="Y167" s="78"/>
      <x:c r="Z167" s="78"/>
    </x:row>
    <x:row r="168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78"/>
      <x:c r="U168" s="78"/>
      <x:c r="V168" s="78"/>
      <x:c r="W168" s="78"/>
      <x:c r="X168" s="78"/>
      <x:c r="Y168" s="78"/>
      <x:c r="Z168" s="78"/>
    </x:row>
    <x:row r="169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78"/>
      <x:c r="U169" s="78"/>
      <x:c r="V169" s="78"/>
      <x:c r="W169" s="78"/>
      <x:c r="X169" s="78"/>
      <x:c r="Y169" s="78"/>
      <x:c r="Z169" s="78"/>
    </x:row>
    <x:row r="170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78"/>
      <x:c r="U170" s="78"/>
      <x:c r="V170" s="78"/>
      <x:c r="W170" s="78"/>
      <x:c r="X170" s="78"/>
      <x:c r="Y170" s="78"/>
      <x:c r="Z170" s="78"/>
    </x:row>
    <x:row r="17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78"/>
      <x:c r="U171" s="78"/>
      <x:c r="V171" s="78"/>
      <x:c r="W171" s="78"/>
      <x:c r="X171" s="78"/>
      <x:c r="Y171" s="78"/>
      <x:c r="Z171" s="78"/>
    </x:row>
    <x:row r="172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78"/>
      <x:c r="U172" s="78"/>
      <x:c r="V172" s="78"/>
      <x:c r="W172" s="78"/>
      <x:c r="X172" s="78"/>
      <x:c r="Y172" s="78"/>
      <x:c r="Z172" s="78"/>
    </x:row>
    <x:row r="173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78"/>
      <x:c r="U173" s="78"/>
      <x:c r="V173" s="78"/>
      <x:c r="W173" s="78"/>
      <x:c r="X173" s="78"/>
      <x:c r="Y173" s="78"/>
      <x:c r="Z173" s="78"/>
    </x:row>
    <x:row r="174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78"/>
      <x:c r="U174" s="78"/>
      <x:c r="V174" s="78"/>
      <x:c r="W174" s="78"/>
      <x:c r="X174" s="78"/>
      <x:c r="Y174" s="78"/>
      <x:c r="Z174" s="78"/>
    </x:row>
    <x:row r="175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78"/>
      <x:c r="U175" s="78"/>
      <x:c r="V175" s="78"/>
      <x:c r="W175" s="78"/>
      <x:c r="X175" s="78"/>
      <x:c r="Y175" s="78"/>
      <x:c r="Z175" s="78"/>
    </x:row>
    <x:row r="176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78"/>
      <x:c r="U176" s="78"/>
      <x:c r="V176" s="78"/>
      <x:c r="W176" s="78"/>
      <x:c r="X176" s="78"/>
      <x:c r="Y176" s="78"/>
      <x:c r="Z176" s="78"/>
    </x:row>
    <x:row r="177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78"/>
      <x:c r="U177" s="78"/>
      <x:c r="V177" s="78"/>
      <x:c r="W177" s="78"/>
      <x:c r="X177" s="78"/>
      <x:c r="Y177" s="78"/>
      <x:c r="Z177" s="78"/>
    </x:row>
    <x:row r="178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78"/>
      <x:c r="U178" s="78"/>
      <x:c r="V178" s="78"/>
      <x:c r="W178" s="78"/>
      <x:c r="X178" s="78"/>
      <x:c r="Y178" s="78"/>
      <x:c r="Z178" s="78"/>
    </x:row>
    <x:row r="179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78"/>
      <x:c r="U179" s="78"/>
      <x:c r="V179" s="78"/>
      <x:c r="W179" s="78"/>
      <x:c r="X179" s="78"/>
      <x:c r="Y179" s="78"/>
      <x:c r="Z179" s="78"/>
    </x:row>
    <x:row r="180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78"/>
      <x:c r="U180" s="78"/>
      <x:c r="V180" s="78"/>
      <x:c r="W180" s="78"/>
      <x:c r="X180" s="78"/>
      <x:c r="Y180" s="78"/>
      <x:c r="Z180" s="78"/>
    </x:row>
    <x:row r="18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78"/>
      <x:c r="U181" s="78"/>
      <x:c r="V181" s="78"/>
      <x:c r="W181" s="78"/>
      <x:c r="X181" s="78"/>
      <x:c r="Y181" s="78"/>
      <x:c r="Z181" s="78"/>
    </x:row>
    <x:row r="182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78"/>
      <x:c r="U182" s="78"/>
      <x:c r="V182" s="78"/>
      <x:c r="W182" s="78"/>
      <x:c r="X182" s="78"/>
      <x:c r="Y182" s="78"/>
      <x:c r="Z182" s="78"/>
    </x:row>
    <x:row r="183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78"/>
      <x:c r="U183" s="78"/>
      <x:c r="V183" s="78"/>
      <x:c r="W183" s="78"/>
      <x:c r="X183" s="78"/>
      <x:c r="Y183" s="78"/>
      <x:c r="Z183" s="78"/>
    </x:row>
    <x:row r="184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78"/>
      <x:c r="U184" s="78"/>
      <x:c r="V184" s="78"/>
      <x:c r="W184" s="78"/>
      <x:c r="X184" s="78"/>
      <x:c r="Y184" s="78"/>
      <x:c r="Z184" s="78"/>
    </x:row>
    <x:row r="185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78"/>
      <x:c r="U185" s="78"/>
      <x:c r="V185" s="78"/>
      <x:c r="W185" s="78"/>
      <x:c r="X185" s="78"/>
      <x:c r="Y185" s="78"/>
      <x:c r="Z185" s="78"/>
    </x:row>
    <x:row r="186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78"/>
      <x:c r="U186" s="78"/>
      <x:c r="V186" s="78"/>
      <x:c r="W186" s="78"/>
      <x:c r="X186" s="78"/>
      <x:c r="Y186" s="78"/>
      <x:c r="Z186" s="78"/>
    </x:row>
    <x:row r="187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78"/>
      <x:c r="U187" s="78"/>
      <x:c r="V187" s="78"/>
      <x:c r="W187" s="78"/>
      <x:c r="X187" s="78"/>
      <x:c r="Y187" s="78"/>
      <x:c r="Z187" s="78"/>
    </x:row>
    <x:row r="188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78"/>
      <x:c r="U188" s="78"/>
      <x:c r="V188" s="78"/>
      <x:c r="W188" s="78"/>
      <x:c r="X188" s="78"/>
      <x:c r="Y188" s="78"/>
      <x:c r="Z188" s="78"/>
    </x:row>
    <x:row r="189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78"/>
      <x:c r="U189" s="78"/>
      <x:c r="V189" s="78"/>
      <x:c r="W189" s="78"/>
      <x:c r="X189" s="78"/>
      <x:c r="Y189" s="78"/>
      <x:c r="Z189" s="78"/>
    </x:row>
    <x:row r="190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78"/>
      <x:c r="U190" s="78"/>
      <x:c r="V190" s="78"/>
      <x:c r="W190" s="78"/>
      <x:c r="X190" s="78"/>
      <x:c r="Y190" s="78"/>
      <x:c r="Z190" s="78"/>
    </x:row>
    <x:row r="19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78"/>
      <x:c r="U191" s="78"/>
      <x:c r="V191" s="78"/>
      <x:c r="W191" s="78"/>
      <x:c r="X191" s="78"/>
      <x:c r="Y191" s="78"/>
      <x:c r="Z191" s="78"/>
    </x:row>
    <x:row r="192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78"/>
      <x:c r="U192" s="78"/>
      <x:c r="V192" s="78"/>
      <x:c r="W192" s="78"/>
      <x:c r="X192" s="78"/>
      <x:c r="Y192" s="78"/>
      <x:c r="Z192" s="78"/>
    </x:row>
    <x:row r="193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78"/>
      <x:c r="U193" s="78"/>
      <x:c r="V193" s="78"/>
      <x:c r="W193" s="78"/>
      <x:c r="X193" s="78"/>
      <x:c r="Y193" s="78"/>
      <x:c r="Z193" s="78"/>
    </x:row>
    <x:row r="194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78"/>
      <x:c r="U194" s="78"/>
      <x:c r="V194" s="78"/>
      <x:c r="W194" s="78"/>
      <x:c r="X194" s="78"/>
      <x:c r="Y194" s="78"/>
      <x:c r="Z194" s="78"/>
    </x:row>
    <x:row r="195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78"/>
    </x:row>
    <x:row r="196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78"/>
      <x:c r="U196" s="78"/>
      <x:c r="V196" s="78"/>
      <x:c r="W196" s="78"/>
      <x:c r="X196" s="78"/>
      <x:c r="Y196" s="78"/>
      <x:c r="Z196" s="78"/>
    </x:row>
    <x:row r="197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78"/>
      <x:c r="U197" s="78"/>
      <x:c r="V197" s="78"/>
      <x:c r="W197" s="78"/>
      <x:c r="X197" s="78"/>
      <x:c r="Y197" s="78"/>
      <x:c r="Z197" s="78"/>
    </x:row>
    <x:row r="198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78"/>
      <x:c r="U198" s="78"/>
      <x:c r="V198" s="78"/>
      <x:c r="W198" s="78"/>
      <x:c r="X198" s="78"/>
      <x:c r="Y198" s="78"/>
      <x:c r="Z198" s="78"/>
    </x:row>
    <x:row r="199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78"/>
    </x:row>
    <x:row r="200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78"/>
    </x:row>
  </x:sheetData>
  <x:mergeCells>
    <x:mergeCell ref="A1:H1"/>
    <x:mergeCell ref="A2:H2"/>
    <x:mergeCell ref="A4:H4"/>
    <x:mergeCell ref="A14:H14"/>
  </x:mergeCells>
  <x:pageMargins left="0.7" right="0.7" top="0.75" bottom="0.75" header="0.3" footer="0.3"/>
  <x:drawing xmlns:r="http://schemas.openxmlformats.org/officeDocument/2006/relationships" r:id="R68b85a4f764748d2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40" hidden="0" customWidth="1"/>
    <x:col min="7" max="7" width="46" hidden="0" customWidth="1"/>
  </x:cols>
  <x:sheetData>
    <x:row r="1" ht="34" customHeight="1">
      <x:c r="A1" s="77" t="str">
        <x:v>Proposed quotation — Factory OS</x:v>
      </x:c>
      <x:c r="B1" s="77"/>
      <x:c r="C1" s="77"/>
      <x:c r="D1" s="77"/>
      <x:c r="E1" s="77"/>
      <x:c r="F1" s="77"/>
      <x:c r="G1" s="77"/>
      <x:c r="H1" s="78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  <x:c r="V1" s="78"/>
      <x:c r="W1" s="78"/>
      <x:c r="X1" s="78"/>
      <x:c r="Y1" s="78"/>
      <x:c r="Z1" s="78"/>
    </x:row>
    <x:row r="2" ht="28" customHeight="1">
      <x:c r="A2" s="5" t="str">
        <x:v>Commercial proposal for one legal entity, two locations and up to 20 named users. GST is additional on customer invoices.</x:v>
      </x:c>
      <x:c r="B2" s="5"/>
      <x:c r="C2" s="5"/>
      <x:c r="D2" s="5"/>
      <x:c r="E2" s="5"/>
      <x:c r="F2" s="5"/>
      <x:c r="G2" s="5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</x:row>
    <x:row r="4" ht="24" customHeight="1">
      <x:c r="A4" s="79" t="str">
        <x:v>Recommended founding-client commercial</x:v>
      </x:c>
      <x:c r="B4" s="79"/>
      <x:c r="C4" s="79"/>
      <x:c r="D4" s="79"/>
      <x:c r="E4" s="79"/>
      <x:c r="F4" s="79"/>
      <x:c r="G4" s="79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8"/>
      <x:c r="V4" s="78"/>
      <x:c r="W4" s="78"/>
      <x:c r="X4" s="78"/>
      <x:c r="Y4" s="78"/>
      <x:c r="Z4" s="78"/>
    </x:row>
    <x:row r="5">
      <x:c r="A5" s="80" t="str">
        <x:v>Line item</x:v>
      </x:c>
      <x:c r="B5" s="80" t="str">
        <x:v>Quantity</x:v>
      </x:c>
      <x:c r="C5" s="80" t="str">
        <x:v>Rate ₹</x:v>
      </x:c>
      <x:c r="D5" s="80" t="str">
        <x:v>Amount ₹</x:v>
      </x:c>
      <x:c r="E5" s="80" t="str">
        <x:v>Billing</x:v>
      </x:c>
      <x:c r="F5" s="80" t="str">
        <x:v>Included</x:v>
      </x:c>
      <x:c r="G5" s="80" t="str">
        <x:v>Commercial note</x:v>
      </x:c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</x:row>
    <x:row r="6">
      <x:c r="A6" s="81" t="str">
        <x:v>Implementation and go-live</x:v>
      </x:c>
      <x:c r="B6" s="81" t="n">
        <x:v>1</x:v>
      </x:c>
      <x:c r="C6" s="92" t="n">
        <x:f>'Assumptions'!B43</x:f>
        <x:v>1000000</x:v>
      </x:c>
      <x:c r="D6" s="92" t="n">
        <x:f>B6*C6</x:f>
        <x:v>1000000</x:v>
      </x:c>
      <x:c r="E6" s="81" t="str">
        <x:v>One-time</x:v>
      </x:c>
      <x:c r="F6" s="81" t="str">
        <x:v>Configuration, migration, UAT, two-site training, production launch</x:v>
      </x:c>
      <x:c r="G6" s="81" t="str">
        <x:v>50% start / 30% UAT / 20% go-live</x:v>
      </x:c>
      <x:c r="H6" s="78"/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</x:row>
    <x:row r="7">
      <x:c r="A7" s="81" t="str">
        <x:v>Managed Factory OS subscription</x:v>
      </x:c>
      <x:c r="B7" s="81" t="n">
        <x:v>24</x:v>
      </x:c>
      <x:c r="C7" s="92" t="n">
        <x:f>'Assumptions'!B44</x:f>
        <x:v>150000</x:v>
      </x:c>
      <x:c r="D7" s="92" t="n">
        <x:f>B7*C7</x:f>
        <x:v>3600000</x:v>
      </x:c>
      <x:c r="E7" s="81" t="str">
        <x:v>Monthly</x:v>
      </x:c>
      <x:c r="F7" s="81" t="str">
        <x:v>20 users, 2 locations, 1 entity, standard support</x:v>
      </x:c>
      <x:c r="G7" s="81" t="str">
        <x:v>24-month initial term</x:v>
      </x:c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78"/>
      <x:c r="W7" s="78"/>
      <x:c r="X7" s="78"/>
      <x:c r="Y7" s="78"/>
      <x:c r="Z7" s="78"/>
    </x:row>
    <x:row r="8">
      <x:c r="A8" s="81" t="str">
        <x:v>Enterprise SSO / SCIM</x:v>
      </x:c>
      <x:c r="B8" s="81" t="n">
        <x:v>0</x:v>
      </x:c>
      <x:c r="C8" s="92" t="n">
        <x:v>25000</x:v>
      </x:c>
      <x:c r="D8" s="92" t="n">
        <x:f>B8*C8</x:f>
        <x:v>0</x:v>
      </x:c>
      <x:c r="E8" s="81" t="str">
        <x:v>Monthly optional</x:v>
      </x:c>
      <x:c r="F8" s="81" t="str">
        <x:v>One identity connection</x:v>
      </x:c>
      <x:c r="G8" s="81" t="str">
        <x:v>Provider fees may be passed through</x:v>
      </x:c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/>
      <x:c r="U8" s="78"/>
      <x:c r="V8" s="78"/>
      <x:c r="W8" s="78"/>
      <x:c r="X8" s="78"/>
      <x:c r="Y8" s="78"/>
      <x:c r="Z8" s="78"/>
    </x:row>
    <x:row r="9">
      <x:c r="A9" s="83" t="str">
        <x:v>Custom integrations</x:v>
      </x:c>
      <x:c r="B9" s="83" t="n">
        <x:v>0</x:v>
      </x:c>
      <x:c r="C9" s="115" t="n">
        <x:v>3500</x:v>
      </x:c>
      <x:c r="D9" s="115" t="n">
        <x:f>B9*C9</x:f>
        <x:v>0</x:v>
      </x:c>
      <x:c r="E9" s="83" t="str">
        <x:v>Per hour</x:v>
      </x:c>
      <x:c r="F9" s="83" t="str">
        <x:v>Work outside signed scope</x:v>
      </x:c>
      <x:c r="G9" s="83" t="str">
        <x:v>Written estimate before work</x:v>
      </x:c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78"/>
      <x:c r="U9" s="78"/>
      <x:c r="V9" s="78"/>
      <x:c r="W9" s="78"/>
      <x:c r="X9" s="78"/>
      <x:c r="Y9" s="78"/>
      <x:c r="Z9" s="78"/>
    </x:row>
    <x:row r="10">
      <x:c r="A10" s="104" t="str">
        <x:v>24-month contract value before GST</x:v>
      </x:c>
      <x:c r="B10" s="104"/>
      <x:c r="C10" s="116"/>
      <x:c r="D10" s="116" t="n">
        <x:f>SUM(D6:D9)</x:f>
        <x:v>4600000</x:v>
      </x:c>
      <x:c r="E10" s="104" t="str">
        <x:v>Usage beyond included allowances is billed monthly</x:v>
      </x:c>
      <x:c r="F10" s="104"/>
      <x:c r="G10" s="104"/>
      <x:c r="H10" s="78"/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78"/>
      <x:c r="U10" s="78"/>
      <x:c r="V10" s="78"/>
      <x:c r="W10" s="78"/>
      <x:c r="X10" s="78"/>
      <x:c r="Y10" s="78"/>
      <x:c r="Z10" s="78"/>
    </x:row>
    <x:row r="1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78"/>
      <x:c r="U11" s="78"/>
      <x:c r="V11" s="78"/>
      <x:c r="W11" s="78"/>
      <x:c r="X11" s="78"/>
      <x:c r="Y11" s="78"/>
      <x:c r="Z11" s="78"/>
    </x:row>
    <x:row r="12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78"/>
      <x:c r="U12" s="78"/>
      <x:c r="V12" s="78"/>
      <x:c r="W12" s="78"/>
      <x:c r="X12" s="78"/>
      <x:c r="Y12" s="78"/>
      <x:c r="Z12" s="78"/>
    </x:row>
    <x:row r="13" ht="24" customHeight="1">
      <x:c r="A13" s="91" t="str">
        <x:v>Included monthly allowances and overages</x:v>
      </x:c>
      <x:c r="B13" s="91"/>
      <x:c r="C13" s="91"/>
      <x:c r="D13" s="91"/>
      <x:c r="E13" s="91"/>
      <x:c r="F13" s="91"/>
      <x:c r="G13" s="91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78"/>
      <x:c r="U13" s="78"/>
      <x:c r="V13" s="78"/>
      <x:c r="W13" s="78"/>
      <x:c r="X13" s="78"/>
      <x:c r="Y13" s="78"/>
      <x:c r="Z13" s="78"/>
    </x:row>
    <x:row r="14">
      <x:c r="A14" s="80" t="str">
        <x:v>Meter</x:v>
      </x:c>
      <x:c r="B14" s="80" t="str">
        <x:v>Included</x:v>
      </x:c>
      <x:c r="C14" s="80" t="str">
        <x:v>Unit</x:v>
      </x:c>
      <x:c r="D14" s="80" t="str">
        <x:v>Overage</x:v>
      </x:c>
      <x:c r="E14" s="80" t="str">
        <x:v>Rate ₹</x:v>
      </x:c>
      <x:c r="F14" s="80" t="str">
        <x:v>Protection</x:v>
      </x:c>
      <x:c r="G14" s="80" t="str">
        <x:v>Notes</x:v>
      </x:c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78"/>
      <x:c r="U14" s="78"/>
      <x:c r="V14" s="78"/>
      <x:c r="W14" s="78"/>
      <x:c r="X14" s="78"/>
      <x:c r="Y14" s="78"/>
      <x:c r="Z14" s="78"/>
    </x:row>
    <x:row r="15">
      <x:c r="A15" s="81" t="str">
        <x:v>Named users</x:v>
      </x:c>
      <x:c r="B15" s="81" t="n">
        <x:v>20</x:v>
      </x:c>
      <x:c r="C15" s="81" t="str">
        <x:v>users</x:v>
      </x:c>
      <x:c r="D15" s="81" t="str">
        <x:v>Per additional user/month</x:v>
      </x:c>
      <x:c r="E15" s="92" t="n">
        <x:v>2000</x:v>
      </x:c>
      <x:c r="F15" s="81" t="str">
        <x:v>Fair-use concurrency</x:v>
      </x:c>
      <x:c r="G15" s="81" t="str">
        <x:v>Role-based access</x:v>
      </x:c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78"/>
      <x:c r="U15" s="78"/>
      <x:c r="V15" s="78"/>
      <x:c r="W15" s="78"/>
      <x:c r="X15" s="78"/>
      <x:c r="Y15" s="78"/>
      <x:c r="Z15" s="78"/>
    </x:row>
    <x:row r="16">
      <x:c r="A16" s="81" t="str">
        <x:v>Locations</x:v>
      </x:c>
      <x:c r="B16" s="81" t="n">
        <x:v>2</x:v>
      </x:c>
      <x:c r="C16" s="81" t="str">
        <x:v>sites</x:v>
      </x:c>
      <x:c r="D16" s="81" t="str">
        <x:v>Per additional site/month</x:v>
      </x:c>
      <x:c r="E16" s="92" t="n">
        <x:v>25000</x:v>
      </x:c>
      <x:c r="F16" s="81" t="str">
        <x:v>Separate implementation fee</x:v>
      </x:c>
      <x:c r="G16" s="81" t="str">
        <x:v>Site dimension must be enabled</x:v>
      </x:c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78"/>
      <x:c r="U16" s="78"/>
      <x:c r="V16" s="78"/>
      <x:c r="W16" s="78"/>
      <x:c r="X16" s="78"/>
      <x:c r="Y16" s="78"/>
      <x:c r="Z16" s="78"/>
    </x:row>
    <x:row r="17">
      <x:c r="A17" s="81" t="str">
        <x:v>Legal entities</x:v>
      </x:c>
      <x:c r="B17" s="81" t="n">
        <x:v>1</x:v>
      </x:c>
      <x:c r="C17" s="81" t="str">
        <x:v>entity</x:v>
      </x:c>
      <x:c r="D17" s="81" t="str">
        <x:v>Per additional entity/month</x:v>
      </x:c>
      <x:c r="E17" s="92" t="n">
        <x:v>35000</x:v>
      </x:c>
      <x:c r="F17" s="81" t="str">
        <x:v>Separate books/data boundary</x:v>
      </x:c>
      <x:c r="G17" s="81" t="str">
        <x:v>Requires scoping</x:v>
      </x:c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78"/>
      <x:c r="U17" s="78"/>
      <x:c r="V17" s="78"/>
      <x:c r="W17" s="78"/>
      <x:c r="X17" s="78"/>
      <x:c r="Y17" s="78"/>
      <x:c r="Z17" s="78"/>
    </x:row>
    <x:row r="18">
      <x:c r="A18" s="81" t="str">
        <x:v>AI document reads</x:v>
      </x:c>
      <x:c r="B18" s="81" t="n">
        <x:v>1000</x:v>
      </x:c>
      <x:c r="C18" s="81" t="str">
        <x:v>slips + PIs</x:v>
      </x:c>
      <x:c r="D18" s="81" t="str">
        <x:v>Per additional document</x:v>
      </x:c>
      <x:c r="E18" s="92" t="n">
        <x:v>25</x:v>
      </x:c>
      <x:c r="F18" s="81" t="str">
        <x:v>Admin usage dashboard</x:v>
      </x:c>
      <x:c r="G18" s="81" t="str">
        <x:v>Failed low-confidence read is not double billed</x:v>
      </x:c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78"/>
      <x:c r="W18" s="78"/>
      <x:c r="X18" s="78"/>
      <x:c r="Y18" s="78"/>
      <x:c r="Z18" s="78"/>
    </x:row>
    <x:row r="19">
      <x:c r="A19" s="81" t="str">
        <x:v>Copilot requests</x:v>
      </x:c>
      <x:c r="B19" s="81" t="n">
        <x:v>1500</x:v>
      </x:c>
      <x:c r="C19" s="81" t="str">
        <x:v>requests</x:v>
      </x:c>
      <x:c r="D19" s="81" t="str">
        <x:v>Per additional request</x:v>
      </x:c>
      <x:c r="E19" s="92" t="n">
        <x:v>10</x:v>
      </x:c>
      <x:c r="F19" s="81" t="str">
        <x:v>Per-user soft limits</x:v>
      </x:c>
      <x:c r="G19" s="81" t="str">
        <x:v>Planning output remains deterministic</x:v>
      </x:c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78"/>
      <x:c r="W19" s="78"/>
      <x:c r="X19" s="78"/>
      <x:c r="Y19" s="78"/>
      <x:c r="Z19" s="78"/>
    </x:row>
    <x:row r="20">
      <x:c r="A20" s="81" t="str">
        <x:v>File storage</x:v>
      </x:c>
      <x:c r="B20" s="81" t="n">
        <x:v>25</x:v>
      </x:c>
      <x:c r="C20" s="81" t="str">
        <x:v>GB</x:v>
      </x:c>
      <x:c r="D20" s="81" t="str">
        <x:v>Per extra GB/month</x:v>
      </x:c>
      <x:c r="E20" s="92" t="n">
        <x:v>100</x:v>
      </x:c>
      <x:c r="F20" s="81" t="str">
        <x:v>Retention policy</x:v>
      </x:c>
      <x:c r="G20" s="81" t="str">
        <x:v>Private object storage</x:v>
      </x:c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78"/>
      <x:c r="U20" s="78"/>
      <x:c r="V20" s="78"/>
      <x:c r="W20" s="78"/>
      <x:c r="X20" s="78"/>
      <x:c r="Y20" s="78"/>
      <x:c r="Z20" s="78"/>
    </x:row>
    <x:row r="21">
      <x:c r="A21" s="81" t="str">
        <x:v>Email notifications</x:v>
      </x:c>
      <x:c r="B21" s="81" t="n">
        <x:v>10000</x:v>
      </x:c>
      <x:c r="C21" s="81" t="str">
        <x:v>emails</x:v>
      </x:c>
      <x:c r="D21" s="81" t="str">
        <x:v>Provider overage + 20%</x:v>
      </x:c>
      <x:c r="E21" s="92" t="n">
        <x:v>0</x:v>
      </x:c>
      <x:c r="F21" s="81" t="str">
        <x:v>Rate-limit</x:v>
      </x:c>
      <x:c r="G21" s="81" t="str">
        <x:v>No marketing mail</x:v>
      </x:c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78"/>
    </x:row>
    <x:row r="22">
      <x:c r="A22" s="83" t="str">
        <x:v>WhatsApp / SMS</x:v>
      </x:c>
      <x:c r="B22" s="83" t="n">
        <x:v>0</x:v>
      </x:c>
      <x:c r="C22" s="83" t="str">
        <x:v>messages</x:v>
      </x:c>
      <x:c r="D22" s="83" t="str">
        <x:v>Provider usage + 20%</x:v>
      </x:c>
      <x:c r="E22" s="115" t="n">
        <x:v>0</x:v>
      </x:c>
      <x:c r="F22" s="83" t="str">
        <x:v>Explicit opt-in</x:v>
      </x:c>
      <x:c r="G22" s="83" t="str">
        <x:v>Not included by default</x:v>
      </x:c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78"/>
      <x:c r="U22" s="78"/>
      <x:c r="V22" s="78"/>
      <x:c r="W22" s="78"/>
      <x:c r="X22" s="78"/>
      <x:c r="Y22" s="78"/>
      <x:c r="Z22" s="78"/>
    </x:row>
    <x:row r="23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78"/>
      <x:c r="W23" s="78"/>
      <x:c r="X23" s="78"/>
      <x:c r="Y23" s="78"/>
      <x:c r="Z23" s="78"/>
    </x:row>
    <x:row r="24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78"/>
      <x:c r="U24" s="78"/>
      <x:c r="V24" s="78"/>
      <x:c r="W24" s="78"/>
      <x:c r="X24" s="78"/>
      <x:c r="Y24" s="78"/>
      <x:c r="Z24" s="78"/>
    </x:row>
    <x:row r="25" ht="24" customHeight="1">
      <x:c r="A25" s="101" t="str">
        <x:v>Price tests — do not confuse first-client burn with steady-state COGS</x:v>
      </x:c>
      <x:c r="B25" s="101"/>
      <x:c r="C25" s="101"/>
      <x:c r="D25" s="101"/>
      <x:c r="E25" s="101"/>
      <x:c r="F25" s="101"/>
      <x:c r="G25" s="101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78"/>
    </x:row>
    <x:row r="26">
      <x:c r="A26" s="80" t="str">
        <x:v>Metric</x:v>
      </x:c>
      <x:c r="B26" s="80" t="str">
        <x:v>1 client</x:v>
      </x:c>
      <x:c r="C26" s="80" t="str">
        <x:v>3 clients</x:v>
      </x:c>
      <x:c r="D26" s="80" t="str">
        <x:v>5 clients</x:v>
      </x:c>
      <x:c r="E26" s="80" t="str">
        <x:v>10 clients</x:v>
      </x:c>
      <x:c r="F26" s="80" t="str">
        <x:v>Target</x:v>
      </x:c>
      <x:c r="G26" s="80" t="str">
        <x:v>Conclusion</x:v>
      </x:c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78"/>
      <x:c r="W26" s="78"/>
      <x:c r="X26" s="78"/>
      <x:c r="Y26" s="78"/>
      <x:c r="Z26" s="78"/>
    </x:row>
    <x:row r="27">
      <x:c r="A27" s="81" t="str">
        <x:v>Cash cost/client</x:v>
      </x:c>
      <x:c r="B27" s="92" t="n">
        <x:f>'Multi-client'!C6</x:f>
        <x:v>106918.35432299999</x:v>
      </x:c>
      <x:c r="C27" s="92" t="n">
        <x:f>'Multi-client'!C8</x:f>
        <x:v>51178.548002999996</x:v>
      </x:c>
      <x:c r="D27" s="92" t="n">
        <x:f>'Multi-client'!C9</x:f>
        <x:v>40030.586739</x:v>
      </x:c>
      <x:c r="E27" s="92" t="n">
        <x:f>'Multi-client'!C10</x:f>
        <x:v>31669.61579099999</x:v>
      </x:c>
      <x:c r="F27" s="81" t="str">
        <x:v>Declines with scale</x:v>
      </x:c>
      <x:c r="G27" s="81" t="str">
        <x:v>Shared engineering is a product investment</x:v>
      </x:c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78"/>
      <x:c r="W27" s="78"/>
      <x:c r="X27" s="78"/>
      <x:c r="Y27" s="78"/>
      <x:c r="Z27" s="78"/>
    </x:row>
    <x:row r="28">
      <x:c r="A28" s="81" t="str">
        <x:v>True cost/client incl. support</x:v>
      </x:c>
      <x:c r="B28" s="92" t="n">
        <x:f>'Multi-client'!F6</x:f>
        <x:v>181918.354323</x:v>
      </x:c>
      <x:c r="C28" s="92" t="n">
        <x:f>'Multi-client'!F8</x:f>
        <x:v>89511.88133633333</x:v>
      </x:c>
      <x:c r="D28" s="92" t="n">
        <x:f>'Multi-client'!F9</x:f>
        <x:v>71030.58673899999</x:v>
      </x:c>
      <x:c r="E28" s="92" t="n">
        <x:f>'Multi-client'!F10</x:f>
        <x:v>57169.61579099999</x:v>
      </x:c>
      <x:c r="F28" s="81" t="str">
        <x:v>Below quote</x:v>
      </x:c>
      <x:c r="G28" s="81" t="str">
        <x:v>Founder time must not disappear</x:v>
      </x:c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78"/>
      <x:c r="U28" s="78"/>
      <x:c r="V28" s="78"/>
      <x:c r="W28" s="78"/>
      <x:c r="X28" s="78"/>
      <x:c r="Y28" s="78"/>
      <x:c r="Z28" s="78"/>
    </x:row>
    <x:row r="29">
      <x:c r="A29" s="81" t="str">
        <x:v>Gross margin at recommended fee</x:v>
      </x:c>
      <x:c r="B29" s="118" t="n">
        <x:f>'Multi-client'!H6</x:f>
        <x:v>-0.21278902882000006</x:v>
      </x:c>
      <x:c r="C29" s="118" t="n">
        <x:f>'Multi-client'!H8</x:f>
        <x:v>0.40325412442444447</x:v>
      </x:c>
      <x:c r="D29" s="118" t="n">
        <x:f>'Multi-client'!H9</x:f>
        <x:v>0.5264627550733334</x:v>
      </x:c>
      <x:c r="E29" s="118" t="n">
        <x:f>'Multi-client'!H10</x:f>
        <x:v>0.6188692280600001</x:v>
      </x:c>
      <x:c r="F29" s="81" t="str">
        <x:v>65% steady-state</x:v>
      </x:c>
      <x:c r="G29" s="81" t="str">
        <x:v>Reached near 10 clients in solo model</x:v>
      </x:c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</x:row>
    <x:row r="30">
      <x:c r="A30" s="83" t="str">
        <x:v>Monthly floor at 65% GM</x:v>
      </x:c>
      <x:c r="B30" s="115" t="n">
        <x:f>B28/(1-'Assumptions'!B42/100)</x:f>
        <x:v>519766.7266371429</x:v>
      </x:c>
      <x:c r="C30" s="115" t="n">
        <x:f>C28/(1-'Assumptions'!B42/100)</x:f>
        <x:v>255748.23238952382</x:v>
      </x:c>
      <x:c r="D30" s="115" t="n">
        <x:f>D28/(1-'Assumptions'!B42/100)</x:f>
        <x:v>202944.53353999997</x:v>
      </x:c>
      <x:c r="E30" s="115" t="n">
        <x:f>E28/(1-'Assumptions'!B42/100)</x:f>
        <x:v>163341.75940285713</x:v>
      </x:c>
      <x:c r="F30" s="83" t="str">
        <x:v>Formula-driven</x:v>
      </x:c>
      <x:c r="G30" s="83" t="str">
        <x:v>Useful for enterprise/custom work</x:v>
      </x:c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78"/>
    </x:row>
    <x:row r="31" ht="38" customHeight="1">
      <x:c r="A31" s="68" t="str">
        <x:v>Founding-client pricing is a deliberate market-entry price. It does not recover the entire reusable product R&amp;D from one client; margin improves only if the same codebase is sold repeatedly.</x:v>
      </x:c>
      <x:c r="B31" s="68"/>
      <x:c r="C31" s="68"/>
      <x:c r="D31" s="68"/>
      <x:c r="E31" s="68"/>
      <x:c r="F31" s="68"/>
      <x:c r="G31" s="6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78"/>
      <x:c r="W31" s="78"/>
      <x:c r="X31" s="78"/>
      <x:c r="Y31" s="78"/>
      <x:c r="Z31" s="78"/>
    </x:row>
    <x:row r="32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78"/>
      <x:c r="U32" s="78"/>
      <x:c r="V32" s="78"/>
      <x:c r="W32" s="78"/>
      <x:c r="X32" s="78"/>
      <x:c r="Y32" s="78"/>
      <x:c r="Z32" s="78"/>
    </x:row>
    <x:row r="33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</x:row>
    <x:row r="34" ht="24" customHeight="1">
      <x:c r="A34" s="79" t="str">
        <x:v>Commercial terms to put in the signed SOW</x:v>
      </x:c>
      <x:c r="B34" s="79"/>
      <x:c r="C34" s="79"/>
      <x:c r="D34" s="79"/>
      <x:c r="E34" s="79"/>
      <x:c r="F34" s="79"/>
      <x:c r="G34" s="79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</x:row>
    <x:row r="35">
      <x:c r="A35" s="80" t="str">
        <x:v>Term</x:v>
      </x:c>
      <x:c r="B35" s="80" t="str">
        <x:v>Recommended wording</x:v>
      </x:c>
      <x:c r="C35" s="80" t="str">
        <x:v>Why</x:v>
      </x:c>
      <x:c r="D35" s="80" t="str">
        <x:v>Client decision</x:v>
      </x:c>
      <x:c r="E35" s="80" t="str">
        <x:v>Owner</x:v>
      </x:c>
      <x:c r="F35" s="80" t="str">
        <x:v>Deadline</x:v>
      </x:c>
      <x:c r="G35" s="80" t="str">
        <x:v>Status</x:v>
      </x:c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</x:row>
    <x:row r="36">
      <x:c r="A36" s="81" t="str">
        <x:v>Scope</x:v>
      </x:c>
      <x:c r="B36" s="81" t="str">
        <x:v>20 named users, 2 sites, 1 legal entity; modules listed in annexure</x:v>
      </x:c>
      <x:c r="C36" s="81" t="str">
        <x:v>Prevents unbounded implementation</x:v>
      </x:c>
      <x:c r="D36" s="81" t="str">
        <x:v>Confirm</x:v>
      </x:c>
      <x:c r="E36" s="81" t="str">
        <x:v>Both</x:v>
      </x:c>
      <x:c r="F36" s="81" t="str">
        <x:v>Before signature</x:v>
      </x:c>
      <x:c r="G36" s="102" t="str">
        <x:v>Open</x:v>
      </x:c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78"/>
      <x:c r="U36" s="78"/>
      <x:c r="V36" s="78"/>
      <x:c r="W36" s="78"/>
      <x:c r="X36" s="78"/>
      <x:c r="Y36" s="78"/>
      <x:c r="Z36" s="78"/>
    </x:row>
    <x:row r="37">
      <x:c r="A37" s="81" t="str">
        <x:v>Payment</x:v>
      </x:c>
      <x:c r="B37" s="81" t="str">
        <x:v>Implementation 50/30/20; subscription quarterly in advance</x:v>
      </x:c>
      <x:c r="C37" s="81" t="str">
        <x:v>Funds delivery and reduces collection risk</x:v>
      </x:c>
      <x:c r="D37" s="81" t="str">
        <x:v>Confirm</x:v>
      </x:c>
      <x:c r="E37" s="81" t="str">
        <x:v>Client</x:v>
      </x:c>
      <x:c r="F37" s="81" t="str">
        <x:v>Before signature</x:v>
      </x:c>
      <x:c r="G37" s="102" t="str">
        <x:v>Open</x:v>
      </x:c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78"/>
    </x:row>
    <x:row r="38">
      <x:c r="A38" s="81" t="str">
        <x:v>Acceptance</x:v>
      </x:c>
      <x:c r="B38" s="81" t="str">
        <x:v>UAT scenarios, data reconciliation, training attendance and go-live checklist</x:v>
      </x:c>
      <x:c r="C38" s="81" t="str">
        <x:v>Makes completion objective</x:v>
      </x:c>
      <x:c r="D38" s="81" t="str">
        <x:v>Confirm</x:v>
      </x:c>
      <x:c r="E38" s="81" t="str">
        <x:v>Both</x:v>
      </x:c>
      <x:c r="F38" s="81" t="str">
        <x:v>Before build</x:v>
      </x:c>
      <x:c r="G38" s="102" t="str">
        <x:v>Open</x:v>
      </x:c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78"/>
    </x:row>
    <x:row r="39">
      <x:c r="A39" s="81" t="str">
        <x:v>Support</x:v>
      </x:c>
      <x:c r="B39" s="81" t="str">
        <x:v>Business-hours support; severity definitions; exclusions for new features</x:v>
      </x:c>
      <x:c r="C39" s="81" t="str">
        <x:v>Avoids unlimited maintenance</x:v>
      </x:c>
      <x:c r="D39" s="81" t="str">
        <x:v>Confirm</x:v>
      </x:c>
      <x:c r="E39" s="81" t="str">
        <x:v>Both</x:v>
      </x:c>
      <x:c r="F39" s="81" t="str">
        <x:v>Before signature</x:v>
      </x:c>
      <x:c r="G39" s="102" t="str">
        <x:v>Open</x:v>
      </x:c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78"/>
    </x:row>
    <x:row r="40">
      <x:c r="A40" s="81" t="str">
        <x:v>SLA</x:v>
      </x:c>
      <x:c r="B40" s="81" t="str">
        <x:v>Target 99.9%; service credits only on a paid premium plan</x:v>
      </x:c>
      <x:c r="C40" s="81" t="str">
        <x:v>Upstream plans and solo coverage have limits</x:v>
      </x:c>
      <x:c r="D40" s="81" t="str">
        <x:v>Choose</x:v>
      </x:c>
      <x:c r="E40" s="81" t="str">
        <x:v>Both</x:v>
      </x:c>
      <x:c r="F40" s="81" t="str">
        <x:v>Before signature</x:v>
      </x:c>
      <x:c r="G40" s="102" t="str">
        <x:v>Open</x:v>
      </x:c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78"/>
      <x:c r="U40" s="78"/>
      <x:c r="V40" s="78"/>
      <x:c r="W40" s="78"/>
      <x:c r="X40" s="78"/>
      <x:c r="Y40" s="78"/>
      <x:c r="Z40" s="78"/>
    </x:row>
    <x:row r="41">
      <x:c r="A41" s="81" t="str">
        <x:v>Usage</x:v>
      </x:c>
      <x:c r="B41" s="81" t="str">
        <x:v>Included allowances, dashboard, alerts, overage, and no silent service cutoff</x:v>
      </x:c>
      <x:c r="C41" s="81" t="str">
        <x:v>Protects continuity and margin</x:v>
      </x:c>
      <x:c r="D41" s="81" t="str">
        <x:v>Confirm</x:v>
      </x:c>
      <x:c r="E41" s="81" t="str">
        <x:v>Both</x:v>
      </x:c>
      <x:c r="F41" s="81" t="str">
        <x:v>Before go-live</x:v>
      </x:c>
      <x:c r="G41" s="102" t="str">
        <x:v>Open</x:v>
      </x:c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</x:row>
    <x:row r="42">
      <x:c r="A42" s="81" t="str">
        <x:v>Data</x:v>
      </x:c>
      <x:c r="B42" s="81" t="str">
        <x:v>Client ownership, export, retention, deletion, DPA, subprocessors</x:v>
      </x:c>
      <x:c r="C42" s="81" t="str">
        <x:v>ERP data is business-critical</x:v>
      </x:c>
      <x:c r="D42" s="81" t="str">
        <x:v>Confirm</x:v>
      </x:c>
      <x:c r="E42" s="81" t="str">
        <x:v>Both</x:v>
      </x:c>
      <x:c r="F42" s="81" t="str">
        <x:v>Before signature</x:v>
      </x:c>
      <x:c r="G42" s="102" t="str">
        <x:v>Open</x:v>
      </x:c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8"/>
    </x:row>
    <x:row r="43">
      <x:c r="A43" s="83" t="str">
        <x:v>Annual revision</x:v>
      </x:c>
      <x:c r="B43" s="83" t="str">
        <x:v>8% annual increase or pass-through of vendor price/tax changes</x:v>
      </x:c>
      <x:c r="C43" s="83" t="str">
        <x:v>Protects multi-year economics</x:v>
      </x:c>
      <x:c r="D43" s="83" t="str">
        <x:v>Confirm</x:v>
      </x:c>
      <x:c r="E43" s="83" t="str">
        <x:v>Both</x:v>
      </x:c>
      <x:c r="F43" s="83" t="str">
        <x:v>Before signature</x:v>
      </x:c>
      <x:c r="G43" s="103" t="str">
        <x:v>Open</x:v>
      </x:c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78"/>
    </x:row>
    <x:row r="44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</x:row>
    <x:row r="45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78"/>
    </x:row>
    <x:row r="46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78"/>
      <x:c r="U46" s="78"/>
      <x:c r="V46" s="78"/>
      <x:c r="W46" s="78"/>
      <x:c r="X46" s="78"/>
      <x:c r="Y46" s="78"/>
      <x:c r="Z46" s="78"/>
    </x:row>
    <x:row r="47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78"/>
      <x:c r="U47" s="78"/>
      <x:c r="V47" s="78"/>
      <x:c r="W47" s="78"/>
      <x:c r="X47" s="78"/>
      <x:c r="Y47" s="78"/>
      <x:c r="Z47" s="78"/>
    </x:row>
    <x:row r="48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78"/>
      <x:c r="U48" s="78"/>
      <x:c r="V48" s="78"/>
      <x:c r="W48" s="78"/>
      <x:c r="X48" s="78"/>
      <x:c r="Y48" s="78"/>
      <x:c r="Z48" s="78"/>
    </x:row>
    <x:row r="49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78"/>
      <x:c r="U49" s="78"/>
      <x:c r="V49" s="78"/>
      <x:c r="W49" s="78"/>
      <x:c r="X49" s="78"/>
      <x:c r="Y49" s="78"/>
      <x:c r="Z49" s="78"/>
    </x:row>
    <x:row r="50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78"/>
    </x:row>
    <x:row r="5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78"/>
      <x:c r="W51" s="78"/>
      <x:c r="X51" s="78"/>
      <x:c r="Y51" s="78"/>
      <x:c r="Z51" s="78"/>
    </x:row>
    <x:row r="52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78"/>
    </x:row>
    <x:row r="53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78"/>
    </x:row>
    <x:row r="54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78"/>
      <x:c r="U54" s="78"/>
      <x:c r="V54" s="78"/>
      <x:c r="W54" s="78"/>
      <x:c r="X54" s="78"/>
      <x:c r="Y54" s="78"/>
      <x:c r="Z54" s="78"/>
    </x:row>
    <x:row r="55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78"/>
    </x:row>
    <x:row r="56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78"/>
    </x:row>
    <x:row r="57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78"/>
    </x:row>
    <x:row r="58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</x:row>
    <x:row r="59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78"/>
      <x:c r="U59" s="78"/>
      <x:c r="V59" s="78"/>
      <x:c r="W59" s="78"/>
      <x:c r="X59" s="78"/>
      <x:c r="Y59" s="78"/>
      <x:c r="Z59" s="78"/>
    </x:row>
    <x:row r="60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</x:row>
    <x:row r="6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78"/>
      <x:c r="U61" s="78"/>
      <x:c r="V61" s="78"/>
      <x:c r="W61" s="78"/>
      <x:c r="X61" s="78"/>
      <x:c r="Y61" s="78"/>
      <x:c r="Z61" s="78"/>
    </x:row>
    <x:row r="62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78"/>
      <x:c r="U62" s="78"/>
      <x:c r="V62" s="78"/>
      <x:c r="W62" s="78"/>
      <x:c r="X62" s="78"/>
      <x:c r="Y62" s="78"/>
      <x:c r="Z62" s="78"/>
    </x:row>
    <x:row r="63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78"/>
    </x:row>
    <x:row r="64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78"/>
      <x:c r="U64" s="78"/>
      <x:c r="V64" s="78"/>
      <x:c r="W64" s="78"/>
      <x:c r="X64" s="78"/>
      <x:c r="Y64" s="78"/>
      <x:c r="Z64" s="78"/>
    </x:row>
    <x:row r="65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78"/>
      <x:c r="U65" s="78"/>
      <x:c r="V65" s="78"/>
      <x:c r="W65" s="78"/>
      <x:c r="X65" s="78"/>
      <x:c r="Y65" s="78"/>
      <x:c r="Z65" s="78"/>
    </x:row>
    <x:row r="66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78"/>
      <x:c r="U66" s="78"/>
      <x:c r="V66" s="78"/>
      <x:c r="W66" s="78"/>
      <x:c r="X66" s="78"/>
      <x:c r="Y66" s="78"/>
      <x:c r="Z66" s="78"/>
    </x:row>
    <x:row r="67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78"/>
      <x:c r="U67" s="78"/>
      <x:c r="V67" s="78"/>
      <x:c r="W67" s="78"/>
      <x:c r="X67" s="78"/>
      <x:c r="Y67" s="78"/>
      <x:c r="Z67" s="78"/>
    </x:row>
    <x:row r="68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78"/>
    </x:row>
    <x:row r="69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78"/>
      <x:c r="U69" s="78"/>
      <x:c r="V69" s="78"/>
      <x:c r="W69" s="78"/>
      <x:c r="X69" s="78"/>
      <x:c r="Y69" s="78"/>
      <x:c r="Z69" s="78"/>
    </x:row>
    <x:row r="70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78"/>
      <x:c r="U70" s="78"/>
      <x:c r="V70" s="78"/>
      <x:c r="W70" s="78"/>
      <x:c r="X70" s="78"/>
      <x:c r="Y70" s="78"/>
      <x:c r="Z70" s="78"/>
    </x:row>
    <x:row r="7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78"/>
      <x:c r="U71" s="78"/>
      <x:c r="V71" s="78"/>
      <x:c r="W71" s="78"/>
      <x:c r="X71" s="78"/>
      <x:c r="Y71" s="78"/>
      <x:c r="Z71" s="78"/>
    </x:row>
    <x:row r="72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78"/>
    </x:row>
    <x:row r="73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78"/>
      <x:c r="U73" s="78"/>
      <x:c r="V73" s="78"/>
      <x:c r="W73" s="78"/>
      <x:c r="X73" s="78"/>
      <x:c r="Y73" s="78"/>
      <x:c r="Z73" s="78"/>
    </x:row>
    <x:row r="74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78"/>
      <x:c r="U74" s="78"/>
      <x:c r="V74" s="78"/>
      <x:c r="W74" s="78"/>
      <x:c r="X74" s="78"/>
      <x:c r="Y74" s="78"/>
      <x:c r="Z74" s="78"/>
    </x:row>
    <x:row r="75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78"/>
    </x:row>
    <x:row r="76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78"/>
      <x:c r="U76" s="78"/>
      <x:c r="V76" s="78"/>
      <x:c r="W76" s="78"/>
      <x:c r="X76" s="78"/>
      <x:c r="Y76" s="78"/>
      <x:c r="Z76" s="78"/>
    </x:row>
    <x:row r="77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78"/>
    </x:row>
    <x:row r="78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78"/>
      <x:c r="U78" s="78"/>
      <x:c r="V78" s="78"/>
      <x:c r="W78" s="78"/>
      <x:c r="X78" s="78"/>
      <x:c r="Y78" s="78"/>
      <x:c r="Z78" s="78"/>
    </x:row>
    <x:row r="79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78"/>
      <x:c r="U79" s="78"/>
      <x:c r="V79" s="78"/>
      <x:c r="W79" s="78"/>
      <x:c r="X79" s="78"/>
      <x:c r="Y79" s="78"/>
      <x:c r="Z79" s="78"/>
    </x:row>
    <x:row r="80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78"/>
      <x:c r="U80" s="78"/>
      <x:c r="V80" s="78"/>
      <x:c r="W80" s="78"/>
      <x:c r="X80" s="78"/>
      <x:c r="Y80" s="78"/>
      <x:c r="Z80" s="78"/>
    </x:row>
    <x:row r="8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78"/>
      <x:c r="U81" s="78"/>
      <x:c r="V81" s="78"/>
      <x:c r="W81" s="78"/>
      <x:c r="X81" s="78"/>
      <x:c r="Y81" s="78"/>
      <x:c r="Z81" s="78"/>
    </x:row>
    <x:row r="82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78"/>
      <x:c r="U82" s="78"/>
      <x:c r="V82" s="78"/>
      <x:c r="W82" s="78"/>
      <x:c r="X82" s="78"/>
      <x:c r="Y82" s="78"/>
      <x:c r="Z82" s="78"/>
    </x:row>
    <x:row r="83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78"/>
      <x:c r="U83" s="78"/>
      <x:c r="V83" s="78"/>
      <x:c r="W83" s="78"/>
      <x:c r="X83" s="78"/>
      <x:c r="Y83" s="78"/>
      <x:c r="Z83" s="78"/>
    </x:row>
    <x:row r="84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78"/>
      <x:c r="U84" s="78"/>
      <x:c r="V84" s="78"/>
      <x:c r="W84" s="78"/>
      <x:c r="X84" s="78"/>
      <x:c r="Y84" s="78"/>
      <x:c r="Z84" s="78"/>
    </x:row>
    <x:row r="85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78"/>
      <x:c r="U85" s="78"/>
      <x:c r="V85" s="78"/>
      <x:c r="W85" s="78"/>
      <x:c r="X85" s="78"/>
      <x:c r="Y85" s="78"/>
      <x:c r="Z85" s="78"/>
    </x:row>
    <x:row r="86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78"/>
      <x:c r="U86" s="78"/>
      <x:c r="V86" s="78"/>
      <x:c r="W86" s="78"/>
      <x:c r="X86" s="78"/>
      <x:c r="Y86" s="78"/>
      <x:c r="Z86" s="78"/>
    </x:row>
    <x:row r="87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78"/>
      <x:c r="U87" s="78"/>
      <x:c r="V87" s="78"/>
      <x:c r="W87" s="78"/>
      <x:c r="X87" s="78"/>
      <x:c r="Y87" s="78"/>
      <x:c r="Z87" s="78"/>
    </x:row>
    <x:row r="88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78"/>
      <x:c r="U88" s="78"/>
      <x:c r="V88" s="78"/>
      <x:c r="W88" s="78"/>
      <x:c r="X88" s="78"/>
      <x:c r="Y88" s="78"/>
      <x:c r="Z88" s="78"/>
    </x:row>
    <x:row r="89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78"/>
      <x:c r="U89" s="78"/>
      <x:c r="V89" s="78"/>
      <x:c r="W89" s="78"/>
      <x:c r="X89" s="78"/>
      <x:c r="Y89" s="78"/>
      <x:c r="Z89" s="78"/>
    </x:row>
    <x:row r="90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78"/>
    </x:row>
    <x:row r="9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78"/>
      <x:c r="U91" s="78"/>
      <x:c r="V91" s="78"/>
      <x:c r="W91" s="78"/>
      <x:c r="X91" s="78"/>
      <x:c r="Y91" s="78"/>
      <x:c r="Z91" s="78"/>
    </x:row>
    <x:row r="92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78"/>
      <x:c r="U92" s="78"/>
      <x:c r="V92" s="78"/>
      <x:c r="W92" s="78"/>
      <x:c r="X92" s="78"/>
      <x:c r="Y92" s="78"/>
      <x:c r="Z92" s="78"/>
    </x:row>
    <x:row r="93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78"/>
      <x:c r="U93" s="78"/>
      <x:c r="V93" s="78"/>
      <x:c r="W93" s="78"/>
      <x:c r="X93" s="78"/>
      <x:c r="Y93" s="78"/>
      <x:c r="Z93" s="78"/>
    </x:row>
    <x:row r="94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78"/>
      <x:c r="U94" s="78"/>
      <x:c r="V94" s="78"/>
      <x:c r="W94" s="78"/>
      <x:c r="X94" s="78"/>
      <x:c r="Y94" s="78"/>
      <x:c r="Z94" s="78"/>
    </x:row>
    <x:row r="95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78"/>
      <x:c r="U95" s="78"/>
      <x:c r="V95" s="78"/>
      <x:c r="W95" s="78"/>
      <x:c r="X95" s="78"/>
      <x:c r="Y95" s="78"/>
      <x:c r="Z95" s="78"/>
    </x:row>
    <x:row r="96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78"/>
      <x:c r="U96" s="78"/>
      <x:c r="V96" s="78"/>
      <x:c r="W96" s="78"/>
      <x:c r="X96" s="78"/>
      <x:c r="Y96" s="78"/>
      <x:c r="Z96" s="78"/>
    </x:row>
    <x:row r="97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78"/>
      <x:c r="U97" s="78"/>
      <x:c r="V97" s="78"/>
      <x:c r="W97" s="78"/>
      <x:c r="X97" s="78"/>
      <x:c r="Y97" s="78"/>
      <x:c r="Z97" s="78"/>
    </x:row>
    <x:row r="98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78"/>
      <x:c r="U98" s="78"/>
      <x:c r="V98" s="78"/>
      <x:c r="W98" s="78"/>
      <x:c r="X98" s="78"/>
      <x:c r="Y98" s="78"/>
      <x:c r="Z98" s="78"/>
    </x:row>
    <x:row r="99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78"/>
      <x:c r="U99" s="78"/>
      <x:c r="V99" s="78"/>
      <x:c r="W99" s="78"/>
      <x:c r="X99" s="78"/>
      <x:c r="Y99" s="78"/>
      <x:c r="Z99" s="78"/>
    </x:row>
    <x:row r="100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78"/>
      <x:c r="U100" s="78"/>
      <x:c r="V100" s="78"/>
      <x:c r="W100" s="78"/>
      <x:c r="X100" s="78"/>
      <x:c r="Y100" s="78"/>
      <x:c r="Z100" s="78"/>
    </x:row>
    <x:row r="10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78"/>
      <x:c r="U101" s="78"/>
      <x:c r="V101" s="78"/>
      <x:c r="W101" s="78"/>
      <x:c r="X101" s="78"/>
      <x:c r="Y101" s="78"/>
      <x:c r="Z101" s="78"/>
    </x:row>
    <x:row r="102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78"/>
    </x:row>
    <x:row r="103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78"/>
    </x:row>
    <x:row r="104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78"/>
    </x:row>
    <x:row r="105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78"/>
      <x:c r="U105" s="78"/>
      <x:c r="V105" s="78"/>
      <x:c r="W105" s="78"/>
      <x:c r="X105" s="78"/>
      <x:c r="Y105" s="78"/>
      <x:c r="Z105" s="78"/>
    </x:row>
    <x:row r="106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78"/>
      <x:c r="U106" s="78"/>
      <x:c r="V106" s="78"/>
      <x:c r="W106" s="78"/>
      <x:c r="X106" s="78"/>
      <x:c r="Y106" s="78"/>
      <x:c r="Z106" s="78"/>
    </x:row>
    <x:row r="107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78"/>
      <x:c r="U107" s="78"/>
      <x:c r="V107" s="78"/>
      <x:c r="W107" s="78"/>
      <x:c r="X107" s="78"/>
      <x:c r="Y107" s="78"/>
      <x:c r="Z107" s="78"/>
    </x:row>
    <x:row r="108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78"/>
      <x:c r="U108" s="78"/>
      <x:c r="V108" s="78"/>
      <x:c r="W108" s="78"/>
      <x:c r="X108" s="78"/>
      <x:c r="Y108" s="78"/>
      <x:c r="Z108" s="78"/>
    </x:row>
    <x:row r="109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78"/>
      <x:c r="U109" s="78"/>
      <x:c r="V109" s="78"/>
      <x:c r="W109" s="78"/>
      <x:c r="X109" s="78"/>
      <x:c r="Y109" s="78"/>
      <x:c r="Z109" s="78"/>
    </x:row>
    <x:row r="110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</x:row>
    <x:row r="11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</x:row>
    <x:row r="112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</x:row>
    <x:row r="113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</x:row>
    <x:row r="114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</x:row>
    <x:row r="115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</x:row>
    <x:row r="116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</x:row>
    <x:row r="117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</x:row>
    <x:row r="118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</x:row>
    <x:row r="119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</x:row>
    <x:row r="120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</x:row>
    <x:row r="12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</x:row>
    <x:row r="122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</x:row>
    <x:row r="123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</x:row>
    <x:row r="124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</x:row>
    <x:row r="125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</x:row>
    <x:row r="126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</x:row>
    <x:row r="127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</x:row>
    <x:row r="128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</x:row>
    <x:row r="129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</x:row>
    <x:row r="130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</x:row>
    <x:row r="13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</x:row>
    <x:row r="132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</x:row>
    <x:row r="133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</x:row>
    <x:row r="134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</x:row>
    <x:row r="135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</x:row>
    <x:row r="136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</x:row>
    <x:row r="137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</x:row>
    <x:row r="138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</x:row>
    <x:row r="139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</x:row>
    <x:row r="140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</x:row>
    <x:row r="14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78"/>
      <x:c r="U141" s="78"/>
      <x:c r="V141" s="78"/>
      <x:c r="W141" s="78"/>
      <x:c r="X141" s="78"/>
      <x:c r="Y141" s="78"/>
      <x:c r="Z141" s="78"/>
    </x:row>
    <x:row r="142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78"/>
      <x:c r="U142" s="78"/>
      <x:c r="V142" s="78"/>
      <x:c r="W142" s="78"/>
      <x:c r="X142" s="78"/>
      <x:c r="Y142" s="78"/>
      <x:c r="Z142" s="78"/>
    </x:row>
    <x:row r="143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78"/>
      <x:c r="U143" s="78"/>
      <x:c r="V143" s="78"/>
      <x:c r="W143" s="78"/>
      <x:c r="X143" s="78"/>
      <x:c r="Y143" s="78"/>
      <x:c r="Z143" s="78"/>
    </x:row>
    <x:row r="144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78"/>
      <x:c r="U144" s="78"/>
      <x:c r="V144" s="78"/>
      <x:c r="W144" s="78"/>
      <x:c r="X144" s="78"/>
      <x:c r="Y144" s="78"/>
      <x:c r="Z144" s="78"/>
    </x:row>
    <x:row r="145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78"/>
      <x:c r="U145" s="78"/>
      <x:c r="V145" s="78"/>
      <x:c r="W145" s="78"/>
      <x:c r="X145" s="78"/>
      <x:c r="Y145" s="78"/>
      <x:c r="Z145" s="78"/>
    </x:row>
    <x:row r="146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78"/>
      <x:c r="U146" s="78"/>
      <x:c r="V146" s="78"/>
      <x:c r="W146" s="78"/>
      <x:c r="X146" s="78"/>
      <x:c r="Y146" s="78"/>
      <x:c r="Z146" s="78"/>
    </x:row>
    <x:row r="147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78"/>
      <x:c r="U147" s="78"/>
      <x:c r="V147" s="78"/>
      <x:c r="W147" s="78"/>
      <x:c r="X147" s="78"/>
      <x:c r="Y147" s="78"/>
      <x:c r="Z147" s="78"/>
    </x:row>
    <x:row r="148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78"/>
      <x:c r="U148" s="78"/>
      <x:c r="V148" s="78"/>
      <x:c r="W148" s="78"/>
      <x:c r="X148" s="78"/>
      <x:c r="Y148" s="78"/>
      <x:c r="Z148" s="78"/>
    </x:row>
    <x:row r="149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78"/>
      <x:c r="U149" s="78"/>
      <x:c r="V149" s="78"/>
      <x:c r="W149" s="78"/>
      <x:c r="X149" s="78"/>
      <x:c r="Y149" s="78"/>
      <x:c r="Z149" s="78"/>
    </x:row>
    <x:row r="150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78"/>
      <x:c r="U150" s="78"/>
      <x:c r="V150" s="78"/>
      <x:c r="W150" s="78"/>
      <x:c r="X150" s="78"/>
      <x:c r="Y150" s="78"/>
      <x:c r="Z150" s="78"/>
    </x:row>
    <x:row r="15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78"/>
      <x:c r="U151" s="78"/>
      <x:c r="V151" s="78"/>
      <x:c r="W151" s="78"/>
      <x:c r="X151" s="78"/>
      <x:c r="Y151" s="78"/>
      <x:c r="Z151" s="78"/>
    </x:row>
    <x:row r="152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78"/>
      <x:c r="U152" s="78"/>
      <x:c r="V152" s="78"/>
      <x:c r="W152" s="78"/>
      <x:c r="X152" s="78"/>
      <x:c r="Y152" s="78"/>
      <x:c r="Z152" s="78"/>
    </x:row>
    <x:row r="153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78"/>
      <x:c r="U153" s="78"/>
      <x:c r="V153" s="78"/>
      <x:c r="W153" s="78"/>
      <x:c r="X153" s="78"/>
      <x:c r="Y153" s="78"/>
      <x:c r="Z153" s="78"/>
    </x:row>
    <x:row r="154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78"/>
      <x:c r="U154" s="78"/>
      <x:c r="V154" s="78"/>
      <x:c r="W154" s="78"/>
      <x:c r="X154" s="78"/>
      <x:c r="Y154" s="78"/>
      <x:c r="Z154" s="78"/>
    </x:row>
    <x:row r="155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78"/>
      <x:c r="U155" s="78"/>
      <x:c r="V155" s="78"/>
      <x:c r="W155" s="78"/>
      <x:c r="X155" s="78"/>
      <x:c r="Y155" s="78"/>
      <x:c r="Z155" s="78"/>
    </x:row>
    <x:row r="156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78"/>
      <x:c r="U156" s="78"/>
      <x:c r="V156" s="78"/>
      <x:c r="W156" s="78"/>
      <x:c r="X156" s="78"/>
      <x:c r="Y156" s="78"/>
      <x:c r="Z156" s="78"/>
    </x:row>
    <x:row r="157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78"/>
      <x:c r="U157" s="78"/>
      <x:c r="V157" s="78"/>
      <x:c r="W157" s="78"/>
      <x:c r="X157" s="78"/>
      <x:c r="Y157" s="78"/>
      <x:c r="Z157" s="78"/>
    </x:row>
    <x:row r="158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78"/>
      <x:c r="U158" s="78"/>
      <x:c r="V158" s="78"/>
      <x:c r="W158" s="78"/>
      <x:c r="X158" s="78"/>
      <x:c r="Y158" s="78"/>
      <x:c r="Z158" s="78"/>
    </x:row>
    <x:row r="159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78"/>
      <x:c r="U159" s="78"/>
      <x:c r="V159" s="78"/>
      <x:c r="W159" s="78"/>
      <x:c r="X159" s="78"/>
      <x:c r="Y159" s="78"/>
      <x:c r="Z159" s="78"/>
    </x:row>
    <x:row r="160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78"/>
      <x:c r="U160" s="78"/>
      <x:c r="V160" s="78"/>
      <x:c r="W160" s="78"/>
      <x:c r="X160" s="78"/>
      <x:c r="Y160" s="78"/>
      <x:c r="Z160" s="78"/>
    </x:row>
    <x:row r="16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78"/>
      <x:c r="U161" s="78"/>
      <x:c r="V161" s="78"/>
      <x:c r="W161" s="78"/>
      <x:c r="X161" s="78"/>
      <x:c r="Y161" s="78"/>
      <x:c r="Z161" s="78"/>
    </x:row>
    <x:row r="162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78"/>
      <x:c r="U162" s="78"/>
      <x:c r="V162" s="78"/>
      <x:c r="W162" s="78"/>
      <x:c r="X162" s="78"/>
      <x:c r="Y162" s="78"/>
      <x:c r="Z162" s="78"/>
    </x:row>
    <x:row r="163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78"/>
      <x:c r="U163" s="78"/>
      <x:c r="V163" s="78"/>
      <x:c r="W163" s="78"/>
      <x:c r="X163" s="78"/>
      <x:c r="Y163" s="78"/>
      <x:c r="Z163" s="78"/>
    </x:row>
    <x:row r="164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78"/>
      <x:c r="U164" s="78"/>
      <x:c r="V164" s="78"/>
      <x:c r="W164" s="78"/>
      <x:c r="X164" s="78"/>
      <x:c r="Y164" s="78"/>
      <x:c r="Z164" s="78"/>
    </x:row>
    <x:row r="165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78"/>
      <x:c r="U165" s="78"/>
      <x:c r="V165" s="78"/>
      <x:c r="W165" s="78"/>
      <x:c r="X165" s="78"/>
      <x:c r="Y165" s="78"/>
      <x:c r="Z165" s="78"/>
    </x:row>
    <x:row r="166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78"/>
      <x:c r="U166" s="78"/>
      <x:c r="V166" s="78"/>
      <x:c r="W166" s="78"/>
      <x:c r="X166" s="78"/>
      <x:c r="Y166" s="78"/>
      <x:c r="Z166" s="78"/>
    </x:row>
    <x:row r="167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78"/>
      <x:c r="U167" s="78"/>
      <x:c r="V167" s="78"/>
      <x:c r="W167" s="78"/>
      <x:c r="X167" s="78"/>
      <x:c r="Y167" s="78"/>
      <x:c r="Z167" s="78"/>
    </x:row>
    <x:row r="168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78"/>
      <x:c r="U168" s="78"/>
      <x:c r="V168" s="78"/>
      <x:c r="W168" s="78"/>
      <x:c r="X168" s="78"/>
      <x:c r="Y168" s="78"/>
      <x:c r="Z168" s="78"/>
    </x:row>
    <x:row r="169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78"/>
      <x:c r="U169" s="78"/>
      <x:c r="V169" s="78"/>
      <x:c r="W169" s="78"/>
      <x:c r="X169" s="78"/>
      <x:c r="Y169" s="78"/>
      <x:c r="Z169" s="78"/>
    </x:row>
    <x:row r="170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78"/>
      <x:c r="U170" s="78"/>
      <x:c r="V170" s="78"/>
      <x:c r="W170" s="78"/>
      <x:c r="X170" s="78"/>
      <x:c r="Y170" s="78"/>
      <x:c r="Z170" s="78"/>
    </x:row>
    <x:row r="17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78"/>
      <x:c r="U171" s="78"/>
      <x:c r="V171" s="78"/>
      <x:c r="W171" s="78"/>
      <x:c r="X171" s="78"/>
      <x:c r="Y171" s="78"/>
      <x:c r="Z171" s="78"/>
    </x:row>
    <x:row r="172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78"/>
      <x:c r="U172" s="78"/>
      <x:c r="V172" s="78"/>
      <x:c r="W172" s="78"/>
      <x:c r="X172" s="78"/>
      <x:c r="Y172" s="78"/>
      <x:c r="Z172" s="78"/>
    </x:row>
    <x:row r="173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78"/>
      <x:c r="U173" s="78"/>
      <x:c r="V173" s="78"/>
      <x:c r="W173" s="78"/>
      <x:c r="X173" s="78"/>
      <x:c r="Y173" s="78"/>
      <x:c r="Z173" s="78"/>
    </x:row>
    <x:row r="174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78"/>
      <x:c r="U174" s="78"/>
      <x:c r="V174" s="78"/>
      <x:c r="W174" s="78"/>
      <x:c r="X174" s="78"/>
      <x:c r="Y174" s="78"/>
      <x:c r="Z174" s="78"/>
    </x:row>
    <x:row r="175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78"/>
      <x:c r="U175" s="78"/>
      <x:c r="V175" s="78"/>
      <x:c r="W175" s="78"/>
      <x:c r="X175" s="78"/>
      <x:c r="Y175" s="78"/>
      <x:c r="Z175" s="78"/>
    </x:row>
    <x:row r="176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78"/>
      <x:c r="U176" s="78"/>
      <x:c r="V176" s="78"/>
      <x:c r="W176" s="78"/>
      <x:c r="X176" s="78"/>
      <x:c r="Y176" s="78"/>
      <x:c r="Z176" s="78"/>
    </x:row>
    <x:row r="177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78"/>
      <x:c r="U177" s="78"/>
      <x:c r="V177" s="78"/>
      <x:c r="W177" s="78"/>
      <x:c r="X177" s="78"/>
      <x:c r="Y177" s="78"/>
      <x:c r="Z177" s="78"/>
    </x:row>
    <x:row r="178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78"/>
      <x:c r="U178" s="78"/>
      <x:c r="V178" s="78"/>
      <x:c r="W178" s="78"/>
      <x:c r="X178" s="78"/>
      <x:c r="Y178" s="78"/>
      <x:c r="Z178" s="78"/>
    </x:row>
    <x:row r="179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78"/>
      <x:c r="U179" s="78"/>
      <x:c r="V179" s="78"/>
      <x:c r="W179" s="78"/>
      <x:c r="X179" s="78"/>
      <x:c r="Y179" s="78"/>
      <x:c r="Z179" s="78"/>
    </x:row>
    <x:row r="180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78"/>
      <x:c r="U180" s="78"/>
      <x:c r="V180" s="78"/>
      <x:c r="W180" s="78"/>
      <x:c r="X180" s="78"/>
      <x:c r="Y180" s="78"/>
      <x:c r="Z180" s="78"/>
    </x:row>
    <x:row r="18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78"/>
      <x:c r="U181" s="78"/>
      <x:c r="V181" s="78"/>
      <x:c r="W181" s="78"/>
      <x:c r="X181" s="78"/>
      <x:c r="Y181" s="78"/>
      <x:c r="Z181" s="78"/>
    </x:row>
    <x:row r="182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78"/>
      <x:c r="U182" s="78"/>
      <x:c r="V182" s="78"/>
      <x:c r="W182" s="78"/>
      <x:c r="X182" s="78"/>
      <x:c r="Y182" s="78"/>
      <x:c r="Z182" s="78"/>
    </x:row>
    <x:row r="183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78"/>
      <x:c r="U183" s="78"/>
      <x:c r="V183" s="78"/>
      <x:c r="W183" s="78"/>
      <x:c r="X183" s="78"/>
      <x:c r="Y183" s="78"/>
      <x:c r="Z183" s="78"/>
    </x:row>
    <x:row r="184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78"/>
      <x:c r="U184" s="78"/>
      <x:c r="V184" s="78"/>
      <x:c r="W184" s="78"/>
      <x:c r="X184" s="78"/>
      <x:c r="Y184" s="78"/>
      <x:c r="Z184" s="78"/>
    </x:row>
    <x:row r="185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78"/>
      <x:c r="U185" s="78"/>
      <x:c r="V185" s="78"/>
      <x:c r="W185" s="78"/>
      <x:c r="X185" s="78"/>
      <x:c r="Y185" s="78"/>
      <x:c r="Z185" s="78"/>
    </x:row>
    <x:row r="186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78"/>
      <x:c r="U186" s="78"/>
      <x:c r="V186" s="78"/>
      <x:c r="W186" s="78"/>
      <x:c r="X186" s="78"/>
      <x:c r="Y186" s="78"/>
      <x:c r="Z186" s="78"/>
    </x:row>
    <x:row r="187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78"/>
      <x:c r="U187" s="78"/>
      <x:c r="V187" s="78"/>
      <x:c r="W187" s="78"/>
      <x:c r="X187" s="78"/>
      <x:c r="Y187" s="78"/>
      <x:c r="Z187" s="78"/>
    </x:row>
    <x:row r="188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78"/>
      <x:c r="U188" s="78"/>
      <x:c r="V188" s="78"/>
      <x:c r="W188" s="78"/>
      <x:c r="X188" s="78"/>
      <x:c r="Y188" s="78"/>
      <x:c r="Z188" s="78"/>
    </x:row>
    <x:row r="189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78"/>
      <x:c r="U189" s="78"/>
      <x:c r="V189" s="78"/>
      <x:c r="W189" s="78"/>
      <x:c r="X189" s="78"/>
      <x:c r="Y189" s="78"/>
      <x:c r="Z189" s="78"/>
    </x:row>
    <x:row r="190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78"/>
      <x:c r="U190" s="78"/>
      <x:c r="V190" s="78"/>
      <x:c r="W190" s="78"/>
      <x:c r="X190" s="78"/>
      <x:c r="Y190" s="78"/>
      <x:c r="Z190" s="78"/>
    </x:row>
    <x:row r="19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78"/>
      <x:c r="U191" s="78"/>
      <x:c r="V191" s="78"/>
      <x:c r="W191" s="78"/>
      <x:c r="X191" s="78"/>
      <x:c r="Y191" s="78"/>
      <x:c r="Z191" s="78"/>
    </x:row>
    <x:row r="192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78"/>
      <x:c r="U192" s="78"/>
      <x:c r="V192" s="78"/>
      <x:c r="W192" s="78"/>
      <x:c r="X192" s="78"/>
      <x:c r="Y192" s="78"/>
      <x:c r="Z192" s="78"/>
    </x:row>
    <x:row r="193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78"/>
      <x:c r="U193" s="78"/>
      <x:c r="V193" s="78"/>
      <x:c r="W193" s="78"/>
      <x:c r="X193" s="78"/>
      <x:c r="Y193" s="78"/>
      <x:c r="Z193" s="78"/>
    </x:row>
    <x:row r="194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78"/>
      <x:c r="U194" s="78"/>
      <x:c r="V194" s="78"/>
      <x:c r="W194" s="78"/>
      <x:c r="X194" s="78"/>
      <x:c r="Y194" s="78"/>
      <x:c r="Z194" s="78"/>
    </x:row>
    <x:row r="195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78"/>
    </x:row>
    <x:row r="196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78"/>
      <x:c r="U196" s="78"/>
      <x:c r="V196" s="78"/>
      <x:c r="W196" s="78"/>
      <x:c r="X196" s="78"/>
      <x:c r="Y196" s="78"/>
      <x:c r="Z196" s="78"/>
    </x:row>
    <x:row r="197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78"/>
      <x:c r="U197" s="78"/>
      <x:c r="V197" s="78"/>
      <x:c r="W197" s="78"/>
      <x:c r="X197" s="78"/>
      <x:c r="Y197" s="78"/>
      <x:c r="Z197" s="78"/>
    </x:row>
    <x:row r="198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78"/>
      <x:c r="U198" s="78"/>
      <x:c r="V198" s="78"/>
      <x:c r="W198" s="78"/>
      <x:c r="X198" s="78"/>
      <x:c r="Y198" s="78"/>
      <x:c r="Z198" s="78"/>
    </x:row>
    <x:row r="199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78"/>
    </x:row>
    <x:row r="200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78"/>
    </x:row>
  </x:sheetData>
  <x:mergeCells>
    <x:mergeCell ref="A1:G1"/>
    <x:mergeCell ref="A2:G2"/>
    <x:mergeCell ref="A4:G4"/>
    <x:mergeCell ref="A10:C10"/>
    <x:mergeCell ref="E10:G10"/>
    <x:mergeCell ref="A13:G13"/>
    <x:mergeCell ref="A25:G25"/>
    <x:mergeCell ref="A31:G31"/>
    <x:mergeCell ref="A34:G3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31" hidden="0" customWidth="1"/>
    <x:col min="4" max="4" width="36" hidden="0" customWidth="1"/>
    <x:col min="5" max="5" width="39" hidden="0" customWidth="1"/>
    <x:col min="6" max="6" width="28" hidden="0" customWidth="1"/>
    <x:col min="7" max="7" width="22" hidden="0" customWidth="1"/>
    <x:col min="8" max="8" width="17" hidden="0" customWidth="1"/>
  </x:cols>
  <x:sheetData>
    <x:row r="1" ht="34" customHeight="1">
      <x:c r="A1" s="77" t="str">
        <x:v>Production limits, controls and unresolved decisions</x:v>
      </x:c>
      <x:c r="B1" s="77"/>
      <x:c r="C1" s="77"/>
      <x:c r="D1" s="77"/>
      <x:c r="E1" s="77"/>
      <x:c r="F1" s="77"/>
      <x:c r="G1" s="77"/>
      <x:c r="H1" s="77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  <x:c r="V1" s="78"/>
      <x:c r="W1" s="78"/>
      <x:c r="X1" s="78"/>
      <x:c r="Y1" s="78"/>
      <x:c r="Z1" s="78"/>
    </x:row>
    <x:row r="2" ht="28" customHeight="1">
      <x:c r="A2" s="5" t="str">
        <x:v>These are launch gates, not optional polish. They are based on the current Factory OS architecture and official provider limits.</x:v>
      </x:c>
      <x:c r="B2" s="5"/>
      <x:c r="C2" s="5"/>
      <x:c r="D2" s="5"/>
      <x:c r="E2" s="5"/>
      <x:c r="F2" s="5"/>
      <x:c r="G2" s="5"/>
      <x:c r="H2" s="5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</x:row>
    <x:row r="4" ht="24" customHeight="1">
      <x:c r="A4" s="125" t="str">
        <x:v>Critical launch gates</x:v>
      </x:c>
      <x:c r="B4" s="125"/>
      <x:c r="C4" s="125"/>
      <x:c r="D4" s="125"/>
      <x:c r="E4" s="125"/>
      <x:c r="F4" s="125"/>
      <x:c r="G4" s="125"/>
      <x:c r="H4" s="125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8"/>
      <x:c r="V4" s="78"/>
      <x:c r="W4" s="78"/>
      <x:c r="X4" s="78"/>
      <x:c r="Y4" s="78"/>
      <x:c r="Z4" s="78"/>
    </x:row>
    <x:row r="5">
      <x:c r="A5" s="80" t="str">
        <x:v>Priority</x:v>
      </x:c>
      <x:c r="B5" s="80" t="str">
        <x:v>Risk</x:v>
      </x:c>
      <x:c r="C5" s="80" t="str">
        <x:v>Current evidence</x:v>
      </x:c>
      <x:c r="D5" s="80" t="str">
        <x:v>Failure mode</x:v>
      </x:c>
      <x:c r="E5" s="80" t="str">
        <x:v>Required control</x:v>
      </x:c>
      <x:c r="F5" s="80" t="str">
        <x:v>Budget/workstream</x:v>
      </x:c>
      <x:c r="G5" s="80" t="str">
        <x:v>Owner</x:v>
      </x:c>
      <x:c r="H5" s="80" t="str">
        <x:v>Gate</x:v>
      </x:c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</x:row>
    <x:row r="6">
      <x:c r="A6" s="126" t="str">
        <x:v>P0</x:v>
      </x:c>
      <x:c r="B6" s="81" t="str">
        <x:v>Files embedded in DB/API payloads</x:v>
      </x:c>
      <x:c r="C6" s="81" t="str">
        <x:v>PI attachments and catalogue images can be base64; order lists return PI JSON</x:v>
      </x:c>
      <x:c r="D6" s="81" t="str">
        <x:v>4.5MB serverless response limit and runaway transfer</x:v>
      </x:c>
      <x:c r="E6" s="81" t="str">
        <x:v>Private object storage, signed URLs, pagination, lean DTOs</x:v>
      </x:c>
      <x:c r="F6" s="81" t="str">
        <x:v>Object storage + 90h hardening</x:v>
      </x:c>
      <x:c r="G6" s="81" t="str">
        <x:v>Founder</x:v>
      </x:c>
      <x:c r="H6" s="81" t="str">
        <x:v>Before pilot data</x:v>
      </x:c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</x:row>
    <x:row r="7">
      <x:c r="A7" s="126" t="str">
        <x:v>P0</x:v>
      </x:c>
      <x:c r="B7" s="81" t="str">
        <x:v>Two locations lack a data dimension</x:v>
      </x:c>
      <x:c r="C7" s="81" t="str">
        <x:v>No site/location fields found in current app/schema</x:v>
      </x:c>
      <x:c r="D7" s="81" t="str">
        <x:v>Stock and capacity can mix across factories</x:v>
      </x:c>
      <x:c r="E7" s="81" t="str">
        <x:v>Site ID across users, orders, stock, work, dispatch and reports</x:v>
      </x:c>
      <x:c r="F7" s="81" t="str">
        <x:v>120h hardening</x:v>
      </x:c>
      <x:c r="G7" s="81" t="str">
        <x:v>Founder + client</x:v>
      </x:c>
      <x:c r="H7" s="81" t="str">
        <x:v>Before migration</x:v>
      </x:c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78"/>
      <x:c r="W7" s="78"/>
      <x:c r="X7" s="78"/>
      <x:c r="Y7" s="78"/>
      <x:c r="Z7" s="78"/>
    </x:row>
    <x:row r="8">
      <x:c r="A8" s="126" t="str">
        <x:v>P0</x:v>
      </x:c>
      <x:c r="B8" s="81" t="str">
        <x:v>Single-founder continuity</x:v>
      </x:c>
      <x:c r="C8" s="81" t="str">
        <x:v>One person builds, deploys and supports</x:v>
      </x:c>
      <x:c r="D8" s="81" t="str">
        <x:v>No incident coverage or knowledge backup</x:v>
      </x:c>
      <x:c r="E8" s="81" t="str">
        <x:v>Runbooks, credential recovery, named backup engineer by client 5</x:v>
      </x:c>
      <x:c r="F8" s="81" t="str">
        <x:v>Tools + staffing</x:v>
      </x:c>
      <x:c r="G8" s="81" t="str">
        <x:v>Founder</x:v>
      </x:c>
      <x:c r="H8" s="81" t="str">
        <x:v>Before SLA</x:v>
      </x:c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/>
      <x:c r="U8" s="78"/>
      <x:c r="V8" s="78"/>
      <x:c r="W8" s="78"/>
      <x:c r="X8" s="78"/>
      <x:c r="Y8" s="78"/>
      <x:c r="Z8" s="78"/>
    </x:row>
    <x:row r="9">
      <x:c r="A9" s="126" t="str">
        <x:v>P0</x:v>
      </x:c>
      <x:c r="B9" s="81" t="str">
        <x:v>AI prepaid credits can exhaust</x:v>
      </x:c>
      <x:c r="C9" s="81" t="str">
        <x:v>Anthropic API uses prepaid credits and monthly tier limits</x:v>
      </x:c>
      <x:c r="D9" s="81" t="str">
        <x:v>Document intake/coplay stops</x:v>
      </x:c>
      <x:c r="E9" s="81" t="str">
        <x:v>Auto-reload, workspace cap, alerts, manual queue</x:v>
      </x:c>
      <x:c r="F9" s="81" t="str">
        <x:v>Funded $500 reserve</x:v>
      </x:c>
      <x:c r="G9" s="81" t="str">
        <x:v>Founder</x:v>
      </x:c>
      <x:c r="H9" s="81" t="str">
        <x:v>Before go-live</x:v>
      </x:c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78"/>
      <x:c r="U9" s="78"/>
      <x:c r="V9" s="78"/>
      <x:c r="W9" s="78"/>
      <x:c r="X9" s="78"/>
      <x:c r="Y9" s="78"/>
      <x:c r="Z9" s="78"/>
    </x:row>
    <x:row r="10">
      <x:c r="A10" s="126" t="str">
        <x:v>P1</x:v>
      </x:c>
      <x:c r="B10" s="81" t="str">
        <x:v>Polling dominates traffic</x:v>
      </x:c>
      <x:c r="C10" s="81" t="str">
        <x:v>Orders/dispatch plus job screens poll every 60 seconds</x:v>
      </x:c>
      <x:c r="D10" s="81" t="str">
        <x:v>Costs and stale/high-volume responses grow with users</x:v>
      </x:c>
      <x:c r="E10" s="81" t="str">
        <x:v>Visibility-aware refresh, caching, events or longer intervals</x:v>
      </x:c>
      <x:c r="F10" s="81" t="str">
        <x:v>100h hardening</x:v>
      </x:c>
      <x:c r="G10" s="81" t="str">
        <x:v>Founder</x:v>
      </x:c>
      <x:c r="H10" s="81" t="str">
        <x:v>Before client 3</x:v>
      </x:c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78"/>
      <x:c r="U10" s="78"/>
      <x:c r="V10" s="78"/>
      <x:c r="W10" s="78"/>
      <x:c r="X10" s="78"/>
      <x:c r="Y10" s="78"/>
      <x:c r="Z10" s="78"/>
    </x:row>
    <x:row r="11">
      <x:c r="A11" s="126" t="str">
        <x:v>P1</x:v>
      </x:c>
      <x:c r="B11" s="81" t="str">
        <x:v>Auth below large-business expectation</x:v>
      </x:c>
      <x:c r="C11" s="81" t="str">
        <x:v>Built-in roles; MFA/SSO not established</x:v>
      </x:c>
      <x:c r="D11" s="81" t="str">
        <x:v>Account takeover / failed security review</x:v>
      </x:c>
      <x:c r="E11" s="81" t="str">
        <x:v>MFA now; SSO/SCIM as enterprise add-on</x:v>
      </x:c>
      <x:c r="F11" s="81" t="str">
        <x:v>90h + optional provider</x:v>
      </x:c>
      <x:c r="G11" s="81" t="str">
        <x:v>Founder</x:v>
      </x:c>
      <x:c r="H11" s="81" t="str">
        <x:v>Before production</x:v>
      </x:c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78"/>
      <x:c r="U11" s="78"/>
      <x:c r="V11" s="78"/>
      <x:c r="W11" s="78"/>
      <x:c r="X11" s="78"/>
      <x:c r="Y11" s="78"/>
      <x:c r="Z11" s="78"/>
    </x:row>
    <x:row r="12">
      <x:c r="A12" s="126" t="str">
        <x:v>P1</x:v>
      </x:c>
      <x:c r="B12" s="81" t="str">
        <x:v>Provider-only backups</x:v>
      </x:c>
      <x:c r="C12" s="81" t="str">
        <x:v>PITR alone is a single-vendor recovery path</x:v>
      </x:c>
      <x:c r="D12" s="81" t="str">
        <x:v>Deletion/provider event affects recovery</x:v>
      </x:c>
      <x:c r="E12" s="81" t="str">
        <x:v>Daily encrypted off-provider dump and quarterly restore</x:v>
      </x:c>
      <x:c r="F12" s="81" t="str">
        <x:v>$5–10/client/month</x:v>
      </x:c>
      <x:c r="G12" s="81" t="str">
        <x:v>Founder</x:v>
      </x:c>
      <x:c r="H12" s="81" t="str">
        <x:v>Before production</x:v>
      </x:c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78"/>
      <x:c r="U12" s="78"/>
      <x:c r="V12" s="78"/>
      <x:c r="W12" s="78"/>
      <x:c r="X12" s="78"/>
      <x:c r="Y12" s="78"/>
      <x:c r="Z12" s="78"/>
    </x:row>
    <x:row r="13">
      <x:c r="A13" s="126" t="str">
        <x:v>P1</x:v>
      </x:c>
      <x:c r="B13" s="81" t="str">
        <x:v>No proven live-load envelope</x:v>
      </x:c>
      <x:c r="C13" s="81" t="str">
        <x:v>Small deterministic engine tests do not prove API/database path</x:v>
      </x:c>
      <x:c r="D13" s="81" t="str">
        <x:v>Slow or failed peak shifts</x:v>
      </x:c>
      <x:c r="E13" s="81" t="str">
        <x:v>15/30 concurrent load test with p95 targets</x:v>
      </x:c>
      <x:c r="F13" s="81" t="str">
        <x:v>Testing + monitoring</x:v>
      </x:c>
      <x:c r="G13" s="81" t="str">
        <x:v>Founder</x:v>
      </x:c>
      <x:c r="H13" s="81" t="str">
        <x:v>Before go-live</x:v>
      </x:c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78"/>
      <x:c r="U13" s="78"/>
      <x:c r="V13" s="78"/>
      <x:c r="W13" s="78"/>
      <x:c r="X13" s="78"/>
      <x:c r="Y13" s="78"/>
      <x:c r="Z13" s="78"/>
    </x:row>
    <x:row r="14">
      <x:c r="A14" s="122" t="str">
        <x:v>P2</x:v>
      </x:c>
      <x:c r="B14" s="83" t="str">
        <x:v>Separate codebase per client</x:v>
      </x:c>
      <x:c r="C14" s="83" t="str">
        <x:v>Tempting during custom pilots</x:v>
      </x:c>
      <x:c r="D14" s="83" t="str">
        <x:v>Fixes drift and upgrades become expensive</x:v>
      </x:c>
      <x:c r="E14" s="83" t="str">
        <x:v>One codebase, configuration flags, isolated deployments</x:v>
      </x:c>
      <x:c r="F14" s="83" t="str">
        <x:v>Architecture policy</x:v>
      </x:c>
      <x:c r="G14" s="83" t="str">
        <x:v>Founder</x:v>
      </x:c>
      <x:c r="H14" s="83" t="str">
        <x:v>Always</x:v>
      </x:c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78"/>
      <x:c r="U14" s="78"/>
      <x:c r="V14" s="78"/>
      <x:c r="W14" s="78"/>
      <x:c r="X14" s="78"/>
      <x:c r="Y14" s="78"/>
      <x:c r="Z14" s="78"/>
    </x:row>
    <x:row r="15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78"/>
      <x:c r="U15" s="78"/>
      <x:c r="V15" s="78"/>
      <x:c r="W15" s="78"/>
      <x:c r="X15" s="78"/>
      <x:c r="Y15" s="78"/>
      <x:c r="Z15" s="78"/>
    </x:row>
    <x:row r="16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78"/>
      <x:c r="U16" s="78"/>
      <x:c r="V16" s="78"/>
      <x:c r="W16" s="78"/>
      <x:c r="X16" s="78"/>
      <x:c r="Y16" s="78"/>
      <x:c r="Z16" s="78"/>
    </x:row>
    <x:row r="17" ht="24" customHeight="1">
      <x:c r="A17" s="91" t="str">
        <x:v>Recommended architecture boundary</x:v>
      </x:c>
      <x:c r="B17" s="91"/>
      <x:c r="C17" s="91"/>
      <x:c r="D17" s="91"/>
      <x:c r="E17" s="91"/>
      <x:c r="F17" s="91"/>
      <x:c r="G17" s="91"/>
      <x:c r="H17" s="91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78"/>
      <x:c r="U17" s="78"/>
      <x:c r="V17" s="78"/>
      <x:c r="W17" s="78"/>
      <x:c r="X17" s="78"/>
      <x:c r="Y17" s="78"/>
      <x:c r="Z17" s="78"/>
    </x:row>
    <x:row r="18">
      <x:c r="A18" s="80" t="str">
        <x:v>Layer</x:v>
      </x:c>
      <x:c r="B18" s="80" t="str">
        <x:v>Now (1–5 clients)</x:v>
      </x:c>
      <x:c r="C18" s="80" t="str">
        <x:v>Later trigger</x:v>
      </x:c>
      <x:c r="D18" s="80" t="str">
        <x:v>Later option</x:v>
      </x:c>
      <x:c r="E18" s="80" t="str">
        <x:v>Why</x:v>
      </x:c>
      <x:c r="F18" s="80" t="str">
        <x:v>Data boundary</x:v>
      </x:c>
      <x:c r="G18" s="80" t="str">
        <x:v>Operational burden</x:v>
      </x:c>
      <x:c r="H18" s="80" t="str">
        <x:v>Decision</x:v>
      </x:c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78"/>
      <x:c r="W18" s="78"/>
      <x:c r="X18" s="78"/>
      <x:c r="Y18" s="78"/>
      <x:c r="Z18" s="78"/>
    </x:row>
    <x:row r="19">
      <x:c r="A19" s="81" t="str">
        <x:v>Code</x:v>
      </x:c>
      <x:c r="B19" s="81" t="str">
        <x:v>One shared repository</x:v>
      </x:c>
      <x:c r="C19" s="81" t="str">
        <x:v>Never fork casually</x:v>
      </x:c>
      <x:c r="D19" s="81" t="str">
        <x:v>Feature flags/configuration</x:v>
      </x:c>
      <x:c r="E19" s="81" t="str">
        <x:v>One fix reaches all clients</x:v>
      </x:c>
      <x:c r="F19" s="81" t="str">
        <x:v>N/A</x:v>
      </x:c>
      <x:c r="G19" s="81" t="str">
        <x:v>Low</x:v>
      </x:c>
      <x:c r="H19" s="119" t="str">
        <x:v>Adopt</x:v>
      </x:c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78"/>
      <x:c r="W19" s="78"/>
      <x:c r="X19" s="78"/>
      <x:c r="Y19" s="78"/>
      <x:c r="Z19" s="78"/>
    </x:row>
    <x:row r="20">
      <x:c r="A20" s="81" t="str">
        <x:v>Vercel</x:v>
      </x:c>
      <x:c r="B20" s="81" t="str">
        <x:v>Separate project per client under shared team</x:v>
      </x:c>
      <x:c r="C20" s="81" t="str">
        <x:v>10+ repeatable clients</x:v>
      </x:c>
      <x:c r="D20" s="81" t="str">
        <x:v>Automated provisioning/control plane</x:v>
      </x:c>
      <x:c r="E20" s="81" t="str">
        <x:v>Deployment isolation</x:v>
      </x:c>
      <x:c r="F20" s="81" t="str">
        <x:v>Per client</x:v>
      </x:c>
      <x:c r="G20" s="81" t="str">
        <x:v>Medium</x:v>
      </x:c>
      <x:c r="H20" s="119" t="str">
        <x:v>Adopt</x:v>
      </x:c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78"/>
      <x:c r="U20" s="78"/>
      <x:c r="V20" s="78"/>
      <x:c r="W20" s="78"/>
      <x:c r="X20" s="78"/>
      <x:c r="Y20" s="78"/>
      <x:c r="Z20" s="78"/>
    </x:row>
    <x:row r="21">
      <x:c r="A21" s="81" t="str">
        <x:v>Neon</x:v>
      </x:c>
      <x:c r="B21" s="81" t="str">
        <x:v>Separate project/database per client</x:v>
      </x:c>
      <x:c r="C21" s="81" t="str">
        <x:v>Only after mature tenancy/security</x:v>
      </x:c>
      <x:c r="D21" s="81" t="str">
        <x:v>True multi-tenant or managed clusters</x:v>
      </x:c>
      <x:c r="E21" s="81" t="str">
        <x:v>Clear backup/export/blast radius</x:v>
      </x:c>
      <x:c r="F21" s="81" t="str">
        <x:v>Per client</x:v>
      </x:c>
      <x:c r="G21" s="81" t="str">
        <x:v>Medium</x:v>
      </x:c>
      <x:c r="H21" s="119" t="str">
        <x:v>Adopt</x:v>
      </x:c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78"/>
    </x:row>
    <x:row r="22">
      <x:c r="A22" s="83" t="str">
        <x:v>Locations</x:v>
      </x:c>
      <x:c r="B22" s="83" t="str">
        <x:v>One client DB with mandatory site ID</x:v>
      </x:c>
      <x:c r="C22" s="83" t="str">
        <x:v>If client demands legal isolation</x:v>
      </x:c>
      <x:c r="D22" s="83" t="str">
        <x:v>Separate client deployments</x:v>
      </x:c>
      <x:c r="E22" s="83" t="str">
        <x:v>Two sites share one entity but need operational separation</x:v>
      </x:c>
      <x:c r="F22" s="83" t="str">
        <x:v>Per site in schema</x:v>
      </x:c>
      <x:c r="G22" s="83" t="str">
        <x:v>Low after build</x:v>
      </x:c>
      <x:c r="H22" s="127" t="str">
        <x:v>Build</x:v>
      </x:c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78"/>
      <x:c r="U22" s="78"/>
      <x:c r="V22" s="78"/>
      <x:c r="W22" s="78"/>
      <x:c r="X22" s="78"/>
      <x:c r="Y22" s="78"/>
      <x:c r="Z22" s="78"/>
    </x:row>
    <x:row r="23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78"/>
      <x:c r="W23" s="78"/>
      <x:c r="X23" s="78"/>
      <x:c r="Y23" s="78"/>
      <x:c r="Z23" s="78"/>
    </x:row>
    <x:row r="24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78"/>
      <x:c r="U24" s="78"/>
      <x:c r="V24" s="78"/>
      <x:c r="W24" s="78"/>
      <x:c r="X24" s="78"/>
      <x:c r="Y24" s="78"/>
      <x:c r="Z24" s="78"/>
    </x:row>
    <x:row r="25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78"/>
    </x:row>
    <x:row r="26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78"/>
      <x:c r="W26" s="78"/>
      <x:c r="X26" s="78"/>
      <x:c r="Y26" s="78"/>
      <x:c r="Z26" s="78"/>
    </x:row>
    <x:row r="27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78"/>
      <x:c r="W27" s="78"/>
      <x:c r="X27" s="78"/>
      <x:c r="Y27" s="78"/>
      <x:c r="Z27" s="78"/>
    </x:row>
    <x:row r="28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78"/>
      <x:c r="U28" s="78"/>
      <x:c r="V28" s="78"/>
      <x:c r="W28" s="78"/>
      <x:c r="X28" s="78"/>
      <x:c r="Y28" s="78"/>
      <x:c r="Z28" s="78"/>
    </x:row>
    <x:row r="29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</x:row>
    <x:row r="30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78"/>
    </x:row>
    <x:row r="3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78"/>
      <x:c r="W31" s="78"/>
      <x:c r="X31" s="78"/>
      <x:c r="Y31" s="78"/>
      <x:c r="Z31" s="78"/>
    </x:row>
    <x:row r="32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78"/>
      <x:c r="U32" s="78"/>
      <x:c r="V32" s="78"/>
      <x:c r="W32" s="78"/>
      <x:c r="X32" s="78"/>
      <x:c r="Y32" s="78"/>
      <x:c r="Z32" s="78"/>
    </x:row>
    <x:row r="33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</x:row>
    <x:row r="34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</x:row>
    <x:row r="35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</x:row>
    <x:row r="36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78"/>
      <x:c r="U36" s="78"/>
      <x:c r="V36" s="78"/>
      <x:c r="W36" s="78"/>
      <x:c r="X36" s="78"/>
      <x:c r="Y36" s="78"/>
      <x:c r="Z36" s="78"/>
    </x:row>
    <x:row r="37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78"/>
    </x:row>
    <x:row r="38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78"/>
    </x:row>
    <x:row r="39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78"/>
    </x:row>
    <x:row r="40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78"/>
      <x:c r="U40" s="78"/>
      <x:c r="V40" s="78"/>
      <x:c r="W40" s="78"/>
      <x:c r="X40" s="78"/>
      <x:c r="Y40" s="78"/>
      <x:c r="Z40" s="78"/>
    </x:row>
    <x:row r="4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</x:row>
    <x:row r="42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8"/>
    </x:row>
    <x:row r="43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78"/>
    </x:row>
    <x:row r="44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</x:row>
    <x:row r="45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78"/>
    </x:row>
    <x:row r="46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78"/>
      <x:c r="U46" s="78"/>
      <x:c r="V46" s="78"/>
      <x:c r="W46" s="78"/>
      <x:c r="X46" s="78"/>
      <x:c r="Y46" s="78"/>
      <x:c r="Z46" s="78"/>
    </x:row>
    <x:row r="47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78"/>
      <x:c r="U47" s="78"/>
      <x:c r="V47" s="78"/>
      <x:c r="W47" s="78"/>
      <x:c r="X47" s="78"/>
      <x:c r="Y47" s="78"/>
      <x:c r="Z47" s="78"/>
    </x:row>
    <x:row r="48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78"/>
      <x:c r="U48" s="78"/>
      <x:c r="V48" s="78"/>
      <x:c r="W48" s="78"/>
      <x:c r="X48" s="78"/>
      <x:c r="Y48" s="78"/>
      <x:c r="Z48" s="78"/>
    </x:row>
    <x:row r="49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78"/>
      <x:c r="U49" s="78"/>
      <x:c r="V49" s="78"/>
      <x:c r="W49" s="78"/>
      <x:c r="X49" s="78"/>
      <x:c r="Y49" s="78"/>
      <x:c r="Z49" s="78"/>
    </x:row>
    <x:row r="50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78"/>
    </x:row>
    <x:row r="5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78"/>
      <x:c r="W51" s="78"/>
      <x:c r="X51" s="78"/>
      <x:c r="Y51" s="78"/>
      <x:c r="Z51" s="78"/>
    </x:row>
    <x:row r="52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78"/>
    </x:row>
    <x:row r="53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78"/>
    </x:row>
    <x:row r="54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78"/>
      <x:c r="U54" s="78"/>
      <x:c r="V54" s="78"/>
      <x:c r="W54" s="78"/>
      <x:c r="X54" s="78"/>
      <x:c r="Y54" s="78"/>
      <x:c r="Z54" s="78"/>
    </x:row>
    <x:row r="55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78"/>
    </x:row>
    <x:row r="56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78"/>
    </x:row>
    <x:row r="57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78"/>
    </x:row>
    <x:row r="58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</x:row>
    <x:row r="59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78"/>
      <x:c r="U59" s="78"/>
      <x:c r="V59" s="78"/>
      <x:c r="W59" s="78"/>
      <x:c r="X59" s="78"/>
      <x:c r="Y59" s="78"/>
      <x:c r="Z59" s="78"/>
    </x:row>
    <x:row r="60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</x:row>
    <x:row r="6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78"/>
      <x:c r="U61" s="78"/>
      <x:c r="V61" s="78"/>
      <x:c r="W61" s="78"/>
      <x:c r="X61" s="78"/>
      <x:c r="Y61" s="78"/>
      <x:c r="Z61" s="78"/>
    </x:row>
    <x:row r="62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78"/>
      <x:c r="U62" s="78"/>
      <x:c r="V62" s="78"/>
      <x:c r="W62" s="78"/>
      <x:c r="X62" s="78"/>
      <x:c r="Y62" s="78"/>
      <x:c r="Z62" s="78"/>
    </x:row>
    <x:row r="63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78"/>
    </x:row>
    <x:row r="64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78"/>
      <x:c r="U64" s="78"/>
      <x:c r="V64" s="78"/>
      <x:c r="W64" s="78"/>
      <x:c r="X64" s="78"/>
      <x:c r="Y64" s="78"/>
      <x:c r="Z64" s="78"/>
    </x:row>
    <x:row r="65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78"/>
      <x:c r="U65" s="78"/>
      <x:c r="V65" s="78"/>
      <x:c r="W65" s="78"/>
      <x:c r="X65" s="78"/>
      <x:c r="Y65" s="78"/>
      <x:c r="Z65" s="78"/>
    </x:row>
    <x:row r="66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78"/>
      <x:c r="U66" s="78"/>
      <x:c r="V66" s="78"/>
      <x:c r="W66" s="78"/>
      <x:c r="X66" s="78"/>
      <x:c r="Y66" s="78"/>
      <x:c r="Z66" s="78"/>
    </x:row>
    <x:row r="67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78"/>
      <x:c r="U67" s="78"/>
      <x:c r="V67" s="78"/>
      <x:c r="W67" s="78"/>
      <x:c r="X67" s="78"/>
      <x:c r="Y67" s="78"/>
      <x:c r="Z67" s="78"/>
    </x:row>
    <x:row r="68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78"/>
    </x:row>
    <x:row r="69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78"/>
      <x:c r="U69" s="78"/>
      <x:c r="V69" s="78"/>
      <x:c r="W69" s="78"/>
      <x:c r="X69" s="78"/>
      <x:c r="Y69" s="78"/>
      <x:c r="Z69" s="78"/>
    </x:row>
    <x:row r="70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78"/>
      <x:c r="U70" s="78"/>
      <x:c r="V70" s="78"/>
      <x:c r="W70" s="78"/>
      <x:c r="X70" s="78"/>
      <x:c r="Y70" s="78"/>
      <x:c r="Z70" s="78"/>
    </x:row>
    <x:row r="7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78"/>
      <x:c r="U71" s="78"/>
      <x:c r="V71" s="78"/>
      <x:c r="W71" s="78"/>
      <x:c r="X71" s="78"/>
      <x:c r="Y71" s="78"/>
      <x:c r="Z71" s="78"/>
    </x:row>
    <x:row r="72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78"/>
    </x:row>
    <x:row r="73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78"/>
      <x:c r="U73" s="78"/>
      <x:c r="V73" s="78"/>
      <x:c r="W73" s="78"/>
      <x:c r="X73" s="78"/>
      <x:c r="Y73" s="78"/>
      <x:c r="Z73" s="78"/>
    </x:row>
    <x:row r="74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78"/>
      <x:c r="U74" s="78"/>
      <x:c r="V74" s="78"/>
      <x:c r="W74" s="78"/>
      <x:c r="X74" s="78"/>
      <x:c r="Y74" s="78"/>
      <x:c r="Z74" s="78"/>
    </x:row>
    <x:row r="75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78"/>
    </x:row>
    <x:row r="76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78"/>
      <x:c r="U76" s="78"/>
      <x:c r="V76" s="78"/>
      <x:c r="W76" s="78"/>
      <x:c r="X76" s="78"/>
      <x:c r="Y76" s="78"/>
      <x:c r="Z76" s="78"/>
    </x:row>
    <x:row r="77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78"/>
    </x:row>
    <x:row r="78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78"/>
      <x:c r="U78" s="78"/>
      <x:c r="V78" s="78"/>
      <x:c r="W78" s="78"/>
      <x:c r="X78" s="78"/>
      <x:c r="Y78" s="78"/>
      <x:c r="Z78" s="78"/>
    </x:row>
    <x:row r="79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78"/>
      <x:c r="U79" s="78"/>
      <x:c r="V79" s="78"/>
      <x:c r="W79" s="78"/>
      <x:c r="X79" s="78"/>
      <x:c r="Y79" s="78"/>
      <x:c r="Z79" s="78"/>
    </x:row>
    <x:row r="80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78"/>
      <x:c r="U80" s="78"/>
      <x:c r="V80" s="78"/>
      <x:c r="W80" s="78"/>
      <x:c r="X80" s="78"/>
      <x:c r="Y80" s="78"/>
      <x:c r="Z80" s="78"/>
    </x:row>
    <x:row r="8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78"/>
      <x:c r="U81" s="78"/>
      <x:c r="V81" s="78"/>
      <x:c r="W81" s="78"/>
      <x:c r="X81" s="78"/>
      <x:c r="Y81" s="78"/>
      <x:c r="Z81" s="78"/>
    </x:row>
    <x:row r="82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78"/>
      <x:c r="U82" s="78"/>
      <x:c r="V82" s="78"/>
      <x:c r="W82" s="78"/>
      <x:c r="X82" s="78"/>
      <x:c r="Y82" s="78"/>
      <x:c r="Z82" s="78"/>
    </x:row>
    <x:row r="83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78"/>
      <x:c r="U83" s="78"/>
      <x:c r="V83" s="78"/>
      <x:c r="W83" s="78"/>
      <x:c r="X83" s="78"/>
      <x:c r="Y83" s="78"/>
      <x:c r="Z83" s="78"/>
    </x:row>
    <x:row r="84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78"/>
      <x:c r="U84" s="78"/>
      <x:c r="V84" s="78"/>
      <x:c r="W84" s="78"/>
      <x:c r="X84" s="78"/>
      <x:c r="Y84" s="78"/>
      <x:c r="Z84" s="78"/>
    </x:row>
    <x:row r="85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78"/>
      <x:c r="U85" s="78"/>
      <x:c r="V85" s="78"/>
      <x:c r="W85" s="78"/>
      <x:c r="X85" s="78"/>
      <x:c r="Y85" s="78"/>
      <x:c r="Z85" s="78"/>
    </x:row>
    <x:row r="86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78"/>
      <x:c r="U86" s="78"/>
      <x:c r="V86" s="78"/>
      <x:c r="W86" s="78"/>
      <x:c r="X86" s="78"/>
      <x:c r="Y86" s="78"/>
      <x:c r="Z86" s="78"/>
    </x:row>
    <x:row r="87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78"/>
      <x:c r="U87" s="78"/>
      <x:c r="V87" s="78"/>
      <x:c r="W87" s="78"/>
      <x:c r="X87" s="78"/>
      <x:c r="Y87" s="78"/>
      <x:c r="Z87" s="78"/>
    </x:row>
    <x:row r="88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78"/>
      <x:c r="U88" s="78"/>
      <x:c r="V88" s="78"/>
      <x:c r="W88" s="78"/>
      <x:c r="X88" s="78"/>
      <x:c r="Y88" s="78"/>
      <x:c r="Z88" s="78"/>
    </x:row>
    <x:row r="89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78"/>
      <x:c r="U89" s="78"/>
      <x:c r="V89" s="78"/>
      <x:c r="W89" s="78"/>
      <x:c r="X89" s="78"/>
      <x:c r="Y89" s="78"/>
      <x:c r="Z89" s="78"/>
    </x:row>
    <x:row r="90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78"/>
    </x:row>
    <x:row r="9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78"/>
      <x:c r="U91" s="78"/>
      <x:c r="V91" s="78"/>
      <x:c r="W91" s="78"/>
      <x:c r="X91" s="78"/>
      <x:c r="Y91" s="78"/>
      <x:c r="Z91" s="78"/>
    </x:row>
    <x:row r="92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78"/>
      <x:c r="U92" s="78"/>
      <x:c r="V92" s="78"/>
      <x:c r="W92" s="78"/>
      <x:c r="X92" s="78"/>
      <x:c r="Y92" s="78"/>
      <x:c r="Z92" s="78"/>
    </x:row>
    <x:row r="93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78"/>
      <x:c r="U93" s="78"/>
      <x:c r="V93" s="78"/>
      <x:c r="W93" s="78"/>
      <x:c r="X93" s="78"/>
      <x:c r="Y93" s="78"/>
      <x:c r="Z93" s="78"/>
    </x:row>
    <x:row r="94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78"/>
      <x:c r="U94" s="78"/>
      <x:c r="V94" s="78"/>
      <x:c r="W94" s="78"/>
      <x:c r="X94" s="78"/>
      <x:c r="Y94" s="78"/>
      <x:c r="Z94" s="78"/>
    </x:row>
    <x:row r="95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78"/>
      <x:c r="U95" s="78"/>
      <x:c r="V95" s="78"/>
      <x:c r="W95" s="78"/>
      <x:c r="X95" s="78"/>
      <x:c r="Y95" s="78"/>
      <x:c r="Z95" s="78"/>
    </x:row>
    <x:row r="96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78"/>
      <x:c r="U96" s="78"/>
      <x:c r="V96" s="78"/>
      <x:c r="W96" s="78"/>
      <x:c r="X96" s="78"/>
      <x:c r="Y96" s="78"/>
      <x:c r="Z96" s="78"/>
    </x:row>
    <x:row r="97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78"/>
      <x:c r="U97" s="78"/>
      <x:c r="V97" s="78"/>
      <x:c r="W97" s="78"/>
      <x:c r="X97" s="78"/>
      <x:c r="Y97" s="78"/>
      <x:c r="Z97" s="78"/>
    </x:row>
    <x:row r="98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78"/>
      <x:c r="U98" s="78"/>
      <x:c r="V98" s="78"/>
      <x:c r="W98" s="78"/>
      <x:c r="X98" s="78"/>
      <x:c r="Y98" s="78"/>
      <x:c r="Z98" s="78"/>
    </x:row>
    <x:row r="99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78"/>
      <x:c r="U99" s="78"/>
      <x:c r="V99" s="78"/>
      <x:c r="W99" s="78"/>
      <x:c r="X99" s="78"/>
      <x:c r="Y99" s="78"/>
      <x:c r="Z99" s="78"/>
    </x:row>
    <x:row r="100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78"/>
      <x:c r="U100" s="78"/>
      <x:c r="V100" s="78"/>
      <x:c r="W100" s="78"/>
      <x:c r="X100" s="78"/>
      <x:c r="Y100" s="78"/>
      <x:c r="Z100" s="78"/>
    </x:row>
    <x:row r="10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78"/>
      <x:c r="U101" s="78"/>
      <x:c r="V101" s="78"/>
      <x:c r="W101" s="78"/>
      <x:c r="X101" s="78"/>
      <x:c r="Y101" s="78"/>
      <x:c r="Z101" s="78"/>
    </x:row>
    <x:row r="102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78"/>
    </x:row>
    <x:row r="103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78"/>
    </x:row>
    <x:row r="104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78"/>
    </x:row>
    <x:row r="105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78"/>
      <x:c r="U105" s="78"/>
      <x:c r="V105" s="78"/>
      <x:c r="W105" s="78"/>
      <x:c r="X105" s="78"/>
      <x:c r="Y105" s="78"/>
      <x:c r="Z105" s="78"/>
    </x:row>
    <x:row r="106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78"/>
      <x:c r="U106" s="78"/>
      <x:c r="V106" s="78"/>
      <x:c r="W106" s="78"/>
      <x:c r="X106" s="78"/>
      <x:c r="Y106" s="78"/>
      <x:c r="Z106" s="78"/>
    </x:row>
    <x:row r="107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78"/>
      <x:c r="U107" s="78"/>
      <x:c r="V107" s="78"/>
      <x:c r="W107" s="78"/>
      <x:c r="X107" s="78"/>
      <x:c r="Y107" s="78"/>
      <x:c r="Z107" s="78"/>
    </x:row>
    <x:row r="108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78"/>
      <x:c r="U108" s="78"/>
      <x:c r="V108" s="78"/>
      <x:c r="W108" s="78"/>
      <x:c r="X108" s="78"/>
      <x:c r="Y108" s="78"/>
      <x:c r="Z108" s="78"/>
    </x:row>
    <x:row r="109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78"/>
      <x:c r="U109" s="78"/>
      <x:c r="V109" s="78"/>
      <x:c r="W109" s="78"/>
      <x:c r="X109" s="78"/>
      <x:c r="Y109" s="78"/>
      <x:c r="Z109" s="78"/>
    </x:row>
    <x:row r="110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</x:row>
    <x:row r="11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</x:row>
    <x:row r="112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</x:row>
    <x:row r="113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</x:row>
    <x:row r="114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</x:row>
    <x:row r="115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</x:row>
    <x:row r="116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</x:row>
    <x:row r="117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</x:row>
    <x:row r="118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</x:row>
    <x:row r="119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</x:row>
    <x:row r="120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</x:row>
    <x:row r="12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</x:row>
    <x:row r="122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</x:row>
    <x:row r="123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</x:row>
    <x:row r="124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</x:row>
    <x:row r="125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</x:row>
    <x:row r="126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</x:row>
    <x:row r="127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</x:row>
    <x:row r="128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</x:row>
    <x:row r="129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</x:row>
    <x:row r="130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</x:row>
    <x:row r="13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</x:row>
    <x:row r="132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</x:row>
    <x:row r="133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</x:row>
    <x:row r="134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</x:row>
    <x:row r="135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</x:row>
    <x:row r="136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</x:row>
    <x:row r="137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</x:row>
    <x:row r="138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</x:row>
    <x:row r="139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</x:row>
    <x:row r="140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</x:row>
    <x:row r="14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78"/>
      <x:c r="U141" s="78"/>
      <x:c r="V141" s="78"/>
      <x:c r="W141" s="78"/>
      <x:c r="X141" s="78"/>
      <x:c r="Y141" s="78"/>
      <x:c r="Z141" s="78"/>
    </x:row>
    <x:row r="142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78"/>
      <x:c r="U142" s="78"/>
      <x:c r="V142" s="78"/>
      <x:c r="W142" s="78"/>
      <x:c r="X142" s="78"/>
      <x:c r="Y142" s="78"/>
      <x:c r="Z142" s="78"/>
    </x:row>
    <x:row r="143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78"/>
      <x:c r="U143" s="78"/>
      <x:c r="V143" s="78"/>
      <x:c r="W143" s="78"/>
      <x:c r="X143" s="78"/>
      <x:c r="Y143" s="78"/>
      <x:c r="Z143" s="78"/>
    </x:row>
    <x:row r="144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78"/>
      <x:c r="U144" s="78"/>
      <x:c r="V144" s="78"/>
      <x:c r="W144" s="78"/>
      <x:c r="X144" s="78"/>
      <x:c r="Y144" s="78"/>
      <x:c r="Z144" s="78"/>
    </x:row>
    <x:row r="145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78"/>
      <x:c r="U145" s="78"/>
      <x:c r="V145" s="78"/>
      <x:c r="W145" s="78"/>
      <x:c r="X145" s="78"/>
      <x:c r="Y145" s="78"/>
      <x:c r="Z145" s="78"/>
    </x:row>
    <x:row r="146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78"/>
      <x:c r="U146" s="78"/>
      <x:c r="V146" s="78"/>
      <x:c r="W146" s="78"/>
      <x:c r="X146" s="78"/>
      <x:c r="Y146" s="78"/>
      <x:c r="Z146" s="78"/>
    </x:row>
    <x:row r="147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78"/>
      <x:c r="U147" s="78"/>
      <x:c r="V147" s="78"/>
      <x:c r="W147" s="78"/>
      <x:c r="X147" s="78"/>
      <x:c r="Y147" s="78"/>
      <x:c r="Z147" s="78"/>
    </x:row>
    <x:row r="148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78"/>
      <x:c r="U148" s="78"/>
      <x:c r="V148" s="78"/>
      <x:c r="W148" s="78"/>
      <x:c r="X148" s="78"/>
      <x:c r="Y148" s="78"/>
      <x:c r="Z148" s="78"/>
    </x:row>
    <x:row r="149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78"/>
      <x:c r="U149" s="78"/>
      <x:c r="V149" s="78"/>
      <x:c r="W149" s="78"/>
      <x:c r="X149" s="78"/>
      <x:c r="Y149" s="78"/>
      <x:c r="Z149" s="78"/>
    </x:row>
    <x:row r="150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78"/>
      <x:c r="U150" s="78"/>
      <x:c r="V150" s="78"/>
      <x:c r="W150" s="78"/>
      <x:c r="X150" s="78"/>
      <x:c r="Y150" s="78"/>
      <x:c r="Z150" s="78"/>
    </x:row>
    <x:row r="15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78"/>
      <x:c r="U151" s="78"/>
      <x:c r="V151" s="78"/>
      <x:c r="W151" s="78"/>
      <x:c r="X151" s="78"/>
      <x:c r="Y151" s="78"/>
      <x:c r="Z151" s="78"/>
    </x:row>
    <x:row r="152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78"/>
      <x:c r="U152" s="78"/>
      <x:c r="V152" s="78"/>
      <x:c r="W152" s="78"/>
      <x:c r="X152" s="78"/>
      <x:c r="Y152" s="78"/>
      <x:c r="Z152" s="78"/>
    </x:row>
    <x:row r="153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78"/>
      <x:c r="U153" s="78"/>
      <x:c r="V153" s="78"/>
      <x:c r="W153" s="78"/>
      <x:c r="X153" s="78"/>
      <x:c r="Y153" s="78"/>
      <x:c r="Z153" s="78"/>
    </x:row>
    <x:row r="154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78"/>
      <x:c r="U154" s="78"/>
      <x:c r="V154" s="78"/>
      <x:c r="W154" s="78"/>
      <x:c r="X154" s="78"/>
      <x:c r="Y154" s="78"/>
      <x:c r="Z154" s="78"/>
    </x:row>
    <x:row r="155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78"/>
      <x:c r="U155" s="78"/>
      <x:c r="V155" s="78"/>
      <x:c r="W155" s="78"/>
      <x:c r="X155" s="78"/>
      <x:c r="Y155" s="78"/>
      <x:c r="Z155" s="78"/>
    </x:row>
    <x:row r="156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78"/>
      <x:c r="U156" s="78"/>
      <x:c r="V156" s="78"/>
      <x:c r="W156" s="78"/>
      <x:c r="X156" s="78"/>
      <x:c r="Y156" s="78"/>
      <x:c r="Z156" s="78"/>
    </x:row>
    <x:row r="157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78"/>
      <x:c r="U157" s="78"/>
      <x:c r="V157" s="78"/>
      <x:c r="W157" s="78"/>
      <x:c r="X157" s="78"/>
      <x:c r="Y157" s="78"/>
      <x:c r="Z157" s="78"/>
    </x:row>
    <x:row r="158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78"/>
      <x:c r="U158" s="78"/>
      <x:c r="V158" s="78"/>
      <x:c r="W158" s="78"/>
      <x:c r="X158" s="78"/>
      <x:c r="Y158" s="78"/>
      <x:c r="Z158" s="78"/>
    </x:row>
    <x:row r="159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78"/>
      <x:c r="U159" s="78"/>
      <x:c r="V159" s="78"/>
      <x:c r="W159" s="78"/>
      <x:c r="X159" s="78"/>
      <x:c r="Y159" s="78"/>
      <x:c r="Z159" s="78"/>
    </x:row>
    <x:row r="160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78"/>
      <x:c r="U160" s="78"/>
      <x:c r="V160" s="78"/>
      <x:c r="W160" s="78"/>
      <x:c r="X160" s="78"/>
      <x:c r="Y160" s="78"/>
      <x:c r="Z160" s="78"/>
    </x:row>
    <x:row r="16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78"/>
      <x:c r="U161" s="78"/>
      <x:c r="V161" s="78"/>
      <x:c r="W161" s="78"/>
      <x:c r="X161" s="78"/>
      <x:c r="Y161" s="78"/>
      <x:c r="Z161" s="78"/>
    </x:row>
    <x:row r="162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78"/>
      <x:c r="U162" s="78"/>
      <x:c r="V162" s="78"/>
      <x:c r="W162" s="78"/>
      <x:c r="X162" s="78"/>
      <x:c r="Y162" s="78"/>
      <x:c r="Z162" s="78"/>
    </x:row>
    <x:row r="163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78"/>
      <x:c r="U163" s="78"/>
      <x:c r="V163" s="78"/>
      <x:c r="W163" s="78"/>
      <x:c r="X163" s="78"/>
      <x:c r="Y163" s="78"/>
      <x:c r="Z163" s="78"/>
    </x:row>
    <x:row r="164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78"/>
      <x:c r="U164" s="78"/>
      <x:c r="V164" s="78"/>
      <x:c r="W164" s="78"/>
      <x:c r="X164" s="78"/>
      <x:c r="Y164" s="78"/>
      <x:c r="Z164" s="78"/>
    </x:row>
    <x:row r="165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78"/>
      <x:c r="U165" s="78"/>
      <x:c r="V165" s="78"/>
      <x:c r="W165" s="78"/>
      <x:c r="X165" s="78"/>
      <x:c r="Y165" s="78"/>
      <x:c r="Z165" s="78"/>
    </x:row>
    <x:row r="166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78"/>
      <x:c r="U166" s="78"/>
      <x:c r="V166" s="78"/>
      <x:c r="W166" s="78"/>
      <x:c r="X166" s="78"/>
      <x:c r="Y166" s="78"/>
      <x:c r="Z166" s="78"/>
    </x:row>
    <x:row r="167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78"/>
      <x:c r="U167" s="78"/>
      <x:c r="V167" s="78"/>
      <x:c r="W167" s="78"/>
      <x:c r="X167" s="78"/>
      <x:c r="Y167" s="78"/>
      <x:c r="Z167" s="78"/>
    </x:row>
    <x:row r="168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78"/>
      <x:c r="U168" s="78"/>
      <x:c r="V168" s="78"/>
      <x:c r="W168" s="78"/>
      <x:c r="X168" s="78"/>
      <x:c r="Y168" s="78"/>
      <x:c r="Z168" s="78"/>
    </x:row>
    <x:row r="169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78"/>
      <x:c r="U169" s="78"/>
      <x:c r="V169" s="78"/>
      <x:c r="W169" s="78"/>
      <x:c r="X169" s="78"/>
      <x:c r="Y169" s="78"/>
      <x:c r="Z169" s="78"/>
    </x:row>
    <x:row r="170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78"/>
      <x:c r="U170" s="78"/>
      <x:c r="V170" s="78"/>
      <x:c r="W170" s="78"/>
      <x:c r="X170" s="78"/>
      <x:c r="Y170" s="78"/>
      <x:c r="Z170" s="78"/>
    </x:row>
    <x:row r="17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78"/>
      <x:c r="U171" s="78"/>
      <x:c r="V171" s="78"/>
      <x:c r="W171" s="78"/>
      <x:c r="X171" s="78"/>
      <x:c r="Y171" s="78"/>
      <x:c r="Z171" s="78"/>
    </x:row>
    <x:row r="172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78"/>
      <x:c r="U172" s="78"/>
      <x:c r="V172" s="78"/>
      <x:c r="W172" s="78"/>
      <x:c r="X172" s="78"/>
      <x:c r="Y172" s="78"/>
      <x:c r="Z172" s="78"/>
    </x:row>
    <x:row r="173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78"/>
      <x:c r="U173" s="78"/>
      <x:c r="V173" s="78"/>
      <x:c r="W173" s="78"/>
      <x:c r="X173" s="78"/>
      <x:c r="Y173" s="78"/>
      <x:c r="Z173" s="78"/>
    </x:row>
    <x:row r="174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78"/>
      <x:c r="U174" s="78"/>
      <x:c r="V174" s="78"/>
      <x:c r="W174" s="78"/>
      <x:c r="X174" s="78"/>
      <x:c r="Y174" s="78"/>
      <x:c r="Z174" s="78"/>
    </x:row>
    <x:row r="175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78"/>
      <x:c r="U175" s="78"/>
      <x:c r="V175" s="78"/>
      <x:c r="W175" s="78"/>
      <x:c r="X175" s="78"/>
      <x:c r="Y175" s="78"/>
      <x:c r="Z175" s="78"/>
    </x:row>
    <x:row r="176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78"/>
      <x:c r="U176" s="78"/>
      <x:c r="V176" s="78"/>
      <x:c r="W176" s="78"/>
      <x:c r="X176" s="78"/>
      <x:c r="Y176" s="78"/>
      <x:c r="Z176" s="78"/>
    </x:row>
    <x:row r="177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78"/>
      <x:c r="U177" s="78"/>
      <x:c r="V177" s="78"/>
      <x:c r="W177" s="78"/>
      <x:c r="X177" s="78"/>
      <x:c r="Y177" s="78"/>
      <x:c r="Z177" s="78"/>
    </x:row>
    <x:row r="178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78"/>
      <x:c r="U178" s="78"/>
      <x:c r="V178" s="78"/>
      <x:c r="W178" s="78"/>
      <x:c r="X178" s="78"/>
      <x:c r="Y178" s="78"/>
      <x:c r="Z178" s="78"/>
    </x:row>
    <x:row r="179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78"/>
      <x:c r="U179" s="78"/>
      <x:c r="V179" s="78"/>
      <x:c r="W179" s="78"/>
      <x:c r="X179" s="78"/>
      <x:c r="Y179" s="78"/>
      <x:c r="Z179" s="78"/>
    </x:row>
    <x:row r="180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78"/>
      <x:c r="U180" s="78"/>
      <x:c r="V180" s="78"/>
      <x:c r="W180" s="78"/>
      <x:c r="X180" s="78"/>
      <x:c r="Y180" s="78"/>
      <x:c r="Z180" s="78"/>
    </x:row>
    <x:row r="18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78"/>
      <x:c r="U181" s="78"/>
      <x:c r="V181" s="78"/>
      <x:c r="W181" s="78"/>
      <x:c r="X181" s="78"/>
      <x:c r="Y181" s="78"/>
      <x:c r="Z181" s="78"/>
    </x:row>
    <x:row r="182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78"/>
      <x:c r="U182" s="78"/>
      <x:c r="V182" s="78"/>
      <x:c r="W182" s="78"/>
      <x:c r="X182" s="78"/>
      <x:c r="Y182" s="78"/>
      <x:c r="Z182" s="78"/>
    </x:row>
    <x:row r="183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78"/>
      <x:c r="U183" s="78"/>
      <x:c r="V183" s="78"/>
      <x:c r="W183" s="78"/>
      <x:c r="X183" s="78"/>
      <x:c r="Y183" s="78"/>
      <x:c r="Z183" s="78"/>
    </x:row>
    <x:row r="184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78"/>
      <x:c r="U184" s="78"/>
      <x:c r="V184" s="78"/>
      <x:c r="W184" s="78"/>
      <x:c r="X184" s="78"/>
      <x:c r="Y184" s="78"/>
      <x:c r="Z184" s="78"/>
    </x:row>
    <x:row r="185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78"/>
      <x:c r="U185" s="78"/>
      <x:c r="V185" s="78"/>
      <x:c r="W185" s="78"/>
      <x:c r="X185" s="78"/>
      <x:c r="Y185" s="78"/>
      <x:c r="Z185" s="78"/>
    </x:row>
    <x:row r="186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78"/>
      <x:c r="U186" s="78"/>
      <x:c r="V186" s="78"/>
      <x:c r="W186" s="78"/>
      <x:c r="X186" s="78"/>
      <x:c r="Y186" s="78"/>
      <x:c r="Z186" s="78"/>
    </x:row>
    <x:row r="187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78"/>
      <x:c r="U187" s="78"/>
      <x:c r="V187" s="78"/>
      <x:c r="W187" s="78"/>
      <x:c r="X187" s="78"/>
      <x:c r="Y187" s="78"/>
      <x:c r="Z187" s="78"/>
    </x:row>
    <x:row r="188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78"/>
      <x:c r="U188" s="78"/>
      <x:c r="V188" s="78"/>
      <x:c r="W188" s="78"/>
      <x:c r="X188" s="78"/>
      <x:c r="Y188" s="78"/>
      <x:c r="Z188" s="78"/>
    </x:row>
    <x:row r="189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78"/>
      <x:c r="U189" s="78"/>
      <x:c r="V189" s="78"/>
      <x:c r="W189" s="78"/>
      <x:c r="X189" s="78"/>
      <x:c r="Y189" s="78"/>
      <x:c r="Z189" s="78"/>
    </x:row>
    <x:row r="190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78"/>
      <x:c r="U190" s="78"/>
      <x:c r="V190" s="78"/>
      <x:c r="W190" s="78"/>
      <x:c r="X190" s="78"/>
      <x:c r="Y190" s="78"/>
      <x:c r="Z190" s="78"/>
    </x:row>
    <x:row r="19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78"/>
      <x:c r="U191" s="78"/>
      <x:c r="V191" s="78"/>
      <x:c r="W191" s="78"/>
      <x:c r="X191" s="78"/>
      <x:c r="Y191" s="78"/>
      <x:c r="Z191" s="78"/>
    </x:row>
    <x:row r="192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78"/>
      <x:c r="U192" s="78"/>
      <x:c r="V192" s="78"/>
      <x:c r="W192" s="78"/>
      <x:c r="X192" s="78"/>
      <x:c r="Y192" s="78"/>
      <x:c r="Z192" s="78"/>
    </x:row>
    <x:row r="193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78"/>
      <x:c r="U193" s="78"/>
      <x:c r="V193" s="78"/>
      <x:c r="W193" s="78"/>
      <x:c r="X193" s="78"/>
      <x:c r="Y193" s="78"/>
      <x:c r="Z193" s="78"/>
    </x:row>
    <x:row r="194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78"/>
      <x:c r="U194" s="78"/>
      <x:c r="V194" s="78"/>
      <x:c r="W194" s="78"/>
      <x:c r="X194" s="78"/>
      <x:c r="Y194" s="78"/>
      <x:c r="Z194" s="78"/>
    </x:row>
    <x:row r="195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78"/>
    </x:row>
    <x:row r="196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78"/>
      <x:c r="U196" s="78"/>
      <x:c r="V196" s="78"/>
      <x:c r="W196" s="78"/>
      <x:c r="X196" s="78"/>
      <x:c r="Y196" s="78"/>
      <x:c r="Z196" s="78"/>
    </x:row>
    <x:row r="197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78"/>
      <x:c r="U197" s="78"/>
      <x:c r="V197" s="78"/>
      <x:c r="W197" s="78"/>
      <x:c r="X197" s="78"/>
      <x:c r="Y197" s="78"/>
      <x:c r="Z197" s="78"/>
    </x:row>
    <x:row r="198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78"/>
      <x:c r="U198" s="78"/>
      <x:c r="V198" s="78"/>
      <x:c r="W198" s="78"/>
      <x:c r="X198" s="78"/>
      <x:c r="Y198" s="78"/>
      <x:c r="Z198" s="78"/>
    </x:row>
    <x:row r="199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78"/>
    </x:row>
    <x:row r="200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78"/>
    </x:row>
  </x:sheetData>
  <x:mergeCells>
    <x:mergeCell ref="A1:H1"/>
    <x:mergeCell ref="A2:H2"/>
    <x:mergeCell ref="A4:H4"/>
    <x:mergeCell ref="A17:H1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31" hidden="0" customWidth="1"/>
    <x:col min="3" max="3" width="60" hidden="0" customWidth="1"/>
    <x:col min="4" max="4" width="58" hidden="0" customWidth="1"/>
    <x:col min="5" max="5" width="18" hidden="0" customWidth="1"/>
  </x:cols>
  <x:sheetData>
    <x:row r="1" ht="34" customHeight="1">
      <x:c r="A1" s="77" t="str">
        <x:v>Sources and model boundary</x:v>
      </x:c>
      <x:c r="B1" s="77"/>
      <x:c r="C1" s="77"/>
      <x:c r="D1" s="77"/>
      <x:c r="E1" s="77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  <x:c r="V1" s="78"/>
      <x:c r="W1" s="78"/>
      <x:c r="X1" s="78"/>
      <x:c r="Y1" s="78"/>
      <x:c r="Z1" s="78"/>
    </x:row>
    <x:row r="2" ht="28" customHeight="1">
      <x:c r="A2" s="5" t="str">
        <x:v>Official vendor sources are linked below. Budgetary professional-service allowances must be replaced by written quotes before signing a client commitment.</x:v>
      </x:c>
      <x:c r="B2" s="5"/>
      <x:c r="C2" s="5"/>
      <x:c r="D2" s="5"/>
      <x:c r="E2" s="5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</x:row>
    <x:row r="4" ht="24" customHeight="1">
      <x:c r="A4" s="79" t="str">
        <x:v>Official pricing and limits</x:v>
      </x:c>
      <x:c r="B4" s="79"/>
      <x:c r="C4" s="79"/>
      <x:c r="D4" s="79"/>
      <x:c r="E4" s="79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8"/>
      <x:c r="V4" s="78"/>
      <x:c r="W4" s="78"/>
      <x:c r="X4" s="78"/>
      <x:c r="Y4" s="78"/>
      <x:c r="Z4" s="78"/>
    </x:row>
    <x:row r="5">
      <x:c r="A5" s="80" t="str">
        <x:v>Area</x:v>
      </x:c>
      <x:c r="B5" s="80" t="str">
        <x:v>Source</x:v>
      </x:c>
      <x:c r="C5" s="80" t="str">
        <x:v>URL</x:v>
      </x:c>
      <x:c r="D5" s="80" t="str">
        <x:v>Used for</x:v>
      </x:c>
      <x:c r="E5" s="80" t="str">
        <x:v>Accessed</x:v>
      </x:c>
      <x:c r="F5" s="78"/>
      <x:c r="G5" s="78"/>
      <x:c r="H5" s="78"/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</x:row>
    <x:row r="6">
      <x:c r="A6" s="81" t="str">
        <x:v>Vercel Pro</x:v>
      </x:c>
      <x:c r="B6" s="81" t="str">
        <x:v>Vercel Pro plan</x:v>
      </x:c>
      <x:c r="C6" s="128" t="str">
        <x:v>https://vercel.com/docs/plans/pro-plan</x:v>
      </x:c>
      <x:c r="D6" s="81" t="str">
        <x:v>$20 plan and included usage</x:v>
      </x:c>
      <x:c r="E6" s="81" t="str">
        <x:v>2026-09-09</x:v>
      </x:c>
      <x:c r="F6" s="78"/>
      <x:c r="G6" s="78"/>
      <x:c r="H6" s="78"/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</x:row>
    <x:row r="7">
      <x:c r="A7" s="81" t="str">
        <x:v>Vercel Functions</x:v>
      </x:c>
      <x:c r="B7" s="81" t="str">
        <x:v>Usage and pricing</x:v>
      </x:c>
      <x:c r="C7" s="128" t="str">
        <x:v>https://vercel.com/docs/functions/usage-and-pricing</x:v>
      </x:c>
      <x:c r="D7" s="81" t="str">
        <x:v>Invocations, CPU and memory billing</x:v>
      </x:c>
      <x:c r="E7" s="81" t="str">
        <x:v>2026-09-09</x:v>
      </x:c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78"/>
      <x:c r="W7" s="78"/>
      <x:c r="X7" s="78"/>
      <x:c r="Y7" s="78"/>
      <x:c r="Z7" s="78"/>
    </x:row>
    <x:row r="8">
      <x:c r="A8" s="81" t="str">
        <x:v>Vercel limits</x:v>
      </x:c>
      <x:c r="B8" s="81" t="str">
        <x:v>Functions limitations</x:v>
      </x:c>
      <x:c r="C8" s="128" t="str">
        <x:v>https://vercel.com/docs/functions/limitations</x:v>
      </x:c>
      <x:c r="D8" s="81" t="str">
        <x:v>4.5MB request/response body limit</x:v>
      </x:c>
      <x:c r="E8" s="81" t="str">
        <x:v>2026-09-09</x:v>
      </x:c>
      <x:c r="F8" s="78"/>
      <x:c r="G8" s="78"/>
      <x:c r="H8" s="78"/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/>
      <x:c r="U8" s="78"/>
      <x:c r="V8" s="78"/>
      <x:c r="W8" s="78"/>
      <x:c r="X8" s="78"/>
      <x:c r="Y8" s="78"/>
      <x:c r="Z8" s="78"/>
    </x:row>
    <x:row r="9">
      <x:c r="A9" s="81" t="str">
        <x:v>Vercel Blob</x:v>
      </x:c>
      <x:c r="B9" s="81" t="str">
        <x:v>Blob general availability</x:v>
      </x:c>
      <x:c r="C9" s="128" t="str">
        <x:v>https://vercel.com/blog/vercel-blob-now-generally-available</x:v>
      </x:c>
      <x:c r="D9" s="81" t="str">
        <x:v>Storage/transfer allowances</x:v>
      </x:c>
      <x:c r="E9" s="81" t="str">
        <x:v>2026-09-09</x:v>
      </x:c>
      <x:c r="F9" s="78"/>
      <x:c r="G9" s="78"/>
      <x:c r="H9" s="78"/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78"/>
      <x:c r="U9" s="78"/>
      <x:c r="V9" s="78"/>
      <x:c r="W9" s="78"/>
      <x:c r="X9" s="78"/>
      <x:c r="Y9" s="78"/>
      <x:c r="Z9" s="78"/>
    </x:row>
    <x:row r="10">
      <x:c r="A10" s="81" t="str">
        <x:v>Neon</x:v>
      </x:c>
      <x:c r="B10" s="81" t="str">
        <x:v>Pricing</x:v>
      </x:c>
      <x:c r="C10" s="128" t="str">
        <x:v>https://neon.com/pricing</x:v>
      </x:c>
      <x:c r="D10" s="81" t="str">
        <x:v>Scale compute, storage, PITR and SLA</x:v>
      </x:c>
      <x:c r="E10" s="81" t="str">
        <x:v>2026-09-09</x:v>
      </x:c>
      <x:c r="F10" s="78"/>
      <x:c r="G10" s="78"/>
      <x:c r="H10" s="78"/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78"/>
      <x:c r="U10" s="78"/>
      <x:c r="V10" s="78"/>
      <x:c r="W10" s="78"/>
      <x:c r="X10" s="78"/>
      <x:c r="Y10" s="78"/>
      <x:c r="Z10" s="78"/>
    </x:row>
    <x:row r="11">
      <x:c r="A11" s="81" t="str">
        <x:v>Anthropic models</x:v>
      </x:c>
      <x:c r="B11" s="81" t="str">
        <x:v>Sonnet 4.6 overview</x:v>
      </x:c>
      <x:c r="C11" s="128" t="str">
        <x:v>https://platform.claude.com/docs/en/models/sonnet-4-6/overview</x:v>
      </x:c>
      <x:c r="D11" s="81" t="str">
        <x:v>$3/$15 per MTok current-code model</x:v>
      </x:c>
      <x:c r="E11" s="81" t="str">
        <x:v>2026-09-09</x:v>
      </x:c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78"/>
      <x:c r="U11" s="78"/>
      <x:c r="V11" s="78"/>
      <x:c r="W11" s="78"/>
      <x:c r="X11" s="78"/>
      <x:c r="Y11" s="78"/>
      <x:c r="Z11" s="78"/>
    </x:row>
    <x:row r="12">
      <x:c r="A12" s="81" t="str">
        <x:v>Anthropic pricing</x:v>
      </x:c>
      <x:c r="B12" s="81" t="str">
        <x:v>Claude API pricing</x:v>
      </x:c>
      <x:c r="C12" s="128" t="str">
        <x:v>https://platform.claude.com/docs/en/about-claude/pricing</x:v>
      </x:c>
      <x:c r="D12" s="81" t="str">
        <x:v>Token pricing cross-check</x:v>
      </x:c>
      <x:c r="E12" s="81" t="str">
        <x:v>2026-09-09</x:v>
      </x:c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78"/>
      <x:c r="U12" s="78"/>
      <x:c r="V12" s="78"/>
      <x:c r="W12" s="78"/>
      <x:c r="X12" s="78"/>
      <x:c r="Y12" s="78"/>
      <x:c r="Z12" s="78"/>
    </x:row>
    <x:row r="13">
      <x:c r="A13" s="81" t="str">
        <x:v>Anthropic limits</x:v>
      </x:c>
      <x:c r="B13" s="81" t="str">
        <x:v>Rate limits</x:v>
      </x:c>
      <x:c r="C13" s="128" t="str">
        <x:v>https://platform.claude.com/docs/en/api/rate-limits</x:v>
      </x:c>
      <x:c r="D13" s="81" t="str">
        <x:v>Monthly usage tiers and caps</x:v>
      </x:c>
      <x:c r="E13" s="81" t="str">
        <x:v>2026-09-09</x:v>
      </x:c>
      <x:c r="F13" s="78"/>
      <x:c r="G13" s="78"/>
      <x:c r="H13" s="78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78"/>
      <x:c r="U13" s="78"/>
      <x:c r="V13" s="78"/>
      <x:c r="W13" s="78"/>
      <x:c r="X13" s="78"/>
      <x:c r="Y13" s="78"/>
      <x:c r="Z13" s="78"/>
    </x:row>
    <x:row r="14">
      <x:c r="A14" s="81" t="str">
        <x:v>Anthropic credits</x:v>
      </x:c>
      <x:c r="B14" s="81" t="str">
        <x:v>API billing help</x:v>
      </x:c>
      <x:c r="C14" s="128" t="str">
        <x:v>https://support.anthropic.com/en/articles/8977456-how-do-i-pay-for-my-api-usage</x:v>
      </x:c>
      <x:c r="D14" s="81" t="str">
        <x:v>Prepaid credits and auto-reload</x:v>
      </x:c>
      <x:c r="E14" s="81" t="str">
        <x:v>2026-09-09</x:v>
      </x:c>
      <x:c r="F14" s="78"/>
      <x:c r="G14" s="78"/>
      <x:c r="H14" s="78"/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78"/>
      <x:c r="U14" s="78"/>
      <x:c r="V14" s="78"/>
      <x:c r="W14" s="78"/>
      <x:c r="X14" s="78"/>
      <x:c r="Y14" s="78"/>
      <x:c r="Z14" s="78"/>
    </x:row>
    <x:row r="15">
      <x:c r="A15" s="81" t="str">
        <x:v>Claude developer plan</x:v>
      </x:c>
      <x:c r="B15" s="81" t="str">
        <x:v>Choose a Claude plan</x:v>
      </x:c>
      <x:c r="C15" s="128" t="str">
        <x:v>https://support.claude.com/en/articles/11049762-choose-a-claude-plan</x:v>
      </x:c>
      <x:c r="D15" s="81" t="str">
        <x:v>Max subscription allowance</x:v>
      </x:c>
      <x:c r="E15" s="81" t="str">
        <x:v>2026-09-09</x:v>
      </x:c>
      <x:c r="F15" s="78"/>
      <x:c r="G15" s="78"/>
      <x:c r="H15" s="78"/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78"/>
      <x:c r="U15" s="78"/>
      <x:c r="V15" s="78"/>
      <x:c r="W15" s="78"/>
      <x:c r="X15" s="78"/>
      <x:c r="Y15" s="78"/>
      <x:c r="Z15" s="78"/>
    </x:row>
    <x:row r="16">
      <x:c r="A16" s="81" t="str">
        <x:v>ChatGPT/Codex</x:v>
      </x:c>
      <x:c r="B16" s="81" t="str">
        <x:v>ChatGPT pricing</x:v>
      </x:c>
      <x:c r="C16" s="128" t="str">
        <x:v>https://openai.com/chatgpt/pricing</x:v>
      </x:c>
      <x:c r="D16" s="81" t="str">
        <x:v>Pro subscription</x:v>
      </x:c>
      <x:c r="E16" s="81" t="str">
        <x:v>2026-09-09</x:v>
      </x:c>
      <x:c r="F16" s="78"/>
      <x:c r="G16" s="78"/>
      <x:c r="H16" s="78"/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78"/>
      <x:c r="U16" s="78"/>
      <x:c r="V16" s="78"/>
      <x:c r="W16" s="78"/>
      <x:c r="X16" s="78"/>
      <x:c r="Y16" s="78"/>
      <x:c r="Z16" s="78"/>
    </x:row>
    <x:row r="17">
      <x:c r="A17" s="81" t="str">
        <x:v>Codex credits</x:v>
      </x:c>
      <x:c r="B17" s="81" t="str">
        <x:v>Flexible usage credits</x:v>
      </x:c>
      <x:c r="C17" s="128" t="str">
        <x:v>https://help.openai.com/en/articles/12642688-using-credits-for-flexible-usage-in-chatgpt-freegopluspro-sora</x:v>
      </x:c>
      <x:c r="D17" s="81" t="str">
        <x:v>Overflow credit control</x:v>
      </x:c>
      <x:c r="E17" s="81" t="str">
        <x:v>2026-09-09</x:v>
      </x:c>
      <x:c r="F17" s="78"/>
      <x:c r="G17" s="78"/>
      <x:c r="H17" s="78"/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78"/>
      <x:c r="U17" s="78"/>
      <x:c r="V17" s="78"/>
      <x:c r="W17" s="78"/>
      <x:c r="X17" s="78"/>
      <x:c r="Y17" s="78"/>
      <x:c r="Z17" s="78"/>
    </x:row>
    <x:row r="18">
      <x:c r="A18" s="81" t="str">
        <x:v>Monitoring</x:v>
      </x:c>
      <x:c r="B18" s="81" t="str">
        <x:v>Better Stack pricing</x:v>
      </x:c>
      <x:c r="C18" s="128" t="str">
        <x:v>https://betterstack.com/pricing</x:v>
      </x:c>
      <x:c r="D18" s="81" t="str">
        <x:v>Responder and telemetry</x:v>
      </x:c>
      <x:c r="E18" s="81" t="str">
        <x:v>2026-09-09</x:v>
      </x:c>
      <x:c r="F18" s="78"/>
      <x:c r="G18" s="78"/>
      <x:c r="H18" s="78"/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78"/>
      <x:c r="W18" s="78"/>
      <x:c r="X18" s="78"/>
      <x:c r="Y18" s="78"/>
      <x:c r="Z18" s="78"/>
    </x:row>
    <x:row r="19">
      <x:c r="A19" s="81" t="str">
        <x:v>Email</x:v>
      </x:c>
      <x:c r="B19" s="81" t="str">
        <x:v>Resend pricing</x:v>
      </x:c>
      <x:c r="C19" s="128" t="str">
        <x:v>https://resend.com/pricing</x:v>
      </x:c>
      <x:c r="D19" s="81" t="str">
        <x:v>Transactional email</x:v>
      </x:c>
      <x:c r="E19" s="81" t="str">
        <x:v>2026-09-09</x:v>
      </x:c>
      <x:c r="F19" s="78"/>
      <x:c r="G19" s="78"/>
      <x:c r="H19" s="78"/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78"/>
      <x:c r="W19" s="78"/>
      <x:c r="X19" s="78"/>
      <x:c r="Y19" s="78"/>
      <x:c r="Z19" s="78"/>
    </x:row>
    <x:row r="20">
      <x:c r="A20" s="81" t="str">
        <x:v>Source control</x:v>
      </x:c>
      <x:c r="B20" s="81" t="str">
        <x:v>GitHub pricing</x:v>
      </x:c>
      <x:c r="C20" s="128" t="str">
        <x:v>https://github.com/pricing</x:v>
      </x:c>
      <x:c r="D20" s="81" t="str">
        <x:v>Team seat</x:v>
      </x:c>
      <x:c r="E20" s="81" t="str">
        <x:v>2026-09-09</x:v>
      </x:c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78"/>
      <x:c r="U20" s="78"/>
      <x:c r="V20" s="78"/>
      <x:c r="W20" s="78"/>
      <x:c r="X20" s="78"/>
      <x:c r="Y20" s="78"/>
      <x:c r="Z20" s="78"/>
    </x:row>
    <x:row r="21">
      <x:c r="A21" s="83" t="str">
        <x:v>Secrets</x:v>
      </x:c>
      <x:c r="B21" s="83" t="str">
        <x:v>1Password business pricing</x:v>
      </x:c>
      <x:c r="C21" s="129" t="str">
        <x:v>https://1password.com/pricing/business</x:v>
      </x:c>
      <x:c r="D21" s="83" t="str">
        <x:v>Teams Starter</x:v>
      </x:c>
      <x:c r="E21" s="83" t="str">
        <x:v>2026-09-09</x:v>
      </x:c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78"/>
    </x:row>
    <x:row r="22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78"/>
      <x:c r="U22" s="78"/>
      <x:c r="V22" s="78"/>
      <x:c r="W22" s="78"/>
      <x:c r="X22" s="78"/>
      <x:c r="Y22" s="78"/>
      <x:c r="Z22" s="78"/>
    </x:row>
    <x:row r="23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78"/>
      <x:c r="W23" s="78"/>
      <x:c r="X23" s="78"/>
      <x:c r="Y23" s="78"/>
      <x:c r="Z23" s="78"/>
    </x:row>
    <x:row r="24" ht="24" customHeight="1">
      <x:c r="A24" s="101" t="str">
        <x:v>Reference-sheet structure retained (numbers rejected)</x:v>
      </x:c>
      <x:c r="B24" s="101"/>
      <x:c r="C24" s="101"/>
      <x:c r="D24" s="101"/>
      <x:c r="E24" s="101"/>
      <x:c r="F24" s="78"/>
      <x:c r="G24" s="78"/>
      <x:c r="H24" s="78"/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78"/>
      <x:c r="U24" s="78"/>
      <x:c r="V24" s="78"/>
      <x:c r="W24" s="78"/>
      <x:c r="X24" s="78"/>
      <x:c r="Y24" s="78"/>
      <x:c r="Z24" s="78"/>
    </x:row>
    <x:row r="25">
      <x:c r="A25" s="80" t="str">
        <x:v>Reference</x:v>
      </x:c>
      <x:c r="B25" s="80" t="str">
        <x:v>Useful idea</x:v>
      </x:c>
      <x:c r="C25" s="80" t="str">
        <x:v>Why its numbers were not used</x:v>
      </x:c>
      <x:c r="D25" s="80" t="str">
        <x:v>How this model improves it</x:v>
      </x:c>
      <x:c r="E25" s="80" t="str">
        <x:v>Status</x:v>
      </x:c>
      <x:c r="F25" s="78"/>
      <x:c r="G25" s="78"/>
      <x:c r="H25" s="78"/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78"/>
    </x:row>
    <x:row r="26">
      <x:c r="A26" s="81" t="str">
        <x:v>New bot Costing — Google Sheet</x:v>
      </x:c>
      <x:c r="B26" s="81" t="str">
        <x:v>List fixed infrastructure, maintenance, migration, training and profit</x:v>
      </x:c>
      <x:c r="C26" s="81" t="str">
        <x:v>Flat annual estimates; no usage, limits, reliability or scale mechanics</x:v>
      </x:c>
      <x:c r="D26" s="81" t="str">
        <x:v>Separates assumptions, COGS, founder tools, launch cash, time and quotation</x:v>
      </x:c>
      <x:c r="E26" s="81" t="str">
        <x:v>Structure only</x:v>
      </x:c>
      <x:c r="F26" s="78"/>
      <x:c r="G26" s="78"/>
      <x:c r="H26" s="78"/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78"/>
      <x:c r="W26" s="78"/>
      <x:c r="X26" s="78"/>
      <x:c r="Y26" s="78"/>
      <x:c r="Z26" s="78"/>
    </x:row>
    <x:row r="27">
      <x:c r="A27" s="81" t="str">
        <x:v>factory-os-costs.pdf</x:v>
      </x:c>
      <x:c r="B27" s="81" t="str">
        <x:v>One-time vs monthly and 24-month view</x:v>
      </x:c>
      <x:c r="C27" s="81" t="str">
        <x:v>Neon and AI assumptions are too low for official operation; agency labor does not match solo build</x:v>
      </x:c>
      <x:c r="D27" s="81" t="str">
        <x:v>Uses current product traffic and founder economics</x:v>
      </x:c>
      <x:c r="E27" s="81" t="str">
        <x:v>Superseded</x:v>
      </x:c>
      <x:c r="F27" s="78"/>
      <x:c r="G27" s="78"/>
      <x:c r="H27" s="78"/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78"/>
      <x:c r="W27" s="78"/>
      <x:c r="X27" s="78"/>
      <x:c r="Y27" s="78"/>
      <x:c r="Z27" s="78"/>
    </x:row>
    <x:row r="28">
      <x:c r="A28" s="83" t="str">
        <x:v>Factory OS repository</x:v>
      </x:c>
      <x:c r="B28" s="83" t="str">
        <x:v>Actual screens, API routes, polling, file handling and current AI model</x:v>
      </x:c>
      <x:c r="C28" s="83" t="str">
        <x:v>Code is evidence, not a price quote</x:v>
      </x:c>
      <x:c r="D28" s="83" t="str">
        <x:v>Turns architecture into drivers and launch gates</x:v>
      </x:c>
      <x:c r="E28" s="83" t="str">
        <x:v>Primary product evidence</x:v>
      </x:c>
      <x:c r="F28" s="78"/>
      <x:c r="G28" s="78"/>
      <x:c r="H28" s="78"/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78"/>
      <x:c r="U28" s="78"/>
      <x:c r="V28" s="78"/>
      <x:c r="W28" s="78"/>
      <x:c r="X28" s="78"/>
      <x:c r="Y28" s="78"/>
      <x:c r="Z28" s="78"/>
    </x:row>
    <x:row r="29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</x:row>
    <x:row r="30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78"/>
    </x:row>
    <x:row r="3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78"/>
      <x:c r="W31" s="78"/>
      <x:c r="X31" s="78"/>
      <x:c r="Y31" s="78"/>
      <x:c r="Z31" s="78"/>
    </x:row>
    <x:row r="32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78"/>
      <x:c r="U32" s="78"/>
      <x:c r="V32" s="78"/>
      <x:c r="W32" s="78"/>
      <x:c r="X32" s="78"/>
      <x:c r="Y32" s="78"/>
      <x:c r="Z32" s="78"/>
    </x:row>
    <x:row r="33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</x:row>
    <x:row r="34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</x:row>
    <x:row r="35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</x:row>
    <x:row r="36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78"/>
      <x:c r="U36" s="78"/>
      <x:c r="V36" s="78"/>
      <x:c r="W36" s="78"/>
      <x:c r="X36" s="78"/>
      <x:c r="Y36" s="78"/>
      <x:c r="Z36" s="78"/>
    </x:row>
    <x:row r="37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78"/>
    </x:row>
    <x:row r="38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78"/>
    </x:row>
    <x:row r="39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78"/>
    </x:row>
    <x:row r="40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78"/>
      <x:c r="U40" s="78"/>
      <x:c r="V40" s="78"/>
      <x:c r="W40" s="78"/>
      <x:c r="X40" s="78"/>
      <x:c r="Y40" s="78"/>
      <x:c r="Z40" s="78"/>
    </x:row>
    <x:row r="4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</x:row>
    <x:row r="42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8"/>
    </x:row>
    <x:row r="43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78"/>
    </x:row>
    <x:row r="44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</x:row>
    <x:row r="45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78"/>
    </x:row>
    <x:row r="46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78"/>
      <x:c r="U46" s="78"/>
      <x:c r="V46" s="78"/>
      <x:c r="W46" s="78"/>
      <x:c r="X46" s="78"/>
      <x:c r="Y46" s="78"/>
      <x:c r="Z46" s="78"/>
    </x:row>
    <x:row r="47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78"/>
      <x:c r="U47" s="78"/>
      <x:c r="V47" s="78"/>
      <x:c r="W47" s="78"/>
      <x:c r="X47" s="78"/>
      <x:c r="Y47" s="78"/>
      <x:c r="Z47" s="78"/>
    </x:row>
    <x:row r="48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78"/>
      <x:c r="U48" s="78"/>
      <x:c r="V48" s="78"/>
      <x:c r="W48" s="78"/>
      <x:c r="X48" s="78"/>
      <x:c r="Y48" s="78"/>
      <x:c r="Z48" s="78"/>
    </x:row>
    <x:row r="49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78"/>
      <x:c r="U49" s="78"/>
      <x:c r="V49" s="78"/>
      <x:c r="W49" s="78"/>
      <x:c r="X49" s="78"/>
      <x:c r="Y49" s="78"/>
      <x:c r="Z49" s="78"/>
    </x:row>
    <x:row r="50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78"/>
    </x:row>
    <x:row r="5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78"/>
      <x:c r="W51" s="78"/>
      <x:c r="X51" s="78"/>
      <x:c r="Y51" s="78"/>
      <x:c r="Z51" s="78"/>
    </x:row>
    <x:row r="52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78"/>
    </x:row>
    <x:row r="53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78"/>
    </x:row>
    <x:row r="54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78"/>
      <x:c r="U54" s="78"/>
      <x:c r="V54" s="78"/>
      <x:c r="W54" s="78"/>
      <x:c r="X54" s="78"/>
      <x:c r="Y54" s="78"/>
      <x:c r="Z54" s="78"/>
    </x:row>
    <x:row r="55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78"/>
    </x:row>
    <x:row r="56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78"/>
    </x:row>
    <x:row r="57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78"/>
    </x:row>
    <x:row r="58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</x:row>
    <x:row r="59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78"/>
      <x:c r="U59" s="78"/>
      <x:c r="V59" s="78"/>
      <x:c r="W59" s="78"/>
      <x:c r="X59" s="78"/>
      <x:c r="Y59" s="78"/>
      <x:c r="Z59" s="78"/>
    </x:row>
    <x:row r="60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</x:row>
    <x:row r="6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78"/>
      <x:c r="U61" s="78"/>
      <x:c r="V61" s="78"/>
      <x:c r="W61" s="78"/>
      <x:c r="X61" s="78"/>
      <x:c r="Y61" s="78"/>
      <x:c r="Z61" s="78"/>
    </x:row>
    <x:row r="62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78"/>
      <x:c r="U62" s="78"/>
      <x:c r="V62" s="78"/>
      <x:c r="W62" s="78"/>
      <x:c r="X62" s="78"/>
      <x:c r="Y62" s="78"/>
      <x:c r="Z62" s="78"/>
    </x:row>
    <x:row r="63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78"/>
    </x:row>
    <x:row r="64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78"/>
      <x:c r="U64" s="78"/>
      <x:c r="V64" s="78"/>
      <x:c r="W64" s="78"/>
      <x:c r="X64" s="78"/>
      <x:c r="Y64" s="78"/>
      <x:c r="Z64" s="78"/>
    </x:row>
    <x:row r="65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78"/>
      <x:c r="U65" s="78"/>
      <x:c r="V65" s="78"/>
      <x:c r="W65" s="78"/>
      <x:c r="X65" s="78"/>
      <x:c r="Y65" s="78"/>
      <x:c r="Z65" s="78"/>
    </x:row>
    <x:row r="66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78"/>
      <x:c r="U66" s="78"/>
      <x:c r="V66" s="78"/>
      <x:c r="W66" s="78"/>
      <x:c r="X66" s="78"/>
      <x:c r="Y66" s="78"/>
      <x:c r="Z66" s="78"/>
    </x:row>
    <x:row r="67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78"/>
      <x:c r="U67" s="78"/>
      <x:c r="V67" s="78"/>
      <x:c r="W67" s="78"/>
      <x:c r="X67" s="78"/>
      <x:c r="Y67" s="78"/>
      <x:c r="Z67" s="78"/>
    </x:row>
    <x:row r="68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78"/>
    </x:row>
    <x:row r="69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78"/>
      <x:c r="U69" s="78"/>
      <x:c r="V69" s="78"/>
      <x:c r="W69" s="78"/>
      <x:c r="X69" s="78"/>
      <x:c r="Y69" s="78"/>
      <x:c r="Z69" s="78"/>
    </x:row>
    <x:row r="70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78"/>
      <x:c r="U70" s="78"/>
      <x:c r="V70" s="78"/>
      <x:c r="W70" s="78"/>
      <x:c r="X70" s="78"/>
      <x:c r="Y70" s="78"/>
      <x:c r="Z70" s="78"/>
    </x:row>
    <x:row r="7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78"/>
      <x:c r="U71" s="78"/>
      <x:c r="V71" s="78"/>
      <x:c r="W71" s="78"/>
      <x:c r="X71" s="78"/>
      <x:c r="Y71" s="78"/>
      <x:c r="Z71" s="78"/>
    </x:row>
    <x:row r="72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78"/>
    </x:row>
    <x:row r="73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78"/>
      <x:c r="U73" s="78"/>
      <x:c r="V73" s="78"/>
      <x:c r="W73" s="78"/>
      <x:c r="X73" s="78"/>
      <x:c r="Y73" s="78"/>
      <x:c r="Z73" s="78"/>
    </x:row>
    <x:row r="74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78"/>
      <x:c r="U74" s="78"/>
      <x:c r="V74" s="78"/>
      <x:c r="W74" s="78"/>
      <x:c r="X74" s="78"/>
      <x:c r="Y74" s="78"/>
      <x:c r="Z74" s="78"/>
    </x:row>
    <x:row r="75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78"/>
    </x:row>
    <x:row r="76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78"/>
      <x:c r="U76" s="78"/>
      <x:c r="V76" s="78"/>
      <x:c r="W76" s="78"/>
      <x:c r="X76" s="78"/>
      <x:c r="Y76" s="78"/>
      <x:c r="Z76" s="78"/>
    </x:row>
    <x:row r="77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78"/>
    </x:row>
    <x:row r="78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78"/>
      <x:c r="U78" s="78"/>
      <x:c r="V78" s="78"/>
      <x:c r="W78" s="78"/>
      <x:c r="X78" s="78"/>
      <x:c r="Y78" s="78"/>
      <x:c r="Z78" s="78"/>
    </x:row>
    <x:row r="79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78"/>
      <x:c r="U79" s="78"/>
      <x:c r="V79" s="78"/>
      <x:c r="W79" s="78"/>
      <x:c r="X79" s="78"/>
      <x:c r="Y79" s="78"/>
      <x:c r="Z79" s="78"/>
    </x:row>
    <x:row r="80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78"/>
      <x:c r="U80" s="78"/>
      <x:c r="V80" s="78"/>
      <x:c r="W80" s="78"/>
      <x:c r="X80" s="78"/>
      <x:c r="Y80" s="78"/>
      <x:c r="Z80" s="78"/>
    </x:row>
    <x:row r="8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78"/>
      <x:c r="U81" s="78"/>
      <x:c r="V81" s="78"/>
      <x:c r="W81" s="78"/>
      <x:c r="X81" s="78"/>
      <x:c r="Y81" s="78"/>
      <x:c r="Z81" s="78"/>
    </x:row>
    <x:row r="82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78"/>
      <x:c r="U82" s="78"/>
      <x:c r="V82" s="78"/>
      <x:c r="W82" s="78"/>
      <x:c r="X82" s="78"/>
      <x:c r="Y82" s="78"/>
      <x:c r="Z82" s="78"/>
    </x:row>
    <x:row r="83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78"/>
      <x:c r="U83" s="78"/>
      <x:c r="V83" s="78"/>
      <x:c r="W83" s="78"/>
      <x:c r="X83" s="78"/>
      <x:c r="Y83" s="78"/>
      <x:c r="Z83" s="78"/>
    </x:row>
    <x:row r="84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78"/>
      <x:c r="U84" s="78"/>
      <x:c r="V84" s="78"/>
      <x:c r="W84" s="78"/>
      <x:c r="X84" s="78"/>
      <x:c r="Y84" s="78"/>
      <x:c r="Z84" s="78"/>
    </x:row>
    <x:row r="85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78"/>
      <x:c r="U85" s="78"/>
      <x:c r="V85" s="78"/>
      <x:c r="W85" s="78"/>
      <x:c r="X85" s="78"/>
      <x:c r="Y85" s="78"/>
      <x:c r="Z85" s="78"/>
    </x:row>
    <x:row r="86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78"/>
      <x:c r="U86" s="78"/>
      <x:c r="V86" s="78"/>
      <x:c r="W86" s="78"/>
      <x:c r="X86" s="78"/>
      <x:c r="Y86" s="78"/>
      <x:c r="Z86" s="78"/>
    </x:row>
    <x:row r="87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78"/>
      <x:c r="U87" s="78"/>
      <x:c r="V87" s="78"/>
      <x:c r="W87" s="78"/>
      <x:c r="X87" s="78"/>
      <x:c r="Y87" s="78"/>
      <x:c r="Z87" s="78"/>
    </x:row>
    <x:row r="88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78"/>
      <x:c r="U88" s="78"/>
      <x:c r="V88" s="78"/>
      <x:c r="W88" s="78"/>
      <x:c r="X88" s="78"/>
      <x:c r="Y88" s="78"/>
      <x:c r="Z88" s="78"/>
    </x:row>
    <x:row r="89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78"/>
      <x:c r="U89" s="78"/>
      <x:c r="V89" s="78"/>
      <x:c r="W89" s="78"/>
      <x:c r="X89" s="78"/>
      <x:c r="Y89" s="78"/>
      <x:c r="Z89" s="78"/>
    </x:row>
    <x:row r="90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78"/>
    </x:row>
    <x:row r="9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78"/>
      <x:c r="U91" s="78"/>
      <x:c r="V91" s="78"/>
      <x:c r="W91" s="78"/>
      <x:c r="X91" s="78"/>
      <x:c r="Y91" s="78"/>
      <x:c r="Z91" s="78"/>
    </x:row>
    <x:row r="92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78"/>
      <x:c r="U92" s="78"/>
      <x:c r="V92" s="78"/>
      <x:c r="W92" s="78"/>
      <x:c r="X92" s="78"/>
      <x:c r="Y92" s="78"/>
      <x:c r="Z92" s="78"/>
    </x:row>
    <x:row r="93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78"/>
      <x:c r="U93" s="78"/>
      <x:c r="V93" s="78"/>
      <x:c r="W93" s="78"/>
      <x:c r="X93" s="78"/>
      <x:c r="Y93" s="78"/>
      <x:c r="Z93" s="78"/>
    </x:row>
    <x:row r="94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78"/>
      <x:c r="U94" s="78"/>
      <x:c r="V94" s="78"/>
      <x:c r="W94" s="78"/>
      <x:c r="X94" s="78"/>
      <x:c r="Y94" s="78"/>
      <x:c r="Z94" s="78"/>
    </x:row>
    <x:row r="95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78"/>
      <x:c r="U95" s="78"/>
      <x:c r="V95" s="78"/>
      <x:c r="W95" s="78"/>
      <x:c r="X95" s="78"/>
      <x:c r="Y95" s="78"/>
      <x:c r="Z95" s="78"/>
    </x:row>
    <x:row r="96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78"/>
      <x:c r="U96" s="78"/>
      <x:c r="V96" s="78"/>
      <x:c r="W96" s="78"/>
      <x:c r="X96" s="78"/>
      <x:c r="Y96" s="78"/>
      <x:c r="Z96" s="78"/>
    </x:row>
    <x:row r="97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78"/>
      <x:c r="U97" s="78"/>
      <x:c r="V97" s="78"/>
      <x:c r="W97" s="78"/>
      <x:c r="X97" s="78"/>
      <x:c r="Y97" s="78"/>
      <x:c r="Z97" s="78"/>
    </x:row>
    <x:row r="98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78"/>
      <x:c r="U98" s="78"/>
      <x:c r="V98" s="78"/>
      <x:c r="W98" s="78"/>
      <x:c r="X98" s="78"/>
      <x:c r="Y98" s="78"/>
      <x:c r="Z98" s="78"/>
    </x:row>
    <x:row r="99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78"/>
      <x:c r="U99" s="78"/>
      <x:c r="V99" s="78"/>
      <x:c r="W99" s="78"/>
      <x:c r="X99" s="78"/>
      <x:c r="Y99" s="78"/>
      <x:c r="Z99" s="78"/>
    </x:row>
    <x:row r="100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78"/>
      <x:c r="U100" s="78"/>
      <x:c r="V100" s="78"/>
      <x:c r="W100" s="78"/>
      <x:c r="X100" s="78"/>
      <x:c r="Y100" s="78"/>
      <x:c r="Z100" s="78"/>
    </x:row>
    <x:row r="10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78"/>
      <x:c r="U101" s="78"/>
      <x:c r="V101" s="78"/>
      <x:c r="W101" s="78"/>
      <x:c r="X101" s="78"/>
      <x:c r="Y101" s="78"/>
      <x:c r="Z101" s="78"/>
    </x:row>
    <x:row r="102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78"/>
    </x:row>
    <x:row r="103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78"/>
    </x:row>
    <x:row r="104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78"/>
    </x:row>
    <x:row r="105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78"/>
      <x:c r="U105" s="78"/>
      <x:c r="V105" s="78"/>
      <x:c r="W105" s="78"/>
      <x:c r="X105" s="78"/>
      <x:c r="Y105" s="78"/>
      <x:c r="Z105" s="78"/>
    </x:row>
    <x:row r="106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78"/>
      <x:c r="U106" s="78"/>
      <x:c r="V106" s="78"/>
      <x:c r="W106" s="78"/>
      <x:c r="X106" s="78"/>
      <x:c r="Y106" s="78"/>
      <x:c r="Z106" s="78"/>
    </x:row>
    <x:row r="107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78"/>
      <x:c r="U107" s="78"/>
      <x:c r="V107" s="78"/>
      <x:c r="W107" s="78"/>
      <x:c r="X107" s="78"/>
      <x:c r="Y107" s="78"/>
      <x:c r="Z107" s="78"/>
    </x:row>
    <x:row r="108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78"/>
      <x:c r="U108" s="78"/>
      <x:c r="V108" s="78"/>
      <x:c r="W108" s="78"/>
      <x:c r="X108" s="78"/>
      <x:c r="Y108" s="78"/>
      <x:c r="Z108" s="78"/>
    </x:row>
    <x:row r="109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78"/>
      <x:c r="U109" s="78"/>
      <x:c r="V109" s="78"/>
      <x:c r="W109" s="78"/>
      <x:c r="X109" s="78"/>
      <x:c r="Y109" s="78"/>
      <x:c r="Z109" s="78"/>
    </x:row>
    <x:row r="110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</x:row>
    <x:row r="11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</x:row>
    <x:row r="112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</x:row>
    <x:row r="113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</x:row>
    <x:row r="114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</x:row>
    <x:row r="115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</x:row>
    <x:row r="116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</x:row>
    <x:row r="117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</x:row>
    <x:row r="118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</x:row>
    <x:row r="119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</x:row>
    <x:row r="120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</x:row>
    <x:row r="12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</x:row>
    <x:row r="122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</x:row>
    <x:row r="123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</x:row>
    <x:row r="124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</x:row>
    <x:row r="125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</x:row>
    <x:row r="126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</x:row>
    <x:row r="127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</x:row>
    <x:row r="128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</x:row>
    <x:row r="129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</x:row>
    <x:row r="130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</x:row>
    <x:row r="13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</x:row>
    <x:row r="132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</x:row>
    <x:row r="133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</x:row>
    <x:row r="134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</x:row>
    <x:row r="135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</x:row>
    <x:row r="136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</x:row>
    <x:row r="137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</x:row>
    <x:row r="138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</x:row>
    <x:row r="139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</x:row>
    <x:row r="140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</x:row>
    <x:row r="14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78"/>
      <x:c r="U141" s="78"/>
      <x:c r="V141" s="78"/>
      <x:c r="W141" s="78"/>
      <x:c r="X141" s="78"/>
      <x:c r="Y141" s="78"/>
      <x:c r="Z141" s="78"/>
    </x:row>
    <x:row r="142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78"/>
      <x:c r="U142" s="78"/>
      <x:c r="V142" s="78"/>
      <x:c r="W142" s="78"/>
      <x:c r="X142" s="78"/>
      <x:c r="Y142" s="78"/>
      <x:c r="Z142" s="78"/>
    </x:row>
    <x:row r="143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78"/>
      <x:c r="U143" s="78"/>
      <x:c r="V143" s="78"/>
      <x:c r="W143" s="78"/>
      <x:c r="X143" s="78"/>
      <x:c r="Y143" s="78"/>
      <x:c r="Z143" s="78"/>
    </x:row>
    <x:row r="144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78"/>
      <x:c r="U144" s="78"/>
      <x:c r="V144" s="78"/>
      <x:c r="W144" s="78"/>
      <x:c r="X144" s="78"/>
      <x:c r="Y144" s="78"/>
      <x:c r="Z144" s="78"/>
    </x:row>
    <x:row r="145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78"/>
      <x:c r="U145" s="78"/>
      <x:c r="V145" s="78"/>
      <x:c r="W145" s="78"/>
      <x:c r="X145" s="78"/>
      <x:c r="Y145" s="78"/>
      <x:c r="Z145" s="78"/>
    </x:row>
    <x:row r="146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78"/>
      <x:c r="U146" s="78"/>
      <x:c r="V146" s="78"/>
      <x:c r="W146" s="78"/>
      <x:c r="X146" s="78"/>
      <x:c r="Y146" s="78"/>
      <x:c r="Z146" s="78"/>
    </x:row>
    <x:row r="147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78"/>
      <x:c r="U147" s="78"/>
      <x:c r="V147" s="78"/>
      <x:c r="W147" s="78"/>
      <x:c r="X147" s="78"/>
      <x:c r="Y147" s="78"/>
      <x:c r="Z147" s="78"/>
    </x:row>
    <x:row r="148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78"/>
      <x:c r="U148" s="78"/>
      <x:c r="V148" s="78"/>
      <x:c r="W148" s="78"/>
      <x:c r="X148" s="78"/>
      <x:c r="Y148" s="78"/>
      <x:c r="Z148" s="78"/>
    </x:row>
    <x:row r="149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78"/>
      <x:c r="U149" s="78"/>
      <x:c r="V149" s="78"/>
      <x:c r="W149" s="78"/>
      <x:c r="X149" s="78"/>
      <x:c r="Y149" s="78"/>
      <x:c r="Z149" s="78"/>
    </x:row>
    <x:row r="150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78"/>
      <x:c r="U150" s="78"/>
      <x:c r="V150" s="78"/>
      <x:c r="W150" s="78"/>
      <x:c r="X150" s="78"/>
      <x:c r="Y150" s="78"/>
      <x:c r="Z150" s="78"/>
    </x:row>
    <x:row r="15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78"/>
      <x:c r="U151" s="78"/>
      <x:c r="V151" s="78"/>
      <x:c r="W151" s="78"/>
      <x:c r="X151" s="78"/>
      <x:c r="Y151" s="78"/>
      <x:c r="Z151" s="78"/>
    </x:row>
    <x:row r="152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78"/>
      <x:c r="U152" s="78"/>
      <x:c r="V152" s="78"/>
      <x:c r="W152" s="78"/>
      <x:c r="X152" s="78"/>
      <x:c r="Y152" s="78"/>
      <x:c r="Z152" s="78"/>
    </x:row>
    <x:row r="153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78"/>
      <x:c r="U153" s="78"/>
      <x:c r="V153" s="78"/>
      <x:c r="W153" s="78"/>
      <x:c r="X153" s="78"/>
      <x:c r="Y153" s="78"/>
      <x:c r="Z153" s="78"/>
    </x:row>
    <x:row r="154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78"/>
      <x:c r="U154" s="78"/>
      <x:c r="V154" s="78"/>
      <x:c r="W154" s="78"/>
      <x:c r="X154" s="78"/>
      <x:c r="Y154" s="78"/>
      <x:c r="Z154" s="78"/>
    </x:row>
    <x:row r="155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78"/>
      <x:c r="U155" s="78"/>
      <x:c r="V155" s="78"/>
      <x:c r="W155" s="78"/>
      <x:c r="X155" s="78"/>
      <x:c r="Y155" s="78"/>
      <x:c r="Z155" s="78"/>
    </x:row>
    <x:row r="156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78"/>
      <x:c r="U156" s="78"/>
      <x:c r="V156" s="78"/>
      <x:c r="W156" s="78"/>
      <x:c r="X156" s="78"/>
      <x:c r="Y156" s="78"/>
      <x:c r="Z156" s="78"/>
    </x:row>
    <x:row r="157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78"/>
      <x:c r="U157" s="78"/>
      <x:c r="V157" s="78"/>
      <x:c r="W157" s="78"/>
      <x:c r="X157" s="78"/>
      <x:c r="Y157" s="78"/>
      <x:c r="Z157" s="78"/>
    </x:row>
    <x:row r="158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78"/>
      <x:c r="U158" s="78"/>
      <x:c r="V158" s="78"/>
      <x:c r="W158" s="78"/>
      <x:c r="X158" s="78"/>
      <x:c r="Y158" s="78"/>
      <x:c r="Z158" s="78"/>
    </x:row>
    <x:row r="159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78"/>
      <x:c r="U159" s="78"/>
      <x:c r="V159" s="78"/>
      <x:c r="W159" s="78"/>
      <x:c r="X159" s="78"/>
      <x:c r="Y159" s="78"/>
      <x:c r="Z159" s="78"/>
    </x:row>
    <x:row r="160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78"/>
      <x:c r="U160" s="78"/>
      <x:c r="V160" s="78"/>
      <x:c r="W160" s="78"/>
      <x:c r="X160" s="78"/>
      <x:c r="Y160" s="78"/>
      <x:c r="Z160" s="78"/>
    </x:row>
    <x:row r="16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78"/>
      <x:c r="U161" s="78"/>
      <x:c r="V161" s="78"/>
      <x:c r="W161" s="78"/>
      <x:c r="X161" s="78"/>
      <x:c r="Y161" s="78"/>
      <x:c r="Z161" s="78"/>
    </x:row>
    <x:row r="162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78"/>
      <x:c r="U162" s="78"/>
      <x:c r="V162" s="78"/>
      <x:c r="W162" s="78"/>
      <x:c r="X162" s="78"/>
      <x:c r="Y162" s="78"/>
      <x:c r="Z162" s="78"/>
    </x:row>
    <x:row r="163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78"/>
      <x:c r="U163" s="78"/>
      <x:c r="V163" s="78"/>
      <x:c r="W163" s="78"/>
      <x:c r="X163" s="78"/>
      <x:c r="Y163" s="78"/>
      <x:c r="Z163" s="78"/>
    </x:row>
    <x:row r="164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78"/>
      <x:c r="U164" s="78"/>
      <x:c r="V164" s="78"/>
      <x:c r="W164" s="78"/>
      <x:c r="X164" s="78"/>
      <x:c r="Y164" s="78"/>
      <x:c r="Z164" s="78"/>
    </x:row>
    <x:row r="165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78"/>
      <x:c r="U165" s="78"/>
      <x:c r="V165" s="78"/>
      <x:c r="W165" s="78"/>
      <x:c r="X165" s="78"/>
      <x:c r="Y165" s="78"/>
      <x:c r="Z165" s="78"/>
    </x:row>
    <x:row r="166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78"/>
      <x:c r="U166" s="78"/>
      <x:c r="V166" s="78"/>
      <x:c r="W166" s="78"/>
      <x:c r="X166" s="78"/>
      <x:c r="Y166" s="78"/>
      <x:c r="Z166" s="78"/>
    </x:row>
    <x:row r="167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78"/>
      <x:c r="U167" s="78"/>
      <x:c r="V167" s="78"/>
      <x:c r="W167" s="78"/>
      <x:c r="X167" s="78"/>
      <x:c r="Y167" s="78"/>
      <x:c r="Z167" s="78"/>
    </x:row>
    <x:row r="168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78"/>
      <x:c r="U168" s="78"/>
      <x:c r="V168" s="78"/>
      <x:c r="W168" s="78"/>
      <x:c r="X168" s="78"/>
      <x:c r="Y168" s="78"/>
      <x:c r="Z168" s="78"/>
    </x:row>
    <x:row r="169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78"/>
      <x:c r="U169" s="78"/>
      <x:c r="V169" s="78"/>
      <x:c r="W169" s="78"/>
      <x:c r="X169" s="78"/>
      <x:c r="Y169" s="78"/>
      <x:c r="Z169" s="78"/>
    </x:row>
    <x:row r="170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78"/>
      <x:c r="U170" s="78"/>
      <x:c r="V170" s="78"/>
      <x:c r="W170" s="78"/>
      <x:c r="X170" s="78"/>
      <x:c r="Y170" s="78"/>
      <x:c r="Z170" s="78"/>
    </x:row>
    <x:row r="17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78"/>
      <x:c r="U171" s="78"/>
      <x:c r="V171" s="78"/>
      <x:c r="W171" s="78"/>
      <x:c r="X171" s="78"/>
      <x:c r="Y171" s="78"/>
      <x:c r="Z171" s="78"/>
    </x:row>
    <x:row r="172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78"/>
      <x:c r="U172" s="78"/>
      <x:c r="V172" s="78"/>
      <x:c r="W172" s="78"/>
      <x:c r="X172" s="78"/>
      <x:c r="Y172" s="78"/>
      <x:c r="Z172" s="78"/>
    </x:row>
    <x:row r="173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78"/>
      <x:c r="U173" s="78"/>
      <x:c r="V173" s="78"/>
      <x:c r="W173" s="78"/>
      <x:c r="X173" s="78"/>
      <x:c r="Y173" s="78"/>
      <x:c r="Z173" s="78"/>
    </x:row>
    <x:row r="174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78"/>
      <x:c r="U174" s="78"/>
      <x:c r="V174" s="78"/>
      <x:c r="W174" s="78"/>
      <x:c r="X174" s="78"/>
      <x:c r="Y174" s="78"/>
      <x:c r="Z174" s="78"/>
    </x:row>
    <x:row r="175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78"/>
      <x:c r="U175" s="78"/>
      <x:c r="V175" s="78"/>
      <x:c r="W175" s="78"/>
      <x:c r="X175" s="78"/>
      <x:c r="Y175" s="78"/>
      <x:c r="Z175" s="78"/>
    </x:row>
    <x:row r="176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78"/>
      <x:c r="U176" s="78"/>
      <x:c r="V176" s="78"/>
      <x:c r="W176" s="78"/>
      <x:c r="X176" s="78"/>
      <x:c r="Y176" s="78"/>
      <x:c r="Z176" s="78"/>
    </x:row>
    <x:row r="177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78"/>
      <x:c r="U177" s="78"/>
      <x:c r="V177" s="78"/>
      <x:c r="W177" s="78"/>
      <x:c r="X177" s="78"/>
      <x:c r="Y177" s="78"/>
      <x:c r="Z177" s="78"/>
    </x:row>
    <x:row r="178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78"/>
      <x:c r="U178" s="78"/>
      <x:c r="V178" s="78"/>
      <x:c r="W178" s="78"/>
      <x:c r="X178" s="78"/>
      <x:c r="Y178" s="78"/>
      <x:c r="Z178" s="78"/>
    </x:row>
    <x:row r="179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78"/>
      <x:c r="U179" s="78"/>
      <x:c r="V179" s="78"/>
      <x:c r="W179" s="78"/>
      <x:c r="X179" s="78"/>
      <x:c r="Y179" s="78"/>
      <x:c r="Z179" s="78"/>
    </x:row>
    <x:row r="180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78"/>
      <x:c r="U180" s="78"/>
      <x:c r="V180" s="78"/>
      <x:c r="W180" s="78"/>
      <x:c r="X180" s="78"/>
      <x:c r="Y180" s="78"/>
      <x:c r="Z180" s="78"/>
    </x:row>
    <x:row r="18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78"/>
      <x:c r="U181" s="78"/>
      <x:c r="V181" s="78"/>
      <x:c r="W181" s="78"/>
      <x:c r="X181" s="78"/>
      <x:c r="Y181" s="78"/>
      <x:c r="Z181" s="78"/>
    </x:row>
    <x:row r="182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78"/>
      <x:c r="U182" s="78"/>
      <x:c r="V182" s="78"/>
      <x:c r="W182" s="78"/>
      <x:c r="X182" s="78"/>
      <x:c r="Y182" s="78"/>
      <x:c r="Z182" s="78"/>
    </x:row>
    <x:row r="183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78"/>
      <x:c r="U183" s="78"/>
      <x:c r="V183" s="78"/>
      <x:c r="W183" s="78"/>
      <x:c r="X183" s="78"/>
      <x:c r="Y183" s="78"/>
      <x:c r="Z183" s="78"/>
    </x:row>
    <x:row r="184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78"/>
      <x:c r="U184" s="78"/>
      <x:c r="V184" s="78"/>
      <x:c r="W184" s="78"/>
      <x:c r="X184" s="78"/>
      <x:c r="Y184" s="78"/>
      <x:c r="Z184" s="78"/>
    </x:row>
    <x:row r="185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78"/>
      <x:c r="U185" s="78"/>
      <x:c r="V185" s="78"/>
      <x:c r="W185" s="78"/>
      <x:c r="X185" s="78"/>
      <x:c r="Y185" s="78"/>
      <x:c r="Z185" s="78"/>
    </x:row>
    <x:row r="186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78"/>
      <x:c r="U186" s="78"/>
      <x:c r="V186" s="78"/>
      <x:c r="W186" s="78"/>
      <x:c r="X186" s="78"/>
      <x:c r="Y186" s="78"/>
      <x:c r="Z186" s="78"/>
    </x:row>
    <x:row r="187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78"/>
      <x:c r="U187" s="78"/>
      <x:c r="V187" s="78"/>
      <x:c r="W187" s="78"/>
      <x:c r="X187" s="78"/>
      <x:c r="Y187" s="78"/>
      <x:c r="Z187" s="78"/>
    </x:row>
    <x:row r="188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78"/>
      <x:c r="U188" s="78"/>
      <x:c r="V188" s="78"/>
      <x:c r="W188" s="78"/>
      <x:c r="X188" s="78"/>
      <x:c r="Y188" s="78"/>
      <x:c r="Z188" s="78"/>
    </x:row>
    <x:row r="189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78"/>
      <x:c r="U189" s="78"/>
      <x:c r="V189" s="78"/>
      <x:c r="W189" s="78"/>
      <x:c r="X189" s="78"/>
      <x:c r="Y189" s="78"/>
      <x:c r="Z189" s="78"/>
    </x:row>
    <x:row r="190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78"/>
      <x:c r="U190" s="78"/>
      <x:c r="V190" s="78"/>
      <x:c r="W190" s="78"/>
      <x:c r="X190" s="78"/>
      <x:c r="Y190" s="78"/>
      <x:c r="Z190" s="78"/>
    </x:row>
    <x:row r="19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78"/>
      <x:c r="U191" s="78"/>
      <x:c r="V191" s="78"/>
      <x:c r="W191" s="78"/>
      <x:c r="X191" s="78"/>
      <x:c r="Y191" s="78"/>
      <x:c r="Z191" s="78"/>
    </x:row>
    <x:row r="192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78"/>
      <x:c r="U192" s="78"/>
      <x:c r="V192" s="78"/>
      <x:c r="W192" s="78"/>
      <x:c r="X192" s="78"/>
      <x:c r="Y192" s="78"/>
      <x:c r="Z192" s="78"/>
    </x:row>
    <x:row r="193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78"/>
      <x:c r="U193" s="78"/>
      <x:c r="V193" s="78"/>
      <x:c r="W193" s="78"/>
      <x:c r="X193" s="78"/>
      <x:c r="Y193" s="78"/>
      <x:c r="Z193" s="78"/>
    </x:row>
    <x:row r="194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78"/>
      <x:c r="U194" s="78"/>
      <x:c r="V194" s="78"/>
      <x:c r="W194" s="78"/>
      <x:c r="X194" s="78"/>
      <x:c r="Y194" s="78"/>
      <x:c r="Z194" s="78"/>
    </x:row>
    <x:row r="195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78"/>
    </x:row>
    <x:row r="196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78"/>
      <x:c r="U196" s="78"/>
      <x:c r="V196" s="78"/>
      <x:c r="W196" s="78"/>
      <x:c r="X196" s="78"/>
      <x:c r="Y196" s="78"/>
      <x:c r="Z196" s="78"/>
    </x:row>
    <x:row r="197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78"/>
      <x:c r="U197" s="78"/>
      <x:c r="V197" s="78"/>
      <x:c r="W197" s="78"/>
      <x:c r="X197" s="78"/>
      <x:c r="Y197" s="78"/>
      <x:c r="Z197" s="78"/>
    </x:row>
    <x:row r="198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78"/>
      <x:c r="U198" s="78"/>
      <x:c r="V198" s="78"/>
      <x:c r="W198" s="78"/>
      <x:c r="X198" s="78"/>
      <x:c r="Y198" s="78"/>
      <x:c r="Z198" s="78"/>
    </x:row>
    <x:row r="199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78"/>
    </x:row>
    <x:row r="200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78"/>
    </x:row>
  </x:sheetData>
  <x:mergeCells>
    <x:mergeCell ref="A1:E1"/>
    <x:mergeCell ref="A2:E2"/>
    <x:mergeCell ref="A4:E4"/>
    <x:mergeCell ref="A24:E2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26" hidden="0" customWidth="1"/>
    <x:col min="3" max="3" width="26" hidden="0" customWidth="1"/>
    <x:col min="4" max="4" width="18" hidden="0" customWidth="1"/>
    <x:col min="5" max="5" width="45" hidden="0" customWidth="1"/>
    <x:col min="6" max="6" width="31" hidden="0" customWidth="1"/>
    <x:col min="7" max="7" width="19" hidden="0" customWidth="1"/>
    <x:col min="8" max="8" width="36" hidden="0" customWidth="1"/>
  </x:cols>
  <x:sheetData>
    <x:row r="1" ht="34" customHeight="1">
      <x:c r="A1" s="77" t="str">
        <x:v>Factory OS — complete costing and proposed quotation</x:v>
      </x:c>
      <x:c r="B1" s="77"/>
      <x:c r="C1" s="77"/>
      <x:c r="D1" s="77"/>
      <x:c r="E1" s="77"/>
      <x:c r="F1" s="77"/>
      <x:c r="G1" s="77"/>
      <x:c r="H1" s="77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  <x:c r="V1" s="78"/>
      <x:c r="W1" s="78"/>
      <x:c r="X1" s="78"/>
      <x:c r="Y1" s="78"/>
      <x:c r="Z1" s="78"/>
    </x:row>
    <x:row r="2" ht="28" customHeight="1">
      <x:c r="A2" s="5" t="str">
        <x:v>Prepared for a solo founder building with Claude and Codex. This is a funded production model, not a cheapest-possible demo estimate.</x:v>
      </x:c>
      <x:c r="B2" s="5"/>
      <x:c r="C2" s="5"/>
      <x:c r="D2" s="5"/>
      <x:c r="E2" s="5"/>
      <x:c r="F2" s="5"/>
      <x:c r="G2" s="5"/>
      <x:c r="H2" s="5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</x:row>
    <x:row r="4" ht="24" customHeight="1">
      <x:c r="A4" s="79" t="str">
        <x:v>Decision summary</x:v>
      </x:c>
      <x:c r="B4" s="79"/>
      <x:c r="C4" s="79"/>
      <x:c r="D4" s="79"/>
      <x:c r="E4" s="79"/>
      <x:c r="F4" s="79"/>
      <x:c r="G4" s="79"/>
      <x:c r="H4" s="79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8"/>
      <x:c r="V4" s="78"/>
      <x:c r="W4" s="78"/>
      <x:c r="X4" s="78"/>
      <x:c r="Y4" s="78"/>
      <x:c r="Z4" s="78"/>
    </x:row>
    <x:row r="5">
      <x:c r="A5" s="80" t="str">
        <x:v>Decision</x:v>
      </x:c>
      <x:c r="B5" s="80" t="str">
        <x:v>Recommended</x:v>
      </x:c>
      <x:c r="C5" s="80" t="str">
        <x:v>Expected result</x:v>
      </x:c>
      <x:c r="D5" s="80" t="str">
        <x:v>Why</x:v>
      </x:c>
      <x:c r="E5" s="80" t="str">
        <x:v>Owner</x:v>
      </x:c>
      <x:c r="F5" s="80" t="str">
        <x:v>When</x:v>
      </x:c>
      <x:c r="G5" s="80" t="str">
        <x:v>Gate</x:v>
      </x:c>
      <x:c r="H5" s="80" t="str">
        <x:v>Notes</x:v>
      </x:c>
      <x:c r="I5" s="78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</x:row>
    <x:row r="6">
      <x:c r="A6" s="81" t="str">
        <x:v>Client architecture</x:v>
      </x:c>
      <x:c r="B6" s="81" t="str">
        <x:v>One codebase; separate Vercel + Neon per client</x:v>
      </x:c>
      <x:c r="C6" s="81" t="str">
        <x:v>Isolation without code forks</x:v>
      </x:c>
      <x:c r="D6" s="81" t="str">
        <x:v>Limits blast radius and supports export/restore</x:v>
      </x:c>
      <x:c r="E6" s="81" t="str">
        <x:v>Founder</x:v>
      </x:c>
      <x:c r="F6" s="81" t="str">
        <x:v>Now</x:v>
      </x:c>
      <x:c r="G6" s="81" t="str">
        <x:v>Adopt</x:v>
      </x:c>
      <x:c r="H6" s="81" t="str">
        <x:v>Two sites remain in one client DB via site ID</x:v>
      </x:c>
      <x:c r="I6" s="78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</x:row>
    <x:row r="7">
      <x:c r="A7" s="81" t="str">
        <x:v>Production database</x:v>
      </x:c>
      <x:c r="B7" s="81" t="str">
        <x:v>Neon Scale</x:v>
      </x:c>
      <x:c r="C7" s="81" t="str">
        <x:v>30-day PITR and enterprise controls</x:v>
      </x:c>
      <x:c r="D7" s="81" t="str">
        <x:v>Launch pricing is not a complete business baseline</x:v>
      </x:c>
      <x:c r="E7" s="81" t="str">
        <x:v>Founder</x:v>
      </x:c>
      <x:c r="F7" s="81" t="str">
        <x:v>Pre-launch</x:v>
      </x:c>
      <x:c r="G7" s="81" t="str">
        <x:v>Required</x:v>
      </x:c>
      <x:c r="H7" s="81" t="str">
        <x:v>Keep staging separate</x:v>
      </x:c>
      <x:c r="I7" s="78"/>
      <x:c r="J7" s="78"/>
      <x:c r="K7" s="78"/>
      <x:c r="L7" s="78"/>
      <x:c r="M7" s="78"/>
      <x:c r="N7" s="78"/>
      <x:c r="O7" s="78"/>
      <x:c r="P7" s="78"/>
      <x:c r="Q7" s="78"/>
      <x:c r="R7" s="78"/>
      <x:c r="S7" s="78"/>
      <x:c r="T7" s="78"/>
      <x:c r="U7" s="78"/>
      <x:c r="V7" s="78"/>
      <x:c r="W7" s="78"/>
      <x:c r="X7" s="78"/>
      <x:c r="Y7" s="78"/>
      <x:c r="Z7" s="78"/>
    </x:row>
    <x:row r="8">
      <x:c r="A8" s="81" t="str">
        <x:v>AI continuity</x:v>
      </x:c>
      <x:c r="B8" s="81" t="str">
        <x:v>$500 funded workspace reserve; $750 workspace cap; $1,000 org tier</x:v>
      </x:c>
      <x:c r="C8" s="81" t="str">
        <x:v>No surprise credit exhaustion</x:v>
      </x:c>
      <x:c r="D8" s="81" t="str">
        <x:v>Expected use is about $150; stress is about $446</x:v>
      </x:c>
      <x:c r="E8" s="81" t="str">
        <x:v>Founder</x:v>
      </x:c>
      <x:c r="F8" s="81" t="str">
        <x:v>Pre-launch</x:v>
      </x:c>
      <x:c r="G8" s="81" t="str">
        <x:v>Required</x:v>
      </x:c>
      <x:c r="H8" s="81" t="str">
        <x:v>Manual fallback queue remains mandatory</x:v>
      </x:c>
      <x:c r="I8" s="78"/>
      <x:c r="J8" s="78"/>
      <x:c r="K8" s="78"/>
      <x:c r="L8" s="78"/>
      <x:c r="M8" s="78"/>
      <x:c r="N8" s="78"/>
      <x:c r="O8" s="78"/>
      <x:c r="P8" s="78"/>
      <x:c r="Q8" s="78"/>
      <x:c r="R8" s="78"/>
      <x:c r="S8" s="78"/>
      <x:c r="T8" s="78"/>
      <x:c r="U8" s="78"/>
      <x:c r="V8" s="78"/>
      <x:c r="W8" s="78"/>
      <x:c r="X8" s="78"/>
      <x:c r="Y8" s="78"/>
      <x:c r="Z8" s="78"/>
    </x:row>
    <x:row r="9">
      <x:c r="A9" s="81" t="str">
        <x:v>Commercial</x:v>
      </x:c>
      <x:c r="B9" s="81" t="str">
        <x:v>₹10L setup + ₹1.50L/month, GST extra</x:v>
      </x:c>
      <x:c r="C9" s="81" t="str">
        <x:v>₹46L 24-month contract value</x:v>
      </x:c>
      <x:c r="D9" s="81" t="str">
        <x:v>Founding-partner price; later standard price can rise</x:v>
      </x:c>
      <x:c r="E9" s="81" t="str">
        <x:v>Founder</x:v>
      </x:c>
      <x:c r="F9" s="81" t="str">
        <x:v>Proposal</x:v>
      </x:c>
      <x:c r="G9" s="81" t="str">
        <x:v>Recommended</x:v>
      </x:c>
      <x:c r="H9" s="81" t="str">
        <x:v>24-month initial term</x:v>
      </x:c>
      <x:c r="I9" s="78"/>
      <x:c r="J9" s="78"/>
      <x:c r="K9" s="78"/>
      <x:c r="L9" s="78"/>
      <x:c r="M9" s="78"/>
      <x:c r="N9" s="78"/>
      <x:c r="O9" s="78"/>
      <x:c r="P9" s="78"/>
      <x:c r="Q9" s="78"/>
      <x:c r="R9" s="78"/>
      <x:c r="S9" s="78"/>
      <x:c r="T9" s="78"/>
      <x:c r="U9" s="78"/>
      <x:c r="V9" s="78"/>
      <x:c r="W9" s="78"/>
      <x:c r="X9" s="78"/>
      <x:c r="Y9" s="78"/>
      <x:c r="Z9" s="78"/>
    </x:row>
    <x:row r="10">
      <x:c r="A10" s="83" t="str">
        <x:v>Scale</x:v>
      </x:c>
      <x:c r="B10" s="83" t="str">
        <x:v>Add support help by client 5; hire before client 8</x:v>
      </x:c>
      <x:c r="C10" s="83" t="str">
        <x:v>Founder is not the availability layer</x:v>
      </x:c>
      <x:c r="D10" s="83" t="str">
        <x:v>Modeled support reaches 102 h/month at 10 clients</x:v>
      </x:c>
      <x:c r="E10" s="83" t="str">
        <x:v>Founder</x:v>
      </x:c>
      <x:c r="F10" s="83" t="str">
        <x:v>Growth</x:v>
      </x:c>
      <x:c r="G10" s="83" t="str">
        <x:v>Hard gate</x:v>
      </x:c>
      <x:c r="H10" s="83" t="str">
        <x:v>Do not promise enterprise SLA while solo</x:v>
      </x:c>
      <x:c r="I10" s="78"/>
      <x:c r="J10" s="78"/>
      <x:c r="K10" s="78"/>
      <x:c r="L10" s="78"/>
      <x:c r="M10" s="78"/>
      <x:c r="N10" s="78"/>
      <x:c r="O10" s="78"/>
      <x:c r="P10" s="78"/>
      <x:c r="Q10" s="78"/>
      <x:c r="R10" s="78"/>
      <x:c r="S10" s="78"/>
      <x:c r="T10" s="78"/>
      <x:c r="U10" s="78"/>
      <x:c r="V10" s="78"/>
      <x:c r="W10" s="78"/>
      <x:c r="X10" s="78"/>
      <x:c r="Y10" s="78"/>
      <x:c r="Z10" s="78"/>
    </x:row>
    <x:row r="1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78"/>
      <x:c r="U11" s="78"/>
      <x:c r="V11" s="78"/>
      <x:c r="W11" s="78"/>
      <x:c r="X11" s="78"/>
      <x:c r="Y11" s="78"/>
      <x:c r="Z11" s="78"/>
    </x:row>
    <x:row r="12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  <x:c r="L12" s="78"/>
      <x:c r="M12" s="78"/>
      <x:c r="N12" s="78"/>
      <x:c r="O12" s="78"/>
      <x:c r="P12" s="78"/>
      <x:c r="Q12" s="78"/>
      <x:c r="R12" s="78"/>
      <x:c r="S12" s="78"/>
      <x:c r="T12" s="78"/>
      <x:c r="U12" s="78"/>
      <x:c r="V12" s="78"/>
      <x:c r="W12" s="78"/>
      <x:c r="X12" s="78"/>
      <x:c r="Y12" s="78"/>
      <x:c r="Z12" s="78"/>
    </x:row>
    <x:row r="13" ht="24" customHeight="1">
      <x:c r="A13" s="91" t="str">
        <x:v>One-client economics</x:v>
      </x:c>
      <x:c r="B13" s="91"/>
      <x:c r="C13" s="91"/>
      <x:c r="D13" s="91"/>
      <x:c r="E13" s="91"/>
      <x:c r="F13" s="91"/>
      <x:c r="G13" s="91"/>
      <x:c r="H13" s="91"/>
      <x:c r="I13" s="78"/>
      <x:c r="J13" s="78"/>
      <x:c r="K13" s="78"/>
      <x:c r="L13" s="78"/>
      <x:c r="M13" s="78"/>
      <x:c r="N13" s="78"/>
      <x:c r="O13" s="78"/>
      <x:c r="P13" s="78"/>
      <x:c r="Q13" s="78"/>
      <x:c r="R13" s="78"/>
      <x:c r="S13" s="78"/>
      <x:c r="T13" s="78"/>
      <x:c r="U13" s="78"/>
      <x:c r="V13" s="78"/>
      <x:c r="W13" s="78"/>
      <x:c r="X13" s="78"/>
      <x:c r="Y13" s="78"/>
      <x:c r="Z13" s="78"/>
    </x:row>
    <x:row r="14">
      <x:c r="A14" s="80" t="str">
        <x:v>Metric</x:v>
      </x:c>
      <x:c r="B14" s="80" t="str">
        <x:v>Expected</x:v>
      </x:c>
      <x:c r="C14" s="80" t="str">
        <x:v>Funded guardrail</x:v>
      </x:c>
      <x:c r="D14" s="80" t="str">
        <x:v>Unit</x:v>
      </x:c>
      <x:c r="E14" s="80" t="str">
        <x:v>Included</x:v>
      </x:c>
      <x:c r="F14" s="80" t="str">
        <x:v>Excluded</x:v>
      </x:c>
      <x:c r="G14" s="80" t="str">
        <x:v>Use</x:v>
      </x:c>
      <x:c r="H14" s="80" t="str">
        <x:v>Interpretation</x:v>
      </x:c>
      <x:c r="I14" s="78"/>
      <x:c r="J14" s="78"/>
      <x:c r="K14" s="78"/>
      <x:c r="L14" s="78"/>
      <x:c r="M14" s="78"/>
      <x:c r="N14" s="78"/>
      <x:c r="O14" s="78"/>
      <x:c r="P14" s="78"/>
      <x:c r="Q14" s="78"/>
      <x:c r="R14" s="78"/>
      <x:c r="S14" s="78"/>
      <x:c r="T14" s="78"/>
      <x:c r="U14" s="78"/>
      <x:c r="V14" s="78"/>
      <x:c r="W14" s="78"/>
      <x:c r="X14" s="78"/>
      <x:c r="Y14" s="78"/>
      <x:c r="Z14" s="78"/>
    </x:row>
    <x:row r="15">
      <x:c r="A15" s="81" t="str">
        <x:v>Production platform</x:v>
      </x:c>
      <x:c r="B15" s="97" t="n">
        <x:f>'Runtime COGS'!B39</x:f>
        <x:v>340.87625</x:v>
      </x:c>
      <x:c r="C15" s="97" t="n">
        <x:f>'Runtime COGS'!C39</x:f>
        <x:v>926</x:v>
      </x:c>
      <x:c r="D15" s="81" t="str">
        <x:v>US$/month</x:v>
      </x:c>
      <x:c r="E15" s="81" t="str">
        <x:v>Hosting, DB, AI, monitoring, email, files</x:v>
      </x:c>
      <x:c r="F15" s="81" t="str">
        <x:v>Founder tools</x:v>
      </x:c>
      <x:c r="G15" s="81" t="str">
        <x:v>Operating COGS</x:v>
      </x:c>
      <x:c r="H15" s="81" t="str">
        <x:v>Expected ≈ $341</x:v>
      </x:c>
      <x:c r="I15" s="78"/>
      <x:c r="J15" s="78"/>
      <x:c r="K15" s="78"/>
      <x:c r="L15" s="78"/>
      <x:c r="M15" s="78"/>
      <x:c r="N15" s="78"/>
      <x:c r="O15" s="78"/>
      <x:c r="P15" s="78"/>
      <x:c r="Q15" s="78"/>
      <x:c r="R15" s="78"/>
      <x:c r="S15" s="78"/>
      <x:c r="T15" s="78"/>
      <x:c r="U15" s="78"/>
      <x:c r="V15" s="78"/>
      <x:c r="W15" s="78"/>
      <x:c r="X15" s="78"/>
      <x:c r="Y15" s="78"/>
      <x:c r="Z15" s="78"/>
    </x:row>
    <x:row r="16">
      <x:c r="A16" s="119" t="str">
        <x:v>One-client cash burn</x:v>
      </x:c>
      <x:c r="B16" s="120" t="n">
        <x:f>'Runtime COGS'!B41</x:f>
        <x:v>106918.35432299999</x:v>
      </x:c>
      <x:c r="C16" s="120" t="n">
        <x:f>'Runtime COGS'!C41</x:f>
        <x:v>172491.03827999998</x:v>
      </x:c>
      <x:c r="D16" s="119" t="str">
        <x:v>₹/month</x:v>
      </x:c>
      <x:c r="E16" s="119" t="str">
        <x:v>Platform + founder engineering tools + FX/GST</x:v>
      </x:c>
      <x:c r="F16" s="119" t="str">
        <x:v>Founder time</x:v>
      </x:c>
      <x:c r="G16" s="119" t="str">
        <x:v>Runway</x:v>
      </x:c>
      <x:c r="H16" s="119" t="str">
        <x:v>Expected ≈ ₹1.07L</x:v>
      </x:c>
      <x:c r="I16" s="78"/>
      <x:c r="J16" s="78"/>
      <x:c r="K16" s="78"/>
      <x:c r="L16" s="78"/>
      <x:c r="M16" s="78"/>
      <x:c r="N16" s="78"/>
      <x:c r="O16" s="78"/>
      <x:c r="P16" s="78"/>
      <x:c r="Q16" s="78"/>
      <x:c r="R16" s="78"/>
      <x:c r="S16" s="78"/>
      <x:c r="T16" s="78"/>
      <x:c r="U16" s="78"/>
      <x:c r="V16" s="78"/>
      <x:c r="W16" s="78"/>
      <x:c r="X16" s="78"/>
      <x:c r="Y16" s="78"/>
      <x:c r="Z16" s="78"/>
    </x:row>
    <x:row r="17">
      <x:c r="A17" s="119" t="str">
        <x:v>Official-launch cash</x:v>
      </x:c>
      <x:c r="B17" s="120" t="n">
        <x:f>'Build &amp; Launch'!C15</x:f>
        <x:v>1406036.7639360002</x:v>
      </x:c>
      <x:c r="C17" s="120" t="n">
        <x:f>'Build &amp; Launch'!C15</x:f>
        <x:v>1406036.7639360002</x:v>
      </x:c>
      <x:c r="D17" s="119" t="str">
        <x:v>₹ one-time</x:v>
      </x:c>
      <x:c r="E17" s="119" t="str">
        <x:v>External assurance, runway, first migration</x:v>
      </x:c>
      <x:c r="F17" s="119" t="str">
        <x:v>Founder hardening time</x:v>
      </x:c>
      <x:c r="G17" s="119" t="str">
        <x:v>Funding gate</x:v>
      </x:c>
      <x:c r="H17" s="119" t="str">
        <x:v>Expected ≈ ₹14.1L</x:v>
      </x:c>
      <x:c r="I17" s="78"/>
      <x:c r="J17" s="78"/>
      <x:c r="K17" s="78"/>
      <x:c r="L17" s="78"/>
      <x:c r="M17" s="78"/>
      <x:c r="N17" s="78"/>
      <x:c r="O17" s="78"/>
      <x:c r="P17" s="78"/>
      <x:c r="Q17" s="78"/>
      <x:c r="R17" s="78"/>
      <x:c r="S17" s="78"/>
      <x:c r="T17" s="78"/>
      <x:c r="U17" s="78"/>
      <x:c r="V17" s="78"/>
      <x:c r="W17" s="78"/>
      <x:c r="X17" s="78"/>
      <x:c r="Y17" s="78"/>
      <x:c r="Z17" s="78"/>
    </x:row>
    <x:row r="18">
      <x:c r="A18" s="119" t="str">
        <x:v>Founder hardening economic cost</x:v>
      </x:c>
      <x:c r="B18" s="120" t="n">
        <x:f>'Build &amp; Launch'!D29</x:f>
        <x:v>2100000</x:v>
      </x:c>
      <x:c r="C18" s="120" t="n">
        <x:f>'Assumptions'!C46*'Assumptions'!C41</x:f>
        <x:v>3500000</x:v>
      </x:c>
      <x:c r="D18" s="119" t="str">
        <x:v>₹ one-time</x:v>
      </x:c>
      <x:c r="E18" s="119" t="str">
        <x:v>840 modeled hours</x:v>
      </x:c>
      <x:c r="F18" s="119" t="str">
        <x:v>Cash salary</x:v>
      </x:c>
      <x:c r="G18" s="119" t="str">
        <x:v>Investment accounting</x:v>
      </x:c>
      <x:c r="H18" s="119" t="str">
        <x:v>Expected ≈ ₹21L</x:v>
      </x:c>
      <x:c r="I18" s="78"/>
      <x:c r="J18" s="78"/>
      <x:c r="K18" s="78"/>
      <x:c r="L18" s="78"/>
      <x:c r="M18" s="78"/>
      <x:c r="N18" s="78"/>
      <x:c r="O18" s="78"/>
      <x:c r="P18" s="78"/>
      <x:c r="Q18" s="78"/>
      <x:c r="R18" s="78"/>
      <x:c r="S18" s="78"/>
      <x:c r="T18" s="78"/>
      <x:c r="U18" s="78"/>
      <x:c r="V18" s="78"/>
      <x:c r="W18" s="78"/>
      <x:c r="X18" s="78"/>
      <x:c r="Y18" s="78"/>
      <x:c r="Z18" s="78"/>
    </x:row>
    <x:row r="19">
      <x:c r="A19" s="127" t="str">
        <x:v>24-month quote value</x:v>
      </x:c>
      <x:c r="B19" s="130" t="n">
        <x:f>'Quotation'!D10</x:f>
        <x:v>4600000</x:v>
      </x:c>
      <x:c r="C19" s="130" t="n">
        <x:f>'Assumptions'!C43+'Assumptions'!C44*'Assumptions'!C45</x:f>
        <x:v>7500000</x:v>
      </x:c>
      <x:c r="D19" s="127" t="str">
        <x:v>₹ before GST</x:v>
      </x:c>
      <x:c r="E19" s="127" t="str">
        <x:v>Setup + recurring</x:v>
      </x:c>
      <x:c r="F19" s="127" t="str">
        <x:v>Overages / add-ons</x:v>
      </x:c>
      <x:c r="G19" s="127" t="str">
        <x:v>Sales proposal</x:v>
      </x:c>
      <x:c r="H19" s="127" t="str">
        <x:v>Founding quote ≈ ₹46L</x:v>
      </x:c>
      <x:c r="I19" s="78"/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78"/>
      <x:c r="W19" s="78"/>
      <x:c r="X19" s="78"/>
      <x:c r="Y19" s="78"/>
      <x:c r="Z19" s="78"/>
    </x:row>
    <x:row r="20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  <x:c r="P20" s="78"/>
      <x:c r="Q20" s="78"/>
      <x:c r="R20" s="78"/>
      <x:c r="S20" s="78"/>
      <x:c r="T20" s="78"/>
      <x:c r="U20" s="78"/>
      <x:c r="V20" s="78"/>
      <x:c r="W20" s="78"/>
      <x:c r="X20" s="78"/>
      <x:c r="Y20" s="78"/>
      <x:c r="Z20" s="78"/>
    </x:row>
    <x:row r="2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78"/>
    </x:row>
    <x:row r="22" ht="24" customHeight="1">
      <x:c r="A22" s="101" t="str">
        <x:v>What changed from the earlier costing</x:v>
      </x:c>
      <x:c r="B22" s="101"/>
      <x:c r="C22" s="101"/>
      <x:c r="D22" s="101"/>
      <x:c r="E22" s="101"/>
      <x:c r="F22" s="101"/>
      <x:c r="G22" s="101"/>
      <x:c r="H22" s="101"/>
      <x:c r="I22" s="78"/>
      <x:c r="J22" s="78"/>
      <x:c r="K22" s="78"/>
      <x:c r="L22" s="78"/>
      <x:c r="M22" s="78"/>
      <x:c r="N22" s="78"/>
      <x:c r="O22" s="78"/>
      <x:c r="P22" s="78"/>
      <x:c r="Q22" s="78"/>
      <x:c r="R22" s="78"/>
      <x:c r="S22" s="78"/>
      <x:c r="T22" s="78"/>
      <x:c r="U22" s="78"/>
      <x:c r="V22" s="78"/>
      <x:c r="W22" s="78"/>
      <x:c r="X22" s="78"/>
      <x:c r="Y22" s="78"/>
      <x:c r="Z22" s="78"/>
    </x:row>
    <x:row r="23">
      <x:c r="A23" s="80" t="str">
        <x:v>Earlier assumption</x:v>
      </x:c>
      <x:c r="B23" s="80" t="str">
        <x:v>Problem</x:v>
      </x:c>
      <x:c r="C23" s="80" t="str">
        <x:v>Replacement</x:v>
      </x:c>
      <x:c r="D23" s="80" t="str">
        <x:v>Effect</x:v>
      </x:c>
      <x:c r="E23" s="80" t="str">
        <x:v>Evidence</x:v>
      </x:c>
      <x:c r="F23" s="80" t="str">
        <x:v>Decision</x:v>
      </x:c>
      <x:c r="G23" s="80" t="str">
        <x:v>Owner</x:v>
      </x:c>
      <x:c r="H23" s="80" t="str">
        <x:v>Status</x:v>
      </x:c>
      <x:c r="I23" s="78"/>
      <x:c r="J23" s="78"/>
      <x:c r="K23" s="78"/>
      <x:c r="L23" s="78"/>
      <x:c r="M23" s="78"/>
      <x:c r="N23" s="78"/>
      <x:c r="O23" s="78"/>
      <x:c r="P23" s="78"/>
      <x:c r="Q23" s="78"/>
      <x:c r="R23" s="78"/>
      <x:c r="S23" s="78"/>
      <x:c r="T23" s="78"/>
      <x:c r="U23" s="78"/>
      <x:c r="V23" s="78"/>
      <x:c r="W23" s="78"/>
      <x:c r="X23" s="78"/>
      <x:c r="Y23" s="78"/>
      <x:c r="Z23" s="78"/>
    </x:row>
    <x:row r="24">
      <x:c r="A24" s="81" t="str">
        <x:v>Neon ≈ $9/month</x:v>
      </x:c>
      <x:c r="B24" s="81" t="str">
        <x:v>Assumes sleeping compute and limited controls</x:v>
      </x:c>
      <x:c r="C24" s="81" t="str">
        <x:v>Neon Scale allowance $55 expected / $100 guardrail</x:v>
      </x:c>
      <x:c r="D24" s="81" t="str">
        <x:v>Higher but production-capable</x:v>
      </x:c>
      <x:c r="E24" s="81" t="str">
        <x:v>Scale pricing and PITR/SLA</x:v>
      </x:c>
      <x:c r="F24" s="81" t="str">
        <x:v>Use Scale</x:v>
      </x:c>
      <x:c r="G24" s="81" t="str">
        <x:v>Founder</x:v>
      </x:c>
      <x:c r="H24" s="102" t="str">
        <x:v>Required</x:v>
      </x:c>
      <x:c r="I24" s="78"/>
      <x:c r="J24" s="78"/>
      <x:c r="K24" s="78"/>
      <x:c r="L24" s="78"/>
      <x:c r="M24" s="78"/>
      <x:c r="N24" s="78"/>
      <x:c r="O24" s="78"/>
      <x:c r="P24" s="78"/>
      <x:c r="Q24" s="78"/>
      <x:c r="R24" s="78"/>
      <x:c r="S24" s="78"/>
      <x:c r="T24" s="78"/>
      <x:c r="U24" s="78"/>
      <x:c r="V24" s="78"/>
      <x:c r="W24" s="78"/>
      <x:c r="X24" s="78"/>
      <x:c r="Y24" s="78"/>
      <x:c r="Z24" s="78"/>
    </x:row>
    <x:row r="25">
      <x:c r="A25" s="81" t="str">
        <x:v>Claude API ≈ $21/month</x:v>
      </x:c>
      <x:c r="B25" s="81" t="str">
        <x:v>Misses large copilot context, retries and growth</x:v>
      </x:c>
      <x:c r="C25" s="81" t="str">
        <x:v>$150 expected / $500 funded reserve</x:v>
      </x:c>
      <x:c r="D25" s="81" t="str">
        <x:v>Prevents hard stop</x:v>
      </x:c>
      <x:c r="E25" s="81" t="str">
        <x:v>Current Sonnet 4.6 token model</x:v>
      </x:c>
      <x:c r="F25" s="81" t="str">
        <x:v>Fund reserve</x:v>
      </x:c>
      <x:c r="G25" s="81" t="str">
        <x:v>Founder</x:v>
      </x:c>
      <x:c r="H25" s="102" t="str">
        <x:v>Required</x:v>
      </x:c>
      <x:c r="I25" s="78"/>
      <x:c r="J25" s="78"/>
      <x:c r="K25" s="78"/>
      <x:c r="L25" s="78"/>
      <x:c r="M25" s="78"/>
      <x:c r="N25" s="78"/>
      <x:c r="O25" s="78"/>
      <x:c r="P25" s="78"/>
      <x:c r="Q25" s="78"/>
      <x:c r="R25" s="78"/>
      <x:c r="S25" s="78"/>
      <x:c r="T25" s="78"/>
      <x:c r="U25" s="78"/>
      <x:c r="V25" s="78"/>
      <x:c r="W25" s="78"/>
      <x:c r="X25" s="78"/>
      <x:c r="Y25" s="78"/>
      <x:c r="Z25" s="78"/>
    </x:row>
    <x:row r="26">
      <x:c r="A26" s="81" t="str">
        <x:v>Domain + backup ≈ $2/month</x:v>
      </x:c>
      <x:c r="B26" s="81" t="str">
        <x:v>No off-provider recovery</x:v>
      </x:c>
      <x:c r="C26" s="81" t="str">
        <x:v>Private files + independent encrypted backup</x:v>
      </x:c>
      <x:c r="D26" s="81" t="str">
        <x:v>Recoverable operation</x:v>
      </x:c>
      <x:c r="E26" s="81" t="str">
        <x:v>Current file architecture</x:v>
      </x:c>
      <x:c r="F26" s="81" t="str">
        <x:v>Build</x:v>
      </x:c>
      <x:c r="G26" s="81" t="str">
        <x:v>Founder</x:v>
      </x:c>
      <x:c r="H26" s="102" t="str">
        <x:v>Required</x:v>
      </x:c>
      <x:c r="I26" s="78"/>
      <x:c r="J26" s="78"/>
      <x:c r="K26" s="78"/>
      <x:c r="L26" s="78"/>
      <x:c r="M26" s="78"/>
      <x:c r="N26" s="78"/>
      <x:c r="O26" s="78"/>
      <x:c r="P26" s="78"/>
      <x:c r="Q26" s="78"/>
      <x:c r="R26" s="78"/>
      <x:c r="S26" s="78"/>
      <x:c r="T26" s="78"/>
      <x:c r="U26" s="78"/>
      <x:c r="V26" s="78"/>
      <x:c r="W26" s="78"/>
      <x:c r="X26" s="78"/>
      <x:c r="Y26" s="78"/>
      <x:c r="Z26" s="78"/>
    </x:row>
    <x:row r="27">
      <x:c r="A27" s="81" t="str">
        <x:v>Agency/team build ≈ ₹27.9L</x:v>
      </x:c>
      <x:c r="B27" s="81" t="str">
        <x:v>Does not match solo AI-assisted build</x:v>
      </x:c>
      <x:c r="C27" s="81" t="str">
        <x:v>₹14.1L cash launch + ₹21L founder time</x:v>
      </x:c>
      <x:c r="D27" s="81" t="str">
        <x:v>Separates cash and economic cost</x:v>
      </x:c>
      <x:c r="E27" s="81" t="str">
        <x:v>840-hour hardening model</x:v>
      </x:c>
      <x:c r="F27" s="81" t="str">
        <x:v>Track both</x:v>
      </x:c>
      <x:c r="G27" s="81" t="str">
        <x:v>Founder</x:v>
      </x:c>
      <x:c r="H27" s="102" t="str">
        <x:v>Adopt</x:v>
      </x:c>
      <x:c r="I27" s="78"/>
      <x:c r="J27" s="78"/>
      <x:c r="K27" s="78"/>
      <x:c r="L27" s="78"/>
      <x:c r="M27" s="78"/>
      <x:c r="N27" s="78"/>
      <x:c r="O27" s="78"/>
      <x:c r="P27" s="78"/>
      <x:c r="Q27" s="78"/>
      <x:c r="R27" s="78"/>
      <x:c r="S27" s="78"/>
      <x:c r="T27" s="78"/>
      <x:c r="U27" s="78"/>
      <x:c r="V27" s="78"/>
      <x:c r="W27" s="78"/>
      <x:c r="X27" s="78"/>
      <x:c r="Y27" s="78"/>
      <x:c r="Z27" s="78"/>
    </x:row>
    <x:row r="28">
      <x:c r="A28" s="81" t="str">
        <x:v>₹45k/month selling price</x:v>
      </x:c>
      <x:c r="B28" s="81" t="str">
        <x:v>Thin at one client and ignores support risk</x:v>
      </x:c>
      <x:c r="C28" s="81" t="str">
        <x:v>₹1.50L/month founding quote</x:v>
      </x:c>
      <x:c r="D28" s="81" t="str">
        <x:v>Can support a real service</x:v>
      </x:c>
      <x:c r="E28" s="81" t="str">
        <x:v>Multi-client cost curve</x:v>
      </x:c>
      <x:c r="F28" s="81" t="str">
        <x:v>Quote</x:v>
      </x:c>
      <x:c r="G28" s="81" t="str">
        <x:v>Founder</x:v>
      </x:c>
      <x:c r="H28" s="102" t="str">
        <x:v>Recommended</x:v>
      </x:c>
      <x:c r="I28" s="78"/>
      <x:c r="J28" s="78"/>
      <x:c r="K28" s="78"/>
      <x:c r="L28" s="78"/>
      <x:c r="M28" s="78"/>
      <x:c r="N28" s="78"/>
      <x:c r="O28" s="78"/>
      <x:c r="P28" s="78"/>
      <x:c r="Q28" s="78"/>
      <x:c r="R28" s="78"/>
      <x:c r="S28" s="78"/>
      <x:c r="T28" s="78"/>
      <x:c r="U28" s="78"/>
      <x:c r="V28" s="78"/>
      <x:c r="W28" s="78"/>
      <x:c r="X28" s="78"/>
      <x:c r="Y28" s="78"/>
      <x:c r="Z28" s="78"/>
    </x:row>
    <x:row r="29">
      <x:c r="A29" s="83" t="str">
        <x:v>Same app copied per client</x:v>
      </x:c>
      <x:c r="B29" s="83" t="str">
        <x:v>Creates code drift</x:v>
      </x:c>
      <x:c r="C29" s="83" t="str">
        <x:v>Shared codebase + isolated environments</x:v>
      </x:c>
      <x:c r="D29" s="83" t="str">
        <x:v>Repeatable product economics</x:v>
      </x:c>
      <x:c r="E29" s="83" t="str">
        <x:v>Architecture review</x:v>
      </x:c>
      <x:c r="F29" s="83" t="str">
        <x:v>Adopt</x:v>
      </x:c>
      <x:c r="G29" s="83" t="str">
        <x:v>Founder</x:v>
      </x:c>
      <x:c r="H29" s="103" t="str">
        <x:v>Required</x:v>
      </x:c>
      <x:c r="I29" s="78"/>
      <x:c r="J29" s="78"/>
      <x:c r="K29" s="78"/>
      <x:c r="L29" s="78"/>
      <x:c r="M29" s="78"/>
      <x:c r="N29" s="78"/>
      <x:c r="O29" s="78"/>
      <x:c r="P29" s="78"/>
      <x:c r="Q29" s="78"/>
      <x:c r="R29" s="78"/>
      <x:c r="S29" s="78"/>
      <x:c r="T29" s="78"/>
      <x:c r="U29" s="78"/>
      <x:c r="V29" s="78"/>
      <x:c r="W29" s="78"/>
      <x:c r="X29" s="78"/>
      <x:c r="Y29" s="78"/>
      <x:c r="Z29" s="78"/>
    </x:row>
    <x:row r="30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  <x:c r="L30" s="78"/>
      <x:c r="M30" s="78"/>
      <x:c r="N30" s="78"/>
      <x:c r="O30" s="78"/>
      <x:c r="P30" s="78"/>
      <x:c r="Q30" s="78"/>
      <x:c r="R30" s="78"/>
      <x:c r="S30" s="78"/>
      <x:c r="T30" s="78"/>
      <x:c r="U30" s="78"/>
      <x:c r="V30" s="78"/>
      <x:c r="W30" s="78"/>
      <x:c r="X30" s="78"/>
      <x:c r="Y30" s="78"/>
      <x:c r="Z30" s="78"/>
    </x:row>
    <x:row r="31" ht="32" customHeight="1">
      <x:c r="A31" s="76" t="str">
        <x:v>Bottom line: budget about ₹14.1L cash to reach an official first-client launch, plus ₹21L of founder time as product investment. Carry roughly ₹1.07L/month expected cash burn while only one client exists, with a ₹1.70L funded guardrail. Quote the founding client ₹10L implementation plus ₹1.50L/month before GST, and treat multi-client reuse—not underfunding—as the path to healthy margin.</x:v>
      </x:c>
      <x:c r="B31" s="76"/>
      <x:c r="C31" s="76"/>
      <x:c r="D31" s="76"/>
      <x:c r="E31" s="76"/>
      <x:c r="F31" s="76"/>
      <x:c r="G31" s="76"/>
      <x:c r="H31" s="76"/>
      <x:c r="I31" s="78"/>
      <x:c r="J31" s="78"/>
      <x:c r="K31" s="78"/>
      <x:c r="L31" s="78"/>
      <x:c r="M31" s="78"/>
      <x:c r="N31" s="78"/>
      <x:c r="O31" s="78"/>
      <x:c r="P31" s="78"/>
      <x:c r="Q31" s="78"/>
      <x:c r="R31" s="78"/>
      <x:c r="S31" s="78"/>
      <x:c r="T31" s="78"/>
      <x:c r="U31" s="78"/>
      <x:c r="V31" s="78"/>
      <x:c r="W31" s="78"/>
      <x:c r="X31" s="78"/>
      <x:c r="Y31" s="78"/>
      <x:c r="Z31" s="78"/>
    </x:row>
    <x:row r="32" ht="32" customHeight="1">
      <x:c r="A32" s="76"/>
      <x:c r="B32" s="76"/>
      <x:c r="C32" s="76"/>
      <x:c r="D32" s="76"/>
      <x:c r="E32" s="76"/>
      <x:c r="F32" s="76"/>
      <x:c r="G32" s="76"/>
      <x:c r="H32" s="76"/>
      <x:c r="I32" s="78"/>
      <x:c r="J32" s="78"/>
      <x:c r="K32" s="78"/>
      <x:c r="L32" s="78"/>
      <x:c r="M32" s="78"/>
      <x:c r="N32" s="78"/>
      <x:c r="O32" s="78"/>
      <x:c r="P32" s="78"/>
      <x:c r="Q32" s="78"/>
      <x:c r="R32" s="78"/>
      <x:c r="S32" s="78"/>
      <x:c r="T32" s="78"/>
      <x:c r="U32" s="78"/>
      <x:c r="V32" s="78"/>
      <x:c r="W32" s="78"/>
      <x:c r="X32" s="78"/>
      <x:c r="Y32" s="78"/>
      <x:c r="Z32" s="78"/>
    </x:row>
    <x:row r="33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  <x:c r="L33" s="78"/>
      <x:c r="M33" s="78"/>
      <x:c r="N33" s="78"/>
      <x:c r="O33" s="78"/>
      <x:c r="P33" s="78"/>
      <x:c r="Q33" s="78"/>
      <x:c r="R33" s="78"/>
      <x:c r="S33" s="78"/>
      <x:c r="T33" s="78"/>
      <x:c r="U33" s="78"/>
      <x:c r="V33" s="78"/>
      <x:c r="W33" s="78"/>
      <x:c r="X33" s="78"/>
      <x:c r="Y33" s="78"/>
      <x:c r="Z33" s="78"/>
    </x:row>
    <x:row r="34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  <x:c r="V34" s="78"/>
      <x:c r="W34" s="78"/>
      <x:c r="X34" s="78"/>
      <x:c r="Y34" s="78"/>
      <x:c r="Z34" s="78"/>
    </x:row>
    <x:row r="35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  <x:c r="V35" s="78"/>
      <x:c r="W35" s="78"/>
      <x:c r="X35" s="78"/>
      <x:c r="Y35" s="78"/>
      <x:c r="Z35" s="78"/>
    </x:row>
    <x:row r="36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  <x:c r="L36" s="78"/>
      <x:c r="M36" s="78"/>
      <x:c r="N36" s="78"/>
      <x:c r="O36" s="78"/>
      <x:c r="P36" s="78"/>
      <x:c r="Q36" s="78"/>
      <x:c r="R36" s="78"/>
      <x:c r="S36" s="78"/>
      <x:c r="T36" s="78"/>
      <x:c r="U36" s="78"/>
      <x:c r="V36" s="78"/>
      <x:c r="W36" s="78"/>
      <x:c r="X36" s="78"/>
      <x:c r="Y36" s="78"/>
      <x:c r="Z36" s="78"/>
    </x:row>
    <x:row r="37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  <x:c r="L37" s="78"/>
      <x:c r="M37" s="78"/>
      <x:c r="N37" s="78"/>
      <x:c r="O37" s="78"/>
      <x:c r="P37" s="78"/>
      <x:c r="Q37" s="78"/>
      <x:c r="R37" s="78"/>
      <x:c r="S37" s="78"/>
      <x:c r="T37" s="78"/>
      <x:c r="U37" s="78"/>
      <x:c r="V37" s="78"/>
      <x:c r="W37" s="78"/>
      <x:c r="X37" s="78"/>
      <x:c r="Y37" s="78"/>
      <x:c r="Z37" s="78"/>
    </x:row>
    <x:row r="38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  <x:c r="L38" s="78"/>
      <x:c r="M38" s="78"/>
      <x:c r="N38" s="78"/>
      <x:c r="O38" s="78"/>
      <x:c r="P38" s="78"/>
      <x:c r="Q38" s="78"/>
      <x:c r="R38" s="78"/>
      <x:c r="S38" s="78"/>
      <x:c r="T38" s="78"/>
      <x:c r="U38" s="78"/>
      <x:c r="V38" s="78"/>
      <x:c r="W38" s="78"/>
      <x:c r="X38" s="78"/>
      <x:c r="Y38" s="78"/>
      <x:c r="Z38" s="78"/>
    </x:row>
    <x:row r="39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  <x:c r="L39" s="78"/>
      <x:c r="M39" s="78"/>
      <x:c r="N39" s="78"/>
      <x:c r="O39" s="78"/>
      <x:c r="P39" s="78"/>
      <x:c r="Q39" s="78"/>
      <x:c r="R39" s="78"/>
      <x:c r="S39" s="78"/>
      <x:c r="T39" s="78"/>
      <x:c r="U39" s="78"/>
      <x:c r="V39" s="78"/>
      <x:c r="W39" s="78"/>
      <x:c r="X39" s="78"/>
      <x:c r="Y39" s="78"/>
      <x:c r="Z39" s="78"/>
    </x:row>
    <x:row r="40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  <x:c r="L40" s="78"/>
      <x:c r="M40" s="78"/>
      <x:c r="N40" s="78"/>
      <x:c r="O40" s="78"/>
      <x:c r="P40" s="78"/>
      <x:c r="Q40" s="78"/>
      <x:c r="R40" s="78"/>
      <x:c r="S40" s="78"/>
      <x:c r="T40" s="78"/>
      <x:c r="U40" s="78"/>
      <x:c r="V40" s="78"/>
      <x:c r="W40" s="78"/>
      <x:c r="X40" s="78"/>
      <x:c r="Y40" s="78"/>
      <x:c r="Z40" s="78"/>
    </x:row>
    <x:row r="4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</x:row>
    <x:row r="42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8"/>
    </x:row>
    <x:row r="43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78"/>
    </x:row>
    <x:row r="44">
      <x:c r="A44" s="78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</x:row>
    <x:row r="45">
      <x:c r="A45" s="78"/>
      <x:c r="B45" s="78"/>
      <x:c r="C45" s="78"/>
      <x:c r="D45" s="78"/>
      <x:c r="E45" s="78"/>
      <x:c r="F45" s="78"/>
      <x:c r="G45" s="78"/>
      <x:c r="H45" s="78"/>
      <x:c r="I45" s="78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78"/>
    </x:row>
    <x:row r="46">
      <x:c r="A46" s="78"/>
      <x:c r="B46" s="78"/>
      <x:c r="C46" s="78"/>
      <x:c r="D46" s="78"/>
      <x:c r="E46" s="78"/>
      <x:c r="F46" s="78"/>
      <x:c r="G46" s="78"/>
      <x:c r="H46" s="78"/>
      <x:c r="I46" s="78"/>
      <x:c r="J46" s="78"/>
      <x:c r="K46" s="78"/>
      <x:c r="L46" s="78"/>
      <x:c r="M46" s="78"/>
      <x:c r="N46" s="78"/>
      <x:c r="O46" s="78"/>
      <x:c r="P46" s="78"/>
      <x:c r="Q46" s="78"/>
      <x:c r="R46" s="78"/>
      <x:c r="S46" s="78"/>
      <x:c r="T46" s="78"/>
      <x:c r="U46" s="78"/>
      <x:c r="V46" s="78"/>
      <x:c r="W46" s="78"/>
      <x:c r="X46" s="78"/>
      <x:c r="Y46" s="78"/>
      <x:c r="Z46" s="78"/>
    </x:row>
    <x:row r="47">
      <x:c r="A47" s="78"/>
      <x:c r="B47" s="78"/>
      <x:c r="C47" s="78"/>
      <x:c r="D47" s="78"/>
      <x:c r="E47" s="78"/>
      <x:c r="F47" s="78"/>
      <x:c r="G47" s="78"/>
      <x:c r="H47" s="78"/>
      <x:c r="I47" s="78"/>
      <x:c r="J47" s="78"/>
      <x:c r="K47" s="78"/>
      <x:c r="L47" s="78"/>
      <x:c r="M47" s="78"/>
      <x:c r="N47" s="78"/>
      <x:c r="O47" s="78"/>
      <x:c r="P47" s="78"/>
      <x:c r="Q47" s="78"/>
      <x:c r="R47" s="78"/>
      <x:c r="S47" s="78"/>
      <x:c r="T47" s="78"/>
      <x:c r="U47" s="78"/>
      <x:c r="V47" s="78"/>
      <x:c r="W47" s="78"/>
      <x:c r="X47" s="78"/>
      <x:c r="Y47" s="78"/>
      <x:c r="Z47" s="78"/>
    </x:row>
    <x:row r="48">
      <x:c r="A48" s="78"/>
      <x:c r="B48" s="78"/>
      <x:c r="C48" s="78"/>
      <x:c r="D48" s="78"/>
      <x:c r="E48" s="78"/>
      <x:c r="F48" s="78"/>
      <x:c r="G48" s="78"/>
      <x:c r="H48" s="78"/>
      <x:c r="I48" s="78"/>
      <x:c r="J48" s="78"/>
      <x:c r="K48" s="78"/>
      <x:c r="L48" s="78"/>
      <x:c r="M48" s="78"/>
      <x:c r="N48" s="78"/>
      <x:c r="O48" s="78"/>
      <x:c r="P48" s="78"/>
      <x:c r="Q48" s="78"/>
      <x:c r="R48" s="78"/>
      <x:c r="S48" s="78"/>
      <x:c r="T48" s="78"/>
      <x:c r="U48" s="78"/>
      <x:c r="V48" s="78"/>
      <x:c r="W48" s="78"/>
      <x:c r="X48" s="78"/>
      <x:c r="Y48" s="78"/>
      <x:c r="Z48" s="78"/>
    </x:row>
    <x:row r="49">
      <x:c r="A49" s="78"/>
      <x:c r="B49" s="78"/>
      <x:c r="C49" s="78"/>
      <x:c r="D49" s="78"/>
      <x:c r="E49" s="78"/>
      <x:c r="F49" s="78"/>
      <x:c r="G49" s="78"/>
      <x:c r="H49" s="78"/>
      <x:c r="I49" s="78"/>
      <x:c r="J49" s="78"/>
      <x:c r="K49" s="78"/>
      <x:c r="L49" s="78"/>
      <x:c r="M49" s="78"/>
      <x:c r="N49" s="78"/>
      <x:c r="O49" s="78"/>
      <x:c r="P49" s="78"/>
      <x:c r="Q49" s="78"/>
      <x:c r="R49" s="78"/>
      <x:c r="S49" s="78"/>
      <x:c r="T49" s="78"/>
      <x:c r="U49" s="78"/>
      <x:c r="V49" s="78"/>
      <x:c r="W49" s="78"/>
      <x:c r="X49" s="78"/>
      <x:c r="Y49" s="78"/>
      <x:c r="Z49" s="78"/>
    </x:row>
    <x:row r="50">
      <x:c r="A50" s="78"/>
      <x:c r="B50" s="78"/>
      <x:c r="C50" s="78"/>
      <x:c r="D50" s="78"/>
      <x:c r="E50" s="78"/>
      <x:c r="F50" s="78"/>
      <x:c r="G50" s="78"/>
      <x:c r="H50" s="78"/>
      <x:c r="I50" s="78"/>
      <x:c r="J50" s="78"/>
      <x:c r="K50" s="78"/>
      <x:c r="L50" s="78"/>
      <x:c r="M50" s="78"/>
      <x:c r="N50" s="78"/>
      <x:c r="O50" s="78"/>
      <x:c r="P50" s="78"/>
      <x:c r="Q50" s="78"/>
      <x:c r="R50" s="78"/>
      <x:c r="S50" s="78"/>
      <x:c r="T50" s="78"/>
      <x:c r="U50" s="78"/>
      <x:c r="V50" s="78"/>
      <x:c r="W50" s="78"/>
      <x:c r="X50" s="78"/>
      <x:c r="Y50" s="78"/>
      <x:c r="Z50" s="78"/>
    </x:row>
    <x:row r="51">
      <x:c r="A51" s="78"/>
      <x:c r="B51" s="78"/>
      <x:c r="C51" s="78"/>
      <x:c r="D51" s="78"/>
      <x:c r="E51" s="78"/>
      <x:c r="F51" s="78"/>
      <x:c r="G51" s="78"/>
      <x:c r="H51" s="78"/>
      <x:c r="I51" s="78"/>
      <x:c r="J51" s="78"/>
      <x:c r="K51" s="78"/>
      <x:c r="L51" s="78"/>
      <x:c r="M51" s="78"/>
      <x:c r="N51" s="78"/>
      <x:c r="O51" s="78"/>
      <x:c r="P51" s="78"/>
      <x:c r="Q51" s="78"/>
      <x:c r="R51" s="78"/>
      <x:c r="S51" s="78"/>
      <x:c r="T51" s="78"/>
      <x:c r="U51" s="78"/>
      <x:c r="V51" s="78"/>
      <x:c r="W51" s="78"/>
      <x:c r="X51" s="78"/>
      <x:c r="Y51" s="78"/>
      <x:c r="Z51" s="78"/>
    </x:row>
    <x:row r="52">
      <x:c r="A52" s="78"/>
      <x:c r="B52" s="78"/>
      <x:c r="C52" s="78"/>
      <x:c r="D52" s="78"/>
      <x:c r="E52" s="78"/>
      <x:c r="F52" s="78"/>
      <x:c r="G52" s="78"/>
      <x:c r="H52" s="78"/>
      <x:c r="I52" s="78"/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78"/>
    </x:row>
    <x:row r="53">
      <x:c r="A53" s="78"/>
      <x:c r="B53" s="78"/>
      <x:c r="C53" s="78"/>
      <x:c r="D53" s="78"/>
      <x:c r="E53" s="78"/>
      <x:c r="F53" s="78"/>
      <x:c r="G53" s="78"/>
      <x:c r="H53" s="78"/>
      <x:c r="I53" s="78"/>
      <x:c r="J53" s="78"/>
      <x:c r="K53" s="78"/>
      <x:c r="L53" s="78"/>
      <x:c r="M53" s="78"/>
      <x:c r="N53" s="78"/>
      <x:c r="O53" s="78"/>
      <x:c r="P53" s="78"/>
      <x:c r="Q53" s="78"/>
      <x:c r="R53" s="78"/>
      <x:c r="S53" s="78"/>
      <x:c r="T53" s="78"/>
      <x:c r="U53" s="78"/>
      <x:c r="V53" s="78"/>
      <x:c r="W53" s="78"/>
      <x:c r="X53" s="78"/>
      <x:c r="Y53" s="78"/>
      <x:c r="Z53" s="78"/>
    </x:row>
    <x:row r="54">
      <x:c r="A54" s="78"/>
      <x:c r="B54" s="78"/>
      <x:c r="C54" s="78"/>
      <x:c r="D54" s="78"/>
      <x:c r="E54" s="78"/>
      <x:c r="F54" s="78"/>
      <x:c r="G54" s="78"/>
      <x:c r="H54" s="78"/>
      <x:c r="I54" s="78"/>
      <x:c r="J54" s="78"/>
      <x:c r="K54" s="78"/>
      <x:c r="L54" s="78"/>
      <x:c r="M54" s="78"/>
      <x:c r="N54" s="78"/>
      <x:c r="O54" s="78"/>
      <x:c r="P54" s="78"/>
      <x:c r="Q54" s="78"/>
      <x:c r="R54" s="78"/>
      <x:c r="S54" s="78"/>
      <x:c r="T54" s="78"/>
      <x:c r="U54" s="78"/>
      <x:c r="V54" s="78"/>
      <x:c r="W54" s="78"/>
      <x:c r="X54" s="78"/>
      <x:c r="Y54" s="78"/>
      <x:c r="Z54" s="78"/>
    </x:row>
    <x:row r="55">
      <x:c r="A55" s="78"/>
      <x:c r="B55" s="78"/>
      <x:c r="C55" s="78"/>
      <x:c r="D55" s="78"/>
      <x:c r="E55" s="78"/>
      <x:c r="F55" s="78"/>
      <x:c r="G55" s="78"/>
      <x:c r="H55" s="78"/>
      <x:c r="I55" s="78"/>
      <x:c r="J55" s="78"/>
      <x:c r="K55" s="78"/>
      <x:c r="L55" s="78"/>
      <x:c r="M55" s="78"/>
      <x:c r="N55" s="78"/>
      <x:c r="O55" s="78"/>
      <x:c r="P55" s="78"/>
      <x:c r="Q55" s="78"/>
      <x:c r="R55" s="78"/>
      <x:c r="S55" s="78"/>
      <x:c r="T55" s="78"/>
      <x:c r="U55" s="78"/>
      <x:c r="V55" s="78"/>
      <x:c r="W55" s="78"/>
      <x:c r="X55" s="78"/>
      <x:c r="Y55" s="78"/>
      <x:c r="Z55" s="78"/>
    </x:row>
    <x:row r="56">
      <x:c r="A56" s="78"/>
      <x:c r="B56" s="78"/>
      <x:c r="C56" s="78"/>
      <x:c r="D56" s="78"/>
      <x:c r="E56" s="78"/>
      <x:c r="F56" s="78"/>
      <x:c r="G56" s="78"/>
      <x:c r="H56" s="78"/>
      <x:c r="I56" s="78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78"/>
    </x:row>
    <x:row r="57">
      <x:c r="A57" s="78"/>
      <x:c r="B57" s="78"/>
      <x:c r="C57" s="78"/>
      <x:c r="D57" s="78"/>
      <x:c r="E57" s="78"/>
      <x:c r="F57" s="78"/>
      <x:c r="G57" s="78"/>
      <x:c r="H57" s="78"/>
      <x:c r="I57" s="78"/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78"/>
    </x:row>
    <x:row r="58">
      <x:c r="A58" s="78"/>
      <x:c r="B58" s="78"/>
      <x:c r="C58" s="78"/>
      <x:c r="D58" s="78"/>
      <x:c r="E58" s="78"/>
      <x:c r="F58" s="78"/>
      <x:c r="G58" s="78"/>
      <x:c r="H58" s="78"/>
      <x:c r="I58" s="78"/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</x:row>
    <x:row r="59">
      <x:c r="A59" s="78"/>
      <x:c r="B59" s="78"/>
      <x:c r="C59" s="78"/>
      <x:c r="D59" s="78"/>
      <x:c r="E59" s="78"/>
      <x:c r="F59" s="78"/>
      <x:c r="G59" s="78"/>
      <x:c r="H59" s="78"/>
      <x:c r="I59" s="78"/>
      <x:c r="J59" s="78"/>
      <x:c r="K59" s="78"/>
      <x:c r="L59" s="78"/>
      <x:c r="M59" s="78"/>
      <x:c r="N59" s="78"/>
      <x:c r="O59" s="78"/>
      <x:c r="P59" s="78"/>
      <x:c r="Q59" s="78"/>
      <x:c r="R59" s="78"/>
      <x:c r="S59" s="78"/>
      <x:c r="T59" s="78"/>
      <x:c r="U59" s="78"/>
      <x:c r="V59" s="78"/>
      <x:c r="W59" s="78"/>
      <x:c r="X59" s="78"/>
      <x:c r="Y59" s="78"/>
      <x:c r="Z59" s="78"/>
    </x:row>
    <x:row r="60">
      <x:c r="A60" s="78"/>
      <x:c r="B60" s="78"/>
      <x:c r="C60" s="78"/>
      <x:c r="D60" s="78"/>
      <x:c r="E60" s="78"/>
      <x:c r="F60" s="78"/>
      <x:c r="G60" s="78"/>
      <x:c r="H60" s="78"/>
      <x:c r="I60" s="78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</x:row>
    <x:row r="61">
      <x:c r="A61" s="78"/>
      <x:c r="B61" s="78"/>
      <x:c r="C61" s="78"/>
      <x:c r="D61" s="78"/>
      <x:c r="E61" s="78"/>
      <x:c r="F61" s="78"/>
      <x:c r="G61" s="78"/>
      <x:c r="H61" s="78"/>
      <x:c r="I61" s="78"/>
      <x:c r="J61" s="78"/>
      <x:c r="K61" s="78"/>
      <x:c r="L61" s="78"/>
      <x:c r="M61" s="78"/>
      <x:c r="N61" s="78"/>
      <x:c r="O61" s="78"/>
      <x:c r="P61" s="78"/>
      <x:c r="Q61" s="78"/>
      <x:c r="R61" s="78"/>
      <x:c r="S61" s="78"/>
      <x:c r="T61" s="78"/>
      <x:c r="U61" s="78"/>
      <x:c r="V61" s="78"/>
      <x:c r="W61" s="78"/>
      <x:c r="X61" s="78"/>
      <x:c r="Y61" s="78"/>
      <x:c r="Z61" s="78"/>
    </x:row>
    <x:row r="62">
      <x:c r="A62" s="78"/>
      <x:c r="B62" s="78"/>
      <x:c r="C62" s="78"/>
      <x:c r="D62" s="78"/>
      <x:c r="E62" s="78"/>
      <x:c r="F62" s="78"/>
      <x:c r="G62" s="78"/>
      <x:c r="H62" s="78"/>
      <x:c r="I62" s="78"/>
      <x:c r="J62" s="78"/>
      <x:c r="K62" s="78"/>
      <x:c r="L62" s="78"/>
      <x:c r="M62" s="78"/>
      <x:c r="N62" s="78"/>
      <x:c r="O62" s="78"/>
      <x:c r="P62" s="78"/>
      <x:c r="Q62" s="78"/>
      <x:c r="R62" s="78"/>
      <x:c r="S62" s="78"/>
      <x:c r="T62" s="78"/>
      <x:c r="U62" s="78"/>
      <x:c r="V62" s="78"/>
      <x:c r="W62" s="78"/>
      <x:c r="X62" s="78"/>
      <x:c r="Y62" s="78"/>
      <x:c r="Z62" s="78"/>
    </x:row>
    <x:row r="63">
      <x:c r="A63" s="78"/>
      <x:c r="B63" s="78"/>
      <x:c r="C63" s="78"/>
      <x:c r="D63" s="78"/>
      <x:c r="E63" s="78"/>
      <x:c r="F63" s="78"/>
      <x:c r="G63" s="78"/>
      <x:c r="H63" s="78"/>
      <x:c r="I63" s="78"/>
      <x:c r="J63" s="78"/>
      <x:c r="K63" s="78"/>
      <x:c r="L63" s="78"/>
      <x:c r="M63" s="78"/>
      <x:c r="N63" s="78"/>
      <x:c r="O63" s="78"/>
      <x:c r="P63" s="78"/>
      <x:c r="Q63" s="78"/>
      <x:c r="R63" s="78"/>
      <x:c r="S63" s="78"/>
      <x:c r="T63" s="78"/>
      <x:c r="U63" s="78"/>
      <x:c r="V63" s="78"/>
      <x:c r="W63" s="78"/>
      <x:c r="X63" s="78"/>
      <x:c r="Y63" s="78"/>
      <x:c r="Z63" s="78"/>
    </x:row>
    <x:row r="64">
      <x:c r="A64" s="78"/>
      <x:c r="B64" s="78"/>
      <x:c r="C64" s="78"/>
      <x:c r="D64" s="78"/>
      <x:c r="E64" s="78"/>
      <x:c r="F64" s="78"/>
      <x:c r="G64" s="78"/>
      <x:c r="H64" s="78"/>
      <x:c r="I64" s="78"/>
      <x:c r="J64" s="78"/>
      <x:c r="K64" s="78"/>
      <x:c r="L64" s="78"/>
      <x:c r="M64" s="78"/>
      <x:c r="N64" s="78"/>
      <x:c r="O64" s="78"/>
      <x:c r="P64" s="78"/>
      <x:c r="Q64" s="78"/>
      <x:c r="R64" s="78"/>
      <x:c r="S64" s="78"/>
      <x:c r="T64" s="78"/>
      <x:c r="U64" s="78"/>
      <x:c r="V64" s="78"/>
      <x:c r="W64" s="78"/>
      <x:c r="X64" s="78"/>
      <x:c r="Y64" s="78"/>
      <x:c r="Z64" s="78"/>
    </x:row>
    <x:row r="65">
      <x:c r="A65" s="78"/>
      <x:c r="B65" s="78"/>
      <x:c r="C65" s="78"/>
      <x:c r="D65" s="78"/>
      <x:c r="E65" s="78"/>
      <x:c r="F65" s="78"/>
      <x:c r="G65" s="78"/>
      <x:c r="H65" s="78"/>
      <x:c r="I65" s="78"/>
      <x:c r="J65" s="78"/>
      <x:c r="K65" s="78"/>
      <x:c r="L65" s="78"/>
      <x:c r="M65" s="78"/>
      <x:c r="N65" s="78"/>
      <x:c r="O65" s="78"/>
      <x:c r="P65" s="78"/>
      <x:c r="Q65" s="78"/>
      <x:c r="R65" s="78"/>
      <x:c r="S65" s="78"/>
      <x:c r="T65" s="78"/>
      <x:c r="U65" s="78"/>
      <x:c r="V65" s="78"/>
      <x:c r="W65" s="78"/>
      <x:c r="X65" s="78"/>
      <x:c r="Y65" s="78"/>
      <x:c r="Z65" s="78"/>
    </x:row>
    <x:row r="66">
      <x:c r="A66" s="78"/>
      <x:c r="B66" s="78"/>
      <x:c r="C66" s="78"/>
      <x:c r="D66" s="78"/>
      <x:c r="E66" s="78"/>
      <x:c r="F66" s="78"/>
      <x:c r="G66" s="78"/>
      <x:c r="H66" s="78"/>
      <x:c r="I66" s="78"/>
      <x:c r="J66" s="78"/>
      <x:c r="K66" s="78"/>
      <x:c r="L66" s="78"/>
      <x:c r="M66" s="78"/>
      <x:c r="N66" s="78"/>
      <x:c r="O66" s="78"/>
      <x:c r="P66" s="78"/>
      <x:c r="Q66" s="78"/>
      <x:c r="R66" s="78"/>
      <x:c r="S66" s="78"/>
      <x:c r="T66" s="78"/>
      <x:c r="U66" s="78"/>
      <x:c r="V66" s="78"/>
      <x:c r="W66" s="78"/>
      <x:c r="X66" s="78"/>
      <x:c r="Y66" s="78"/>
      <x:c r="Z66" s="78"/>
    </x:row>
    <x:row r="67">
      <x:c r="A67" s="78"/>
      <x:c r="B67" s="78"/>
      <x:c r="C67" s="78"/>
      <x:c r="D67" s="78"/>
      <x:c r="E67" s="78"/>
      <x:c r="F67" s="78"/>
      <x:c r="G67" s="78"/>
      <x:c r="H67" s="78"/>
      <x:c r="I67" s="78"/>
      <x:c r="J67" s="78"/>
      <x:c r="K67" s="78"/>
      <x:c r="L67" s="78"/>
      <x:c r="M67" s="78"/>
      <x:c r="N67" s="78"/>
      <x:c r="O67" s="78"/>
      <x:c r="P67" s="78"/>
      <x:c r="Q67" s="78"/>
      <x:c r="R67" s="78"/>
      <x:c r="S67" s="78"/>
      <x:c r="T67" s="78"/>
      <x:c r="U67" s="78"/>
      <x:c r="V67" s="78"/>
      <x:c r="W67" s="78"/>
      <x:c r="X67" s="78"/>
      <x:c r="Y67" s="78"/>
      <x:c r="Z67" s="78"/>
    </x:row>
    <x:row r="68">
      <x:c r="A68" s="78"/>
      <x:c r="B68" s="78"/>
      <x:c r="C68" s="78"/>
      <x:c r="D68" s="78"/>
      <x:c r="E68" s="78"/>
      <x:c r="F68" s="78"/>
      <x:c r="G68" s="78"/>
      <x:c r="H68" s="78"/>
      <x:c r="I68" s="78"/>
      <x:c r="J68" s="78"/>
      <x:c r="K68" s="78"/>
      <x:c r="L68" s="78"/>
      <x:c r="M68" s="78"/>
      <x:c r="N68" s="78"/>
      <x:c r="O68" s="78"/>
      <x:c r="P68" s="78"/>
      <x:c r="Q68" s="78"/>
      <x:c r="R68" s="78"/>
      <x:c r="S68" s="78"/>
      <x:c r="T68" s="78"/>
      <x:c r="U68" s="78"/>
      <x:c r="V68" s="78"/>
      <x:c r="W68" s="78"/>
      <x:c r="X68" s="78"/>
      <x:c r="Y68" s="78"/>
      <x:c r="Z68" s="78"/>
    </x:row>
    <x:row r="69">
      <x:c r="A69" s="78"/>
      <x:c r="B69" s="78"/>
      <x:c r="C69" s="78"/>
      <x:c r="D69" s="78"/>
      <x:c r="E69" s="78"/>
      <x:c r="F69" s="78"/>
      <x:c r="G69" s="78"/>
      <x:c r="H69" s="78"/>
      <x:c r="I69" s="78"/>
      <x:c r="J69" s="78"/>
      <x:c r="K69" s="78"/>
      <x:c r="L69" s="78"/>
      <x:c r="M69" s="78"/>
      <x:c r="N69" s="78"/>
      <x:c r="O69" s="78"/>
      <x:c r="P69" s="78"/>
      <x:c r="Q69" s="78"/>
      <x:c r="R69" s="78"/>
      <x:c r="S69" s="78"/>
      <x:c r="T69" s="78"/>
      <x:c r="U69" s="78"/>
      <x:c r="V69" s="78"/>
      <x:c r="W69" s="78"/>
      <x:c r="X69" s="78"/>
      <x:c r="Y69" s="78"/>
      <x:c r="Z69" s="78"/>
    </x:row>
    <x:row r="70">
      <x:c r="A70" s="78"/>
      <x:c r="B70" s="78"/>
      <x:c r="C70" s="78"/>
      <x:c r="D70" s="78"/>
      <x:c r="E70" s="78"/>
      <x:c r="F70" s="78"/>
      <x:c r="G70" s="78"/>
      <x:c r="H70" s="78"/>
      <x:c r="I70" s="78"/>
      <x:c r="J70" s="78"/>
      <x:c r="K70" s="78"/>
      <x:c r="L70" s="78"/>
      <x:c r="M70" s="78"/>
      <x:c r="N70" s="78"/>
      <x:c r="O70" s="78"/>
      <x:c r="P70" s="78"/>
      <x:c r="Q70" s="78"/>
      <x:c r="R70" s="78"/>
      <x:c r="S70" s="78"/>
      <x:c r="T70" s="78"/>
      <x:c r="U70" s="78"/>
      <x:c r="V70" s="78"/>
      <x:c r="W70" s="78"/>
      <x:c r="X70" s="78"/>
      <x:c r="Y70" s="78"/>
      <x:c r="Z70" s="78"/>
    </x:row>
    <x:row r="71">
      <x:c r="A71" s="78"/>
      <x:c r="B71" s="78"/>
      <x:c r="C71" s="78"/>
      <x:c r="D71" s="78"/>
      <x:c r="E71" s="78"/>
      <x:c r="F71" s="78"/>
      <x:c r="G71" s="78"/>
      <x:c r="H71" s="78"/>
      <x:c r="I71" s="78"/>
      <x:c r="J71" s="78"/>
      <x:c r="K71" s="78"/>
      <x:c r="L71" s="78"/>
      <x:c r="M71" s="78"/>
      <x:c r="N71" s="78"/>
      <x:c r="O71" s="78"/>
      <x:c r="P71" s="78"/>
      <x:c r="Q71" s="78"/>
      <x:c r="R71" s="78"/>
      <x:c r="S71" s="78"/>
      <x:c r="T71" s="78"/>
      <x:c r="U71" s="78"/>
      <x:c r="V71" s="78"/>
      <x:c r="W71" s="78"/>
      <x:c r="X71" s="78"/>
      <x:c r="Y71" s="78"/>
      <x:c r="Z71" s="78"/>
    </x:row>
    <x:row r="72">
      <x:c r="A72" s="78"/>
      <x:c r="B72" s="78"/>
      <x:c r="C72" s="78"/>
      <x:c r="D72" s="78"/>
      <x:c r="E72" s="78"/>
      <x:c r="F72" s="78"/>
      <x:c r="G72" s="78"/>
      <x:c r="H72" s="78"/>
      <x:c r="I72" s="78"/>
      <x:c r="J72" s="78"/>
      <x:c r="K72" s="78"/>
      <x:c r="L72" s="78"/>
      <x:c r="M72" s="78"/>
      <x:c r="N72" s="78"/>
      <x:c r="O72" s="78"/>
      <x:c r="P72" s="78"/>
      <x:c r="Q72" s="78"/>
      <x:c r="R72" s="78"/>
      <x:c r="S72" s="78"/>
      <x:c r="T72" s="78"/>
      <x:c r="U72" s="78"/>
      <x:c r="V72" s="78"/>
      <x:c r="W72" s="78"/>
      <x:c r="X72" s="78"/>
      <x:c r="Y72" s="78"/>
      <x:c r="Z72" s="78"/>
    </x:row>
    <x:row r="73">
      <x:c r="A73" s="78"/>
      <x:c r="B73" s="78"/>
      <x:c r="C73" s="78"/>
      <x:c r="D73" s="78"/>
      <x:c r="E73" s="78"/>
      <x:c r="F73" s="78"/>
      <x:c r="G73" s="78"/>
      <x:c r="H73" s="78"/>
      <x:c r="I73" s="78"/>
      <x:c r="J73" s="78"/>
      <x:c r="K73" s="78"/>
      <x:c r="L73" s="78"/>
      <x:c r="M73" s="78"/>
      <x:c r="N73" s="78"/>
      <x:c r="O73" s="78"/>
      <x:c r="P73" s="78"/>
      <x:c r="Q73" s="78"/>
      <x:c r="R73" s="78"/>
      <x:c r="S73" s="78"/>
      <x:c r="T73" s="78"/>
      <x:c r="U73" s="78"/>
      <x:c r="V73" s="78"/>
      <x:c r="W73" s="78"/>
      <x:c r="X73" s="78"/>
      <x:c r="Y73" s="78"/>
      <x:c r="Z73" s="78"/>
    </x:row>
    <x:row r="74">
      <x:c r="A74" s="78"/>
      <x:c r="B74" s="78"/>
      <x:c r="C74" s="78"/>
      <x:c r="D74" s="78"/>
      <x:c r="E74" s="78"/>
      <x:c r="F74" s="78"/>
      <x:c r="G74" s="78"/>
      <x:c r="H74" s="78"/>
      <x:c r="I74" s="78"/>
      <x:c r="J74" s="78"/>
      <x:c r="K74" s="78"/>
      <x:c r="L74" s="78"/>
      <x:c r="M74" s="78"/>
      <x:c r="N74" s="78"/>
      <x:c r="O74" s="78"/>
      <x:c r="P74" s="78"/>
      <x:c r="Q74" s="78"/>
      <x:c r="R74" s="78"/>
      <x:c r="S74" s="78"/>
      <x:c r="T74" s="78"/>
      <x:c r="U74" s="78"/>
      <x:c r="V74" s="78"/>
      <x:c r="W74" s="78"/>
      <x:c r="X74" s="78"/>
      <x:c r="Y74" s="78"/>
      <x:c r="Z74" s="78"/>
    </x:row>
    <x:row r="75">
      <x:c r="A75" s="78"/>
      <x:c r="B75" s="78"/>
      <x:c r="C75" s="78"/>
      <x:c r="D75" s="78"/>
      <x:c r="E75" s="78"/>
      <x:c r="F75" s="78"/>
      <x:c r="G75" s="78"/>
      <x:c r="H75" s="78"/>
      <x:c r="I75" s="78"/>
      <x:c r="J75" s="78"/>
      <x:c r="K75" s="78"/>
      <x:c r="L75" s="78"/>
      <x:c r="M75" s="78"/>
      <x:c r="N75" s="78"/>
      <x:c r="O75" s="78"/>
      <x:c r="P75" s="78"/>
      <x:c r="Q75" s="78"/>
      <x:c r="R75" s="78"/>
      <x:c r="S75" s="78"/>
      <x:c r="T75" s="78"/>
      <x:c r="U75" s="78"/>
      <x:c r="V75" s="78"/>
      <x:c r="W75" s="78"/>
      <x:c r="X75" s="78"/>
      <x:c r="Y75" s="78"/>
      <x:c r="Z75" s="78"/>
    </x:row>
    <x:row r="76">
      <x:c r="A76" s="78"/>
      <x:c r="B76" s="78"/>
      <x:c r="C76" s="78"/>
      <x:c r="D76" s="78"/>
      <x:c r="E76" s="78"/>
      <x:c r="F76" s="78"/>
      <x:c r="G76" s="78"/>
      <x:c r="H76" s="78"/>
      <x:c r="I76" s="78"/>
      <x:c r="J76" s="78"/>
      <x:c r="K76" s="78"/>
      <x:c r="L76" s="78"/>
      <x:c r="M76" s="78"/>
      <x:c r="N76" s="78"/>
      <x:c r="O76" s="78"/>
      <x:c r="P76" s="78"/>
      <x:c r="Q76" s="78"/>
      <x:c r="R76" s="78"/>
      <x:c r="S76" s="78"/>
      <x:c r="T76" s="78"/>
      <x:c r="U76" s="78"/>
      <x:c r="V76" s="78"/>
      <x:c r="W76" s="78"/>
      <x:c r="X76" s="78"/>
      <x:c r="Y76" s="78"/>
      <x:c r="Z76" s="78"/>
    </x:row>
    <x:row r="77">
      <x:c r="A77" s="78"/>
      <x:c r="B77" s="78"/>
      <x:c r="C77" s="78"/>
      <x:c r="D77" s="78"/>
      <x:c r="E77" s="78"/>
      <x:c r="F77" s="78"/>
      <x:c r="G77" s="78"/>
      <x:c r="H77" s="78"/>
      <x:c r="I77" s="78"/>
      <x:c r="J77" s="78"/>
      <x:c r="K77" s="78"/>
      <x:c r="L77" s="78"/>
      <x:c r="M77" s="78"/>
      <x:c r="N77" s="78"/>
      <x:c r="O77" s="78"/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78"/>
    </x:row>
    <x:row r="78">
      <x:c r="A78" s="78"/>
      <x:c r="B78" s="78"/>
      <x:c r="C78" s="78"/>
      <x:c r="D78" s="78"/>
      <x:c r="E78" s="78"/>
      <x:c r="F78" s="78"/>
      <x:c r="G78" s="78"/>
      <x:c r="H78" s="78"/>
      <x:c r="I78" s="78"/>
      <x:c r="J78" s="78"/>
      <x:c r="K78" s="78"/>
      <x:c r="L78" s="78"/>
      <x:c r="M78" s="78"/>
      <x:c r="N78" s="78"/>
      <x:c r="O78" s="78"/>
      <x:c r="P78" s="78"/>
      <x:c r="Q78" s="78"/>
      <x:c r="R78" s="78"/>
      <x:c r="S78" s="78"/>
      <x:c r="T78" s="78"/>
      <x:c r="U78" s="78"/>
      <x:c r="V78" s="78"/>
      <x:c r="W78" s="78"/>
      <x:c r="X78" s="78"/>
      <x:c r="Y78" s="78"/>
      <x:c r="Z78" s="78"/>
    </x:row>
    <x:row r="79">
      <x:c r="A79" s="78"/>
      <x:c r="B79" s="78"/>
      <x:c r="C79" s="78"/>
      <x:c r="D79" s="78"/>
      <x:c r="E79" s="78"/>
      <x:c r="F79" s="78"/>
      <x:c r="G79" s="78"/>
      <x:c r="H79" s="78"/>
      <x:c r="I79" s="78"/>
      <x:c r="J79" s="78"/>
      <x:c r="K79" s="78"/>
      <x:c r="L79" s="78"/>
      <x:c r="M79" s="78"/>
      <x:c r="N79" s="78"/>
      <x:c r="O79" s="78"/>
      <x:c r="P79" s="78"/>
      <x:c r="Q79" s="78"/>
      <x:c r="R79" s="78"/>
      <x:c r="S79" s="78"/>
      <x:c r="T79" s="78"/>
      <x:c r="U79" s="78"/>
      <x:c r="V79" s="78"/>
      <x:c r="W79" s="78"/>
      <x:c r="X79" s="78"/>
      <x:c r="Y79" s="78"/>
      <x:c r="Z79" s="78"/>
    </x:row>
    <x:row r="80">
      <x:c r="A80" s="78"/>
      <x:c r="B80" s="78"/>
      <x:c r="C80" s="78"/>
      <x:c r="D80" s="78"/>
      <x:c r="E80" s="78"/>
      <x:c r="F80" s="78"/>
      <x:c r="G80" s="78"/>
      <x:c r="H80" s="78"/>
      <x:c r="I80" s="78"/>
      <x:c r="J80" s="78"/>
      <x:c r="K80" s="78"/>
      <x:c r="L80" s="78"/>
      <x:c r="M80" s="78"/>
      <x:c r="N80" s="78"/>
      <x:c r="O80" s="78"/>
      <x:c r="P80" s="78"/>
      <x:c r="Q80" s="78"/>
      <x:c r="R80" s="78"/>
      <x:c r="S80" s="78"/>
      <x:c r="T80" s="78"/>
      <x:c r="U80" s="78"/>
      <x:c r="V80" s="78"/>
      <x:c r="W80" s="78"/>
      <x:c r="X80" s="78"/>
      <x:c r="Y80" s="78"/>
      <x:c r="Z80" s="78"/>
    </x:row>
    <x:row r="81">
      <x:c r="A81" s="78"/>
      <x:c r="B81" s="78"/>
      <x:c r="C81" s="78"/>
      <x:c r="D81" s="78"/>
      <x:c r="E81" s="78"/>
      <x:c r="F81" s="78"/>
      <x:c r="G81" s="78"/>
      <x:c r="H81" s="78"/>
      <x:c r="I81" s="78"/>
      <x:c r="J81" s="78"/>
      <x:c r="K81" s="78"/>
      <x:c r="L81" s="78"/>
      <x:c r="M81" s="78"/>
      <x:c r="N81" s="78"/>
      <x:c r="O81" s="78"/>
      <x:c r="P81" s="78"/>
      <x:c r="Q81" s="78"/>
      <x:c r="R81" s="78"/>
      <x:c r="S81" s="78"/>
      <x:c r="T81" s="78"/>
      <x:c r="U81" s="78"/>
      <x:c r="V81" s="78"/>
      <x:c r="W81" s="78"/>
      <x:c r="X81" s="78"/>
      <x:c r="Y81" s="78"/>
      <x:c r="Z81" s="78"/>
    </x:row>
    <x:row r="82">
      <x:c r="A82" s="78"/>
      <x:c r="B82" s="78"/>
      <x:c r="C82" s="78"/>
      <x:c r="D82" s="78"/>
      <x:c r="E82" s="78"/>
      <x:c r="F82" s="78"/>
      <x:c r="G82" s="78"/>
      <x:c r="H82" s="78"/>
      <x:c r="I82" s="78"/>
      <x:c r="J82" s="78"/>
      <x:c r="K82" s="78"/>
      <x:c r="L82" s="78"/>
      <x:c r="M82" s="78"/>
      <x:c r="N82" s="78"/>
      <x:c r="O82" s="78"/>
      <x:c r="P82" s="78"/>
      <x:c r="Q82" s="78"/>
      <x:c r="R82" s="78"/>
      <x:c r="S82" s="78"/>
      <x:c r="T82" s="78"/>
      <x:c r="U82" s="78"/>
      <x:c r="V82" s="78"/>
      <x:c r="W82" s="78"/>
      <x:c r="X82" s="78"/>
      <x:c r="Y82" s="78"/>
      <x:c r="Z82" s="78"/>
    </x:row>
    <x:row r="83">
      <x:c r="A83" s="78"/>
      <x:c r="B83" s="78"/>
      <x:c r="C83" s="78"/>
      <x:c r="D83" s="78"/>
      <x:c r="E83" s="78"/>
      <x:c r="F83" s="78"/>
      <x:c r="G83" s="78"/>
      <x:c r="H83" s="78"/>
      <x:c r="I83" s="78"/>
      <x:c r="J83" s="78"/>
      <x:c r="K83" s="78"/>
      <x:c r="L83" s="78"/>
      <x:c r="M83" s="78"/>
      <x:c r="N83" s="78"/>
      <x:c r="O83" s="78"/>
      <x:c r="P83" s="78"/>
      <x:c r="Q83" s="78"/>
      <x:c r="R83" s="78"/>
      <x:c r="S83" s="78"/>
      <x:c r="T83" s="78"/>
      <x:c r="U83" s="78"/>
      <x:c r="V83" s="78"/>
      <x:c r="W83" s="78"/>
      <x:c r="X83" s="78"/>
      <x:c r="Y83" s="78"/>
      <x:c r="Z83" s="78"/>
    </x:row>
    <x:row r="84">
      <x:c r="A84" s="78"/>
      <x:c r="B84" s="78"/>
      <x:c r="C84" s="78"/>
      <x:c r="D84" s="78"/>
      <x:c r="E84" s="78"/>
      <x:c r="F84" s="78"/>
      <x:c r="G84" s="78"/>
      <x:c r="H84" s="78"/>
      <x:c r="I84" s="78"/>
      <x:c r="J84" s="78"/>
      <x:c r="K84" s="78"/>
      <x:c r="L84" s="78"/>
      <x:c r="M84" s="78"/>
      <x:c r="N84" s="78"/>
      <x:c r="O84" s="78"/>
      <x:c r="P84" s="78"/>
      <x:c r="Q84" s="78"/>
      <x:c r="R84" s="78"/>
      <x:c r="S84" s="78"/>
      <x:c r="T84" s="78"/>
      <x:c r="U84" s="78"/>
      <x:c r="V84" s="78"/>
      <x:c r="W84" s="78"/>
      <x:c r="X84" s="78"/>
      <x:c r="Y84" s="78"/>
      <x:c r="Z84" s="78"/>
    </x:row>
    <x:row r="85">
      <x:c r="A85" s="78"/>
      <x:c r="B85" s="78"/>
      <x:c r="C85" s="78"/>
      <x:c r="D85" s="78"/>
      <x:c r="E85" s="78"/>
      <x:c r="F85" s="78"/>
      <x:c r="G85" s="78"/>
      <x:c r="H85" s="78"/>
      <x:c r="I85" s="78"/>
      <x:c r="J85" s="78"/>
      <x:c r="K85" s="78"/>
      <x:c r="L85" s="78"/>
      <x:c r="M85" s="78"/>
      <x:c r="N85" s="78"/>
      <x:c r="O85" s="78"/>
      <x:c r="P85" s="78"/>
      <x:c r="Q85" s="78"/>
      <x:c r="R85" s="78"/>
      <x:c r="S85" s="78"/>
      <x:c r="T85" s="78"/>
      <x:c r="U85" s="78"/>
      <x:c r="V85" s="78"/>
      <x:c r="W85" s="78"/>
      <x:c r="X85" s="78"/>
      <x:c r="Y85" s="78"/>
      <x:c r="Z85" s="78"/>
    </x:row>
    <x:row r="86">
      <x:c r="A86" s="78"/>
      <x:c r="B86" s="78"/>
      <x:c r="C86" s="78"/>
      <x:c r="D86" s="78"/>
      <x:c r="E86" s="78"/>
      <x:c r="F86" s="78"/>
      <x:c r="G86" s="78"/>
      <x:c r="H86" s="78"/>
      <x:c r="I86" s="78"/>
      <x:c r="J86" s="78"/>
      <x:c r="K86" s="78"/>
      <x:c r="L86" s="78"/>
      <x:c r="M86" s="78"/>
      <x:c r="N86" s="78"/>
      <x:c r="O86" s="78"/>
      <x:c r="P86" s="78"/>
      <x:c r="Q86" s="78"/>
      <x:c r="R86" s="78"/>
      <x:c r="S86" s="78"/>
      <x:c r="T86" s="78"/>
      <x:c r="U86" s="78"/>
      <x:c r="V86" s="78"/>
      <x:c r="W86" s="78"/>
      <x:c r="X86" s="78"/>
      <x:c r="Y86" s="78"/>
      <x:c r="Z86" s="78"/>
    </x:row>
    <x:row r="87">
      <x:c r="A87" s="78"/>
      <x:c r="B87" s="78"/>
      <x:c r="C87" s="78"/>
      <x:c r="D87" s="78"/>
      <x:c r="E87" s="78"/>
      <x:c r="F87" s="78"/>
      <x:c r="G87" s="78"/>
      <x:c r="H87" s="78"/>
      <x:c r="I87" s="78"/>
      <x:c r="J87" s="78"/>
      <x:c r="K87" s="78"/>
      <x:c r="L87" s="78"/>
      <x:c r="M87" s="78"/>
      <x:c r="N87" s="78"/>
      <x:c r="O87" s="78"/>
      <x:c r="P87" s="78"/>
      <x:c r="Q87" s="78"/>
      <x:c r="R87" s="78"/>
      <x:c r="S87" s="78"/>
      <x:c r="T87" s="78"/>
      <x:c r="U87" s="78"/>
      <x:c r="V87" s="78"/>
      <x:c r="W87" s="78"/>
      <x:c r="X87" s="78"/>
      <x:c r="Y87" s="78"/>
      <x:c r="Z87" s="78"/>
    </x:row>
    <x:row r="88">
      <x:c r="A88" s="78"/>
      <x:c r="B88" s="78"/>
      <x:c r="C88" s="78"/>
      <x:c r="D88" s="78"/>
      <x:c r="E88" s="78"/>
      <x:c r="F88" s="78"/>
      <x:c r="G88" s="78"/>
      <x:c r="H88" s="78"/>
      <x:c r="I88" s="78"/>
      <x:c r="J88" s="78"/>
      <x:c r="K88" s="78"/>
      <x:c r="L88" s="78"/>
      <x:c r="M88" s="78"/>
      <x:c r="N88" s="78"/>
      <x:c r="O88" s="78"/>
      <x:c r="P88" s="78"/>
      <x:c r="Q88" s="78"/>
      <x:c r="R88" s="78"/>
      <x:c r="S88" s="78"/>
      <x:c r="T88" s="78"/>
      <x:c r="U88" s="78"/>
      <x:c r="V88" s="78"/>
      <x:c r="W88" s="78"/>
      <x:c r="X88" s="78"/>
      <x:c r="Y88" s="78"/>
      <x:c r="Z88" s="78"/>
    </x:row>
    <x:row r="89">
      <x:c r="A89" s="78"/>
      <x:c r="B89" s="78"/>
      <x:c r="C89" s="78"/>
      <x:c r="D89" s="78"/>
      <x:c r="E89" s="78"/>
      <x:c r="F89" s="78"/>
      <x:c r="G89" s="78"/>
      <x:c r="H89" s="78"/>
      <x:c r="I89" s="78"/>
      <x:c r="J89" s="78"/>
      <x:c r="K89" s="78"/>
      <x:c r="L89" s="78"/>
      <x:c r="M89" s="78"/>
      <x:c r="N89" s="78"/>
      <x:c r="O89" s="78"/>
      <x:c r="P89" s="78"/>
      <x:c r="Q89" s="78"/>
      <x:c r="R89" s="78"/>
      <x:c r="S89" s="78"/>
      <x:c r="T89" s="78"/>
      <x:c r="U89" s="78"/>
      <x:c r="V89" s="78"/>
      <x:c r="W89" s="78"/>
      <x:c r="X89" s="78"/>
      <x:c r="Y89" s="78"/>
      <x:c r="Z89" s="78"/>
    </x:row>
    <x:row r="90">
      <x:c r="A90" s="78"/>
      <x:c r="B90" s="78"/>
      <x:c r="C90" s="78"/>
      <x:c r="D90" s="78"/>
      <x:c r="E90" s="78"/>
      <x:c r="F90" s="78"/>
      <x:c r="G90" s="78"/>
      <x:c r="H90" s="78"/>
      <x:c r="I90" s="78"/>
      <x:c r="J90" s="78"/>
      <x:c r="K90" s="78"/>
      <x:c r="L90" s="78"/>
      <x:c r="M90" s="78"/>
      <x:c r="N90" s="78"/>
      <x:c r="O90" s="78"/>
      <x:c r="P90" s="78"/>
      <x:c r="Q90" s="78"/>
      <x:c r="R90" s="78"/>
      <x:c r="S90" s="78"/>
      <x:c r="T90" s="78"/>
      <x:c r="U90" s="78"/>
      <x:c r="V90" s="78"/>
      <x:c r="W90" s="78"/>
      <x:c r="X90" s="78"/>
      <x:c r="Y90" s="78"/>
      <x:c r="Z90" s="78"/>
    </x:row>
    <x:row r="91">
      <x:c r="A91" s="78"/>
      <x:c r="B91" s="78"/>
      <x:c r="C91" s="78"/>
      <x:c r="D91" s="78"/>
      <x:c r="E91" s="78"/>
      <x:c r="F91" s="78"/>
      <x:c r="G91" s="78"/>
      <x:c r="H91" s="78"/>
      <x:c r="I91" s="78"/>
      <x:c r="J91" s="78"/>
      <x:c r="K91" s="78"/>
      <x:c r="L91" s="78"/>
      <x:c r="M91" s="78"/>
      <x:c r="N91" s="78"/>
      <x:c r="O91" s="78"/>
      <x:c r="P91" s="78"/>
      <x:c r="Q91" s="78"/>
      <x:c r="R91" s="78"/>
      <x:c r="S91" s="78"/>
      <x:c r="T91" s="78"/>
      <x:c r="U91" s="78"/>
      <x:c r="V91" s="78"/>
      <x:c r="W91" s="78"/>
      <x:c r="X91" s="78"/>
      <x:c r="Y91" s="78"/>
      <x:c r="Z91" s="78"/>
    </x:row>
    <x:row r="92">
      <x:c r="A92" s="78"/>
      <x:c r="B92" s="78"/>
      <x:c r="C92" s="78"/>
      <x:c r="D92" s="78"/>
      <x:c r="E92" s="78"/>
      <x:c r="F92" s="78"/>
      <x:c r="G92" s="78"/>
      <x:c r="H92" s="78"/>
      <x:c r="I92" s="78"/>
      <x:c r="J92" s="78"/>
      <x:c r="K92" s="78"/>
      <x:c r="L92" s="78"/>
      <x:c r="M92" s="78"/>
      <x:c r="N92" s="78"/>
      <x:c r="O92" s="78"/>
      <x:c r="P92" s="78"/>
      <x:c r="Q92" s="78"/>
      <x:c r="R92" s="78"/>
      <x:c r="S92" s="78"/>
      <x:c r="T92" s="78"/>
      <x:c r="U92" s="78"/>
      <x:c r="V92" s="78"/>
      <x:c r="W92" s="78"/>
      <x:c r="X92" s="78"/>
      <x:c r="Y92" s="78"/>
      <x:c r="Z92" s="78"/>
    </x:row>
    <x:row r="93">
      <x:c r="A93" s="78"/>
      <x:c r="B93" s="78"/>
      <x:c r="C93" s="78"/>
      <x:c r="D93" s="78"/>
      <x:c r="E93" s="78"/>
      <x:c r="F93" s="78"/>
      <x:c r="G93" s="78"/>
      <x:c r="H93" s="78"/>
      <x:c r="I93" s="78"/>
      <x:c r="J93" s="78"/>
      <x:c r="K93" s="78"/>
      <x:c r="L93" s="78"/>
      <x:c r="M93" s="78"/>
      <x:c r="N93" s="78"/>
      <x:c r="O93" s="78"/>
      <x:c r="P93" s="78"/>
      <x:c r="Q93" s="78"/>
      <x:c r="R93" s="78"/>
      <x:c r="S93" s="78"/>
      <x:c r="T93" s="78"/>
      <x:c r="U93" s="78"/>
      <x:c r="V93" s="78"/>
      <x:c r="W93" s="78"/>
      <x:c r="X93" s="78"/>
      <x:c r="Y93" s="78"/>
      <x:c r="Z93" s="78"/>
    </x:row>
    <x:row r="94">
      <x:c r="A94" s="78"/>
      <x:c r="B94" s="78"/>
      <x:c r="C94" s="78"/>
      <x:c r="D94" s="78"/>
      <x:c r="E94" s="78"/>
      <x:c r="F94" s="78"/>
      <x:c r="G94" s="78"/>
      <x:c r="H94" s="78"/>
      <x:c r="I94" s="78"/>
      <x:c r="J94" s="78"/>
      <x:c r="K94" s="78"/>
      <x:c r="L94" s="78"/>
      <x:c r="M94" s="78"/>
      <x:c r="N94" s="78"/>
      <x:c r="O94" s="78"/>
      <x:c r="P94" s="78"/>
      <x:c r="Q94" s="78"/>
      <x:c r="R94" s="78"/>
      <x:c r="S94" s="78"/>
      <x:c r="T94" s="78"/>
      <x:c r="U94" s="78"/>
      <x:c r="V94" s="78"/>
      <x:c r="W94" s="78"/>
      <x:c r="X94" s="78"/>
      <x:c r="Y94" s="78"/>
      <x:c r="Z94" s="78"/>
    </x:row>
    <x:row r="95">
      <x:c r="A95" s="78"/>
      <x:c r="B95" s="78"/>
      <x:c r="C95" s="78"/>
      <x:c r="D95" s="78"/>
      <x:c r="E95" s="78"/>
      <x:c r="F95" s="78"/>
      <x:c r="G95" s="78"/>
      <x:c r="H95" s="78"/>
      <x:c r="I95" s="78"/>
      <x:c r="J95" s="78"/>
      <x:c r="K95" s="78"/>
      <x:c r="L95" s="78"/>
      <x:c r="M95" s="78"/>
      <x:c r="N95" s="78"/>
      <x:c r="O95" s="78"/>
      <x:c r="P95" s="78"/>
      <x:c r="Q95" s="78"/>
      <x:c r="R95" s="78"/>
      <x:c r="S95" s="78"/>
      <x:c r="T95" s="78"/>
      <x:c r="U95" s="78"/>
      <x:c r="V95" s="78"/>
      <x:c r="W95" s="78"/>
      <x:c r="X95" s="78"/>
      <x:c r="Y95" s="78"/>
      <x:c r="Z95" s="78"/>
    </x:row>
    <x:row r="96">
      <x:c r="A96" s="78"/>
      <x:c r="B96" s="78"/>
      <x:c r="C96" s="78"/>
      <x:c r="D96" s="78"/>
      <x:c r="E96" s="78"/>
      <x:c r="F96" s="78"/>
      <x:c r="G96" s="78"/>
      <x:c r="H96" s="78"/>
      <x:c r="I96" s="78"/>
      <x:c r="J96" s="78"/>
      <x:c r="K96" s="78"/>
      <x:c r="L96" s="78"/>
      <x:c r="M96" s="78"/>
      <x:c r="N96" s="78"/>
      <x:c r="O96" s="78"/>
      <x:c r="P96" s="78"/>
      <x:c r="Q96" s="78"/>
      <x:c r="R96" s="78"/>
      <x:c r="S96" s="78"/>
      <x:c r="T96" s="78"/>
      <x:c r="U96" s="78"/>
      <x:c r="V96" s="78"/>
      <x:c r="W96" s="78"/>
      <x:c r="X96" s="78"/>
      <x:c r="Y96" s="78"/>
      <x:c r="Z96" s="78"/>
    </x:row>
    <x:row r="97">
      <x:c r="A97" s="78"/>
      <x:c r="B97" s="78"/>
      <x:c r="C97" s="78"/>
      <x:c r="D97" s="78"/>
      <x:c r="E97" s="78"/>
      <x:c r="F97" s="78"/>
      <x:c r="G97" s="78"/>
      <x:c r="H97" s="78"/>
      <x:c r="I97" s="78"/>
      <x:c r="J97" s="78"/>
      <x:c r="K97" s="78"/>
      <x:c r="L97" s="78"/>
      <x:c r="M97" s="78"/>
      <x:c r="N97" s="78"/>
      <x:c r="O97" s="78"/>
      <x:c r="P97" s="78"/>
      <x:c r="Q97" s="78"/>
      <x:c r="R97" s="78"/>
      <x:c r="S97" s="78"/>
      <x:c r="T97" s="78"/>
      <x:c r="U97" s="78"/>
      <x:c r="V97" s="78"/>
      <x:c r="W97" s="78"/>
      <x:c r="X97" s="78"/>
      <x:c r="Y97" s="78"/>
      <x:c r="Z97" s="78"/>
    </x:row>
    <x:row r="98">
      <x:c r="A98" s="78"/>
      <x:c r="B98" s="78"/>
      <x:c r="C98" s="78"/>
      <x:c r="D98" s="78"/>
      <x:c r="E98" s="78"/>
      <x:c r="F98" s="78"/>
      <x:c r="G98" s="78"/>
      <x:c r="H98" s="78"/>
      <x:c r="I98" s="78"/>
      <x:c r="J98" s="78"/>
      <x:c r="K98" s="78"/>
      <x:c r="L98" s="78"/>
      <x:c r="M98" s="78"/>
      <x:c r="N98" s="78"/>
      <x:c r="O98" s="78"/>
      <x:c r="P98" s="78"/>
      <x:c r="Q98" s="78"/>
      <x:c r="R98" s="78"/>
      <x:c r="S98" s="78"/>
      <x:c r="T98" s="78"/>
      <x:c r="U98" s="78"/>
      <x:c r="V98" s="78"/>
      <x:c r="W98" s="78"/>
      <x:c r="X98" s="78"/>
      <x:c r="Y98" s="78"/>
      <x:c r="Z98" s="78"/>
    </x:row>
    <x:row r="99">
      <x:c r="A99" s="78"/>
      <x:c r="B99" s="78"/>
      <x:c r="C99" s="78"/>
      <x:c r="D99" s="78"/>
      <x:c r="E99" s="78"/>
      <x:c r="F99" s="78"/>
      <x:c r="G99" s="78"/>
      <x:c r="H99" s="78"/>
      <x:c r="I99" s="78"/>
      <x:c r="J99" s="78"/>
      <x:c r="K99" s="78"/>
      <x:c r="L99" s="78"/>
      <x:c r="M99" s="78"/>
      <x:c r="N99" s="78"/>
      <x:c r="O99" s="78"/>
      <x:c r="P99" s="78"/>
      <x:c r="Q99" s="78"/>
      <x:c r="R99" s="78"/>
      <x:c r="S99" s="78"/>
      <x:c r="T99" s="78"/>
      <x:c r="U99" s="78"/>
      <x:c r="V99" s="78"/>
      <x:c r="W99" s="78"/>
      <x:c r="X99" s="78"/>
      <x:c r="Y99" s="78"/>
      <x:c r="Z99" s="78"/>
    </x:row>
    <x:row r="100">
      <x:c r="A100" s="78"/>
      <x:c r="B100" s="78"/>
      <x:c r="C100" s="78"/>
      <x:c r="D100" s="78"/>
      <x:c r="E100" s="78"/>
      <x:c r="F100" s="78"/>
      <x:c r="G100" s="78"/>
      <x:c r="H100" s="78"/>
      <x:c r="I100" s="78"/>
      <x:c r="J100" s="78"/>
      <x:c r="K100" s="78"/>
      <x:c r="L100" s="78"/>
      <x:c r="M100" s="78"/>
      <x:c r="N100" s="78"/>
      <x:c r="O100" s="78"/>
      <x:c r="P100" s="78"/>
      <x:c r="Q100" s="78"/>
      <x:c r="R100" s="78"/>
      <x:c r="S100" s="78"/>
      <x:c r="T100" s="78"/>
      <x:c r="U100" s="78"/>
      <x:c r="V100" s="78"/>
      <x:c r="W100" s="78"/>
      <x:c r="X100" s="78"/>
      <x:c r="Y100" s="78"/>
      <x:c r="Z100" s="78"/>
    </x:row>
    <x:row r="101">
      <x:c r="A101" s="78"/>
      <x:c r="B101" s="78"/>
      <x:c r="C101" s="78"/>
      <x:c r="D101" s="78"/>
      <x:c r="E101" s="78"/>
      <x:c r="F101" s="78"/>
      <x:c r="G101" s="78"/>
      <x:c r="H101" s="78"/>
      <x:c r="I101" s="78"/>
      <x:c r="J101" s="78"/>
      <x:c r="K101" s="78"/>
      <x:c r="L101" s="78"/>
      <x:c r="M101" s="78"/>
      <x:c r="N101" s="78"/>
      <x:c r="O101" s="78"/>
      <x:c r="P101" s="78"/>
      <x:c r="Q101" s="78"/>
      <x:c r="R101" s="78"/>
      <x:c r="S101" s="78"/>
      <x:c r="T101" s="78"/>
      <x:c r="U101" s="78"/>
      <x:c r="V101" s="78"/>
      <x:c r="W101" s="78"/>
      <x:c r="X101" s="78"/>
      <x:c r="Y101" s="78"/>
      <x:c r="Z101" s="78"/>
    </x:row>
    <x:row r="102">
      <x:c r="A102" s="78"/>
      <x:c r="B102" s="78"/>
      <x:c r="C102" s="78"/>
      <x:c r="D102" s="78"/>
      <x:c r="E102" s="78"/>
      <x:c r="F102" s="78"/>
      <x:c r="G102" s="78"/>
      <x:c r="H102" s="78"/>
      <x:c r="I102" s="78"/>
      <x:c r="J102" s="78"/>
      <x:c r="K102" s="78"/>
      <x:c r="L102" s="78"/>
      <x:c r="M102" s="78"/>
      <x:c r="N102" s="78"/>
      <x:c r="O102" s="78"/>
      <x:c r="P102" s="78"/>
      <x:c r="Q102" s="78"/>
      <x:c r="R102" s="78"/>
      <x:c r="S102" s="78"/>
      <x:c r="T102" s="78"/>
      <x:c r="U102" s="78"/>
      <x:c r="V102" s="78"/>
      <x:c r="W102" s="78"/>
      <x:c r="X102" s="78"/>
      <x:c r="Y102" s="78"/>
      <x:c r="Z102" s="78"/>
    </x:row>
    <x:row r="103">
      <x:c r="A103" s="78"/>
      <x:c r="B103" s="78"/>
      <x:c r="C103" s="78"/>
      <x:c r="D103" s="78"/>
      <x:c r="E103" s="78"/>
      <x:c r="F103" s="78"/>
      <x:c r="G103" s="78"/>
      <x:c r="H103" s="78"/>
      <x:c r="I103" s="78"/>
      <x:c r="J103" s="78"/>
      <x:c r="K103" s="78"/>
      <x:c r="L103" s="78"/>
      <x:c r="M103" s="78"/>
      <x:c r="N103" s="78"/>
      <x:c r="O103" s="78"/>
      <x:c r="P103" s="78"/>
      <x:c r="Q103" s="78"/>
      <x:c r="R103" s="78"/>
      <x:c r="S103" s="78"/>
      <x:c r="T103" s="78"/>
      <x:c r="U103" s="78"/>
      <x:c r="V103" s="78"/>
      <x:c r="W103" s="78"/>
      <x:c r="X103" s="78"/>
      <x:c r="Y103" s="78"/>
      <x:c r="Z103" s="78"/>
    </x:row>
    <x:row r="104">
      <x:c r="A104" s="78"/>
      <x:c r="B104" s="78"/>
      <x:c r="C104" s="78"/>
      <x:c r="D104" s="78"/>
      <x:c r="E104" s="78"/>
      <x:c r="F104" s="78"/>
      <x:c r="G104" s="78"/>
      <x:c r="H104" s="78"/>
      <x:c r="I104" s="78"/>
      <x:c r="J104" s="78"/>
      <x:c r="K104" s="78"/>
      <x:c r="L104" s="78"/>
      <x:c r="M104" s="78"/>
      <x:c r="N104" s="78"/>
      <x:c r="O104" s="78"/>
      <x:c r="P104" s="78"/>
      <x:c r="Q104" s="78"/>
      <x:c r="R104" s="78"/>
      <x:c r="S104" s="78"/>
      <x:c r="T104" s="78"/>
      <x:c r="U104" s="78"/>
      <x:c r="V104" s="78"/>
      <x:c r="W104" s="78"/>
      <x:c r="X104" s="78"/>
      <x:c r="Y104" s="78"/>
      <x:c r="Z104" s="78"/>
    </x:row>
    <x:row r="105">
      <x:c r="A105" s="78"/>
      <x:c r="B105" s="78"/>
      <x:c r="C105" s="78"/>
      <x:c r="D105" s="78"/>
      <x:c r="E105" s="78"/>
      <x:c r="F105" s="78"/>
      <x:c r="G105" s="78"/>
      <x:c r="H105" s="78"/>
      <x:c r="I105" s="78"/>
      <x:c r="J105" s="78"/>
      <x:c r="K105" s="78"/>
      <x:c r="L105" s="78"/>
      <x:c r="M105" s="78"/>
      <x:c r="N105" s="78"/>
      <x:c r="O105" s="78"/>
      <x:c r="P105" s="78"/>
      <x:c r="Q105" s="78"/>
      <x:c r="R105" s="78"/>
      <x:c r="S105" s="78"/>
      <x:c r="T105" s="78"/>
      <x:c r="U105" s="78"/>
      <x:c r="V105" s="78"/>
      <x:c r="W105" s="78"/>
      <x:c r="X105" s="78"/>
      <x:c r="Y105" s="78"/>
      <x:c r="Z105" s="78"/>
    </x:row>
    <x:row r="106">
      <x:c r="A106" s="78"/>
      <x:c r="B106" s="78"/>
      <x:c r="C106" s="78"/>
      <x:c r="D106" s="78"/>
      <x:c r="E106" s="78"/>
      <x:c r="F106" s="78"/>
      <x:c r="G106" s="78"/>
      <x:c r="H106" s="78"/>
      <x:c r="I106" s="78"/>
      <x:c r="J106" s="78"/>
      <x:c r="K106" s="78"/>
      <x:c r="L106" s="78"/>
      <x:c r="M106" s="78"/>
      <x:c r="N106" s="78"/>
      <x:c r="O106" s="78"/>
      <x:c r="P106" s="78"/>
      <x:c r="Q106" s="78"/>
      <x:c r="R106" s="78"/>
      <x:c r="S106" s="78"/>
      <x:c r="T106" s="78"/>
      <x:c r="U106" s="78"/>
      <x:c r="V106" s="78"/>
      <x:c r="W106" s="78"/>
      <x:c r="X106" s="78"/>
      <x:c r="Y106" s="78"/>
      <x:c r="Z106" s="78"/>
    </x:row>
    <x:row r="107">
      <x:c r="A107" s="78"/>
      <x:c r="B107" s="78"/>
      <x:c r="C107" s="78"/>
      <x:c r="D107" s="78"/>
      <x:c r="E107" s="78"/>
      <x:c r="F107" s="78"/>
      <x:c r="G107" s="78"/>
      <x:c r="H107" s="78"/>
      <x:c r="I107" s="78"/>
      <x:c r="J107" s="78"/>
      <x:c r="K107" s="78"/>
      <x:c r="L107" s="78"/>
      <x:c r="M107" s="78"/>
      <x:c r="N107" s="78"/>
      <x:c r="O107" s="78"/>
      <x:c r="P107" s="78"/>
      <x:c r="Q107" s="78"/>
      <x:c r="R107" s="78"/>
      <x:c r="S107" s="78"/>
      <x:c r="T107" s="78"/>
      <x:c r="U107" s="78"/>
      <x:c r="V107" s="78"/>
      <x:c r="W107" s="78"/>
      <x:c r="X107" s="78"/>
      <x:c r="Y107" s="78"/>
      <x:c r="Z107" s="78"/>
    </x:row>
    <x:row r="108">
      <x:c r="A108" s="78"/>
      <x:c r="B108" s="78"/>
      <x:c r="C108" s="78"/>
      <x:c r="D108" s="78"/>
      <x:c r="E108" s="78"/>
      <x:c r="F108" s="78"/>
      <x:c r="G108" s="78"/>
      <x:c r="H108" s="78"/>
      <x:c r="I108" s="78"/>
      <x:c r="J108" s="78"/>
      <x:c r="K108" s="78"/>
      <x:c r="L108" s="78"/>
      <x:c r="M108" s="78"/>
      <x:c r="N108" s="78"/>
      <x:c r="O108" s="78"/>
      <x:c r="P108" s="78"/>
      <x:c r="Q108" s="78"/>
      <x:c r="R108" s="78"/>
      <x:c r="S108" s="78"/>
      <x:c r="T108" s="78"/>
      <x:c r="U108" s="78"/>
      <x:c r="V108" s="78"/>
      <x:c r="W108" s="78"/>
      <x:c r="X108" s="78"/>
      <x:c r="Y108" s="78"/>
      <x:c r="Z108" s="78"/>
    </x:row>
    <x:row r="109">
      <x:c r="A109" s="78"/>
      <x:c r="B109" s="78"/>
      <x:c r="C109" s="78"/>
      <x:c r="D109" s="78"/>
      <x:c r="E109" s="78"/>
      <x:c r="F109" s="78"/>
      <x:c r="G109" s="78"/>
      <x:c r="H109" s="78"/>
      <x:c r="I109" s="78"/>
      <x:c r="J109" s="78"/>
      <x:c r="K109" s="78"/>
      <x:c r="L109" s="78"/>
      <x:c r="M109" s="78"/>
      <x:c r="N109" s="78"/>
      <x:c r="O109" s="78"/>
      <x:c r="P109" s="78"/>
      <x:c r="Q109" s="78"/>
      <x:c r="R109" s="78"/>
      <x:c r="S109" s="78"/>
      <x:c r="T109" s="78"/>
      <x:c r="U109" s="78"/>
      <x:c r="V109" s="78"/>
      <x:c r="W109" s="78"/>
      <x:c r="X109" s="78"/>
      <x:c r="Y109" s="78"/>
      <x:c r="Z109" s="78"/>
    </x:row>
    <x:row r="110">
      <x:c r="A110" s="78"/>
      <x:c r="B110" s="78"/>
      <x:c r="C110" s="78"/>
      <x:c r="D110" s="78"/>
      <x:c r="E110" s="78"/>
      <x:c r="F110" s="78"/>
      <x:c r="G110" s="78"/>
      <x:c r="H110" s="78"/>
      <x:c r="I110" s="78"/>
      <x:c r="J110" s="78"/>
      <x:c r="K110" s="78"/>
      <x:c r="L110" s="78"/>
      <x:c r="M110" s="78"/>
      <x:c r="N110" s="78"/>
      <x:c r="O110" s="78"/>
      <x:c r="P110" s="78"/>
      <x:c r="Q110" s="78"/>
      <x:c r="R110" s="78"/>
      <x:c r="S110" s="78"/>
      <x:c r="T110" s="78"/>
      <x:c r="U110" s="78"/>
      <x:c r="V110" s="78"/>
      <x:c r="W110" s="78"/>
      <x:c r="X110" s="78"/>
      <x:c r="Y110" s="78"/>
      <x:c r="Z110" s="78"/>
    </x:row>
    <x:row r="111">
      <x:c r="A111" s="78"/>
      <x:c r="B111" s="78"/>
      <x:c r="C111" s="78"/>
      <x:c r="D111" s="78"/>
      <x:c r="E111" s="78"/>
      <x:c r="F111" s="78"/>
      <x:c r="G111" s="78"/>
      <x:c r="H111" s="78"/>
      <x:c r="I111" s="78"/>
      <x:c r="J111" s="78"/>
      <x:c r="K111" s="78"/>
      <x:c r="L111" s="78"/>
      <x:c r="M111" s="78"/>
      <x:c r="N111" s="78"/>
      <x:c r="O111" s="78"/>
      <x:c r="P111" s="78"/>
      <x:c r="Q111" s="78"/>
      <x:c r="R111" s="78"/>
      <x:c r="S111" s="78"/>
      <x:c r="T111" s="78"/>
      <x:c r="U111" s="78"/>
      <x:c r="V111" s="78"/>
      <x:c r="W111" s="78"/>
      <x:c r="X111" s="78"/>
      <x:c r="Y111" s="78"/>
      <x:c r="Z111" s="78"/>
    </x:row>
    <x:row r="112">
      <x:c r="A112" s="78"/>
      <x:c r="B112" s="78"/>
      <x:c r="C112" s="78"/>
      <x:c r="D112" s="78"/>
      <x:c r="E112" s="78"/>
      <x:c r="F112" s="78"/>
      <x:c r="G112" s="78"/>
      <x:c r="H112" s="78"/>
      <x:c r="I112" s="78"/>
      <x:c r="J112" s="78"/>
      <x:c r="K112" s="78"/>
      <x:c r="L112" s="78"/>
      <x:c r="M112" s="78"/>
      <x:c r="N112" s="78"/>
      <x:c r="O112" s="78"/>
      <x:c r="P112" s="78"/>
      <x:c r="Q112" s="78"/>
      <x:c r="R112" s="78"/>
      <x:c r="S112" s="78"/>
      <x:c r="T112" s="78"/>
      <x:c r="U112" s="78"/>
      <x:c r="V112" s="78"/>
      <x:c r="W112" s="78"/>
      <x:c r="X112" s="78"/>
      <x:c r="Y112" s="78"/>
      <x:c r="Z112" s="78"/>
    </x:row>
    <x:row r="113">
      <x:c r="A113" s="78"/>
      <x:c r="B113" s="78"/>
      <x:c r="C113" s="78"/>
      <x:c r="D113" s="78"/>
      <x:c r="E113" s="78"/>
      <x:c r="F113" s="78"/>
      <x:c r="G113" s="78"/>
      <x:c r="H113" s="78"/>
      <x:c r="I113" s="78"/>
      <x:c r="J113" s="78"/>
      <x:c r="K113" s="78"/>
      <x:c r="L113" s="78"/>
      <x:c r="M113" s="78"/>
      <x:c r="N113" s="78"/>
      <x:c r="O113" s="78"/>
      <x:c r="P113" s="78"/>
      <x:c r="Q113" s="78"/>
      <x:c r="R113" s="78"/>
      <x:c r="S113" s="78"/>
      <x:c r="T113" s="78"/>
      <x:c r="U113" s="78"/>
      <x:c r="V113" s="78"/>
      <x:c r="W113" s="78"/>
      <x:c r="X113" s="78"/>
      <x:c r="Y113" s="78"/>
      <x:c r="Z113" s="78"/>
    </x:row>
    <x:row r="114">
      <x:c r="A114" s="78"/>
      <x:c r="B114" s="78"/>
      <x:c r="C114" s="78"/>
      <x:c r="D114" s="78"/>
      <x:c r="E114" s="78"/>
      <x:c r="F114" s="78"/>
      <x:c r="G114" s="78"/>
      <x:c r="H114" s="78"/>
      <x:c r="I114" s="78"/>
      <x:c r="J114" s="78"/>
      <x:c r="K114" s="78"/>
      <x:c r="L114" s="78"/>
      <x:c r="M114" s="78"/>
      <x:c r="N114" s="78"/>
      <x:c r="O114" s="78"/>
      <x:c r="P114" s="78"/>
      <x:c r="Q114" s="78"/>
      <x:c r="R114" s="78"/>
      <x:c r="S114" s="78"/>
      <x:c r="T114" s="78"/>
      <x:c r="U114" s="78"/>
      <x:c r="V114" s="78"/>
      <x:c r="W114" s="78"/>
      <x:c r="X114" s="78"/>
      <x:c r="Y114" s="78"/>
      <x:c r="Z114" s="78"/>
    </x:row>
    <x:row r="115">
      <x:c r="A115" s="78"/>
      <x:c r="B115" s="78"/>
      <x:c r="C115" s="78"/>
      <x:c r="D115" s="78"/>
      <x:c r="E115" s="78"/>
      <x:c r="F115" s="78"/>
      <x:c r="G115" s="78"/>
      <x:c r="H115" s="78"/>
      <x:c r="I115" s="78"/>
      <x:c r="J115" s="78"/>
      <x:c r="K115" s="78"/>
      <x:c r="L115" s="78"/>
      <x:c r="M115" s="78"/>
      <x:c r="N115" s="78"/>
      <x:c r="O115" s="78"/>
      <x:c r="P115" s="78"/>
      <x:c r="Q115" s="78"/>
      <x:c r="R115" s="78"/>
      <x:c r="S115" s="78"/>
      <x:c r="T115" s="78"/>
      <x:c r="U115" s="78"/>
      <x:c r="V115" s="78"/>
      <x:c r="W115" s="78"/>
      <x:c r="X115" s="78"/>
      <x:c r="Y115" s="78"/>
      <x:c r="Z115" s="78"/>
    </x:row>
    <x:row r="116">
      <x:c r="A116" s="78"/>
      <x:c r="B116" s="78"/>
      <x:c r="C116" s="78"/>
      <x:c r="D116" s="78"/>
      <x:c r="E116" s="78"/>
      <x:c r="F116" s="78"/>
      <x:c r="G116" s="78"/>
      <x:c r="H116" s="78"/>
      <x:c r="I116" s="78"/>
      <x:c r="J116" s="78"/>
      <x:c r="K116" s="78"/>
      <x:c r="L116" s="78"/>
      <x:c r="M116" s="78"/>
      <x:c r="N116" s="78"/>
      <x:c r="O116" s="78"/>
      <x:c r="P116" s="78"/>
      <x:c r="Q116" s="78"/>
      <x:c r="R116" s="78"/>
      <x:c r="S116" s="78"/>
      <x:c r="T116" s="78"/>
      <x:c r="U116" s="78"/>
      <x:c r="V116" s="78"/>
      <x:c r="W116" s="78"/>
      <x:c r="X116" s="78"/>
      <x:c r="Y116" s="78"/>
      <x:c r="Z116" s="78"/>
    </x:row>
    <x:row r="117">
      <x:c r="A117" s="78"/>
      <x:c r="B117" s="78"/>
      <x:c r="C117" s="78"/>
      <x:c r="D117" s="78"/>
      <x:c r="E117" s="78"/>
      <x:c r="F117" s="78"/>
      <x:c r="G117" s="78"/>
      <x:c r="H117" s="78"/>
      <x:c r="I117" s="78"/>
      <x:c r="J117" s="78"/>
      <x:c r="K117" s="78"/>
      <x:c r="L117" s="78"/>
      <x:c r="M117" s="78"/>
      <x:c r="N117" s="78"/>
      <x:c r="O117" s="78"/>
      <x:c r="P117" s="78"/>
      <x:c r="Q117" s="78"/>
      <x:c r="R117" s="78"/>
      <x:c r="S117" s="78"/>
      <x:c r="T117" s="78"/>
      <x:c r="U117" s="78"/>
      <x:c r="V117" s="78"/>
      <x:c r="W117" s="78"/>
      <x:c r="X117" s="78"/>
      <x:c r="Y117" s="78"/>
      <x:c r="Z117" s="78"/>
    </x:row>
    <x:row r="118">
      <x:c r="A118" s="78"/>
      <x:c r="B118" s="78"/>
      <x:c r="C118" s="78"/>
      <x:c r="D118" s="78"/>
      <x:c r="E118" s="78"/>
      <x:c r="F118" s="78"/>
      <x:c r="G118" s="78"/>
      <x:c r="H118" s="78"/>
      <x:c r="I118" s="78"/>
      <x:c r="J118" s="78"/>
      <x:c r="K118" s="78"/>
      <x:c r="L118" s="78"/>
      <x:c r="M118" s="78"/>
      <x:c r="N118" s="78"/>
      <x:c r="O118" s="78"/>
      <x:c r="P118" s="78"/>
      <x:c r="Q118" s="78"/>
      <x:c r="R118" s="78"/>
      <x:c r="S118" s="78"/>
      <x:c r="T118" s="78"/>
      <x:c r="U118" s="78"/>
      <x:c r="V118" s="78"/>
      <x:c r="W118" s="78"/>
      <x:c r="X118" s="78"/>
      <x:c r="Y118" s="78"/>
      <x:c r="Z118" s="78"/>
    </x:row>
    <x:row r="119">
      <x:c r="A119" s="78"/>
      <x:c r="B119" s="78"/>
      <x:c r="C119" s="78"/>
      <x:c r="D119" s="78"/>
      <x:c r="E119" s="78"/>
      <x:c r="F119" s="78"/>
      <x:c r="G119" s="78"/>
      <x:c r="H119" s="78"/>
      <x:c r="I119" s="78"/>
      <x:c r="J119" s="78"/>
      <x:c r="K119" s="78"/>
      <x:c r="L119" s="78"/>
      <x:c r="M119" s="78"/>
      <x:c r="N119" s="78"/>
      <x:c r="O119" s="78"/>
      <x:c r="P119" s="78"/>
      <x:c r="Q119" s="78"/>
      <x:c r="R119" s="78"/>
      <x:c r="S119" s="78"/>
      <x:c r="T119" s="78"/>
      <x:c r="U119" s="78"/>
      <x:c r="V119" s="78"/>
      <x:c r="W119" s="78"/>
      <x:c r="X119" s="78"/>
      <x:c r="Y119" s="78"/>
      <x:c r="Z119" s="78"/>
    </x:row>
    <x:row r="120">
      <x:c r="A120" s="78"/>
      <x:c r="B120" s="78"/>
      <x:c r="C120" s="78"/>
      <x:c r="D120" s="78"/>
      <x:c r="E120" s="78"/>
      <x:c r="F120" s="78"/>
      <x:c r="G120" s="78"/>
      <x:c r="H120" s="78"/>
      <x:c r="I120" s="78"/>
      <x:c r="J120" s="78"/>
      <x:c r="K120" s="78"/>
      <x:c r="L120" s="78"/>
      <x:c r="M120" s="78"/>
      <x:c r="N120" s="78"/>
      <x:c r="O120" s="78"/>
      <x:c r="P120" s="78"/>
      <x:c r="Q120" s="78"/>
      <x:c r="R120" s="78"/>
      <x:c r="S120" s="78"/>
      <x:c r="T120" s="78"/>
      <x:c r="U120" s="78"/>
      <x:c r="V120" s="78"/>
      <x:c r="W120" s="78"/>
      <x:c r="X120" s="78"/>
      <x:c r="Y120" s="78"/>
      <x:c r="Z120" s="78"/>
    </x:row>
    <x:row r="121">
      <x:c r="A121" s="78"/>
      <x:c r="B121" s="78"/>
      <x:c r="C121" s="78"/>
      <x:c r="D121" s="78"/>
      <x:c r="E121" s="78"/>
      <x:c r="F121" s="78"/>
      <x:c r="G121" s="78"/>
      <x:c r="H121" s="78"/>
      <x:c r="I121" s="78"/>
      <x:c r="J121" s="78"/>
      <x:c r="K121" s="78"/>
      <x:c r="L121" s="78"/>
      <x:c r="M121" s="78"/>
      <x:c r="N121" s="78"/>
      <x:c r="O121" s="78"/>
      <x:c r="P121" s="78"/>
      <x:c r="Q121" s="78"/>
      <x:c r="R121" s="78"/>
      <x:c r="S121" s="78"/>
      <x:c r="T121" s="78"/>
      <x:c r="U121" s="78"/>
      <x:c r="V121" s="78"/>
      <x:c r="W121" s="78"/>
      <x:c r="X121" s="78"/>
      <x:c r="Y121" s="78"/>
      <x:c r="Z121" s="78"/>
    </x:row>
    <x:row r="122">
      <x:c r="A122" s="78"/>
      <x:c r="B122" s="78"/>
      <x:c r="C122" s="78"/>
      <x:c r="D122" s="78"/>
      <x:c r="E122" s="78"/>
      <x:c r="F122" s="78"/>
      <x:c r="G122" s="78"/>
      <x:c r="H122" s="78"/>
      <x:c r="I122" s="78"/>
      <x:c r="J122" s="78"/>
      <x:c r="K122" s="78"/>
      <x:c r="L122" s="78"/>
      <x:c r="M122" s="78"/>
      <x:c r="N122" s="78"/>
      <x:c r="O122" s="78"/>
      <x:c r="P122" s="78"/>
      <x:c r="Q122" s="78"/>
      <x:c r="R122" s="78"/>
      <x:c r="S122" s="78"/>
      <x:c r="T122" s="78"/>
      <x:c r="U122" s="78"/>
      <x:c r="V122" s="78"/>
      <x:c r="W122" s="78"/>
      <x:c r="X122" s="78"/>
      <x:c r="Y122" s="78"/>
      <x:c r="Z122" s="78"/>
    </x:row>
    <x:row r="123">
      <x:c r="A123" s="78"/>
      <x:c r="B123" s="78"/>
      <x:c r="C123" s="78"/>
      <x:c r="D123" s="78"/>
      <x:c r="E123" s="78"/>
      <x:c r="F123" s="78"/>
      <x:c r="G123" s="78"/>
      <x:c r="H123" s="78"/>
      <x:c r="I123" s="78"/>
      <x:c r="J123" s="78"/>
      <x:c r="K123" s="78"/>
      <x:c r="L123" s="78"/>
      <x:c r="M123" s="78"/>
      <x:c r="N123" s="78"/>
      <x:c r="O123" s="78"/>
      <x:c r="P123" s="78"/>
      <x:c r="Q123" s="78"/>
      <x:c r="R123" s="78"/>
      <x:c r="S123" s="78"/>
      <x:c r="T123" s="78"/>
      <x:c r="U123" s="78"/>
      <x:c r="V123" s="78"/>
      <x:c r="W123" s="78"/>
      <x:c r="X123" s="78"/>
      <x:c r="Y123" s="78"/>
      <x:c r="Z123" s="78"/>
    </x:row>
    <x:row r="124">
      <x:c r="A124" s="78"/>
      <x:c r="B124" s="78"/>
      <x:c r="C124" s="78"/>
      <x:c r="D124" s="78"/>
      <x:c r="E124" s="78"/>
      <x:c r="F124" s="78"/>
      <x:c r="G124" s="78"/>
      <x:c r="H124" s="78"/>
      <x:c r="I124" s="78"/>
      <x:c r="J124" s="78"/>
      <x:c r="K124" s="78"/>
      <x:c r="L124" s="78"/>
      <x:c r="M124" s="78"/>
      <x:c r="N124" s="78"/>
      <x:c r="O124" s="78"/>
      <x:c r="P124" s="78"/>
      <x:c r="Q124" s="78"/>
      <x:c r="R124" s="78"/>
      <x:c r="S124" s="78"/>
      <x:c r="T124" s="78"/>
      <x:c r="U124" s="78"/>
      <x:c r="V124" s="78"/>
      <x:c r="W124" s="78"/>
      <x:c r="X124" s="78"/>
      <x:c r="Y124" s="78"/>
      <x:c r="Z124" s="78"/>
    </x:row>
    <x:row r="125">
      <x:c r="A125" s="78"/>
      <x:c r="B125" s="78"/>
      <x:c r="C125" s="78"/>
      <x:c r="D125" s="78"/>
      <x:c r="E125" s="78"/>
      <x:c r="F125" s="78"/>
      <x:c r="G125" s="78"/>
      <x:c r="H125" s="78"/>
      <x:c r="I125" s="78"/>
      <x:c r="J125" s="78"/>
      <x:c r="K125" s="78"/>
      <x:c r="L125" s="78"/>
      <x:c r="M125" s="78"/>
      <x:c r="N125" s="78"/>
      <x:c r="O125" s="78"/>
      <x:c r="P125" s="78"/>
      <x:c r="Q125" s="78"/>
      <x:c r="R125" s="78"/>
      <x:c r="S125" s="78"/>
      <x:c r="T125" s="78"/>
      <x:c r="U125" s="78"/>
      <x:c r="V125" s="78"/>
      <x:c r="W125" s="78"/>
      <x:c r="X125" s="78"/>
      <x:c r="Y125" s="78"/>
      <x:c r="Z125" s="78"/>
    </x:row>
    <x:row r="126">
      <x:c r="A126" s="78"/>
      <x:c r="B126" s="78"/>
      <x:c r="C126" s="78"/>
      <x:c r="D126" s="78"/>
      <x:c r="E126" s="78"/>
      <x:c r="F126" s="78"/>
      <x:c r="G126" s="78"/>
      <x:c r="H126" s="78"/>
      <x:c r="I126" s="78"/>
      <x:c r="J126" s="78"/>
      <x:c r="K126" s="78"/>
      <x:c r="L126" s="78"/>
      <x:c r="M126" s="78"/>
      <x:c r="N126" s="78"/>
      <x:c r="O126" s="78"/>
      <x:c r="P126" s="78"/>
      <x:c r="Q126" s="78"/>
      <x:c r="R126" s="78"/>
      <x:c r="S126" s="78"/>
      <x:c r="T126" s="78"/>
      <x:c r="U126" s="78"/>
      <x:c r="V126" s="78"/>
      <x:c r="W126" s="78"/>
      <x:c r="X126" s="78"/>
      <x:c r="Y126" s="78"/>
      <x:c r="Z126" s="78"/>
    </x:row>
    <x:row r="127">
      <x:c r="A127" s="78"/>
      <x:c r="B127" s="78"/>
      <x:c r="C127" s="78"/>
      <x:c r="D127" s="78"/>
      <x:c r="E127" s="78"/>
      <x:c r="F127" s="78"/>
      <x:c r="G127" s="78"/>
      <x:c r="H127" s="78"/>
      <x:c r="I127" s="78"/>
      <x:c r="J127" s="78"/>
      <x:c r="K127" s="78"/>
      <x:c r="L127" s="78"/>
      <x:c r="M127" s="78"/>
      <x:c r="N127" s="78"/>
      <x:c r="O127" s="78"/>
      <x:c r="P127" s="78"/>
      <x:c r="Q127" s="78"/>
      <x:c r="R127" s="78"/>
      <x:c r="S127" s="78"/>
      <x:c r="T127" s="78"/>
      <x:c r="U127" s="78"/>
      <x:c r="V127" s="78"/>
      <x:c r="W127" s="78"/>
      <x:c r="X127" s="78"/>
      <x:c r="Y127" s="78"/>
      <x:c r="Z127" s="78"/>
    </x:row>
    <x:row r="128">
      <x:c r="A128" s="78"/>
      <x:c r="B128" s="78"/>
      <x:c r="C128" s="78"/>
      <x:c r="D128" s="78"/>
      <x:c r="E128" s="78"/>
      <x:c r="F128" s="78"/>
      <x:c r="G128" s="78"/>
      <x:c r="H128" s="78"/>
      <x:c r="I128" s="78"/>
      <x:c r="J128" s="78"/>
      <x:c r="K128" s="78"/>
      <x:c r="L128" s="78"/>
      <x:c r="M128" s="78"/>
      <x:c r="N128" s="78"/>
      <x:c r="O128" s="78"/>
      <x:c r="P128" s="78"/>
      <x:c r="Q128" s="78"/>
      <x:c r="R128" s="78"/>
      <x:c r="S128" s="78"/>
      <x:c r="T128" s="78"/>
      <x:c r="U128" s="78"/>
      <x:c r="V128" s="78"/>
      <x:c r="W128" s="78"/>
      <x:c r="X128" s="78"/>
      <x:c r="Y128" s="78"/>
      <x:c r="Z128" s="78"/>
    </x:row>
    <x:row r="129">
      <x:c r="A129" s="78"/>
      <x:c r="B129" s="78"/>
      <x:c r="C129" s="78"/>
      <x:c r="D129" s="78"/>
      <x:c r="E129" s="78"/>
      <x:c r="F129" s="78"/>
      <x:c r="G129" s="78"/>
      <x:c r="H129" s="78"/>
      <x:c r="I129" s="78"/>
      <x:c r="J129" s="78"/>
      <x:c r="K129" s="78"/>
      <x:c r="L129" s="78"/>
      <x:c r="M129" s="78"/>
      <x:c r="N129" s="78"/>
      <x:c r="O129" s="78"/>
      <x:c r="P129" s="78"/>
      <x:c r="Q129" s="78"/>
      <x:c r="R129" s="78"/>
      <x:c r="S129" s="78"/>
      <x:c r="T129" s="78"/>
      <x:c r="U129" s="78"/>
      <x:c r="V129" s="78"/>
      <x:c r="W129" s="78"/>
      <x:c r="X129" s="78"/>
      <x:c r="Y129" s="78"/>
      <x:c r="Z129" s="78"/>
    </x:row>
    <x:row r="130">
      <x:c r="A130" s="78"/>
      <x:c r="B130" s="78"/>
      <x:c r="C130" s="78"/>
      <x:c r="D130" s="78"/>
      <x:c r="E130" s="78"/>
      <x:c r="F130" s="78"/>
      <x:c r="G130" s="78"/>
      <x:c r="H130" s="78"/>
      <x:c r="I130" s="78"/>
      <x:c r="J130" s="78"/>
      <x:c r="K130" s="78"/>
      <x:c r="L130" s="78"/>
      <x:c r="M130" s="78"/>
      <x:c r="N130" s="78"/>
      <x:c r="O130" s="78"/>
      <x:c r="P130" s="78"/>
      <x:c r="Q130" s="78"/>
      <x:c r="R130" s="78"/>
      <x:c r="S130" s="78"/>
      <x:c r="T130" s="78"/>
      <x:c r="U130" s="78"/>
      <x:c r="V130" s="78"/>
      <x:c r="W130" s="78"/>
      <x:c r="X130" s="78"/>
      <x:c r="Y130" s="78"/>
      <x:c r="Z130" s="78"/>
    </x:row>
    <x:row r="131">
      <x:c r="A131" s="78"/>
      <x:c r="B131" s="78"/>
      <x:c r="C131" s="78"/>
      <x:c r="D131" s="78"/>
      <x:c r="E131" s="78"/>
      <x:c r="F131" s="78"/>
      <x:c r="G131" s="78"/>
      <x:c r="H131" s="78"/>
      <x:c r="I131" s="78"/>
      <x:c r="J131" s="78"/>
      <x:c r="K131" s="78"/>
      <x:c r="L131" s="78"/>
      <x:c r="M131" s="78"/>
      <x:c r="N131" s="78"/>
      <x:c r="O131" s="78"/>
      <x:c r="P131" s="78"/>
      <x:c r="Q131" s="78"/>
      <x:c r="R131" s="78"/>
      <x:c r="S131" s="78"/>
      <x:c r="T131" s="78"/>
      <x:c r="U131" s="78"/>
      <x:c r="V131" s="78"/>
      <x:c r="W131" s="78"/>
      <x:c r="X131" s="78"/>
      <x:c r="Y131" s="78"/>
      <x:c r="Z131" s="78"/>
    </x:row>
    <x:row r="132">
      <x:c r="A132" s="78"/>
      <x:c r="B132" s="78"/>
      <x:c r="C132" s="78"/>
      <x:c r="D132" s="78"/>
      <x:c r="E132" s="78"/>
      <x:c r="F132" s="78"/>
      <x:c r="G132" s="78"/>
      <x:c r="H132" s="78"/>
      <x:c r="I132" s="78"/>
      <x:c r="J132" s="78"/>
      <x:c r="K132" s="78"/>
      <x:c r="L132" s="78"/>
      <x:c r="M132" s="78"/>
      <x:c r="N132" s="78"/>
      <x:c r="O132" s="78"/>
      <x:c r="P132" s="78"/>
      <x:c r="Q132" s="78"/>
      <x:c r="R132" s="78"/>
      <x:c r="S132" s="78"/>
      <x:c r="T132" s="78"/>
      <x:c r="U132" s="78"/>
      <x:c r="V132" s="78"/>
      <x:c r="W132" s="78"/>
      <x:c r="X132" s="78"/>
      <x:c r="Y132" s="78"/>
      <x:c r="Z132" s="78"/>
    </x:row>
    <x:row r="133">
      <x:c r="A133" s="78"/>
      <x:c r="B133" s="78"/>
      <x:c r="C133" s="78"/>
      <x:c r="D133" s="78"/>
      <x:c r="E133" s="78"/>
      <x:c r="F133" s="78"/>
      <x:c r="G133" s="78"/>
      <x:c r="H133" s="78"/>
      <x:c r="I133" s="78"/>
      <x:c r="J133" s="78"/>
      <x:c r="K133" s="78"/>
      <x:c r="L133" s="78"/>
      <x:c r="M133" s="78"/>
      <x:c r="N133" s="78"/>
      <x:c r="O133" s="78"/>
      <x:c r="P133" s="78"/>
      <x:c r="Q133" s="78"/>
      <x:c r="R133" s="78"/>
      <x:c r="S133" s="78"/>
      <x:c r="T133" s="78"/>
      <x:c r="U133" s="78"/>
      <x:c r="V133" s="78"/>
      <x:c r="W133" s="78"/>
      <x:c r="X133" s="78"/>
      <x:c r="Y133" s="78"/>
      <x:c r="Z133" s="78"/>
    </x:row>
    <x:row r="134">
      <x:c r="A134" s="78"/>
      <x:c r="B134" s="78"/>
      <x:c r="C134" s="78"/>
      <x:c r="D134" s="78"/>
      <x:c r="E134" s="78"/>
      <x:c r="F134" s="78"/>
      <x:c r="G134" s="78"/>
      <x:c r="H134" s="78"/>
      <x:c r="I134" s="78"/>
      <x:c r="J134" s="78"/>
      <x:c r="K134" s="78"/>
      <x:c r="L134" s="78"/>
      <x:c r="M134" s="78"/>
      <x:c r="N134" s="78"/>
      <x:c r="O134" s="78"/>
      <x:c r="P134" s="78"/>
      <x:c r="Q134" s="78"/>
      <x:c r="R134" s="78"/>
      <x:c r="S134" s="78"/>
      <x:c r="T134" s="78"/>
      <x:c r="U134" s="78"/>
      <x:c r="V134" s="78"/>
      <x:c r="W134" s="78"/>
      <x:c r="X134" s="78"/>
      <x:c r="Y134" s="78"/>
      <x:c r="Z134" s="78"/>
    </x:row>
    <x:row r="135">
      <x:c r="A135" s="78"/>
      <x:c r="B135" s="78"/>
      <x:c r="C135" s="78"/>
      <x:c r="D135" s="78"/>
      <x:c r="E135" s="78"/>
      <x:c r="F135" s="78"/>
      <x:c r="G135" s="78"/>
      <x:c r="H135" s="78"/>
      <x:c r="I135" s="78"/>
      <x:c r="J135" s="78"/>
      <x:c r="K135" s="78"/>
      <x:c r="L135" s="78"/>
      <x:c r="M135" s="78"/>
      <x:c r="N135" s="78"/>
      <x:c r="O135" s="78"/>
      <x:c r="P135" s="78"/>
      <x:c r="Q135" s="78"/>
      <x:c r="R135" s="78"/>
      <x:c r="S135" s="78"/>
      <x:c r="T135" s="78"/>
      <x:c r="U135" s="78"/>
      <x:c r="V135" s="78"/>
      <x:c r="W135" s="78"/>
      <x:c r="X135" s="78"/>
      <x:c r="Y135" s="78"/>
      <x:c r="Z135" s="78"/>
    </x:row>
    <x:row r="136">
      <x:c r="A136" s="78"/>
      <x:c r="B136" s="78"/>
      <x:c r="C136" s="78"/>
      <x:c r="D136" s="78"/>
      <x:c r="E136" s="78"/>
      <x:c r="F136" s="78"/>
      <x:c r="G136" s="78"/>
      <x:c r="H136" s="78"/>
      <x:c r="I136" s="78"/>
      <x:c r="J136" s="78"/>
      <x:c r="K136" s="78"/>
      <x:c r="L136" s="78"/>
      <x:c r="M136" s="78"/>
      <x:c r="N136" s="78"/>
      <x:c r="O136" s="78"/>
      <x:c r="P136" s="78"/>
      <x:c r="Q136" s="78"/>
      <x:c r="R136" s="78"/>
      <x:c r="S136" s="78"/>
      <x:c r="T136" s="78"/>
      <x:c r="U136" s="78"/>
      <x:c r="V136" s="78"/>
      <x:c r="W136" s="78"/>
      <x:c r="X136" s="78"/>
      <x:c r="Y136" s="78"/>
      <x:c r="Z136" s="78"/>
    </x:row>
    <x:row r="137">
      <x:c r="A137" s="78"/>
      <x:c r="B137" s="78"/>
      <x:c r="C137" s="78"/>
      <x:c r="D137" s="78"/>
      <x:c r="E137" s="78"/>
      <x:c r="F137" s="78"/>
      <x:c r="G137" s="78"/>
      <x:c r="H137" s="78"/>
      <x:c r="I137" s="78"/>
      <x:c r="J137" s="78"/>
      <x:c r="K137" s="78"/>
      <x:c r="L137" s="78"/>
      <x:c r="M137" s="78"/>
      <x:c r="N137" s="78"/>
      <x:c r="O137" s="78"/>
      <x:c r="P137" s="78"/>
      <x:c r="Q137" s="78"/>
      <x:c r="R137" s="78"/>
      <x:c r="S137" s="78"/>
      <x:c r="T137" s="78"/>
      <x:c r="U137" s="78"/>
      <x:c r="V137" s="78"/>
      <x:c r="W137" s="78"/>
      <x:c r="X137" s="78"/>
      <x:c r="Y137" s="78"/>
      <x:c r="Z137" s="78"/>
    </x:row>
    <x:row r="138">
      <x:c r="A138" s="78"/>
      <x:c r="B138" s="78"/>
      <x:c r="C138" s="78"/>
      <x:c r="D138" s="78"/>
      <x:c r="E138" s="78"/>
      <x:c r="F138" s="78"/>
      <x:c r="G138" s="78"/>
      <x:c r="H138" s="78"/>
      <x:c r="I138" s="78"/>
      <x:c r="J138" s="78"/>
      <x:c r="K138" s="78"/>
      <x:c r="L138" s="78"/>
      <x:c r="M138" s="78"/>
      <x:c r="N138" s="78"/>
      <x:c r="O138" s="78"/>
      <x:c r="P138" s="78"/>
      <x:c r="Q138" s="78"/>
      <x:c r="R138" s="78"/>
      <x:c r="S138" s="78"/>
      <x:c r="T138" s="78"/>
      <x:c r="U138" s="78"/>
      <x:c r="V138" s="78"/>
      <x:c r="W138" s="78"/>
      <x:c r="X138" s="78"/>
      <x:c r="Y138" s="78"/>
      <x:c r="Z138" s="78"/>
    </x:row>
    <x:row r="139">
      <x:c r="A139" s="78"/>
      <x:c r="B139" s="78"/>
      <x:c r="C139" s="78"/>
      <x:c r="D139" s="78"/>
      <x:c r="E139" s="78"/>
      <x:c r="F139" s="78"/>
      <x:c r="G139" s="78"/>
      <x:c r="H139" s="78"/>
      <x:c r="I139" s="78"/>
      <x:c r="J139" s="78"/>
      <x:c r="K139" s="78"/>
      <x:c r="L139" s="78"/>
      <x:c r="M139" s="78"/>
      <x:c r="N139" s="78"/>
      <x:c r="O139" s="78"/>
      <x:c r="P139" s="78"/>
      <x:c r="Q139" s="78"/>
      <x:c r="R139" s="78"/>
      <x:c r="S139" s="78"/>
      <x:c r="T139" s="78"/>
      <x:c r="U139" s="78"/>
      <x:c r="V139" s="78"/>
      <x:c r="W139" s="78"/>
      <x:c r="X139" s="78"/>
      <x:c r="Y139" s="78"/>
      <x:c r="Z139" s="78"/>
    </x:row>
    <x:row r="140">
      <x:c r="A140" s="78"/>
      <x:c r="B140" s="78"/>
      <x:c r="C140" s="78"/>
      <x:c r="D140" s="78"/>
      <x:c r="E140" s="78"/>
      <x:c r="F140" s="78"/>
      <x:c r="G140" s="78"/>
      <x:c r="H140" s="78"/>
      <x:c r="I140" s="78"/>
      <x:c r="J140" s="78"/>
      <x:c r="K140" s="78"/>
      <x:c r="L140" s="78"/>
      <x:c r="M140" s="78"/>
      <x:c r="N140" s="78"/>
      <x:c r="O140" s="78"/>
      <x:c r="P140" s="78"/>
      <x:c r="Q140" s="78"/>
      <x:c r="R140" s="78"/>
      <x:c r="S140" s="78"/>
      <x:c r="T140" s="78"/>
      <x:c r="U140" s="78"/>
      <x:c r="V140" s="78"/>
      <x:c r="W140" s="78"/>
      <x:c r="X140" s="78"/>
      <x:c r="Y140" s="78"/>
      <x:c r="Z140" s="78"/>
    </x:row>
    <x:row r="141">
      <x:c r="A141" s="78"/>
      <x:c r="B141" s="78"/>
      <x:c r="C141" s="78"/>
      <x:c r="D141" s="78"/>
      <x:c r="E141" s="78"/>
      <x:c r="F141" s="78"/>
      <x:c r="G141" s="78"/>
      <x:c r="H141" s="78"/>
      <x:c r="I141" s="78"/>
      <x:c r="J141" s="78"/>
      <x:c r="K141" s="78"/>
      <x:c r="L141" s="78"/>
      <x:c r="M141" s="78"/>
      <x:c r="N141" s="78"/>
      <x:c r="O141" s="78"/>
      <x:c r="P141" s="78"/>
      <x:c r="Q141" s="78"/>
      <x:c r="R141" s="78"/>
      <x:c r="S141" s="78"/>
      <x:c r="T141" s="78"/>
      <x:c r="U141" s="78"/>
      <x:c r="V141" s="78"/>
      <x:c r="W141" s="78"/>
      <x:c r="X141" s="78"/>
      <x:c r="Y141" s="78"/>
      <x:c r="Z141" s="78"/>
    </x:row>
    <x:row r="142">
      <x:c r="A142" s="78"/>
      <x:c r="B142" s="78"/>
      <x:c r="C142" s="78"/>
      <x:c r="D142" s="78"/>
      <x:c r="E142" s="78"/>
      <x:c r="F142" s="78"/>
      <x:c r="G142" s="78"/>
      <x:c r="H142" s="78"/>
      <x:c r="I142" s="78"/>
      <x:c r="J142" s="78"/>
      <x:c r="K142" s="78"/>
      <x:c r="L142" s="78"/>
      <x:c r="M142" s="78"/>
      <x:c r="N142" s="78"/>
      <x:c r="O142" s="78"/>
      <x:c r="P142" s="78"/>
      <x:c r="Q142" s="78"/>
      <x:c r="R142" s="78"/>
      <x:c r="S142" s="78"/>
      <x:c r="T142" s="78"/>
      <x:c r="U142" s="78"/>
      <x:c r="V142" s="78"/>
      <x:c r="W142" s="78"/>
      <x:c r="X142" s="78"/>
      <x:c r="Y142" s="78"/>
      <x:c r="Z142" s="78"/>
    </x:row>
    <x:row r="143">
      <x:c r="A143" s="78"/>
      <x:c r="B143" s="78"/>
      <x:c r="C143" s="78"/>
      <x:c r="D143" s="78"/>
      <x:c r="E143" s="78"/>
      <x:c r="F143" s="78"/>
      <x:c r="G143" s="78"/>
      <x:c r="H143" s="78"/>
      <x:c r="I143" s="78"/>
      <x:c r="J143" s="78"/>
      <x:c r="K143" s="78"/>
      <x:c r="L143" s="78"/>
      <x:c r="M143" s="78"/>
      <x:c r="N143" s="78"/>
      <x:c r="O143" s="78"/>
      <x:c r="P143" s="78"/>
      <x:c r="Q143" s="78"/>
      <x:c r="R143" s="78"/>
      <x:c r="S143" s="78"/>
      <x:c r="T143" s="78"/>
      <x:c r="U143" s="78"/>
      <x:c r="V143" s="78"/>
      <x:c r="W143" s="78"/>
      <x:c r="X143" s="78"/>
      <x:c r="Y143" s="78"/>
      <x:c r="Z143" s="78"/>
    </x:row>
    <x:row r="144">
      <x:c r="A144" s="78"/>
      <x:c r="B144" s="78"/>
      <x:c r="C144" s="78"/>
      <x:c r="D144" s="78"/>
      <x:c r="E144" s="78"/>
      <x:c r="F144" s="78"/>
      <x:c r="G144" s="78"/>
      <x:c r="H144" s="78"/>
      <x:c r="I144" s="78"/>
      <x:c r="J144" s="78"/>
      <x:c r="K144" s="78"/>
      <x:c r="L144" s="78"/>
      <x:c r="M144" s="78"/>
      <x:c r="N144" s="78"/>
      <x:c r="O144" s="78"/>
      <x:c r="P144" s="78"/>
      <x:c r="Q144" s="78"/>
      <x:c r="R144" s="78"/>
      <x:c r="S144" s="78"/>
      <x:c r="T144" s="78"/>
      <x:c r="U144" s="78"/>
      <x:c r="V144" s="78"/>
      <x:c r="W144" s="78"/>
      <x:c r="X144" s="78"/>
      <x:c r="Y144" s="78"/>
      <x:c r="Z144" s="78"/>
    </x:row>
    <x:row r="145">
      <x:c r="A145" s="78"/>
      <x:c r="B145" s="78"/>
      <x:c r="C145" s="78"/>
      <x:c r="D145" s="78"/>
      <x:c r="E145" s="78"/>
      <x:c r="F145" s="78"/>
      <x:c r="G145" s="78"/>
      <x:c r="H145" s="78"/>
      <x:c r="I145" s="78"/>
      <x:c r="J145" s="78"/>
      <x:c r="K145" s="78"/>
      <x:c r="L145" s="78"/>
      <x:c r="M145" s="78"/>
      <x:c r="N145" s="78"/>
      <x:c r="O145" s="78"/>
      <x:c r="P145" s="78"/>
      <x:c r="Q145" s="78"/>
      <x:c r="R145" s="78"/>
      <x:c r="S145" s="78"/>
      <x:c r="T145" s="78"/>
      <x:c r="U145" s="78"/>
      <x:c r="V145" s="78"/>
      <x:c r="W145" s="78"/>
      <x:c r="X145" s="78"/>
      <x:c r="Y145" s="78"/>
      <x:c r="Z145" s="78"/>
    </x:row>
    <x:row r="146">
      <x:c r="A146" s="78"/>
      <x:c r="B146" s="78"/>
      <x:c r="C146" s="78"/>
      <x:c r="D146" s="78"/>
      <x:c r="E146" s="78"/>
      <x:c r="F146" s="78"/>
      <x:c r="G146" s="78"/>
      <x:c r="H146" s="78"/>
      <x:c r="I146" s="78"/>
      <x:c r="J146" s="78"/>
      <x:c r="K146" s="78"/>
      <x:c r="L146" s="78"/>
      <x:c r="M146" s="78"/>
      <x:c r="N146" s="78"/>
      <x:c r="O146" s="78"/>
      <x:c r="P146" s="78"/>
      <x:c r="Q146" s="78"/>
      <x:c r="R146" s="78"/>
      <x:c r="S146" s="78"/>
      <x:c r="T146" s="78"/>
      <x:c r="U146" s="78"/>
      <x:c r="V146" s="78"/>
      <x:c r="W146" s="78"/>
      <x:c r="X146" s="78"/>
      <x:c r="Y146" s="78"/>
      <x:c r="Z146" s="78"/>
    </x:row>
    <x:row r="147">
      <x:c r="A147" s="78"/>
      <x:c r="B147" s="78"/>
      <x:c r="C147" s="78"/>
      <x:c r="D147" s="78"/>
      <x:c r="E147" s="78"/>
      <x:c r="F147" s="78"/>
      <x:c r="G147" s="78"/>
      <x:c r="H147" s="78"/>
      <x:c r="I147" s="78"/>
      <x:c r="J147" s="78"/>
      <x:c r="K147" s="78"/>
      <x:c r="L147" s="78"/>
      <x:c r="M147" s="78"/>
      <x:c r="N147" s="78"/>
      <x:c r="O147" s="78"/>
      <x:c r="P147" s="78"/>
      <x:c r="Q147" s="78"/>
      <x:c r="R147" s="78"/>
      <x:c r="S147" s="78"/>
      <x:c r="T147" s="78"/>
      <x:c r="U147" s="78"/>
      <x:c r="V147" s="78"/>
      <x:c r="W147" s="78"/>
      <x:c r="X147" s="78"/>
      <x:c r="Y147" s="78"/>
      <x:c r="Z147" s="78"/>
    </x:row>
    <x:row r="148">
      <x:c r="A148" s="78"/>
      <x:c r="B148" s="78"/>
      <x:c r="C148" s="78"/>
      <x:c r="D148" s="78"/>
      <x:c r="E148" s="78"/>
      <x:c r="F148" s="78"/>
      <x:c r="G148" s="78"/>
      <x:c r="H148" s="78"/>
      <x:c r="I148" s="78"/>
      <x:c r="J148" s="78"/>
      <x:c r="K148" s="78"/>
      <x:c r="L148" s="78"/>
      <x:c r="M148" s="78"/>
      <x:c r="N148" s="78"/>
      <x:c r="O148" s="78"/>
      <x:c r="P148" s="78"/>
      <x:c r="Q148" s="78"/>
      <x:c r="R148" s="78"/>
      <x:c r="S148" s="78"/>
      <x:c r="T148" s="78"/>
      <x:c r="U148" s="78"/>
      <x:c r="V148" s="78"/>
      <x:c r="W148" s="78"/>
      <x:c r="X148" s="78"/>
      <x:c r="Y148" s="78"/>
      <x:c r="Z148" s="78"/>
    </x:row>
    <x:row r="149">
      <x:c r="A149" s="78"/>
      <x:c r="B149" s="78"/>
      <x:c r="C149" s="78"/>
      <x:c r="D149" s="78"/>
      <x:c r="E149" s="78"/>
      <x:c r="F149" s="78"/>
      <x:c r="G149" s="78"/>
      <x:c r="H149" s="78"/>
      <x:c r="I149" s="78"/>
      <x:c r="J149" s="78"/>
      <x:c r="K149" s="78"/>
      <x:c r="L149" s="78"/>
      <x:c r="M149" s="78"/>
      <x:c r="N149" s="78"/>
      <x:c r="O149" s="78"/>
      <x:c r="P149" s="78"/>
      <x:c r="Q149" s="78"/>
      <x:c r="R149" s="78"/>
      <x:c r="S149" s="78"/>
      <x:c r="T149" s="78"/>
      <x:c r="U149" s="78"/>
      <x:c r="V149" s="78"/>
      <x:c r="W149" s="78"/>
      <x:c r="X149" s="78"/>
      <x:c r="Y149" s="78"/>
      <x:c r="Z149" s="78"/>
    </x:row>
    <x:row r="150">
      <x:c r="A150" s="78"/>
      <x:c r="B150" s="78"/>
      <x:c r="C150" s="78"/>
      <x:c r="D150" s="78"/>
      <x:c r="E150" s="78"/>
      <x:c r="F150" s="78"/>
      <x:c r="G150" s="78"/>
      <x:c r="H150" s="78"/>
      <x:c r="I150" s="78"/>
      <x:c r="J150" s="78"/>
      <x:c r="K150" s="78"/>
      <x:c r="L150" s="78"/>
      <x:c r="M150" s="78"/>
      <x:c r="N150" s="78"/>
      <x:c r="O150" s="78"/>
      <x:c r="P150" s="78"/>
      <x:c r="Q150" s="78"/>
      <x:c r="R150" s="78"/>
      <x:c r="S150" s="78"/>
      <x:c r="T150" s="78"/>
      <x:c r="U150" s="78"/>
      <x:c r="V150" s="78"/>
      <x:c r="W150" s="78"/>
      <x:c r="X150" s="78"/>
      <x:c r="Y150" s="78"/>
      <x:c r="Z150" s="78"/>
    </x:row>
    <x:row r="151">
      <x:c r="A151" s="78"/>
      <x:c r="B151" s="78"/>
      <x:c r="C151" s="78"/>
      <x:c r="D151" s="78"/>
      <x:c r="E151" s="78"/>
      <x:c r="F151" s="78"/>
      <x:c r="G151" s="78"/>
      <x:c r="H151" s="78"/>
      <x:c r="I151" s="78"/>
      <x:c r="J151" s="78"/>
      <x:c r="K151" s="78"/>
      <x:c r="L151" s="78"/>
      <x:c r="M151" s="78"/>
      <x:c r="N151" s="78"/>
      <x:c r="O151" s="78"/>
      <x:c r="P151" s="78"/>
      <x:c r="Q151" s="78"/>
      <x:c r="R151" s="78"/>
      <x:c r="S151" s="78"/>
      <x:c r="T151" s="78"/>
      <x:c r="U151" s="78"/>
      <x:c r="V151" s="78"/>
      <x:c r="W151" s="78"/>
      <x:c r="X151" s="78"/>
      <x:c r="Y151" s="78"/>
      <x:c r="Z151" s="78"/>
    </x:row>
    <x:row r="152">
      <x:c r="A152" s="78"/>
      <x:c r="B152" s="78"/>
      <x:c r="C152" s="78"/>
      <x:c r="D152" s="78"/>
      <x:c r="E152" s="78"/>
      <x:c r="F152" s="78"/>
      <x:c r="G152" s="78"/>
      <x:c r="H152" s="78"/>
      <x:c r="I152" s="78"/>
      <x:c r="J152" s="78"/>
      <x:c r="K152" s="78"/>
      <x:c r="L152" s="78"/>
      <x:c r="M152" s="78"/>
      <x:c r="N152" s="78"/>
      <x:c r="O152" s="78"/>
      <x:c r="P152" s="78"/>
      <x:c r="Q152" s="78"/>
      <x:c r="R152" s="78"/>
      <x:c r="S152" s="78"/>
      <x:c r="T152" s="78"/>
      <x:c r="U152" s="78"/>
      <x:c r="V152" s="78"/>
      <x:c r="W152" s="78"/>
      <x:c r="X152" s="78"/>
      <x:c r="Y152" s="78"/>
      <x:c r="Z152" s="78"/>
    </x:row>
    <x:row r="153">
      <x:c r="A153" s="78"/>
      <x:c r="B153" s="78"/>
      <x:c r="C153" s="78"/>
      <x:c r="D153" s="78"/>
      <x:c r="E153" s="78"/>
      <x:c r="F153" s="78"/>
      <x:c r="G153" s="78"/>
      <x:c r="H153" s="78"/>
      <x:c r="I153" s="78"/>
      <x:c r="J153" s="78"/>
      <x:c r="K153" s="78"/>
      <x:c r="L153" s="78"/>
      <x:c r="M153" s="78"/>
      <x:c r="N153" s="78"/>
      <x:c r="O153" s="78"/>
      <x:c r="P153" s="78"/>
      <x:c r="Q153" s="78"/>
      <x:c r="R153" s="78"/>
      <x:c r="S153" s="78"/>
      <x:c r="T153" s="78"/>
      <x:c r="U153" s="78"/>
      <x:c r="V153" s="78"/>
      <x:c r="W153" s="78"/>
      <x:c r="X153" s="78"/>
      <x:c r="Y153" s="78"/>
      <x:c r="Z153" s="78"/>
    </x:row>
    <x:row r="154">
      <x:c r="A154" s="78"/>
      <x:c r="B154" s="78"/>
      <x:c r="C154" s="78"/>
      <x:c r="D154" s="78"/>
      <x:c r="E154" s="78"/>
      <x:c r="F154" s="78"/>
      <x:c r="G154" s="78"/>
      <x:c r="H154" s="78"/>
      <x:c r="I154" s="78"/>
      <x:c r="J154" s="78"/>
      <x:c r="K154" s="78"/>
      <x:c r="L154" s="78"/>
      <x:c r="M154" s="78"/>
      <x:c r="N154" s="78"/>
      <x:c r="O154" s="78"/>
      <x:c r="P154" s="78"/>
      <x:c r="Q154" s="78"/>
      <x:c r="R154" s="78"/>
      <x:c r="S154" s="78"/>
      <x:c r="T154" s="78"/>
      <x:c r="U154" s="78"/>
      <x:c r="V154" s="78"/>
      <x:c r="W154" s="78"/>
      <x:c r="X154" s="78"/>
      <x:c r="Y154" s="78"/>
      <x:c r="Z154" s="78"/>
    </x:row>
    <x:row r="155">
      <x:c r="A155" s="78"/>
      <x:c r="B155" s="78"/>
      <x:c r="C155" s="78"/>
      <x:c r="D155" s="78"/>
      <x:c r="E155" s="78"/>
      <x:c r="F155" s="78"/>
      <x:c r="G155" s="78"/>
      <x:c r="H155" s="78"/>
      <x:c r="I155" s="78"/>
      <x:c r="J155" s="78"/>
      <x:c r="K155" s="78"/>
      <x:c r="L155" s="78"/>
      <x:c r="M155" s="78"/>
      <x:c r="N155" s="78"/>
      <x:c r="O155" s="78"/>
      <x:c r="P155" s="78"/>
      <x:c r="Q155" s="78"/>
      <x:c r="R155" s="78"/>
      <x:c r="S155" s="78"/>
      <x:c r="T155" s="78"/>
      <x:c r="U155" s="78"/>
      <x:c r="V155" s="78"/>
      <x:c r="W155" s="78"/>
      <x:c r="X155" s="78"/>
      <x:c r="Y155" s="78"/>
      <x:c r="Z155" s="78"/>
    </x:row>
    <x:row r="156">
      <x:c r="A156" s="78"/>
      <x:c r="B156" s="78"/>
      <x:c r="C156" s="78"/>
      <x:c r="D156" s="78"/>
      <x:c r="E156" s="78"/>
      <x:c r="F156" s="78"/>
      <x:c r="G156" s="78"/>
      <x:c r="H156" s="78"/>
      <x:c r="I156" s="78"/>
      <x:c r="J156" s="78"/>
      <x:c r="K156" s="78"/>
      <x:c r="L156" s="78"/>
      <x:c r="M156" s="78"/>
      <x:c r="N156" s="78"/>
      <x:c r="O156" s="78"/>
      <x:c r="P156" s="78"/>
      <x:c r="Q156" s="78"/>
      <x:c r="R156" s="78"/>
      <x:c r="S156" s="78"/>
      <x:c r="T156" s="78"/>
      <x:c r="U156" s="78"/>
      <x:c r="V156" s="78"/>
      <x:c r="W156" s="78"/>
      <x:c r="X156" s="78"/>
      <x:c r="Y156" s="78"/>
      <x:c r="Z156" s="78"/>
    </x:row>
    <x:row r="157">
      <x:c r="A157" s="78"/>
      <x:c r="B157" s="78"/>
      <x:c r="C157" s="78"/>
      <x:c r="D157" s="78"/>
      <x:c r="E157" s="78"/>
      <x:c r="F157" s="78"/>
      <x:c r="G157" s="78"/>
      <x:c r="H157" s="78"/>
      <x:c r="I157" s="78"/>
      <x:c r="J157" s="78"/>
      <x:c r="K157" s="78"/>
      <x:c r="L157" s="78"/>
      <x:c r="M157" s="78"/>
      <x:c r="N157" s="78"/>
      <x:c r="O157" s="78"/>
      <x:c r="P157" s="78"/>
      <x:c r="Q157" s="78"/>
      <x:c r="R157" s="78"/>
      <x:c r="S157" s="78"/>
      <x:c r="T157" s="78"/>
      <x:c r="U157" s="78"/>
      <x:c r="V157" s="78"/>
      <x:c r="W157" s="78"/>
      <x:c r="X157" s="78"/>
      <x:c r="Y157" s="78"/>
      <x:c r="Z157" s="78"/>
    </x:row>
    <x:row r="158">
      <x:c r="A158" s="78"/>
      <x:c r="B158" s="78"/>
      <x:c r="C158" s="78"/>
      <x:c r="D158" s="78"/>
      <x:c r="E158" s="78"/>
      <x:c r="F158" s="78"/>
      <x:c r="G158" s="78"/>
      <x:c r="H158" s="78"/>
      <x:c r="I158" s="78"/>
      <x:c r="J158" s="78"/>
      <x:c r="K158" s="78"/>
      <x:c r="L158" s="78"/>
      <x:c r="M158" s="78"/>
      <x:c r="N158" s="78"/>
      <x:c r="O158" s="78"/>
      <x:c r="P158" s="78"/>
      <x:c r="Q158" s="78"/>
      <x:c r="R158" s="78"/>
      <x:c r="S158" s="78"/>
      <x:c r="T158" s="78"/>
      <x:c r="U158" s="78"/>
      <x:c r="V158" s="78"/>
      <x:c r="W158" s="78"/>
      <x:c r="X158" s="78"/>
      <x:c r="Y158" s="78"/>
      <x:c r="Z158" s="78"/>
    </x:row>
    <x:row r="159">
      <x:c r="A159" s="78"/>
      <x:c r="B159" s="78"/>
      <x:c r="C159" s="78"/>
      <x:c r="D159" s="78"/>
      <x:c r="E159" s="78"/>
      <x:c r="F159" s="78"/>
      <x:c r="G159" s="78"/>
      <x:c r="H159" s="78"/>
      <x:c r="I159" s="78"/>
      <x:c r="J159" s="78"/>
      <x:c r="K159" s="78"/>
      <x:c r="L159" s="78"/>
      <x:c r="M159" s="78"/>
      <x:c r="N159" s="78"/>
      <x:c r="O159" s="78"/>
      <x:c r="P159" s="78"/>
      <x:c r="Q159" s="78"/>
      <x:c r="R159" s="78"/>
      <x:c r="S159" s="78"/>
      <x:c r="T159" s="78"/>
      <x:c r="U159" s="78"/>
      <x:c r="V159" s="78"/>
      <x:c r="W159" s="78"/>
      <x:c r="X159" s="78"/>
      <x:c r="Y159" s="78"/>
      <x:c r="Z159" s="78"/>
    </x:row>
    <x:row r="160">
      <x:c r="A160" s="78"/>
      <x:c r="B160" s="78"/>
      <x:c r="C160" s="78"/>
      <x:c r="D160" s="78"/>
      <x:c r="E160" s="78"/>
      <x:c r="F160" s="78"/>
      <x:c r="G160" s="78"/>
      <x:c r="H160" s="78"/>
      <x:c r="I160" s="78"/>
      <x:c r="J160" s="78"/>
      <x:c r="K160" s="78"/>
      <x:c r="L160" s="78"/>
      <x:c r="M160" s="78"/>
      <x:c r="N160" s="78"/>
      <x:c r="O160" s="78"/>
      <x:c r="P160" s="78"/>
      <x:c r="Q160" s="78"/>
      <x:c r="R160" s="78"/>
      <x:c r="S160" s="78"/>
      <x:c r="T160" s="78"/>
      <x:c r="U160" s="78"/>
      <x:c r="V160" s="78"/>
      <x:c r="W160" s="78"/>
      <x:c r="X160" s="78"/>
      <x:c r="Y160" s="78"/>
      <x:c r="Z160" s="78"/>
    </x:row>
    <x:row r="161">
      <x:c r="A161" s="78"/>
      <x:c r="B161" s="78"/>
      <x:c r="C161" s="78"/>
      <x:c r="D161" s="78"/>
      <x:c r="E161" s="78"/>
      <x:c r="F161" s="78"/>
      <x:c r="G161" s="78"/>
      <x:c r="H161" s="78"/>
      <x:c r="I161" s="78"/>
      <x:c r="J161" s="78"/>
      <x:c r="K161" s="78"/>
      <x:c r="L161" s="78"/>
      <x:c r="M161" s="78"/>
      <x:c r="N161" s="78"/>
      <x:c r="O161" s="78"/>
      <x:c r="P161" s="78"/>
      <x:c r="Q161" s="78"/>
      <x:c r="R161" s="78"/>
      <x:c r="S161" s="78"/>
      <x:c r="T161" s="78"/>
      <x:c r="U161" s="78"/>
      <x:c r="V161" s="78"/>
      <x:c r="W161" s="78"/>
      <x:c r="X161" s="78"/>
      <x:c r="Y161" s="78"/>
      <x:c r="Z161" s="78"/>
    </x:row>
    <x:row r="162">
      <x:c r="A162" s="78"/>
      <x:c r="B162" s="78"/>
      <x:c r="C162" s="78"/>
      <x:c r="D162" s="78"/>
      <x:c r="E162" s="78"/>
      <x:c r="F162" s="78"/>
      <x:c r="G162" s="78"/>
      <x:c r="H162" s="78"/>
      <x:c r="I162" s="78"/>
      <x:c r="J162" s="78"/>
      <x:c r="K162" s="78"/>
      <x:c r="L162" s="78"/>
      <x:c r="M162" s="78"/>
      <x:c r="N162" s="78"/>
      <x:c r="O162" s="78"/>
      <x:c r="P162" s="78"/>
      <x:c r="Q162" s="78"/>
      <x:c r="R162" s="78"/>
      <x:c r="S162" s="78"/>
      <x:c r="T162" s="78"/>
      <x:c r="U162" s="78"/>
      <x:c r="V162" s="78"/>
      <x:c r="W162" s="78"/>
      <x:c r="X162" s="78"/>
      <x:c r="Y162" s="78"/>
      <x:c r="Z162" s="78"/>
    </x:row>
    <x:row r="163">
      <x:c r="A163" s="78"/>
      <x:c r="B163" s="78"/>
      <x:c r="C163" s="78"/>
      <x:c r="D163" s="78"/>
      <x:c r="E163" s="78"/>
      <x:c r="F163" s="78"/>
      <x:c r="G163" s="78"/>
      <x:c r="H163" s="78"/>
      <x:c r="I163" s="78"/>
      <x:c r="J163" s="78"/>
      <x:c r="K163" s="78"/>
      <x:c r="L163" s="78"/>
      <x:c r="M163" s="78"/>
      <x:c r="N163" s="78"/>
      <x:c r="O163" s="78"/>
      <x:c r="P163" s="78"/>
      <x:c r="Q163" s="78"/>
      <x:c r="R163" s="78"/>
      <x:c r="S163" s="78"/>
      <x:c r="T163" s="78"/>
      <x:c r="U163" s="78"/>
      <x:c r="V163" s="78"/>
      <x:c r="W163" s="78"/>
      <x:c r="X163" s="78"/>
      <x:c r="Y163" s="78"/>
      <x:c r="Z163" s="78"/>
    </x:row>
    <x:row r="164">
      <x:c r="A164" s="78"/>
      <x:c r="B164" s="78"/>
      <x:c r="C164" s="78"/>
      <x:c r="D164" s="78"/>
      <x:c r="E164" s="78"/>
      <x:c r="F164" s="78"/>
      <x:c r="G164" s="78"/>
      <x:c r="H164" s="78"/>
      <x:c r="I164" s="78"/>
      <x:c r="J164" s="78"/>
      <x:c r="K164" s="78"/>
      <x:c r="L164" s="78"/>
      <x:c r="M164" s="78"/>
      <x:c r="N164" s="78"/>
      <x:c r="O164" s="78"/>
      <x:c r="P164" s="78"/>
      <x:c r="Q164" s="78"/>
      <x:c r="R164" s="78"/>
      <x:c r="S164" s="78"/>
      <x:c r="T164" s="78"/>
      <x:c r="U164" s="78"/>
      <x:c r="V164" s="78"/>
      <x:c r="W164" s="78"/>
      <x:c r="X164" s="78"/>
      <x:c r="Y164" s="78"/>
      <x:c r="Z164" s="78"/>
    </x:row>
    <x:row r="165">
      <x:c r="A165" s="78"/>
      <x:c r="B165" s="78"/>
      <x:c r="C165" s="78"/>
      <x:c r="D165" s="78"/>
      <x:c r="E165" s="78"/>
      <x:c r="F165" s="78"/>
      <x:c r="G165" s="78"/>
      <x:c r="H165" s="78"/>
      <x:c r="I165" s="78"/>
      <x:c r="J165" s="78"/>
      <x:c r="K165" s="78"/>
      <x:c r="L165" s="78"/>
      <x:c r="M165" s="78"/>
      <x:c r="N165" s="78"/>
      <x:c r="O165" s="78"/>
      <x:c r="P165" s="78"/>
      <x:c r="Q165" s="78"/>
      <x:c r="R165" s="78"/>
      <x:c r="S165" s="78"/>
      <x:c r="T165" s="78"/>
      <x:c r="U165" s="78"/>
      <x:c r="V165" s="78"/>
      <x:c r="W165" s="78"/>
      <x:c r="X165" s="78"/>
      <x:c r="Y165" s="78"/>
      <x:c r="Z165" s="78"/>
    </x:row>
    <x:row r="166">
      <x:c r="A166" s="78"/>
      <x:c r="B166" s="78"/>
      <x:c r="C166" s="78"/>
      <x:c r="D166" s="78"/>
      <x:c r="E166" s="78"/>
      <x:c r="F166" s="78"/>
      <x:c r="G166" s="78"/>
      <x:c r="H166" s="78"/>
      <x:c r="I166" s="78"/>
      <x:c r="J166" s="78"/>
      <x:c r="K166" s="78"/>
      <x:c r="L166" s="78"/>
      <x:c r="M166" s="78"/>
      <x:c r="N166" s="78"/>
      <x:c r="O166" s="78"/>
      <x:c r="P166" s="78"/>
      <x:c r="Q166" s="78"/>
      <x:c r="R166" s="78"/>
      <x:c r="S166" s="78"/>
      <x:c r="T166" s="78"/>
      <x:c r="U166" s="78"/>
      <x:c r="V166" s="78"/>
      <x:c r="W166" s="78"/>
      <x:c r="X166" s="78"/>
      <x:c r="Y166" s="78"/>
      <x:c r="Z166" s="78"/>
    </x:row>
    <x:row r="167">
      <x:c r="A167" s="78"/>
      <x:c r="B167" s="78"/>
      <x:c r="C167" s="78"/>
      <x:c r="D167" s="78"/>
      <x:c r="E167" s="78"/>
      <x:c r="F167" s="78"/>
      <x:c r="G167" s="78"/>
      <x:c r="H167" s="78"/>
      <x:c r="I167" s="78"/>
      <x:c r="J167" s="78"/>
      <x:c r="K167" s="78"/>
      <x:c r="L167" s="78"/>
      <x:c r="M167" s="78"/>
      <x:c r="N167" s="78"/>
      <x:c r="O167" s="78"/>
      <x:c r="P167" s="78"/>
      <x:c r="Q167" s="78"/>
      <x:c r="R167" s="78"/>
      <x:c r="S167" s="78"/>
      <x:c r="T167" s="78"/>
      <x:c r="U167" s="78"/>
      <x:c r="V167" s="78"/>
      <x:c r="W167" s="78"/>
      <x:c r="X167" s="78"/>
      <x:c r="Y167" s="78"/>
      <x:c r="Z167" s="78"/>
    </x:row>
    <x:row r="168">
      <x:c r="A168" s="78"/>
      <x:c r="B168" s="78"/>
      <x:c r="C168" s="78"/>
      <x:c r="D168" s="78"/>
      <x:c r="E168" s="78"/>
      <x:c r="F168" s="78"/>
      <x:c r="G168" s="78"/>
      <x:c r="H168" s="78"/>
      <x:c r="I168" s="78"/>
      <x:c r="J168" s="78"/>
      <x:c r="K168" s="78"/>
      <x:c r="L168" s="78"/>
      <x:c r="M168" s="78"/>
      <x:c r="N168" s="78"/>
      <x:c r="O168" s="78"/>
      <x:c r="P168" s="78"/>
      <x:c r="Q168" s="78"/>
      <x:c r="R168" s="78"/>
      <x:c r="S168" s="78"/>
      <x:c r="T168" s="78"/>
      <x:c r="U168" s="78"/>
      <x:c r="V168" s="78"/>
      <x:c r="W168" s="78"/>
      <x:c r="X168" s="78"/>
      <x:c r="Y168" s="78"/>
      <x:c r="Z168" s="78"/>
    </x:row>
    <x:row r="169">
      <x:c r="A169" s="78"/>
      <x:c r="B169" s="78"/>
      <x:c r="C169" s="78"/>
      <x:c r="D169" s="78"/>
      <x:c r="E169" s="78"/>
      <x:c r="F169" s="78"/>
      <x:c r="G169" s="78"/>
      <x:c r="H169" s="78"/>
      <x:c r="I169" s="78"/>
      <x:c r="J169" s="78"/>
      <x:c r="K169" s="78"/>
      <x:c r="L169" s="78"/>
      <x:c r="M169" s="78"/>
      <x:c r="N169" s="78"/>
      <x:c r="O169" s="78"/>
      <x:c r="P169" s="78"/>
      <x:c r="Q169" s="78"/>
      <x:c r="R169" s="78"/>
      <x:c r="S169" s="78"/>
      <x:c r="T169" s="78"/>
      <x:c r="U169" s="78"/>
      <x:c r="V169" s="78"/>
      <x:c r="W169" s="78"/>
      <x:c r="X169" s="78"/>
      <x:c r="Y169" s="78"/>
      <x:c r="Z169" s="78"/>
    </x:row>
    <x:row r="170">
      <x:c r="A170" s="78"/>
      <x:c r="B170" s="78"/>
      <x:c r="C170" s="78"/>
      <x:c r="D170" s="78"/>
      <x:c r="E170" s="78"/>
      <x:c r="F170" s="78"/>
      <x:c r="G170" s="78"/>
      <x:c r="H170" s="78"/>
      <x:c r="I170" s="78"/>
      <x:c r="J170" s="78"/>
      <x:c r="K170" s="78"/>
      <x:c r="L170" s="78"/>
      <x:c r="M170" s="78"/>
      <x:c r="N170" s="78"/>
      <x:c r="O170" s="78"/>
      <x:c r="P170" s="78"/>
      <x:c r="Q170" s="78"/>
      <x:c r="R170" s="78"/>
      <x:c r="S170" s="78"/>
      <x:c r="T170" s="78"/>
      <x:c r="U170" s="78"/>
      <x:c r="V170" s="78"/>
      <x:c r="W170" s="78"/>
      <x:c r="X170" s="78"/>
      <x:c r="Y170" s="78"/>
      <x:c r="Z170" s="78"/>
    </x:row>
    <x:row r="171">
      <x:c r="A171" s="78"/>
      <x:c r="B171" s="78"/>
      <x:c r="C171" s="78"/>
      <x:c r="D171" s="78"/>
      <x:c r="E171" s="78"/>
      <x:c r="F171" s="78"/>
      <x:c r="G171" s="78"/>
      <x:c r="H171" s="78"/>
      <x:c r="I171" s="78"/>
      <x:c r="J171" s="78"/>
      <x:c r="K171" s="78"/>
      <x:c r="L171" s="78"/>
      <x:c r="M171" s="78"/>
      <x:c r="N171" s="78"/>
      <x:c r="O171" s="78"/>
      <x:c r="P171" s="78"/>
      <x:c r="Q171" s="78"/>
      <x:c r="R171" s="78"/>
      <x:c r="S171" s="78"/>
      <x:c r="T171" s="78"/>
      <x:c r="U171" s="78"/>
      <x:c r="V171" s="78"/>
      <x:c r="W171" s="78"/>
      <x:c r="X171" s="78"/>
      <x:c r="Y171" s="78"/>
      <x:c r="Z171" s="78"/>
    </x:row>
    <x:row r="172">
      <x:c r="A172" s="78"/>
      <x:c r="B172" s="78"/>
      <x:c r="C172" s="78"/>
      <x:c r="D172" s="78"/>
      <x:c r="E172" s="78"/>
      <x:c r="F172" s="78"/>
      <x:c r="G172" s="78"/>
      <x:c r="H172" s="78"/>
      <x:c r="I172" s="78"/>
      <x:c r="J172" s="78"/>
      <x:c r="K172" s="78"/>
      <x:c r="L172" s="78"/>
      <x:c r="M172" s="78"/>
      <x:c r="N172" s="78"/>
      <x:c r="O172" s="78"/>
      <x:c r="P172" s="78"/>
      <x:c r="Q172" s="78"/>
      <x:c r="R172" s="78"/>
      <x:c r="S172" s="78"/>
      <x:c r="T172" s="78"/>
      <x:c r="U172" s="78"/>
      <x:c r="V172" s="78"/>
      <x:c r="W172" s="78"/>
      <x:c r="X172" s="78"/>
      <x:c r="Y172" s="78"/>
      <x:c r="Z172" s="78"/>
    </x:row>
    <x:row r="173">
      <x:c r="A173" s="78"/>
      <x:c r="B173" s="78"/>
      <x:c r="C173" s="78"/>
      <x:c r="D173" s="78"/>
      <x:c r="E173" s="78"/>
      <x:c r="F173" s="78"/>
      <x:c r="G173" s="78"/>
      <x:c r="H173" s="78"/>
      <x:c r="I173" s="78"/>
      <x:c r="J173" s="78"/>
      <x:c r="K173" s="78"/>
      <x:c r="L173" s="78"/>
      <x:c r="M173" s="78"/>
      <x:c r="N173" s="78"/>
      <x:c r="O173" s="78"/>
      <x:c r="P173" s="78"/>
      <x:c r="Q173" s="78"/>
      <x:c r="R173" s="78"/>
      <x:c r="S173" s="78"/>
      <x:c r="T173" s="78"/>
      <x:c r="U173" s="78"/>
      <x:c r="V173" s="78"/>
      <x:c r="W173" s="78"/>
      <x:c r="X173" s="78"/>
      <x:c r="Y173" s="78"/>
      <x:c r="Z173" s="78"/>
    </x:row>
    <x:row r="174">
      <x:c r="A174" s="78"/>
      <x:c r="B174" s="78"/>
      <x:c r="C174" s="78"/>
      <x:c r="D174" s="78"/>
      <x:c r="E174" s="78"/>
      <x:c r="F174" s="78"/>
      <x:c r="G174" s="78"/>
      <x:c r="H174" s="78"/>
      <x:c r="I174" s="78"/>
      <x:c r="J174" s="78"/>
      <x:c r="K174" s="78"/>
      <x:c r="L174" s="78"/>
      <x:c r="M174" s="78"/>
      <x:c r="N174" s="78"/>
      <x:c r="O174" s="78"/>
      <x:c r="P174" s="78"/>
      <x:c r="Q174" s="78"/>
      <x:c r="R174" s="78"/>
      <x:c r="S174" s="78"/>
      <x:c r="T174" s="78"/>
      <x:c r="U174" s="78"/>
      <x:c r="V174" s="78"/>
      <x:c r="W174" s="78"/>
      <x:c r="X174" s="78"/>
      <x:c r="Y174" s="78"/>
      <x:c r="Z174" s="78"/>
    </x:row>
    <x:row r="175">
      <x:c r="A175" s="78"/>
      <x:c r="B175" s="78"/>
      <x:c r="C175" s="78"/>
      <x:c r="D175" s="78"/>
      <x:c r="E175" s="78"/>
      <x:c r="F175" s="78"/>
      <x:c r="G175" s="78"/>
      <x:c r="H175" s="78"/>
      <x:c r="I175" s="78"/>
      <x:c r="J175" s="78"/>
      <x:c r="K175" s="78"/>
      <x:c r="L175" s="78"/>
      <x:c r="M175" s="78"/>
      <x:c r="N175" s="78"/>
      <x:c r="O175" s="78"/>
      <x:c r="P175" s="78"/>
      <x:c r="Q175" s="78"/>
      <x:c r="R175" s="78"/>
      <x:c r="S175" s="78"/>
      <x:c r="T175" s="78"/>
      <x:c r="U175" s="78"/>
      <x:c r="V175" s="78"/>
      <x:c r="W175" s="78"/>
      <x:c r="X175" s="78"/>
      <x:c r="Y175" s="78"/>
      <x:c r="Z175" s="78"/>
    </x:row>
    <x:row r="176">
      <x:c r="A176" s="78"/>
      <x:c r="B176" s="78"/>
      <x:c r="C176" s="78"/>
      <x:c r="D176" s="78"/>
      <x:c r="E176" s="78"/>
      <x:c r="F176" s="78"/>
      <x:c r="G176" s="78"/>
      <x:c r="H176" s="78"/>
      <x:c r="I176" s="78"/>
      <x:c r="J176" s="78"/>
      <x:c r="K176" s="78"/>
      <x:c r="L176" s="78"/>
      <x:c r="M176" s="78"/>
      <x:c r="N176" s="78"/>
      <x:c r="O176" s="78"/>
      <x:c r="P176" s="78"/>
      <x:c r="Q176" s="78"/>
      <x:c r="R176" s="78"/>
      <x:c r="S176" s="78"/>
      <x:c r="T176" s="78"/>
      <x:c r="U176" s="78"/>
      <x:c r="V176" s="78"/>
      <x:c r="W176" s="78"/>
      <x:c r="X176" s="78"/>
      <x:c r="Y176" s="78"/>
      <x:c r="Z176" s="78"/>
    </x:row>
    <x:row r="177">
      <x:c r="A177" s="78"/>
      <x:c r="B177" s="78"/>
      <x:c r="C177" s="78"/>
      <x:c r="D177" s="78"/>
      <x:c r="E177" s="78"/>
      <x:c r="F177" s="78"/>
      <x:c r="G177" s="78"/>
      <x:c r="H177" s="78"/>
      <x:c r="I177" s="78"/>
      <x:c r="J177" s="78"/>
      <x:c r="K177" s="78"/>
      <x:c r="L177" s="78"/>
      <x:c r="M177" s="78"/>
      <x:c r="N177" s="78"/>
      <x:c r="O177" s="78"/>
      <x:c r="P177" s="78"/>
      <x:c r="Q177" s="78"/>
      <x:c r="R177" s="78"/>
      <x:c r="S177" s="78"/>
      <x:c r="T177" s="78"/>
      <x:c r="U177" s="78"/>
      <x:c r="V177" s="78"/>
      <x:c r="W177" s="78"/>
      <x:c r="X177" s="78"/>
      <x:c r="Y177" s="78"/>
      <x:c r="Z177" s="78"/>
    </x:row>
    <x:row r="178">
      <x:c r="A178" s="78"/>
      <x:c r="B178" s="78"/>
      <x:c r="C178" s="78"/>
      <x:c r="D178" s="78"/>
      <x:c r="E178" s="78"/>
      <x:c r="F178" s="78"/>
      <x:c r="G178" s="78"/>
      <x:c r="H178" s="78"/>
      <x:c r="I178" s="78"/>
      <x:c r="J178" s="78"/>
      <x:c r="K178" s="78"/>
      <x:c r="L178" s="78"/>
      <x:c r="M178" s="78"/>
      <x:c r="N178" s="78"/>
      <x:c r="O178" s="78"/>
      <x:c r="P178" s="78"/>
      <x:c r="Q178" s="78"/>
      <x:c r="R178" s="78"/>
      <x:c r="S178" s="78"/>
      <x:c r="T178" s="78"/>
      <x:c r="U178" s="78"/>
      <x:c r="V178" s="78"/>
      <x:c r="W178" s="78"/>
      <x:c r="X178" s="78"/>
      <x:c r="Y178" s="78"/>
      <x:c r="Z178" s="78"/>
    </x:row>
    <x:row r="179">
      <x:c r="A179" s="78"/>
      <x:c r="B179" s="78"/>
      <x:c r="C179" s="78"/>
      <x:c r="D179" s="78"/>
      <x:c r="E179" s="78"/>
      <x:c r="F179" s="78"/>
      <x:c r="G179" s="78"/>
      <x:c r="H179" s="78"/>
      <x:c r="I179" s="78"/>
      <x:c r="J179" s="78"/>
      <x:c r="K179" s="78"/>
      <x:c r="L179" s="78"/>
      <x:c r="M179" s="78"/>
      <x:c r="N179" s="78"/>
      <x:c r="O179" s="78"/>
      <x:c r="P179" s="78"/>
      <x:c r="Q179" s="78"/>
      <x:c r="R179" s="78"/>
      <x:c r="S179" s="78"/>
      <x:c r="T179" s="78"/>
      <x:c r="U179" s="78"/>
      <x:c r="V179" s="78"/>
      <x:c r="W179" s="78"/>
      <x:c r="X179" s="78"/>
      <x:c r="Y179" s="78"/>
      <x:c r="Z179" s="78"/>
    </x:row>
    <x:row r="180">
      <x:c r="A180" s="78"/>
      <x:c r="B180" s="78"/>
      <x:c r="C180" s="78"/>
      <x:c r="D180" s="78"/>
      <x:c r="E180" s="78"/>
      <x:c r="F180" s="78"/>
      <x:c r="G180" s="78"/>
      <x:c r="H180" s="78"/>
      <x:c r="I180" s="78"/>
      <x:c r="J180" s="78"/>
      <x:c r="K180" s="78"/>
      <x:c r="L180" s="78"/>
      <x:c r="M180" s="78"/>
      <x:c r="N180" s="78"/>
      <x:c r="O180" s="78"/>
      <x:c r="P180" s="78"/>
      <x:c r="Q180" s="78"/>
      <x:c r="R180" s="78"/>
      <x:c r="S180" s="78"/>
      <x:c r="T180" s="78"/>
      <x:c r="U180" s="78"/>
      <x:c r="V180" s="78"/>
      <x:c r="W180" s="78"/>
      <x:c r="X180" s="78"/>
      <x:c r="Y180" s="78"/>
      <x:c r="Z180" s="78"/>
    </x:row>
    <x:row r="181">
      <x:c r="A181" s="78"/>
      <x:c r="B181" s="78"/>
      <x:c r="C181" s="78"/>
      <x:c r="D181" s="78"/>
      <x:c r="E181" s="78"/>
      <x:c r="F181" s="78"/>
      <x:c r="G181" s="78"/>
      <x:c r="H181" s="78"/>
      <x:c r="I181" s="78"/>
      <x:c r="J181" s="78"/>
      <x:c r="K181" s="78"/>
      <x:c r="L181" s="78"/>
      <x:c r="M181" s="78"/>
      <x:c r="N181" s="78"/>
      <x:c r="O181" s="78"/>
      <x:c r="P181" s="78"/>
      <x:c r="Q181" s="78"/>
      <x:c r="R181" s="78"/>
      <x:c r="S181" s="78"/>
      <x:c r="T181" s="78"/>
      <x:c r="U181" s="78"/>
      <x:c r="V181" s="78"/>
      <x:c r="W181" s="78"/>
      <x:c r="X181" s="78"/>
      <x:c r="Y181" s="78"/>
      <x:c r="Z181" s="78"/>
    </x:row>
    <x:row r="182">
      <x:c r="A182" s="78"/>
      <x:c r="B182" s="78"/>
      <x:c r="C182" s="78"/>
      <x:c r="D182" s="78"/>
      <x:c r="E182" s="78"/>
      <x:c r="F182" s="78"/>
      <x:c r="G182" s="78"/>
      <x:c r="H182" s="78"/>
      <x:c r="I182" s="78"/>
      <x:c r="J182" s="78"/>
      <x:c r="K182" s="78"/>
      <x:c r="L182" s="78"/>
      <x:c r="M182" s="78"/>
      <x:c r="N182" s="78"/>
      <x:c r="O182" s="78"/>
      <x:c r="P182" s="78"/>
      <x:c r="Q182" s="78"/>
      <x:c r="R182" s="78"/>
      <x:c r="S182" s="78"/>
      <x:c r="T182" s="78"/>
      <x:c r="U182" s="78"/>
      <x:c r="V182" s="78"/>
      <x:c r="W182" s="78"/>
      <x:c r="X182" s="78"/>
      <x:c r="Y182" s="78"/>
      <x:c r="Z182" s="78"/>
    </x:row>
    <x:row r="183">
      <x:c r="A183" s="78"/>
      <x:c r="B183" s="78"/>
      <x:c r="C183" s="78"/>
      <x:c r="D183" s="78"/>
      <x:c r="E183" s="78"/>
      <x:c r="F183" s="78"/>
      <x:c r="G183" s="78"/>
      <x:c r="H183" s="78"/>
      <x:c r="I183" s="78"/>
      <x:c r="J183" s="78"/>
      <x:c r="K183" s="78"/>
      <x:c r="L183" s="78"/>
      <x:c r="M183" s="78"/>
      <x:c r="N183" s="78"/>
      <x:c r="O183" s="78"/>
      <x:c r="P183" s="78"/>
      <x:c r="Q183" s="78"/>
      <x:c r="R183" s="78"/>
      <x:c r="S183" s="78"/>
      <x:c r="T183" s="78"/>
      <x:c r="U183" s="78"/>
      <x:c r="V183" s="78"/>
      <x:c r="W183" s="78"/>
      <x:c r="X183" s="78"/>
      <x:c r="Y183" s="78"/>
      <x:c r="Z183" s="78"/>
    </x:row>
    <x:row r="184">
      <x:c r="A184" s="78"/>
      <x:c r="B184" s="78"/>
      <x:c r="C184" s="78"/>
      <x:c r="D184" s="78"/>
      <x:c r="E184" s="78"/>
      <x:c r="F184" s="78"/>
      <x:c r="G184" s="78"/>
      <x:c r="H184" s="78"/>
      <x:c r="I184" s="78"/>
      <x:c r="J184" s="78"/>
      <x:c r="K184" s="78"/>
      <x:c r="L184" s="78"/>
      <x:c r="M184" s="78"/>
      <x:c r="N184" s="78"/>
      <x:c r="O184" s="78"/>
      <x:c r="P184" s="78"/>
      <x:c r="Q184" s="78"/>
      <x:c r="R184" s="78"/>
      <x:c r="S184" s="78"/>
      <x:c r="T184" s="78"/>
      <x:c r="U184" s="78"/>
      <x:c r="V184" s="78"/>
      <x:c r="W184" s="78"/>
      <x:c r="X184" s="78"/>
      <x:c r="Y184" s="78"/>
      <x:c r="Z184" s="78"/>
    </x:row>
    <x:row r="185">
      <x:c r="A185" s="78"/>
      <x:c r="B185" s="78"/>
      <x:c r="C185" s="78"/>
      <x:c r="D185" s="78"/>
      <x:c r="E185" s="78"/>
      <x:c r="F185" s="78"/>
      <x:c r="G185" s="78"/>
      <x:c r="H185" s="78"/>
      <x:c r="I185" s="78"/>
      <x:c r="J185" s="78"/>
      <x:c r="K185" s="78"/>
      <x:c r="L185" s="78"/>
      <x:c r="M185" s="78"/>
      <x:c r="N185" s="78"/>
      <x:c r="O185" s="78"/>
      <x:c r="P185" s="78"/>
      <x:c r="Q185" s="78"/>
      <x:c r="R185" s="78"/>
      <x:c r="S185" s="78"/>
      <x:c r="T185" s="78"/>
      <x:c r="U185" s="78"/>
      <x:c r="V185" s="78"/>
      <x:c r="W185" s="78"/>
      <x:c r="X185" s="78"/>
      <x:c r="Y185" s="78"/>
      <x:c r="Z185" s="78"/>
    </x:row>
    <x:row r="186">
      <x:c r="A186" s="78"/>
      <x:c r="B186" s="78"/>
      <x:c r="C186" s="78"/>
      <x:c r="D186" s="78"/>
      <x:c r="E186" s="78"/>
      <x:c r="F186" s="78"/>
      <x:c r="G186" s="78"/>
      <x:c r="H186" s="78"/>
      <x:c r="I186" s="78"/>
      <x:c r="J186" s="78"/>
      <x:c r="K186" s="78"/>
      <x:c r="L186" s="78"/>
      <x:c r="M186" s="78"/>
      <x:c r="N186" s="78"/>
      <x:c r="O186" s="78"/>
      <x:c r="P186" s="78"/>
      <x:c r="Q186" s="78"/>
      <x:c r="R186" s="78"/>
      <x:c r="S186" s="78"/>
      <x:c r="T186" s="78"/>
      <x:c r="U186" s="78"/>
      <x:c r="V186" s="78"/>
      <x:c r="W186" s="78"/>
      <x:c r="X186" s="78"/>
      <x:c r="Y186" s="78"/>
      <x:c r="Z186" s="78"/>
    </x:row>
    <x:row r="187">
      <x:c r="A187" s="78"/>
      <x:c r="B187" s="78"/>
      <x:c r="C187" s="78"/>
      <x:c r="D187" s="78"/>
      <x:c r="E187" s="78"/>
      <x:c r="F187" s="78"/>
      <x:c r="G187" s="78"/>
      <x:c r="H187" s="78"/>
      <x:c r="I187" s="78"/>
      <x:c r="J187" s="78"/>
      <x:c r="K187" s="78"/>
      <x:c r="L187" s="78"/>
      <x:c r="M187" s="78"/>
      <x:c r="N187" s="78"/>
      <x:c r="O187" s="78"/>
      <x:c r="P187" s="78"/>
      <x:c r="Q187" s="78"/>
      <x:c r="R187" s="78"/>
      <x:c r="S187" s="78"/>
      <x:c r="T187" s="78"/>
      <x:c r="U187" s="78"/>
      <x:c r="V187" s="78"/>
      <x:c r="W187" s="78"/>
      <x:c r="X187" s="78"/>
      <x:c r="Y187" s="78"/>
      <x:c r="Z187" s="78"/>
    </x:row>
    <x:row r="188">
      <x:c r="A188" s="78"/>
      <x:c r="B188" s="78"/>
      <x:c r="C188" s="78"/>
      <x:c r="D188" s="78"/>
      <x:c r="E188" s="78"/>
      <x:c r="F188" s="78"/>
      <x:c r="G188" s="78"/>
      <x:c r="H188" s="78"/>
      <x:c r="I188" s="78"/>
      <x:c r="J188" s="78"/>
      <x:c r="K188" s="78"/>
      <x:c r="L188" s="78"/>
      <x:c r="M188" s="78"/>
      <x:c r="N188" s="78"/>
      <x:c r="O188" s="78"/>
      <x:c r="P188" s="78"/>
      <x:c r="Q188" s="78"/>
      <x:c r="R188" s="78"/>
      <x:c r="S188" s="78"/>
      <x:c r="T188" s="78"/>
      <x:c r="U188" s="78"/>
      <x:c r="V188" s="78"/>
      <x:c r="W188" s="78"/>
      <x:c r="X188" s="78"/>
      <x:c r="Y188" s="78"/>
      <x:c r="Z188" s="78"/>
    </x:row>
    <x:row r="189">
      <x:c r="A189" s="78"/>
      <x:c r="B189" s="78"/>
      <x:c r="C189" s="78"/>
      <x:c r="D189" s="78"/>
      <x:c r="E189" s="78"/>
      <x:c r="F189" s="78"/>
      <x:c r="G189" s="78"/>
      <x:c r="H189" s="78"/>
      <x:c r="I189" s="78"/>
      <x:c r="J189" s="78"/>
      <x:c r="K189" s="78"/>
      <x:c r="L189" s="78"/>
      <x:c r="M189" s="78"/>
      <x:c r="N189" s="78"/>
      <x:c r="O189" s="78"/>
      <x:c r="P189" s="78"/>
      <x:c r="Q189" s="78"/>
      <x:c r="R189" s="78"/>
      <x:c r="S189" s="78"/>
      <x:c r="T189" s="78"/>
      <x:c r="U189" s="78"/>
      <x:c r="V189" s="78"/>
      <x:c r="W189" s="78"/>
      <x:c r="X189" s="78"/>
      <x:c r="Y189" s="78"/>
      <x:c r="Z189" s="78"/>
    </x:row>
    <x:row r="190">
      <x:c r="A190" s="78"/>
      <x:c r="B190" s="78"/>
      <x:c r="C190" s="78"/>
      <x:c r="D190" s="78"/>
      <x:c r="E190" s="78"/>
      <x:c r="F190" s="78"/>
      <x:c r="G190" s="78"/>
      <x:c r="H190" s="78"/>
      <x:c r="I190" s="78"/>
      <x:c r="J190" s="78"/>
      <x:c r="K190" s="78"/>
      <x:c r="L190" s="78"/>
      <x:c r="M190" s="78"/>
      <x:c r="N190" s="78"/>
      <x:c r="O190" s="78"/>
      <x:c r="P190" s="78"/>
      <x:c r="Q190" s="78"/>
      <x:c r="R190" s="78"/>
      <x:c r="S190" s="78"/>
      <x:c r="T190" s="78"/>
      <x:c r="U190" s="78"/>
      <x:c r="V190" s="78"/>
      <x:c r="W190" s="78"/>
      <x:c r="X190" s="78"/>
      <x:c r="Y190" s="78"/>
      <x:c r="Z190" s="78"/>
    </x:row>
    <x:row r="191">
      <x:c r="A191" s="78"/>
      <x:c r="B191" s="78"/>
      <x:c r="C191" s="78"/>
      <x:c r="D191" s="78"/>
      <x:c r="E191" s="78"/>
      <x:c r="F191" s="78"/>
      <x:c r="G191" s="78"/>
      <x:c r="H191" s="78"/>
      <x:c r="I191" s="78"/>
      <x:c r="J191" s="78"/>
      <x:c r="K191" s="78"/>
      <x:c r="L191" s="78"/>
      <x:c r="M191" s="78"/>
      <x:c r="N191" s="78"/>
      <x:c r="O191" s="78"/>
      <x:c r="P191" s="78"/>
      <x:c r="Q191" s="78"/>
      <x:c r="R191" s="78"/>
      <x:c r="S191" s="78"/>
      <x:c r="T191" s="78"/>
      <x:c r="U191" s="78"/>
      <x:c r="V191" s="78"/>
      <x:c r="W191" s="78"/>
      <x:c r="X191" s="78"/>
      <x:c r="Y191" s="78"/>
      <x:c r="Z191" s="78"/>
    </x:row>
    <x:row r="192">
      <x:c r="A192" s="78"/>
      <x:c r="B192" s="78"/>
      <x:c r="C192" s="78"/>
      <x:c r="D192" s="78"/>
      <x:c r="E192" s="78"/>
      <x:c r="F192" s="78"/>
      <x:c r="G192" s="78"/>
      <x:c r="H192" s="78"/>
      <x:c r="I192" s="78"/>
      <x:c r="J192" s="78"/>
      <x:c r="K192" s="78"/>
      <x:c r="L192" s="78"/>
      <x:c r="M192" s="78"/>
      <x:c r="N192" s="78"/>
      <x:c r="O192" s="78"/>
      <x:c r="P192" s="78"/>
      <x:c r="Q192" s="78"/>
      <x:c r="R192" s="78"/>
      <x:c r="S192" s="78"/>
      <x:c r="T192" s="78"/>
      <x:c r="U192" s="78"/>
      <x:c r="V192" s="78"/>
      <x:c r="W192" s="78"/>
      <x:c r="X192" s="78"/>
      <x:c r="Y192" s="78"/>
      <x:c r="Z192" s="78"/>
    </x:row>
    <x:row r="193">
      <x:c r="A193" s="78"/>
      <x:c r="B193" s="78"/>
      <x:c r="C193" s="78"/>
      <x:c r="D193" s="78"/>
      <x:c r="E193" s="78"/>
      <x:c r="F193" s="78"/>
      <x:c r="G193" s="78"/>
      <x:c r="H193" s="78"/>
      <x:c r="I193" s="78"/>
      <x:c r="J193" s="78"/>
      <x:c r="K193" s="78"/>
      <x:c r="L193" s="78"/>
      <x:c r="M193" s="78"/>
      <x:c r="N193" s="78"/>
      <x:c r="O193" s="78"/>
      <x:c r="P193" s="78"/>
      <x:c r="Q193" s="78"/>
      <x:c r="R193" s="78"/>
      <x:c r="S193" s="78"/>
      <x:c r="T193" s="78"/>
      <x:c r="U193" s="78"/>
      <x:c r="V193" s="78"/>
      <x:c r="W193" s="78"/>
      <x:c r="X193" s="78"/>
      <x:c r="Y193" s="78"/>
      <x:c r="Z193" s="78"/>
    </x:row>
    <x:row r="194">
      <x:c r="A194" s="78"/>
      <x:c r="B194" s="78"/>
      <x:c r="C194" s="78"/>
      <x:c r="D194" s="78"/>
      <x:c r="E194" s="78"/>
      <x:c r="F194" s="78"/>
      <x:c r="G194" s="78"/>
      <x:c r="H194" s="78"/>
      <x:c r="I194" s="78"/>
      <x:c r="J194" s="78"/>
      <x:c r="K194" s="78"/>
      <x:c r="L194" s="78"/>
      <x:c r="M194" s="78"/>
      <x:c r="N194" s="78"/>
      <x:c r="O194" s="78"/>
      <x:c r="P194" s="78"/>
      <x:c r="Q194" s="78"/>
      <x:c r="R194" s="78"/>
      <x:c r="S194" s="78"/>
      <x:c r="T194" s="78"/>
      <x:c r="U194" s="78"/>
      <x:c r="V194" s="78"/>
      <x:c r="W194" s="78"/>
      <x:c r="X194" s="78"/>
      <x:c r="Y194" s="78"/>
      <x:c r="Z194" s="78"/>
    </x:row>
    <x:row r="195">
      <x:c r="A195" s="78"/>
      <x:c r="B195" s="78"/>
      <x:c r="C195" s="78"/>
      <x:c r="D195" s="78"/>
      <x:c r="E195" s="78"/>
      <x:c r="F195" s="78"/>
      <x:c r="G195" s="78"/>
      <x:c r="H195" s="78"/>
      <x:c r="I195" s="78"/>
      <x:c r="J195" s="78"/>
      <x:c r="K195" s="78"/>
      <x:c r="L195" s="78"/>
      <x:c r="M195" s="78"/>
      <x:c r="N195" s="78"/>
      <x:c r="O195" s="78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78"/>
    </x:row>
    <x:row r="196">
      <x:c r="A196" s="78"/>
      <x:c r="B196" s="78"/>
      <x:c r="C196" s="78"/>
      <x:c r="D196" s="78"/>
      <x:c r="E196" s="78"/>
      <x:c r="F196" s="78"/>
      <x:c r="G196" s="78"/>
      <x:c r="H196" s="78"/>
      <x:c r="I196" s="78"/>
      <x:c r="J196" s="78"/>
      <x:c r="K196" s="78"/>
      <x:c r="L196" s="78"/>
      <x:c r="M196" s="78"/>
      <x:c r="N196" s="78"/>
      <x:c r="O196" s="78"/>
      <x:c r="P196" s="78"/>
      <x:c r="Q196" s="78"/>
      <x:c r="R196" s="78"/>
      <x:c r="S196" s="78"/>
      <x:c r="T196" s="78"/>
      <x:c r="U196" s="78"/>
      <x:c r="V196" s="78"/>
      <x:c r="W196" s="78"/>
      <x:c r="X196" s="78"/>
      <x:c r="Y196" s="78"/>
      <x:c r="Z196" s="78"/>
    </x:row>
    <x:row r="197">
      <x:c r="A197" s="78"/>
      <x:c r="B197" s="78"/>
      <x:c r="C197" s="78"/>
      <x:c r="D197" s="78"/>
      <x:c r="E197" s="78"/>
      <x:c r="F197" s="78"/>
      <x:c r="G197" s="78"/>
      <x:c r="H197" s="78"/>
      <x:c r="I197" s="78"/>
      <x:c r="J197" s="78"/>
      <x:c r="K197" s="78"/>
      <x:c r="L197" s="78"/>
      <x:c r="M197" s="78"/>
      <x:c r="N197" s="78"/>
      <x:c r="O197" s="78"/>
      <x:c r="P197" s="78"/>
      <x:c r="Q197" s="78"/>
      <x:c r="R197" s="78"/>
      <x:c r="S197" s="78"/>
      <x:c r="T197" s="78"/>
      <x:c r="U197" s="78"/>
      <x:c r="V197" s="78"/>
      <x:c r="W197" s="78"/>
      <x:c r="X197" s="78"/>
      <x:c r="Y197" s="78"/>
      <x:c r="Z197" s="78"/>
    </x:row>
    <x:row r="198">
      <x:c r="A198" s="78"/>
      <x:c r="B198" s="78"/>
      <x:c r="C198" s="78"/>
      <x:c r="D198" s="78"/>
      <x:c r="E198" s="78"/>
      <x:c r="F198" s="78"/>
      <x:c r="G198" s="78"/>
      <x:c r="H198" s="78"/>
      <x:c r="I198" s="78"/>
      <x:c r="J198" s="78"/>
      <x:c r="K198" s="78"/>
      <x:c r="L198" s="78"/>
      <x:c r="M198" s="78"/>
      <x:c r="N198" s="78"/>
      <x:c r="O198" s="78"/>
      <x:c r="P198" s="78"/>
      <x:c r="Q198" s="78"/>
      <x:c r="R198" s="78"/>
      <x:c r="S198" s="78"/>
      <x:c r="T198" s="78"/>
      <x:c r="U198" s="78"/>
      <x:c r="V198" s="78"/>
      <x:c r="W198" s="78"/>
      <x:c r="X198" s="78"/>
      <x:c r="Y198" s="78"/>
      <x:c r="Z198" s="78"/>
    </x:row>
    <x:row r="199">
      <x:c r="A199" s="78"/>
      <x:c r="B199" s="78"/>
      <x:c r="C199" s="78"/>
      <x:c r="D199" s="78"/>
      <x:c r="E199" s="78"/>
      <x:c r="F199" s="78"/>
      <x:c r="G199" s="78"/>
      <x:c r="H199" s="78"/>
      <x:c r="I199" s="78"/>
      <x:c r="J199" s="78"/>
      <x:c r="K199" s="78"/>
      <x:c r="L199" s="78"/>
      <x:c r="M199" s="78"/>
      <x:c r="N199" s="78"/>
      <x:c r="O199" s="78"/>
      <x:c r="P199" s="78"/>
      <x:c r="Q199" s="78"/>
      <x:c r="R199" s="78"/>
      <x:c r="S199" s="78"/>
      <x:c r="T199" s="78"/>
      <x:c r="U199" s="78"/>
      <x:c r="V199" s="78"/>
      <x:c r="W199" s="78"/>
      <x:c r="X199" s="78"/>
      <x:c r="Y199" s="78"/>
      <x:c r="Z199" s="78"/>
    </x:row>
    <x:row r="200">
      <x:c r="A200" s="78"/>
      <x:c r="B200" s="78"/>
      <x:c r="C200" s="78"/>
      <x:c r="D200" s="78"/>
      <x:c r="E200" s="78"/>
      <x:c r="F200" s="78"/>
      <x:c r="G200" s="78"/>
      <x:c r="H200" s="78"/>
      <x:c r="I200" s="78"/>
      <x:c r="J200" s="78"/>
      <x:c r="K200" s="78"/>
      <x:c r="L200" s="78"/>
      <x:c r="M200" s="78"/>
      <x:c r="N200" s="78"/>
      <x:c r="O200" s="78"/>
      <x:c r="P200" s="78"/>
      <x:c r="Q200" s="78"/>
      <x:c r="R200" s="78"/>
      <x:c r="S200" s="78"/>
      <x:c r="T200" s="78"/>
      <x:c r="U200" s="78"/>
      <x:c r="V200" s="78"/>
      <x:c r="W200" s="78"/>
      <x:c r="X200" s="78"/>
      <x:c r="Y200" s="78"/>
      <x:c r="Z200" s="78"/>
    </x:row>
  </x:sheetData>
  <x:mergeCells>
    <x:mergeCell ref="A1:H1"/>
    <x:mergeCell ref="A2:H2"/>
    <x:mergeCell ref="A4:H4"/>
    <x:mergeCell ref="A13:H13"/>
    <x:mergeCell ref="A22:H22"/>
    <x:mergeCell ref="A31:H32"/>
  </x:mergeCells>
  <x:pageMargins left="0.7" right="0.7" top="0.75" bottom="0.75" header="0.3" footer="0.3"/>
</x:worksheet>
</file>