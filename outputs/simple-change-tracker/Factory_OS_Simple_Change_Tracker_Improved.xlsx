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cf6b0bd48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s" sheetId="1" r:id="Rf71f4ea844454e66"/>
    <x:sheet xmlns:r="http://schemas.openxmlformats.org/officeDocument/2006/relationships" name="Live Tracker" sheetId="2" r:id="R06b535ff08df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d mmm yyyy"/>
  </x:numFmts>
  <x:fonts count="1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  <x:font>
      <x:b/>
      <x:sz val="11"/>
      <x:color rgb="FF1F2937"/>
      <x:name val="Carlito"/>
    </x:font>
    <x:font>
      <x:b/>
      <x:sz val="11"/>
      <x:color rgb="FF667085"/>
      <x:name val="Carlito"/>
    </x:font>
    <x:font>
      <x:b/>
      <x:sz val="11"/>
      <x:color rgb="FF2F5597"/>
      <x:name val="Carlito"/>
    </x:font>
    <x:font>
      <x:b/>
      <x:sz val="11"/>
      <x:color rgb="FF256D37"/>
      <x:name val="Carlito"/>
    </x:font>
    <x:font>
      <x:b/>
      <x:sz val="11"/>
      <x:color rgb="FFA12622"/>
      <x:name val="Carlito"/>
    </x:font>
    <x:font>
      <x:b/>
      <x:sz val="11"/>
      <x:color rgb="FF203864"/>
      <x:name val="Carlito"/>
    </x:font>
    <x:font>
      <x:sz val="11"/>
      <x:color rgb="FF66708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5F7FA"/>
      </x:patternFill>
    </x:fill>
    <x:fill>
      <x:patternFill patternType="solid">
        <x:fgColor rgb="FFE7EAEE"/>
      </x:patternFill>
    </x:fill>
    <x:fill>
      <x:patternFill patternType="solid">
        <x:fgColor rgb="FFD9EAF7"/>
      </x:patternFill>
    </x:fill>
    <x:fill>
      <x:patternFill patternType="solid">
        <x:fgColor rgb="FFDDF2D4"/>
      </x:patternFill>
    </x:fill>
    <x:fill>
      <x:patternFill patternType="solid">
        <x:fgColor rgb="FFFDE2E2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</x:fills>
  <x:borders count="12">
    <x:border/>
    <x:border>
      <x:bottom style="medium">
        <x:color rgb="FF9CA3AF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bottom style="thin">
        <x:color rgb="FFECEFF3"/>
      </x:bottom>
    </x:border>
    <x:border>
      <x:top style="thin">
        <x:color rgb="FFECEFF3"/>
      </x:top>
      <x:bottom style="thin">
        <x:color rgb="FFECEFF3"/>
      </x:bottom>
    </x:border>
    <x:border>
      <x:top style="thin">
        <x:color rgb="FFECEFF3"/>
      </x:top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200" fontId="6" fillId="6" borderId="4" xfId="0" applyNumberFormat="1" applyFont="1" applyFill="1" applyBorder="1"/>
    <x:xf numFmtId="200" fontId="6" fillId="6" borderId="5" xfId="0" applyNumberFormat="1" applyFont="1" applyFill="1" applyBorder="1"/>
    <x:xf numFmtId="200" fontId="6" fillId="6" borderId="4" xfId="0" applyNumberFormat="1" applyFont="1" applyFill="1" applyBorder="1" applyAlignment="1">
      <x:alignment horizontal="center"/>
    </x:xf>
    <x:xf numFmtId="200" fontId="6" fillId="6" borderId="5" xfId="0" applyNumberFormat="1" applyFont="1" applyFill="1" applyBorder="1" applyAlignment="1">
      <x:alignment horizontal="center"/>
    </x:xf>
    <x:xf numFmtId="200" fontId="6" fillId="6" borderId="4" xfId="0" applyNumberFormat="1" applyFont="1" applyFill="1" applyBorder="1" applyAlignment="1">
      <x:alignment horizontal="center" vertical="center"/>
    </x:xf>
    <x:xf numFmtId="200" fontId="6" fillId="6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200" fontId="7" fillId="7" borderId="4" xfId="0" applyNumberFormat="1" applyFont="1" applyFill="1" applyBorder="1"/>
    <x:xf numFmtId="200" fontId="7" fillId="7" borderId="5" xfId="0" applyNumberFormat="1" applyFont="1" applyFill="1" applyBorder="1"/>
    <x:xf numFmtId="200" fontId="7" fillId="7" borderId="4" xfId="0" applyNumberFormat="1" applyFont="1" applyFill="1" applyBorder="1" applyAlignment="1">
      <x:alignment horizontal="center"/>
    </x:xf>
    <x:xf numFmtId="200" fontId="7" fillId="7" borderId="5" xfId="0" applyNumberFormat="1" applyFont="1" applyFill="1" applyBorder="1" applyAlignment="1">
      <x:alignment horizontal="center"/>
    </x:xf>
    <x:xf numFmtId="200" fontId="7" fillId="7" borderId="4" xfId="0" applyNumberFormat="1" applyFont="1" applyFill="1" applyBorder="1" applyAlignment="1">
      <x:alignment horizontal="center" vertical="center"/>
    </x:xf>
    <x:xf numFmtId="200" fontId="7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3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4" fillId="8" borderId="3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201" fontId="8" fillId="8" borderId="4" xfId="0" applyNumberFormat="1" applyFont="1" applyFill="1" applyBorder="1"/>
    <x:xf numFmtId="201" fontId="8" fillId="8" borderId="5" xfId="0" applyNumberFormat="1" applyFont="1" applyFill="1" applyBorder="1"/>
    <x:xf numFmtId="201" fontId="8" fillId="8" borderId="4" xfId="0" applyNumberFormat="1" applyFont="1" applyFill="1" applyBorder="1" applyAlignment="1">
      <x:alignment horizontal="center"/>
    </x:xf>
    <x:xf numFmtId="201" fontId="8" fillId="8" borderId="5" xfId="0" applyNumberFormat="1" applyFont="1" applyFill="1" applyBorder="1" applyAlignment="1">
      <x:alignment horizont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right" vertical="center"/>
    </x:xf>
    <x:xf numFmtId="202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horizontal="center" vertical="center"/>
    </x:xf>
    <x:xf numFmtId="202" fontId="1" fillId="9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horizontal="center" vertical="center"/>
    </x:xf>
    <x:xf numFmtId="202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 applyAlignment="1">
      <x:alignment horizontal="center" vertical="center"/>
    </x:xf>
    <x:xf numFmtId="202" fontId="0" fillId="0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/>
    </x:xf>
    <x:xf numFmtId="0" fontId="4" fillId="9" borderId="7" xfId="0" applyNumberFormat="1" applyFont="1" applyFill="1" applyBorder="1" applyAlignment="1">
      <x:alignment horizontal="center" vertical="center"/>
    </x:xf>
    <x:xf numFmtId="202" fontId="1" fillId="9" borderId="7" xfId="0" applyNumberFormat="1" applyFont="1" applyFill="1" applyBorder="1" applyAlignment="1">
      <x:alignment horizontal="center" vertical="center"/>
    </x:xf>
    <x:xf numFmtId="0" fontId="1" fillId="9" borderId="7" xfId="0" applyNumberFormat="1" applyFont="1" applyFill="1" applyBorder="1" applyAlignment="1">
      <x:alignment vertical="center" wrapText="1"/>
    </x:xf>
    <x:xf numFmtId="0" fontId="1" fillId="9" borderId="7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horizontal="center" vertical="center"/>
    </x:xf>
    <x:xf numFmtId="202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1" fillId="9" borderId="9" xfId="0" applyNumberFormat="1" applyFont="1" applyFill="1" applyBorder="1" applyAlignment="1">
      <x:alignment vertical="center"/>
    </x:xf>
    <x:xf numFmtId="0" fontId="1" fillId="9" borderId="10" xfId="0" applyNumberFormat="1" applyFont="1" applyFill="1" applyBorder="1" applyAlignment="1">
      <x:alignment vertical="center"/>
    </x:xf>
    <x:xf numFmtId="0" fontId="1" fillId="9" borderId="11" xfId="0" applyNumberFormat="1" applyFont="1" applyFill="1" applyBorder="1" applyAlignment="1">
      <x:alignment horizontal="right" vertical="center"/>
    </x:xf>
    <x:xf numFmtId="0" fontId="1" fillId="9" borderId="9" xfId="0" applyNumberFormat="1" applyFont="1" applyFill="1" applyBorder="1" applyAlignment="1">
      <x:alignment horizontal="left" vertical="center"/>
    </x:xf>
    <x:xf numFmtId="0" fontId="1" fillId="9" borderId="10" xfId="0" applyNumberFormat="1" applyFont="1" applyFill="1" applyBorder="1" applyAlignment="1">
      <x:alignment horizontal="left" vertical="center"/>
    </x:xf>
    <x:xf numFmtId="0" fontId="1" fillId="9" borderId="9" xfId="0" applyNumberFormat="1" applyFont="1" applyFill="1" applyBorder="1" applyAlignment="1">
      <x:alignment horizontal="center" vertical="center"/>
    </x:xf>
    <x:xf numFmtId="202" fontId="1" fillId="9" borderId="10" xfId="0" applyNumberFormat="1" applyFont="1" applyFill="1" applyBorder="1" applyAlignment="1">
      <x:alignment horizontal="center" vertical="center"/>
    </x:xf>
    <x:xf numFmtId="0" fontId="1" fillId="9" borderId="10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horizontal="center" vertical="center"/>
    </x:xf>
    <x:xf numFmtId="0" fontId="1" fillId="9" borderId="11" xfId="0" applyNumberFormat="1" applyFont="1" applyFill="1" applyBorder="1" applyAlignment="1">
      <x:alignment horizontal="center" vertical="center"/>
    </x:xf>
    <x:xf numFmtId="202" fontId="1" fillId="9" borderId="10" xfId="0" applyNumberFormat="1" applyFont="1" applyFill="1" applyBorder="1" applyAlignment="1">
      <x:alignment horizontal="left" vertical="center"/>
    </x:xf>
    <x:xf numFmtId="0" fontId="1" fillId="9" borderId="1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0">
    <x:dxf>
      <x:font>
        <x:color rgb="FF1F2937"/>
      </x:font>
      <x:fill>
        <x:patternFill patternType="solid">
          <x:bgColor rgb="FFD9EAF7"/>
        </x:patternFill>
      </x:fill>
    </x:dxf>
    <x:dxf>
      <x:font>
        <x:color rgb="FF1F2937"/>
      </x:font>
      <x:fill>
        <x:patternFill patternType="solid">
          <x:bgColor rgb="FFF4D0EC"/>
        </x:patternFill>
      </x:fill>
    </x:dxf>
    <x:dxf>
      <x:font>
        <x:b/>
        <x:color rgb="FFA12622"/>
      </x:font>
      <x:fill>
        <x:patternFill patternType="solid">
          <x:bgColor rgb="FFFFF2CC"/>
        </x:patternFill>
      </x:fill>
    </x:dxf>
    <x:dxf>
      <x:font>
        <x:b/>
        <x:color rgb="FF256D37"/>
      </x:font>
      <x:fill>
        <x:patternFill patternType="solid">
          <x:bgColor rgb="FFDDF2D4"/>
        </x:patternFill>
      </x:fill>
    </x:dxf>
    <x:dxf>
      <x:font>
        <x:b/>
        <x:color rgb="FFA12622"/>
      </x:font>
      <x:fill>
        <x:patternFill patternType="solid">
          <x:bgColor rgb="FFFDE2E2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4D0EC"/>
        </x:patternFill>
      </x:fill>
    </x:dxf>
    <x:dxf>
      <x:font>
        <x:b/>
        <x:color rgb="FFA12622"/>
      </x:font>
      <x:fill>
        <x:patternFill patternType="solid">
          <x:bgColor rgb="FFFFF2CC"/>
        </x:patternFill>
      </x:fill>
    </x:dxf>
    <x:dxf>
      <x:font>
        <x:b/>
        <x:color rgb="FF256D37"/>
      </x:font>
      <x:fill>
        <x:patternFill patternType="solid">
          <x:bgColor rgb="FFDDF2D4"/>
        </x:patternFill>
      </x:fill>
    </x:dxf>
    <x:dxf>
      <x:font>
        <x:b/>
        <x:color rgb="FFA12622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29607c2804fe4" /><Relationship Type="http://schemas.openxmlformats.org/officeDocument/2006/relationships/theme" Target="/xl/theme/theme1.xml" Id="R30ebdf9e4825437c" /><Relationship Type="http://schemas.openxmlformats.org/officeDocument/2006/relationships/sharedStrings" Target="/xl/sharedStrings.xml" Id="R4aac90ff3afe49f9" /><Relationship Type="http://schemas.openxmlformats.org/officeDocument/2006/relationships/worksheet" Target="/xl/worksheets/sheet1.xml" Id="Rf71f4ea844454e66" /><Relationship Type="http://schemas.openxmlformats.org/officeDocument/2006/relationships/worksheet" Target="/xl/worksheets/sheet2.xml" Id="R06b535ff08df46ef" /></Relationships>
</file>

<file path=xl/tables/table1.xml><?xml version="1.0" encoding="utf-8"?>
<x:table xmlns:x="http://schemas.openxmlformats.org/spreadsheetml/2006/main" id="1" name="LiveTrackerTable" displayName="LiveTrackerTable" ref="A7:E65" headerRowCount="1" totalsRowCount="0" totalsRowShown="0">
  <x:autoFilter ref="A7:E65"/>
  <x:tableColumns count="5">
    <x:tableColumn id="1" name="Task ID"/>
    <x:tableColumn id="2" name="Date"/>
    <x:tableColumn id="3" name="Change / Task"/>
    <x:tableColumn id="4" name="Owner"/>
    <x:tableColumn id="5" name="Don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093f031c4a43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62" hidden="0" customWidth="1"/>
    <x:col min="4" max="4" width="16" hidden="0" customWidth="1"/>
    <x:col min="5" max="5" width="14" hidden="0" customWidth="1"/>
  </x:cols>
  <x:sheetData>
    <x:row r="1" ht="34" customHeight="1">
      <x:c r="A1" s="3" t="str">
        <x:v>Factory OS Change Log</x:v>
      </x:c>
      <x:c r="B1" s="3"/>
      <x:c r="C1" s="3"/>
      <x:c r="D1" s="3"/>
      <x:c r="E1" s="3"/>
    </x:row>
    <x:row r="2" ht="24" customHeight="1">
      <x:c r="A2" s="6" t="str">
        <x:v>Tasks are grouped by day. Update owners and Yes/No status on the Live Tracker tab.</x:v>
      </x:c>
      <x:c r="B2" s="6"/>
      <x:c r="C2" s="6"/>
      <x:c r="D2" s="6"/>
      <x:c r="E2" s="6"/>
    </x:row>
    <x:row r="4" ht="25" customHeight="1">
      <x:c r="A4" s="10" t="str">
        <x:v>Task ID</x:v>
      </x:c>
      <x:c r="B4" s="10" t="str">
        <x:v>Date</x:v>
      </x:c>
      <x:c r="C4" s="10" t="str">
        <x:v>Changes discussed</x:v>
      </x:c>
      <x:c r="D4" s="10" t="str">
        <x:v>Task for</x:v>
      </x:c>
      <x:c r="E4" s="10" t="str">
        <x:v>Made yet?</x:v>
      </x:c>
    </x:row>
    <x:row r="5" ht="24" customHeight="1">
      <x:c r="A5" s="118" t="str">
        <x:v>26 Aug 2026</x:v>
      </x:c>
      <x:c r="B5" s="119"/>
      <x:c r="C5" s="119"/>
      <x:c r="D5" s="119"/>
      <x:c r="E5" s="117" t="str">
        <x:f>COUNTIFS('Live Tracker'!$B$8:$B$65,DATE(2026,8,26),'Live Tracker'!$E$8:$E$65,"Yes")&amp;" of "&amp;COUNTIF('Live Tracker'!$B$8:$B$65,DATE(2026,8,26))&amp;" done"</x:f>
        <x:v>3 of 3 done</x:v>
      </x:c>
    </x:row>
    <x:row r="6" ht="25" customHeight="1">
      <x:c r="A6" s="99" t="str">
        <x:v>T-001</x:v>
      </x:c>
      <x:c r="B6" s="100" t="n">
        <x:v>46260</x:v>
      </x:c>
      <x:c r="C6" s="101" t="str">
        <x:v>PI generation tab was wrong - reading sizing wrong, not able to edit PI blanks</x:v>
      </x:c>
      <x:c r="D6" s="102" t="str">
        <x:f>IFERROR(INDEX('Live Tracker'!$D$8:$D$65,MATCH($A6,'Live Tracker'!$A$8:$A$65,0)),"")</x:f>
        <x:v>Diya</x:v>
      </x:c>
      <x:c r="E6" s="102" t="str">
        <x:f>IFERROR(INDEX('Live Tracker'!$E$8:$E$65,MATCH($A6,'Live Tracker'!$A$8:$A$65,0)),"")</x:f>
        <x:v>Yes</x:v>
      </x:c>
    </x:row>
    <x:row r="7" ht="25" customHeight="1">
      <x:c r="A7" s="103" t="str">
        <x:v>T-002</x:v>
      </x:c>
      <x:c r="B7" s="104" t="n">
        <x:v>46260</x:v>
      </x:c>
      <x:c r="C7" s="105" t="str">
        <x:v>Order dispatch not linked to other tabs</x:v>
      </x:c>
      <x:c r="D7" s="106" t="str">
        <x:f>IFERROR(INDEX('Live Tracker'!$D$8:$D$65,MATCH($A7,'Live Tracker'!$A$8:$A$65,0)),"")</x:f>
        <x:v>Diya</x:v>
      </x:c>
      <x:c r="E7" s="106" t="str">
        <x:f>IFERROR(INDEX('Live Tracker'!$E$8:$E$65,MATCH($A7,'Live Tracker'!$A$8:$A$65,0)),"")</x:f>
        <x:v>Yes</x:v>
      </x:c>
    </x:row>
    <x:row r="8" ht="25" customHeight="1">
      <x:c r="A8" s="103" t="str">
        <x:v>T-003</x:v>
      </x:c>
      <x:c r="B8" s="104" t="n">
        <x:v>46260</x:v>
      </x:c>
      <x:c r="C8" s="105" t="str">
        <x:v>PI database tab errors - ability to delete, sync across tabs, etc.</x:v>
      </x:c>
      <x:c r="D8" s="106" t="str">
        <x:f>IFERROR(INDEX('Live Tracker'!$D$8:$D$65,MATCH($A8,'Live Tracker'!$A$8:$A$65,0)),"")</x:f>
        <x:v>Diya</x:v>
      </x:c>
      <x:c r="E8" s="106" t="str">
        <x:f>IFERROR(INDEX('Live Tracker'!$E$8:$E$65,MATCH($A8,'Live Tracker'!$A$8:$A$65,0)),"")</x:f>
        <x:v>Yes</x:v>
      </x:c>
    </x:row>
    <x:row r="9" ht="24" customHeight="1">
      <x:c r="A9" s="118" t="str">
        <x:v>24 Aug 2026</x:v>
      </x:c>
      <x:c r="B9" s="125"/>
      <x:c r="C9" s="126"/>
      <x:c r="D9" s="119"/>
      <x:c r="E9" s="117" t="str">
        <x:f>COUNTIFS('Live Tracker'!$B$8:$B$65,DATE(2026,8,24),'Live Tracker'!$E$8:$E$65,"Yes")&amp;" of "&amp;COUNTIF('Live Tracker'!$B$8:$B$65,DATE(2026,8,24))&amp;" done"</x:f>
        <x:v>0 of 1 done</x:v>
      </x:c>
    </x:row>
    <x:row r="10" ht="25" customHeight="1">
      <x:c r="A10" s="103" t="str">
        <x:v>T-012</x:v>
      </x:c>
      <x:c r="B10" s="104" t="n">
        <x:v>46258</x:v>
      </x:c>
      <x:c r="C10" s="105" t="str">
        <x:v>Update catalogue images for all articles</x:v>
      </x:c>
      <x:c r="D10" s="106" t="str">
        <x:f>IFERROR(INDEX('Live Tracker'!$D$8:$D$65,MATCH($A10,'Live Tracker'!$A$8:$A$65,0)),"")</x:f>
        <x:v>Abhay</x:v>
      </x:c>
      <x:c r="E10" s="106" t="str">
        <x:f>IFERROR(INDEX('Live Tracker'!$E$8:$E$65,MATCH($A10,'Live Tracker'!$A$8:$A$65,0)),"")</x:f>
        <x:v>No</x:v>
      </x:c>
    </x:row>
    <x:row r="11" ht="24" customHeight="1">
      <x:c r="A11" s="118" t="str">
        <x:v>23 Aug 2026</x:v>
      </x:c>
      <x:c r="B11" s="125"/>
      <x:c r="C11" s="126"/>
      <x:c r="D11" s="119"/>
      <x:c r="E11" s="117" t="str">
        <x:f>COUNTIFS('Live Tracker'!$B$8:$B$65,DATE(2026,8,23),'Live Tracker'!$E$8:$E$65,"Yes")&amp;" of "&amp;COUNTIF('Live Tracker'!$B$8:$B$65,DATE(2026,8,23))&amp;" done"</x:f>
        <x:v>9 of 19 done</x:v>
      </x:c>
    </x:row>
    <x:row r="12" ht="25" customHeight="1">
      <x:c r="A12" s="103" t="str">
        <x:v>T-004</x:v>
      </x:c>
      <x:c r="B12" s="104" t="n">
        <x:v>46257</x:v>
      </x:c>
      <x:c r="C12" s="105" t="str">
        <x:v>Add dispatch timeline option per order</x:v>
      </x:c>
      <x:c r="D12" s="106" t="str">
        <x:f>IFERROR(INDEX('Live Tracker'!$D$8:$D$65,MATCH($A12,'Live Tracker'!$A$8:$A$65,0)),"")</x:f>
        <x:v>Diya</x:v>
      </x:c>
      <x:c r="E12" s="106" t="str">
        <x:f>IFERROR(INDEX('Live Tracker'!$E$8:$E$65,MATCH($A12,'Live Tracker'!$A$8:$A$65,0)),"")</x:f>
        <x:v>Yes</x:v>
      </x:c>
    </x:row>
    <x:row r="13" ht="25" customHeight="1">
      <x:c r="A13" s="103" t="str">
        <x:v>T-005</x:v>
      </x:c>
      <x:c r="B13" s="104" t="n">
        <x:v>46257</x:v>
      </x:c>
      <x:c r="C13" s="105" t="str">
        <x:v>Generate PI is not reloading to latest discount terms</x:v>
      </x:c>
      <x:c r="D13" s="106" t="str">
        <x:f>IFERROR(INDEX('Live Tracker'!$D$8:$D$65,MATCH($A13,'Live Tracker'!$A$8:$A$65,0)),"")</x:f>
        <x:v>Diya</x:v>
      </x:c>
      <x:c r="E13" s="106" t="str">
        <x:f>IFERROR(INDEX('Live Tracker'!$E$8:$E$65,MATCH($A13,'Live Tracker'!$A$8:$A$65,0)),"")</x:f>
        <x:v>Yes</x:v>
      </x:c>
    </x:row>
    <x:row r="14" ht="25" customHeight="1">
      <x:c r="A14" s="103" t="str">
        <x:v>T-006</x:v>
      </x:c>
      <x:c r="B14" s="104" t="n">
        <x:v>46257</x:v>
      </x:c>
      <x:c r="C14" s="105" t="str">
        <x:v>Edit MRP should be size by size</x:v>
      </x:c>
      <x:c r="D14" s="106" t="str">
        <x:f>IFERROR(INDEX('Live Tracker'!$D$8:$D$65,MATCH($A14,'Live Tracker'!$A$8:$A$65,0)),"")</x:f>
        <x:v>Diya</x:v>
      </x:c>
      <x:c r="E14" s="106" t="str">
        <x:f>IFERROR(INDEX('Live Tracker'!$E$8:$E$65,MATCH($A14,'Live Tracker'!$A$8:$A$65,0)),"")</x:f>
        <x:v>Yes</x:v>
      </x:c>
    </x:row>
    <x:row r="15" ht="25" customHeight="1">
      <x:c r="A15" s="103" t="str">
        <x:v>T-007</x:v>
      </x:c>
      <x:c r="B15" s="104" t="n">
        <x:v>46257</x:v>
      </x:c>
      <x:c r="C15" s="105" t="str">
        <x:v>Demo how to add BOMs, catalogue pictures and packing lists</x:v>
      </x:c>
      <x:c r="D15" s="106" t="str">
        <x:f>IFERROR(INDEX('Live Tracker'!$D$8:$D$65,MATCH($A15,'Live Tracker'!$A$8:$A$65,0)),"")</x:f>
        <x:v>Diya</x:v>
      </x:c>
      <x:c r="E15" s="106" t="str">
        <x:f>IFERROR(INDEX('Live Tracker'!$E$8:$E$65,MATCH($A15,'Live Tracker'!$A$8:$A$65,0)),"")</x:f>
        <x:v>Yes</x:v>
      </x:c>
    </x:row>
    <x:row r="16" ht="25" customHeight="1">
      <x:c r="A16" s="103" t="str">
        <x:v>T-008</x:v>
      </x:c>
      <x:c r="B16" s="104" t="n">
        <x:v>46257</x:v>
      </x:c>
      <x:c r="C16" s="105" t="str">
        <x:v>Treat L as Large; keep Lace and Velcro separate</x:v>
      </x:c>
      <x:c r="D16" s="106" t="str">
        <x:f>IFERROR(INDEX('Live Tracker'!$D$8:$D$65,MATCH($A16,'Live Tracker'!$A$8:$A$65,0)),"")</x:f>
        <x:v>Diya</x:v>
      </x:c>
      <x:c r="E16" s="106" t="str">
        <x:f>IFERROR(INDEX('Live Tracker'!$E$8:$E$65,MATCH($A16,'Live Tracker'!$A$8:$A$65,0)),"")</x:f>
        <x:v>Yes</x:v>
      </x:c>
    </x:row>
    <x:row r="17" ht="25" customHeight="1">
      <x:c r="A17" s="103" t="str">
        <x:v>T-009</x:v>
      </x:c>
      <x:c r="B17" s="104" t="n">
        <x:v>46257</x:v>
      </x:c>
      <x:c r="C17" s="105" t="str">
        <x:v>Add individual sizes alongside combo sizes</x:v>
      </x:c>
      <x:c r="D17" s="106" t="str">
        <x:f>IFERROR(INDEX('Live Tracker'!$D$8:$D$65,MATCH($A17,'Live Tracker'!$A$8:$A$65,0)),"")</x:f>
        <x:v>Diya</x:v>
      </x:c>
      <x:c r="E17" s="106" t="str">
        <x:f>IFERROR(INDEX('Live Tracker'!$E$8:$E$65,MATCH($A17,'Live Tracker'!$A$8:$A$65,0)),"")</x:f>
        <x:v>Yes</x:v>
      </x:c>
    </x:row>
    <x:row r="18" ht="25" customHeight="1">
      <x:c r="A18" s="103" t="str">
        <x:v>T-010</x:v>
      </x:c>
      <x:c r="B18" s="104" t="n">
        <x:v>46257</x:v>
      </x:c>
      <x:c r="C18" s="105" t="str">
        <x:v>Update all packing reports for all articles</x:v>
      </x:c>
      <x:c r="D18" s="106" t="str">
        <x:f>IFERROR(INDEX('Live Tracker'!$D$8:$D$65,MATCH($A18,'Live Tracker'!$A$8:$A$65,0)),"")</x:f>
        <x:v>Abhay</x:v>
      </x:c>
      <x:c r="E18" s="106" t="str">
        <x:f>IFERROR(INDEX('Live Tracker'!$E$8:$E$65,MATCH($A18,'Live Tracker'!$A$8:$A$65,0)),"")</x:f>
        <x:v>No</x:v>
      </x:c>
    </x:row>
    <x:row r="19" ht="25" customHeight="1">
      <x:c r="A19" s="103" t="str">
        <x:v>T-011</x:v>
      </x:c>
      <x:c r="B19" s="104" t="n">
        <x:v>46257</x:v>
      </x:c>
      <x:c r="C19" s="105" t="str">
        <x:v>Update all BOM for all articles</x:v>
      </x:c>
      <x:c r="D19" s="106" t="str">
        <x:f>IFERROR(INDEX('Live Tracker'!$D$8:$D$65,MATCH($A19,'Live Tracker'!$A$8:$A$65,0)),"")</x:f>
        <x:v>Abhay</x:v>
      </x:c>
      <x:c r="E19" s="106" t="str">
        <x:f>IFERROR(INDEX('Live Tracker'!$E$8:$E$65,MATCH($A19,'Live Tracker'!$A$8:$A$65,0)),"")</x:f>
        <x:v>No</x:v>
      </x:c>
    </x:row>
    <x:row r="20" ht="25" customHeight="1">
      <x:c r="A20" s="103" t="str">
        <x:v>T-013</x:v>
      </x:c>
      <x:c r="B20" s="104" t="n">
        <x:v>46257</x:v>
      </x:c>
      <x:c r="C20" s="105" t="str">
        <x:v>Send the packing report format</x:v>
      </x:c>
      <x:c r="D20" s="106" t="str">
        <x:f>IFERROR(INDEX('Live Tracker'!$D$8:$D$65,MATCH($A20,'Live Tracker'!$A$8:$A$65,0)),"")</x:f>
        <x:v>Abhay</x:v>
      </x:c>
      <x:c r="E20" s="106" t="str">
        <x:f>IFERROR(INDEX('Live Tracker'!$E$8:$E$65,MATCH($A20,'Live Tracker'!$A$8:$A$65,0)),"")</x:f>
        <x:v>No</x:v>
      </x:c>
    </x:row>
    <x:row r="21" ht="25" customHeight="1">
      <x:c r="A21" s="103" t="str">
        <x:v>T-014</x:v>
      </x:c>
      <x:c r="B21" s="104" t="n">
        <x:v>46257</x:v>
      </x:c>
      <x:c r="C21" s="105" t="str">
        <x:v>Allow article-specific production plans in Catalogue</x:v>
      </x:c>
      <x:c r="D21" s="106" t="str">
        <x:f>IFERROR(INDEX('Live Tracker'!$D$8:$D$65,MATCH($A21,'Live Tracker'!$A$8:$A$65,0)),"")</x:f>
        <x:v>Diya</x:v>
      </x:c>
      <x:c r="E21" s="106" t="str">
        <x:f>IFERROR(INDEX('Live Tracker'!$E$8:$E$65,MATCH($A21,'Live Tracker'!$A$8:$A$65,0)),"")</x:f>
        <x:v>No</x:v>
      </x:c>
    </x:row>
    <x:row r="22" ht="25" customHeight="1">
      <x:c r="A22" s="103" t="str">
        <x:v>T-015</x:v>
      </x:c>
      <x:c r="B22" s="104" t="n">
        <x:v>46257</x:v>
      </x:c>
      <x:c r="C22" s="105" t="str">
        <x:v>Add average dispatch days to MIS</x:v>
      </x:c>
      <x:c r="D22" s="106" t="str">
        <x:f>IFERROR(INDEX('Live Tracker'!$D$8:$D$65,MATCH($A22,'Live Tracker'!$A$8:$A$65,0)),"")</x:f>
        <x:v>Diya</x:v>
      </x:c>
      <x:c r="E22" s="106" t="str">
        <x:f>IFERROR(INDEX('Live Tracker'!$E$8:$E$65,MATCH($A22,'Live Tracker'!$A$8:$A$65,0)),"")</x:f>
        <x:v>Yes</x:v>
      </x:c>
    </x:row>
    <x:row r="23" ht="25" customHeight="1">
      <x:c r="A23" s="103" t="str">
        <x:v>T-016</x:v>
      </x:c>
      <x:c r="B23" s="104" t="n">
        <x:v>46257</x:v>
      </x:c>
      <x:c r="C23" s="105" t="str">
        <x:v>Add dispatch shortage and order-vs-dispatch percentages</x:v>
      </x:c>
      <x:c r="D23" s="106" t="str">
        <x:f>IFERROR(INDEX('Live Tracker'!$D$8:$D$65,MATCH($A23,'Live Tracker'!$A$8:$A$65,0)),"")</x:f>
        <x:v>Diya</x:v>
      </x:c>
      <x:c r="E23" s="106" t="str">
        <x:f>IFERROR(INDEX('Live Tracker'!$E$8:$E$65,MATCH($A23,'Live Tracker'!$A$8:$A$65,0)),"")</x:f>
        <x:v>Yes</x:v>
      </x:c>
    </x:row>
    <x:row r="24" ht="25" customHeight="1">
      <x:c r="A24" s="103" t="str">
        <x:v>T-017</x:v>
      </x:c>
      <x:c r="B24" s="104" t="n">
        <x:v>46257</x:v>
      </x:c>
      <x:c r="C24" s="105" t="str">
        <x:v>Show the MIS calculation logic</x:v>
      </x:c>
      <x:c r="D24" s="106" t="str">
        <x:f>IFERROR(INDEX('Live Tracker'!$D$8:$D$65,MATCH($A24,'Live Tracker'!$A$8:$A$65,0)),"")</x:f>
        <x:v>Diya</x:v>
      </x:c>
      <x:c r="E24" s="106" t="str">
        <x:f>IFERROR(INDEX('Live Tracker'!$E$8:$E$65,MATCH($A24,'Live Tracker'!$A$8:$A$65,0)),"")</x:f>
        <x:v>Yes</x:v>
      </x:c>
    </x:row>
    <x:row r="25" ht="25" customHeight="1">
      <x:c r="A25" s="103" t="str">
        <x:v>T-018</x:v>
      </x:c>
      <x:c r="B25" s="104" t="n">
        <x:v>46257</x:v>
      </x:c>
      <x:c r="C25" s="105" t="str">
        <x:v>Add repair quantity capture and repair production planning before dispatch</x:v>
      </x:c>
      <x:c r="D25" s="106" t="str">
        <x:f>IFERROR(INDEX('Live Tracker'!$D$8:$D$65,MATCH($A25,'Live Tracker'!$A$8:$A$65,0)),"")</x:f>
        <x:v>Diya</x:v>
      </x:c>
      <x:c r="E25" s="106" t="str">
        <x:f>IFERROR(INDEX('Live Tracker'!$E$8:$E$65,MATCH($A25,'Live Tracker'!$A$8:$A$65,0)),"")</x:f>
        <x:v>No</x:v>
      </x:c>
    </x:row>
    <x:row r="26" ht="25" customHeight="1">
      <x:c r="A26" s="103" t="str">
        <x:v>T-019</x:v>
      </x:c>
      <x:c r="B26" s="104" t="n">
        <x:v>46257</x:v>
      </x:c>
      <x:c r="C26" s="105" t="str">
        <x:v>Password-protect Machine Load</x:v>
      </x:c>
      <x:c r="D26" s="106" t="str">
        <x:f>IFERROR(INDEX('Live Tracker'!$D$8:$D$65,MATCH($A26,'Live Tracker'!$A$8:$A$65,0)),"")</x:f>
        <x:v>Diya</x:v>
      </x:c>
      <x:c r="E26" s="106" t="str">
        <x:f>IFERROR(INDEX('Live Tracker'!$E$8:$E$65,MATCH($A26,'Live Tracker'!$A$8:$A$65,0)),"")</x:f>
        <x:v>No</x:v>
      </x:c>
    </x:row>
    <x:row r="27" ht="25" customHeight="1">
      <x:c r="A27" s="103" t="str">
        <x:v>T-020</x:v>
      </x:c>
      <x:c r="B27" s="104" t="n">
        <x:v>46257</x:v>
      </x:c>
      <x:c r="C27" s="105" t="str">
        <x:v>Show procurement shortfall against each PI</x:v>
      </x:c>
      <x:c r="D27" s="106" t="str">
        <x:f>IFERROR(INDEX('Live Tracker'!$D$8:$D$65,MATCH($A27,'Live Tracker'!$A$8:$A$65,0)),"")</x:f>
        <x:v>Diya</x:v>
      </x:c>
      <x:c r="E27" s="106" t="str">
        <x:f>IFERROR(INDEX('Live Tracker'!$E$8:$E$65,MATCH($A27,'Live Tracker'!$A$8:$A$65,0)),"")</x:f>
        <x:v>No</x:v>
      </x:c>
    </x:row>
    <x:row r="28" ht="25" customHeight="1">
      <x:c r="A28" s="103" t="str">
        <x:v>T-021</x:v>
      </x:c>
      <x:c r="B28" s="104" t="n">
        <x:v>46257</x:v>
      </x:c>
      <x:c r="C28" s="105" t="str">
        <x:v>Allow article-specific production plans in Catalogue</x:v>
      </x:c>
      <x:c r="D28" s="106" t="str">
        <x:f>IFERROR(INDEX('Live Tracker'!$D$8:$D$65,MATCH($A28,'Live Tracker'!$A$8:$A$65,0)),"")</x:f>
        <x:v>Diya</x:v>
      </x:c>
      <x:c r="E28" s="106" t="str">
        <x:f>IFERROR(INDEX('Live Tracker'!$E$8:$E$65,MATCH($A28,'Live Tracker'!$A$8:$A$65,0)),"")</x:f>
        <x:v>No</x:v>
      </x:c>
    </x:row>
    <x:row r="29" ht="25" customHeight="1">
      <x:c r="A29" s="103" t="str">
        <x:v>T-022</x:v>
      </x:c>
      <x:c r="B29" s="104" t="n">
        <x:v>46257</x:v>
      </x:c>
      <x:c r="C29" s="105" t="str">
        <x:v>Allow partial PI scheduling</x:v>
      </x:c>
      <x:c r="D29" s="106" t="str">
        <x:f>IFERROR(INDEX('Live Tracker'!$D$8:$D$65,MATCH($A29,'Live Tracker'!$A$8:$A$65,0)),"")</x:f>
        <x:v>Diya</x:v>
      </x:c>
      <x:c r="E29" s="106" t="str">
        <x:f>IFERROR(INDEX('Live Tracker'!$E$8:$E$65,MATCH($A29,'Live Tracker'!$A$8:$A$65,0)),"")</x:f>
        <x:v>No</x:v>
      </x:c>
    </x:row>
    <x:row r="30" ht="25" customHeight="1">
      <x:c r="A30" s="103" t="str">
        <x:v>T-023</x:v>
      </x:c>
      <x:c r="B30" s="104" t="n">
        <x:v>46257</x:v>
      </x:c>
      <x:c r="C30" s="105" t="str">
        <x:v>Allow manual production-plan editing with warnings and override</x:v>
      </x:c>
      <x:c r="D30" s="106" t="str">
        <x:f>IFERROR(INDEX('Live Tracker'!$D$8:$D$65,MATCH($A30,'Live Tracker'!$A$8:$A$65,0)),"")</x:f>
        <x:v>Diya</x:v>
      </x:c>
      <x:c r="E30" s="106" t="str">
        <x:f>IFERROR(INDEX('Live Tracker'!$E$8:$E$65,MATCH($A30,'Live Tracker'!$A$8:$A$65,0)),"")</x:f>
        <x:v>No</x:v>
      </x:c>
    </x:row>
    <x:row r="31" ht="24" customHeight="1">
      <x:c r="A31" s="118" t="str">
        <x:v>21 Aug 2026</x:v>
      </x:c>
      <x:c r="B31" s="125"/>
      <x:c r="C31" s="126"/>
      <x:c r="D31" s="119"/>
      <x:c r="E31" s="117" t="str">
        <x:f>COUNTIFS('Live Tracker'!$B$8:$B$65,DATE(2026,8,21),'Live Tracker'!$E$8:$E$65,"Yes")&amp;" of "&amp;COUNTIF('Live Tracker'!$B$8:$B$65,DATE(2026,8,21))&amp;" done"</x:f>
        <x:v>33 of 35 done</x:v>
      </x:c>
    </x:row>
    <x:row r="32" ht="25" customHeight="1">
      <x:c r="A32" s="103" t="str">
        <x:v>T-024</x:v>
      </x:c>
      <x:c r="B32" s="104" t="n">
        <x:v>46255</x:v>
      </x:c>
      <x:c r="C32" s="105" t="str">
        <x:v>Create the management MIS dashboard</x:v>
      </x:c>
      <x:c r="D32" s="106" t="str">
        <x:f>IFERROR(INDEX('Live Tracker'!$D$8:$D$65,MATCH($A32,'Live Tracker'!$A$8:$A$65,0)),"")</x:f>
        <x:v>Diya</x:v>
      </x:c>
      <x:c r="E32" s="106" t="str">
        <x:f>IFERROR(INDEX('Live Tracker'!$E$8:$E$65,MATCH($A32,'Live Tracker'!$A$8:$A$65,0)),"")</x:f>
        <x:v>Yes</x:v>
      </x:c>
    </x:row>
    <x:row r="33" ht="25" customHeight="1">
      <x:c r="A33" s="103" t="str">
        <x:v>T-025</x:v>
      </x:c>
      <x:c r="B33" s="104" t="n">
        <x:v>46255</x:v>
      </x:c>
      <x:c r="C33" s="105" t="str">
        <x:v>Fix order reading when one article has multiple size lines</x:v>
      </x:c>
      <x:c r="D33" s="106" t="str">
        <x:f>IFERROR(INDEX('Live Tracker'!$D$8:$D$65,MATCH($A33,'Live Tracker'!$A$8:$A$65,0)),"")</x:f>
        <x:v>Diya</x:v>
      </x:c>
      <x:c r="E33" s="106" t="str">
        <x:f>IFERROR(INDEX('Live Tracker'!$E$8:$E$65,MATCH($A33,'Live Tracker'!$A$8:$A$65,0)),"")</x:f>
        <x:v>Yes</x:v>
      </x:c>
    </x:row>
    <x:row r="34" ht="25" customHeight="1">
      <x:c r="A34" s="103" t="str">
        <x:v>T-026</x:v>
      </x:c>
      <x:c r="B34" s="104" t="n">
        <x:v>46255</x:v>
      </x:c>
      <x:c r="C34" s="105" t="str">
        <x:v>Create the client input sheet for machines, live plans and actual production</x:v>
      </x:c>
      <x:c r="D34" s="106" t="str">
        <x:f>IFERROR(INDEX('Live Tracker'!$D$8:$D$65,MATCH($A34,'Live Tracker'!$A$8:$A$65,0)),"")</x:f>
        <x:v>Diya</x:v>
      </x:c>
      <x:c r="E34" s="106" t="str">
        <x:f>IFERROR(INDEX('Live Tracker'!$E$8:$E$65,MATCH($A34,'Live Tracker'!$A$8:$A$65,0)),"")</x:f>
        <x:v>Yes</x:v>
      </x:c>
    </x:row>
    <x:row r="35" ht="25" customHeight="1">
      <x:c r="A35" s="103" t="str">
        <x:v>T-027</x:v>
      </x:c>
      <x:c r="B35" s="104" t="n">
        <x:v>46255</x:v>
      </x:c>
      <x:c r="C35" s="105" t="str">
        <x:v>Make Catalogue editable for all categories, including Gola Plus</x:v>
      </x:c>
      <x:c r="D35" s="106" t="str">
        <x:f>IFERROR(INDEX('Live Tracker'!$D$8:$D$65,MATCH($A35,'Live Tracker'!$A$8:$A$65,0)),"")</x:f>
        <x:v>Diya</x:v>
      </x:c>
      <x:c r="E35" s="106" t="str">
        <x:f>IFERROR(INDEX('Live Tracker'!$E$8:$E$65,MATCH($A35,'Live Tracker'!$A$8:$A$65,0)),"")</x:f>
        <x:v>Yes</x:v>
      </x:c>
    </x:row>
    <x:row r="36" ht="25" customHeight="1">
      <x:c r="A36" s="103" t="str">
        <x:v>T-028</x:v>
      </x:c>
      <x:c r="B36" s="104" t="n">
        <x:v>46255</x:v>
      </x:c>
      <x:c r="C36" s="105" t="str">
        <x:v>Link scheduling to the PI database</x:v>
      </x:c>
      <x:c r="D36" s="106" t="str">
        <x:f>IFERROR(INDEX('Live Tracker'!$D$8:$D$65,MATCH($A36,'Live Tracker'!$A$8:$A$65,0)),"")</x:f>
        <x:v>Diya</x:v>
      </x:c>
      <x:c r="E36" s="106" t="str">
        <x:f>IFERROR(INDEX('Live Tracker'!$E$8:$E$65,MATCH($A36,'Live Tracker'!$A$8:$A$65,0)),"")</x:f>
        <x:v>Yes</x:v>
      </x:c>
    </x:row>
    <x:row r="37" ht="25" customHeight="1">
      <x:c r="A37" s="103" t="str">
        <x:v>T-029</x:v>
      </x:c>
      <x:c r="B37" s="104" t="n">
        <x:v>46255</x:v>
      </x:c>
      <x:c r="C37" s="105" t="str">
        <x:v>Generate a PI after Match &amp; Check edits</x:v>
      </x:c>
      <x:c r="D37" s="106" t="str">
        <x:f>IFERROR(INDEX('Live Tracker'!$D$8:$D$65,MATCH($A37,'Live Tracker'!$A$8:$A$65,0)),"")</x:f>
        <x:v>Diya</x:v>
      </x:c>
      <x:c r="E37" s="106" t="str">
        <x:f>IFERROR(INDEX('Live Tracker'!$E$8:$E$65,MATCH($A37,'Live Tracker'!$A$8:$A$65,0)),"")</x:f>
        <x:v>Yes</x:v>
      </x:c>
    </x:row>
    <x:row r="38" ht="25" customHeight="1">
      <x:c r="A38" s="103" t="str">
        <x:v>T-030</x:v>
      </x:c>
      <x:c r="B38" s="104" t="n">
        <x:v>46255</x:v>
      </x:c>
      <x:c r="C38" s="105" t="str">
        <x:v>Require PI regeneration when checked data changes</x:v>
      </x:c>
      <x:c r="D38" s="106" t="str">
        <x:f>IFERROR(INDEX('Live Tracker'!$D$8:$D$65,MATCH($A38,'Live Tracker'!$A$8:$A$65,0)),"")</x:f>
        <x:v>Diya</x:v>
      </x:c>
      <x:c r="E38" s="106" t="str">
        <x:f>IFERROR(INDEX('Live Tracker'!$E$8:$E$65,MATCH($A38,'Live Tracker'!$A$8:$A$65,0)),"")</x:f>
        <x:v>Yes</x:v>
      </x:c>
    </x:row>
    <x:row r="39" ht="25" customHeight="1">
      <x:c r="A39" s="103" t="str">
        <x:v>T-031</x:v>
      </x:c>
      <x:c r="B39" s="104" t="n">
        <x:v>46255</x:v>
      </x:c>
      <x:c r="C39" s="105" t="str">
        <x:v>Retain PI draft while changing tabs</x:v>
      </x:c>
      <x:c r="D39" s="106" t="str">
        <x:f>IFERROR(INDEX('Live Tracker'!$D$8:$D$65,MATCH($A39,'Live Tracker'!$A$8:$A$65,0)),"")</x:f>
        <x:v>Diya</x:v>
      </x:c>
      <x:c r="E39" s="106" t="str">
        <x:f>IFERROR(INDEX('Live Tracker'!$E$8:$E$65,MATCH($A39,'Live Tracker'!$A$8:$A$65,0)),"")</x:f>
        <x:v>Yes</x:v>
      </x:c>
    </x:row>
    <x:row r="40" ht="25" customHeight="1">
      <x:c r="A40" s="103" t="str">
        <x:v>T-032</x:v>
      </x:c>
      <x:c r="B40" s="104" t="n">
        <x:v>46255</x:v>
      </x:c>
      <x:c r="C40" s="105" t="str">
        <x:v>Create a new PI after edits</x:v>
      </x:c>
      <x:c r="D40" s="106" t="str">
        <x:f>IFERROR(INDEX('Live Tracker'!$D$8:$D$65,MATCH($A40,'Live Tracker'!$A$8:$A$65,0)),"")</x:f>
        <x:v>Diya</x:v>
      </x:c>
      <x:c r="E40" s="106" t="str">
        <x:f>IFERROR(INDEX('Live Tracker'!$E$8:$E$65,MATCH($A40,'Live Tracker'!$A$8:$A$65,0)),"")</x:f>
        <x:v>Yes</x:v>
      </x:c>
    </x:row>
    <x:row r="41" ht="25" customHeight="1">
      <x:c r="A41" s="103" t="str">
        <x:v>T-033</x:v>
      </x:c>
      <x:c r="B41" s="104" t="n">
        <x:v>46255</x:v>
      </x:c>
      <x:c r="C41" s="105" t="str">
        <x:v>Remove Party &amp; Article Defaults from Match &amp; Check</x:v>
      </x:c>
      <x:c r="D41" s="106" t="str">
        <x:f>IFERROR(INDEX('Live Tracker'!$D$8:$D$65,MATCH($A41,'Live Tracker'!$A$8:$A$65,0)),"")</x:f>
        <x:v>Diya</x:v>
      </x:c>
      <x:c r="E41" s="106" t="str">
        <x:f>IFERROR(INDEX('Live Tracker'!$E$8:$E$65,MATCH($A41,'Live Tracker'!$A$8:$A$65,0)),"")</x:f>
        <x:v>Yes</x:v>
      </x:c>
    </x:row>
    <x:row r="42" ht="25" customHeight="1">
      <x:c r="A42" s="103" t="str">
        <x:v>T-034</x:v>
      </x:c>
      <x:c r="B42" s="104" t="n">
        <x:v>46255</x:v>
      </x:c>
      <x:c r="C42" s="105" t="str">
        <x:v>Keep customer and order fields on every article</x:v>
      </x:c>
      <x:c r="D42" s="106" t="str">
        <x:f>IFERROR(INDEX('Live Tracker'!$D$8:$D$65,MATCH($A42,'Live Tracker'!$A$8:$A$65,0)),"")</x:f>
        <x:v>Diya</x:v>
      </x:c>
      <x:c r="E42" s="106" t="str">
        <x:f>IFERROR(INDEX('Live Tracker'!$E$8:$E$65,MATCH($A42,'Live Tracker'!$A$8:$A$65,0)),"")</x:f>
        <x:v>Yes</x:v>
      </x:c>
    </x:row>
    <x:row r="43" ht="25" customHeight="1">
      <x:c r="A43" s="103" t="str">
        <x:v>T-035</x:v>
      </x:c>
      <x:c r="B43" s="104" t="n">
        <x:v>46255</x:v>
      </x:c>
      <x:c r="C43" s="105" t="str">
        <x:v>Recalculate packing when article or type changes</x:v>
      </x:c>
      <x:c r="D43" s="106" t="str">
        <x:f>IFERROR(INDEX('Live Tracker'!$D$8:$D$65,MATCH($A43,'Live Tracker'!$A$8:$A$65,0)),"")</x:f>
        <x:v>Diya</x:v>
      </x:c>
      <x:c r="E43" s="106" t="str">
        <x:f>IFERROR(INDEX('Live Tracker'!$E$8:$E$65,MATCH($A43,'Live Tracker'!$A$8:$A$65,0)),"")</x:f>
        <x:v>Yes</x:v>
      </x:c>
    </x:row>
    <x:row r="44" ht="25" customHeight="1">
      <x:c r="A44" s="103" t="str">
        <x:v>T-036</x:v>
      </x:c>
      <x:c r="B44" s="104" t="n">
        <x:v>46255</x:v>
      </x:c>
      <x:c r="C44" s="105" t="str">
        <x:v>Make Spike follow Armour packing</x:v>
      </x:c>
      <x:c r="D44" s="106" t="str">
        <x:f>IFERROR(INDEX('Live Tracker'!$D$8:$D$65,MATCH($A44,'Live Tracker'!$A$8:$A$65,0)),"")</x:f>
        <x:v>Diya</x:v>
      </x:c>
      <x:c r="E44" s="106" t="str">
        <x:f>IFERROR(INDEX('Live Tracker'!$E$8:$E$65,MATCH($A44,'Live Tracker'!$A$8:$A$65,0)),"")</x:f>
        <x:v>Yes</x:v>
      </x:c>
    </x:row>
    <x:row r="45" ht="25" customHeight="1">
      <x:c r="A45" s="103" t="str">
        <x:v>T-037</x:v>
      </x:c>
      <x:c r="B45" s="104" t="n">
        <x:v>46255</x:v>
      </x:c>
      <x:c r="C45" s="105" t="str">
        <x:v>Show the packing list for every article and type</x:v>
      </x:c>
      <x:c r="D45" s="106" t="str">
        <x:f>IFERROR(INDEX('Live Tracker'!$D$8:$D$65,MATCH($A45,'Live Tracker'!$A$8:$A$65,0)),"")</x:f>
        <x:v>Diya</x:v>
      </x:c>
      <x:c r="E45" s="106" t="str">
        <x:f>IFERROR(INDEX('Live Tracker'!$E$8:$E$65,MATCH($A45,'Live Tracker'!$A$8:$A$65,0)),"")</x:f>
        <x:v>Yes</x:v>
      </x:c>
    </x:row>
    <x:row r="46" ht="25" customHeight="1">
      <x:c r="A46" s="103" t="str">
        <x:v>T-038</x:v>
      </x:c>
      <x:c r="B46" s="104" t="n">
        <x:v>46255</x:v>
      </x:c>
      <x:c r="C46" s="105" t="str">
        <x:v>Show the BOM for every article and type</x:v>
      </x:c>
      <x:c r="D46" s="106" t="str">
        <x:f>IFERROR(INDEX('Live Tracker'!$D$8:$D$65,MATCH($A46,'Live Tracker'!$A$8:$A$65,0)),"")</x:f>
        <x:v>Diya</x:v>
      </x:c>
      <x:c r="E46" s="106" t="str">
        <x:f>IFERROR(INDEX('Live Tracker'!$E$8:$E$65,MATCH($A46,'Live Tracker'!$A$8:$A$65,0)),"")</x:f>
        <x:v>Yes</x:v>
      </x:c>
    </x:row>
    <x:row r="47" ht="25" customHeight="1">
      <x:c r="A47" s="103" t="str">
        <x:v>T-039</x:v>
      </x:c>
      <x:c r="B47" s="104" t="n">
        <x:v>46255</x:v>
      </x:c>
      <x:c r="C47" s="105" t="str">
        <x:v>Edit pairs per carton in Packing &amp; BOM Rules</x:v>
      </x:c>
      <x:c r="D47" s="106" t="str">
        <x:f>IFERROR(INDEX('Live Tracker'!$D$8:$D$65,MATCH($A47,'Live Tracker'!$A$8:$A$65,0)),"")</x:f>
        <x:v>Diya</x:v>
      </x:c>
      <x:c r="E47" s="106" t="str">
        <x:f>IFERROR(INDEX('Live Tracker'!$E$8:$E$65,MATCH($A47,'Live Tracker'!$A$8:$A$65,0)),"")</x:f>
        <x:v>Yes</x:v>
      </x:c>
    </x:row>
    <x:row r="48" ht="25" customHeight="1">
      <x:c r="A48" s="103" t="str">
        <x:v>T-040</x:v>
      </x:c>
      <x:c r="B48" s="104" t="n">
        <x:v>46255</x:v>
      </x:c>
      <x:c r="C48" s="105" t="str">
        <x:v>Read the supplied Institutional and MTO order book</x:v>
      </x:c>
      <x:c r="D48" s="106" t="str">
        <x:f>IFERROR(INDEX('Live Tracker'!$D$8:$D$65,MATCH($A48,'Live Tracker'!$A$8:$A$65,0)),"")</x:f>
        <x:v>Diya</x:v>
      </x:c>
      <x:c r="E48" s="106" t="str">
        <x:f>IFERROR(INDEX('Live Tracker'!$E$8:$E$65,MATCH($A48,'Live Tracker'!$A$8:$A$65,0)),"")</x:f>
        <x:v>Yes</x:v>
      </x:c>
    </x:row>
    <x:row r="49" ht="25" customHeight="1">
      <x:c r="A49" s="103" t="str">
        <x:v>T-041</x:v>
      </x:c>
      <x:c r="B49" s="104" t="n">
        <x:v>46255</x:v>
      </x:c>
      <x:c r="C49" s="105" t="str">
        <x:v>Read all workbook sheets and XLSM files in bulk upload</x:v>
      </x:c>
      <x:c r="D49" s="106" t="str">
        <x:f>IFERROR(INDEX('Live Tracker'!$D$8:$D$65,MATCH($A49,'Live Tracker'!$A$8:$A$65,0)),"")</x:f>
        <x:v>Diya</x:v>
      </x:c>
      <x:c r="E49" s="106" t="str">
        <x:f>IFERROR(INDEX('Live Tracker'!$E$8:$E$65,MATCH($A49,'Live Tracker'!$A$8:$A$65,0)),"")</x:f>
        <x:v>Yes</x:v>
      </x:c>
    </x:row>
    <x:row r="50" ht="25" customHeight="1">
      <x:c r="A50" s="103" t="str">
        <x:v>T-042</x:v>
      </x:c>
      <x:c r="B50" s="104" t="n">
        <x:v>46255</x:v>
      </x:c>
      <x:c r="C50" s="105" t="str">
        <x:v>Use a one-row-per-article order template</x:v>
      </x:c>
      <x:c r="D50" s="106" t="str">
        <x:f>IFERROR(INDEX('Live Tracker'!$D$8:$D$65,MATCH($A50,'Live Tracker'!$A$8:$A$65,0)),"")</x:f>
        <x:v>Diya</x:v>
      </x:c>
      <x:c r="E50" s="106" t="str">
        <x:f>IFERROR(INDEX('Live Tracker'!$E$8:$E$65,MATCH($A50,'Live Tracker'!$A$8:$A$65,0)),"")</x:f>
        <x:v>Yes</x:v>
      </x:c>
    </x:row>
    <x:row r="51" ht="25" customHeight="1">
      <x:c r="A51" s="103" t="str">
        <x:v>T-043</x:v>
      </x:c>
      <x:c r="B51" s="104" t="n">
        <x:v>46255</x:v>
      </x:c>
      <x:c r="C51" s="105" t="str">
        <x:v>Edit orders after saving a PI</x:v>
      </x:c>
      <x:c r="D51" s="106" t="str">
        <x:f>IFERROR(INDEX('Live Tracker'!$D$8:$D$65,MATCH($A51,'Live Tracker'!$A$8:$A$65,0)),"")</x:f>
        <x:v>Diya</x:v>
      </x:c>
      <x:c r="E51" s="106" t="str">
        <x:f>IFERROR(INDEX('Live Tracker'!$E$8:$E$65,MATCH($A51,'Live Tracker'!$A$8:$A$65,0)),"")</x:f>
        <x:v>Yes</x:v>
      </x:c>
    </x:row>
    <x:row r="52" ht="25" customHeight="1">
      <x:c r="A52" s="103" t="str">
        <x:v>T-044</x:v>
      </x:c>
      <x:c r="B52" s="104" t="n">
        <x:v>46255</x:v>
      </x:c>
      <x:c r="C52" s="105" t="str">
        <x:v>Create a master PI database</x:v>
      </x:c>
      <x:c r="D52" s="106" t="str">
        <x:f>IFERROR(INDEX('Live Tracker'!$D$8:$D$65,MATCH($A52,'Live Tracker'!$A$8:$A$65,0)),"")</x:f>
        <x:v>Diya</x:v>
      </x:c>
      <x:c r="E52" s="106" t="str">
        <x:f>IFERROR(INDEX('Live Tracker'!$E$8:$E$65,MATCH($A52,'Live Tracker'!$A$8:$A$65,0)),"")</x:f>
        <x:v>Yes</x:v>
      </x:c>
    </x:row>
    <x:row r="53" ht="25" customHeight="1">
      <x:c r="A53" s="103" t="str">
        <x:v>T-045</x:v>
      </x:c>
      <x:c r="B53" s="104" t="n">
        <x:v>46255</x:v>
      </x:c>
      <x:c r="C53" s="105" t="str">
        <x:v>Remove dispatch timeline from Parties &amp; Terms</x:v>
      </x:c>
      <x:c r="D53" s="106" t="str">
        <x:f>IFERROR(INDEX('Live Tracker'!$D$8:$D$65,MATCH($A53,'Live Tracker'!$A$8:$A$65,0)),"")</x:f>
        <x:v>Diya</x:v>
      </x:c>
      <x:c r="E53" s="106" t="str">
        <x:f>IFERROR(INDEX('Live Tracker'!$E$8:$E$65,MATCH($A53,'Live Tracker'!$A$8:$A$65,0)),"")</x:f>
        <x:v>Yes</x:v>
      </x:c>
    </x:row>
    <x:row r="54" ht="25" customHeight="1">
      <x:c r="A54" s="103" t="str">
        <x:v>T-046</x:v>
      </x:c>
      <x:c r="B54" s="104" t="n">
        <x:v>46255</x:v>
      </x:c>
      <x:c r="C54" s="105" t="str">
        <x:v>Remove the unnecessary one-day production buffer</x:v>
      </x:c>
      <x:c r="D54" s="106" t="str">
        <x:f>IFERROR(INDEX('Live Tracker'!$D$8:$D$65,MATCH($A54,'Live Tracker'!$A$8:$A$65,0)),"")</x:f>
        <x:v>Diya</x:v>
      </x:c>
      <x:c r="E54" s="106" t="str">
        <x:f>IFERROR(INDEX('Live Tracker'!$E$8:$E$65,MATCH($A54,'Live Tracker'!$A$8:$A$65,0)),"")</x:f>
        <x:v>Yes</x:v>
      </x:c>
    </x:row>
    <x:row r="55" ht="25" customHeight="1">
      <x:c r="A55" s="103" t="str">
        <x:v>T-047</x:v>
      </x:c>
      <x:c r="B55" s="104" t="n">
        <x:v>46255</x:v>
      </x:c>
      <x:c r="C55" s="105" t="str">
        <x:v>Show production-planning logic for each order</x:v>
      </x:c>
      <x:c r="D55" s="106" t="str">
        <x:f>IFERROR(INDEX('Live Tracker'!$D$8:$D$65,MATCH($A55,'Live Tracker'!$A$8:$A$65,0)),"")</x:f>
        <x:v>Diya</x:v>
      </x:c>
      <x:c r="E55" s="106" t="str">
        <x:f>IFERROR(INDEX('Live Tracker'!$E$8:$E$65,MATCH($A55,'Live Tracker'!$A$8:$A$65,0)),"")</x:f>
        <x:v>Yes</x:v>
      </x:c>
    </x:row>
    <x:row r="56" ht="25" customHeight="1">
      <x:c r="A56" s="103" t="str">
        <x:v>T-048</x:v>
      </x:c>
      <x:c r="B56" s="104" t="n">
        <x:v>46255</x:v>
      </x:c>
      <x:c r="C56" s="105" t="str">
        <x:v>Document Vercel and database deployment steps</x:v>
      </x:c>
      <x:c r="D56" s="106" t="str">
        <x:f>IFERROR(INDEX('Live Tracker'!$D$8:$D$65,MATCH($A56,'Live Tracker'!$A$8:$A$65,0)),"")</x:f>
        <x:v>Diya</x:v>
      </x:c>
      <x:c r="E56" s="106" t="str">
        <x:f>IFERROR(INDEX('Live Tracker'!$E$8:$E$65,MATCH($A56,'Live Tracker'!$A$8:$A$65,0)),"")</x:f>
        <x:v>Yes</x:v>
      </x:c>
    </x:row>
    <x:row r="57" ht="25" customHeight="1">
      <x:c r="A57" s="103" t="str">
        <x:v>T-049</x:v>
      </x:c>
      <x:c r="B57" s="104" t="n">
        <x:v>46255</x:v>
      </x:c>
      <x:c r="C57" s="105" t="str">
        <x:v>Use party discount and payment terms on each PI</x:v>
      </x:c>
      <x:c r="D57" s="106" t="str">
        <x:f>IFERROR(INDEX('Live Tracker'!$D$8:$D$65,MATCH($A57,'Live Tracker'!$A$8:$A$65,0)),"")</x:f>
        <x:v>Diya</x:v>
      </x:c>
      <x:c r="E57" s="106" t="str">
        <x:f>IFERROR(INDEX('Live Tracker'!$E$8:$E$65,MATCH($A57,'Live Tracker'!$A$8:$A$65,0)),"")</x:f>
        <x:v>Yes</x:v>
      </x:c>
    </x:row>
    <x:row r="58" ht="25" customHeight="1">
      <x:c r="A58" s="103" t="str">
        <x:v>T-050</x:v>
      </x:c>
      <x:c r="B58" s="104" t="n">
        <x:v>46255</x:v>
      </x:c>
      <x:c r="C58" s="105" t="str">
        <x:v>Allow order entry in cartons</x:v>
      </x:c>
      <x:c r="D58" s="106" t="str">
        <x:f>IFERROR(INDEX('Live Tracker'!$D$8:$D$65,MATCH($A58,'Live Tracker'!$A$8:$A$65,0)),"")</x:f>
        <x:v>Diya</x:v>
      </x:c>
      <x:c r="E58" s="106" t="str">
        <x:f>IFERROR(INDEX('Live Tracker'!$E$8:$E$65,MATCH($A58,'Live Tracker'!$A$8:$A$65,0)),"")</x:f>
        <x:v>Yes</x:v>
      </x:c>
    </x:row>
    <x:row r="59" ht="25" customHeight="1">
      <x:c r="A59" s="103" t="str">
        <x:v>T-051</x:v>
      </x:c>
      <x:c r="B59" s="104" t="n">
        <x:v>46255</x:v>
      </x:c>
      <x:c r="C59" s="105" t="str">
        <x:v>Add Preparation between Cutting and Stitching</x:v>
      </x:c>
      <x:c r="D59" s="106" t="str">
        <x:f>IFERROR(INDEX('Live Tracker'!$D$8:$D$65,MATCH($A59,'Live Tracker'!$A$8:$A$65,0)),"")</x:f>
        <x:v>Diya</x:v>
      </x:c>
      <x:c r="E59" s="106" t="str">
        <x:f>IFERROR(INDEX('Live Tracker'!$E$8:$E$65,MATCH($A59,'Live Tracker'!$A$8:$A$65,0)),"")</x:f>
        <x:v>Yes</x:v>
      </x:c>
    </x:row>
    <x:row r="60" ht="25" customHeight="1">
      <x:c r="A60" s="103" t="str">
        <x:v>T-052</x:v>
      </x:c>
      <x:c r="B60" s="104" t="n">
        <x:v>46255</x:v>
      </x:c>
      <x:c r="C60" s="105" t="str">
        <x:v>Choose in-house or outside stitching and capture printing</x:v>
      </x:c>
      <x:c r="D60" s="106" t="str">
        <x:f>IFERROR(INDEX('Live Tracker'!$D$8:$D$65,MATCH($A60,'Live Tracker'!$A$8:$A$65,0)),"")</x:f>
        <x:v>Diya</x:v>
      </x:c>
      <x:c r="E60" s="106" t="str">
        <x:f>IFERROR(INDEX('Live Tracker'!$E$8:$E$65,MATCH($A60,'Live Tracker'!$A$8:$A$65,0)),"")</x:f>
        <x:v>Yes</x:v>
      </x:c>
    </x:row>
    <x:row r="61" ht="25" customHeight="1">
      <x:c r="A61" s="103" t="str">
        <x:v>T-053</x:v>
      </x:c>
      <x:c r="B61" s="104" t="n">
        <x:v>46255</x:v>
      </x:c>
      <x:c r="C61" s="105" t="str">
        <x:v>Add Upper QC between Stitching and Molding</x:v>
      </x:c>
      <x:c r="D61" s="106" t="str">
        <x:f>IFERROR(INDEX('Live Tracker'!$D$8:$D$65,MATCH($A61,'Live Tracker'!$A$8:$A$65,0)),"")</x:f>
        <x:v>Diya</x:v>
      </x:c>
      <x:c r="E61" s="106" t="str">
        <x:f>IFERROR(INDEX('Live Tracker'!$E$8:$E$65,MATCH($A61,'Live Tracker'!$A$8:$A$65,0)),"")</x:f>
        <x:v>Yes</x:v>
      </x:c>
    </x:row>
    <x:row r="62" ht="25" customHeight="1">
      <x:c r="A62" s="103" t="str">
        <x:v>T-054</x:v>
      </x:c>
      <x:c r="B62" s="104" t="n">
        <x:v>46255</x:v>
      </x:c>
      <x:c r="C62" s="105" t="str">
        <x:v>Separate PVC Rotary, PVC Vertical, PU and Stuck-on machines</x:v>
      </x:c>
      <x:c r="D62" s="106" t="str">
        <x:f>IFERROR(INDEX('Live Tracker'!$D$8:$D$65,MATCH($A62,'Live Tracker'!$A$8:$A$65,0)),"")</x:f>
        <x:v>Diya</x:v>
      </x:c>
      <x:c r="E62" s="106" t="str">
        <x:f>IFERROR(INDEX('Live Tracker'!$E$8:$E$65,MATCH($A62,'Live Tracker'!$A$8:$A$65,0)),"")</x:f>
        <x:v>Yes</x:v>
      </x:c>
    </x:row>
    <x:row r="63" ht="25" customHeight="1">
      <x:c r="A63" s="103" t="str">
        <x:v>T-055</x:v>
      </x:c>
      <x:c r="B63" s="104" t="n">
        <x:v>46255</x:v>
      </x:c>
      <x:c r="C63" s="105" t="str">
        <x:v>Separate Packing and Dispatch stages</x:v>
      </x:c>
      <x:c r="D63" s="106" t="str">
        <x:f>IFERROR(INDEX('Live Tracker'!$D$8:$D$65,MATCH($A63,'Live Tracker'!$A$8:$A$65,0)),"")</x:f>
        <x:v>Diya</x:v>
      </x:c>
      <x:c r="E63" s="106" t="str">
        <x:f>IFERROR(INDEX('Live Tracker'!$E$8:$E$65,MATCH($A63,'Live Tracker'!$A$8:$A$65,0)),"")</x:f>
        <x:v>Yes</x:v>
      </x:c>
    </x:row>
    <x:row r="64" ht="25" customHeight="1">
      <x:c r="A64" s="103" t="str">
        <x:v>T-056</x:v>
      </x:c>
      <x:c r="B64" s="104" t="n">
        <x:v>46255</x:v>
      </x:c>
      <x:c r="C64" s="105" t="str">
        <x:v>Create dispatch reports and reduce pending quantity</x:v>
      </x:c>
      <x:c r="D64" s="106" t="str">
        <x:f>IFERROR(INDEX('Live Tracker'!$D$8:$D$65,MATCH($A64,'Live Tracker'!$A$8:$A$65,0)),"")</x:f>
        <x:v>Diya</x:v>
      </x:c>
      <x:c r="E64" s="106" t="str">
        <x:f>IFERROR(INDEX('Live Tracker'!$E$8:$E$65,MATCH($A64,'Live Tracker'!$A$8:$A$65,0)),"")</x:f>
        <x:v>Yes</x:v>
      </x:c>
    </x:row>
    <x:row r="65" ht="25" customHeight="1">
      <x:c r="A65" s="103" t="str">
        <x:v>T-057</x:v>
      </x:c>
      <x:c r="B65" s="104" t="n">
        <x:v>46255</x:v>
      </x:c>
      <x:c r="C65" s="105" t="str">
        <x:v>Allow specific sizes on an article</x:v>
      </x:c>
      <x:c r="D65" s="106" t="str">
        <x:f>IFERROR(INDEX('Live Tracker'!$D$8:$D$65,MATCH($A65,'Live Tracker'!$A$8:$A$65,0)),"")</x:f>
        <x:v>Unassigned</x:v>
      </x:c>
      <x:c r="E65" s="106" t="str">
        <x:f>IFERROR(INDEX('Live Tracker'!$E$8:$E$65,MATCH($A65,'Live Tracker'!$A$8:$A$65,0)),"")</x:f>
        <x:v>No</x:v>
      </x:c>
    </x:row>
    <x:row r="66" ht="25" customHeight="1">
      <x:c r="A66" s="111" t="str">
        <x:v>T-058</x:v>
      </x:c>
      <x:c r="B66" s="112" t="n">
        <x:v>46255</x:v>
      </x:c>
      <x:c r="C66" s="113" t="str">
        <x:v>Add Partial, Full and Shortage dispatch statuses</x:v>
      </x:c>
      <x:c r="D66" s="114" t="str">
        <x:f>IFERROR(INDEX('Live Tracker'!$D$8:$D$65,MATCH($A66,'Live Tracker'!$A$8:$A$65,0)),"")</x:f>
        <x:v>Unassigned</x:v>
      </x:c>
      <x:c r="E66" s="114" t="str">
        <x:f>IFERROR(INDEX('Live Tracker'!$E$8:$E$65,MATCH($A66,'Live Tracker'!$A$8:$A$65,0)),"")</x:f>
        <x:v>No</x:v>
      </x:c>
    </x:row>
  </x:sheetData>
  <x:mergeCells>
    <x:mergeCell ref="A1:E1"/>
    <x:mergeCell ref="A2:E2"/>
    <x:mergeCell ref="A5:D5"/>
    <x:mergeCell ref="A9:D9"/>
    <x:mergeCell ref="A11:D11"/>
    <x:mergeCell ref="A31:D31"/>
  </x:mergeCells>
  <x:conditionalFormatting sqref="D6:D66">
    <x:cfRule type="containsText" dxfId="5" priority="1" operator="containsText" text="Diya"/>
    <x:cfRule type="containsText" dxfId="6" priority="2" operator="containsText" text="Abhay"/>
    <x:cfRule type="containsText" dxfId="7" priority="3" operator="containsText" text="Unassigned"/>
  </x:conditionalFormatting>
  <x:conditionalFormatting sqref="E6:E66">
    <x:cfRule type="containsText" dxfId="8" priority="4" operator="containsText" text="Yes"/>
    <x:cfRule type="containsText" dxfId="9" priority="5" operator="containsText" text="N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62" hidden="0" customWidth="1"/>
    <x:col min="4" max="4" width="16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Factory OS Live Tracker</x:v>
      </x:c>
      <x:c r="B1" s="3"/>
      <x:c r="C1" s="3"/>
      <x:c r="D1" s="3"/>
      <x:c r="E1" s="3"/>
      <x:c r="F1" s="3"/>
      <x:c r="G1" s="3"/>
      <x:c r="H1" s="3"/>
    </x:row>
    <x:row r="2" ht="20" customHeight="1">
      <x:c r="A2" s="17" t="str">
        <x:v>Total Tasks</x:v>
      </x:c>
      <x:c r="B2" s="18"/>
      <x:c r="C2" s="34" t="str">
        <x:v>Completed</x:v>
      </x:c>
      <x:c r="D2" s="35"/>
      <x:c r="E2" s="51" t="str">
        <x:v>Outstanding</x:v>
      </x:c>
      <x:c r="F2" s="52"/>
      <x:c r="G2" s="68" t="str">
        <x:v>Completion</x:v>
      </x:c>
      <x:c r="H2" s="69"/>
    </x:row>
    <x:row r="3" ht="30" customHeight="1">
      <x:c r="A3" s="26" t="n">
        <x:f>COUNTA(C8:C65)</x:f>
        <x:v>58</x:v>
      </x:c>
      <x:c r="B3" s="27"/>
      <x:c r="C3" s="43" t="n">
        <x:f>COUNTIF(E8:E65,"Yes")</x:f>
        <x:v>45</x:v>
      </x:c>
      <x:c r="D3" s="44"/>
      <x:c r="E3" s="60" t="n">
        <x:f>COUNTIF(E8:E65,"No")</x:f>
        <x:v>13</x:v>
      </x:c>
      <x:c r="F3" s="61"/>
      <x:c r="G3" s="77" t="n">
        <x:f>IFERROR(C3/A3,0)</x:f>
        <x:v>0.7758620689655172</x:v>
      </x:c>
      <x:c r="H3" s="78"/>
    </x:row>
    <x:row r="5" ht="24" customHeight="1">
      <x:c r="A5" s="6" t="str">
        <x:v>Use the dropdown in Done? to toggle each task between Yes and No. Filter the table to focus by date, owner, or status.</x:v>
      </x:c>
      <x:c r="B5" s="6"/>
      <x:c r="C5" s="6"/>
      <x:c r="D5" s="6"/>
      <x:c r="E5" s="6"/>
      <x:c r="F5" s="6"/>
      <x:c r="G5" s="6"/>
      <x:c r="H5" s="6"/>
    </x:row>
    <x:row r="7">
      <x:c r="A7" t="str">
        <x:v>Task ID</x:v>
      </x:c>
      <x:c r="B7" t="str">
        <x:v>Date</x:v>
      </x:c>
      <x:c r="C7" t="str">
        <x:v>Change / Task</x:v>
      </x:c>
      <x:c r="D7" t="str">
        <x:v>Owner</x:v>
      </x:c>
      <x:c r="E7" t="str">
        <x:v>Done?</x:v>
      </x:c>
    </x:row>
    <x:row r="8" ht="25" customHeight="1">
      <x:c r="A8" s="85" t="str">
        <x:v>T-001</x:v>
      </x:c>
      <x:c r="B8" s="86" t="n">
        <x:v>46260</x:v>
      </x:c>
      <x:c r="C8" s="87" t="str">
        <x:v>PI generation tab was wrong - reading sizing wrong, not able to edit PI blanks</x:v>
      </x:c>
      <x:c r="D8" s="88" t="str">
        <x:v>Diya</x:v>
      </x:c>
      <x:c r="E8" s="88" t="str">
        <x:v>Yes</x:v>
      </x:c>
    </x:row>
    <x:row r="9" ht="25" customHeight="1">
      <x:c r="A9" s="85" t="str">
        <x:v>T-002</x:v>
      </x:c>
      <x:c r="B9" s="86" t="n">
        <x:v>46260</x:v>
      </x:c>
      <x:c r="C9" s="87" t="str">
        <x:v>Order dispatch not linked to other tabs</x:v>
      </x:c>
      <x:c r="D9" s="88" t="str">
        <x:v>Diya</x:v>
      </x:c>
      <x:c r="E9" s="88" t="str">
        <x:v>Yes</x:v>
      </x:c>
    </x:row>
    <x:row r="10" ht="25" customHeight="1">
      <x:c r="A10" s="85" t="str">
        <x:v>T-003</x:v>
      </x:c>
      <x:c r="B10" s="86" t="n">
        <x:v>46260</x:v>
      </x:c>
      <x:c r="C10" s="87" t="str">
        <x:v>PI database tab errors - ability to delete, sync across tabs, etc.</x:v>
      </x:c>
      <x:c r="D10" s="88" t="str">
        <x:v>Diya</x:v>
      </x:c>
      <x:c r="E10" s="88" t="str">
        <x:v>Yes</x:v>
      </x:c>
    </x:row>
    <x:row r="11" ht="25" customHeight="1">
      <x:c r="A11" s="85" t="str">
        <x:v>T-012</x:v>
      </x:c>
      <x:c r="B11" s="86" t="n">
        <x:v>46258</x:v>
      </x:c>
      <x:c r="C11" s="87" t="str">
        <x:v>Update catalogue images for all articles</x:v>
      </x:c>
      <x:c r="D11" s="88" t="str">
        <x:v>Abhay</x:v>
      </x:c>
      <x:c r="E11" s="88" t="str">
        <x:v>No</x:v>
      </x:c>
    </x:row>
    <x:row r="12" ht="25" customHeight="1">
      <x:c r="A12" s="85" t="str">
        <x:v>T-004</x:v>
      </x:c>
      <x:c r="B12" s="86" t="n">
        <x:v>46257</x:v>
      </x:c>
      <x:c r="C12" s="87" t="str">
        <x:v>Add dispatch timeline option per order</x:v>
      </x:c>
      <x:c r="D12" s="88" t="str">
        <x:v>Diya</x:v>
      </x:c>
      <x:c r="E12" s="88" t="str">
        <x:v>Yes</x:v>
      </x:c>
    </x:row>
    <x:row r="13" ht="25" customHeight="1">
      <x:c r="A13" s="85" t="str">
        <x:v>T-005</x:v>
      </x:c>
      <x:c r="B13" s="86" t="n">
        <x:v>46257</x:v>
      </x:c>
      <x:c r="C13" s="87" t="str">
        <x:v>Generate PI is not reloading to latest discount terms</x:v>
      </x:c>
      <x:c r="D13" s="88" t="str">
        <x:v>Diya</x:v>
      </x:c>
      <x:c r="E13" s="88" t="str">
        <x:v>Yes</x:v>
      </x:c>
    </x:row>
    <x:row r="14" ht="25" customHeight="1">
      <x:c r="A14" s="85" t="str">
        <x:v>T-006</x:v>
      </x:c>
      <x:c r="B14" s="86" t="n">
        <x:v>46257</x:v>
      </x:c>
      <x:c r="C14" s="87" t="str">
        <x:v>Edit MRP should be size by size</x:v>
      </x:c>
      <x:c r="D14" s="88" t="str">
        <x:v>Diya</x:v>
      </x:c>
      <x:c r="E14" s="88" t="str">
        <x:v>Yes</x:v>
      </x:c>
    </x:row>
    <x:row r="15" ht="25" customHeight="1">
      <x:c r="A15" s="85" t="str">
        <x:v>T-007</x:v>
      </x:c>
      <x:c r="B15" s="86" t="n">
        <x:v>46257</x:v>
      </x:c>
      <x:c r="C15" s="87" t="str">
        <x:v>Demo how to add BOMs, catalogue pictures and packing lists</x:v>
      </x:c>
      <x:c r="D15" s="88" t="str">
        <x:v>Diya</x:v>
      </x:c>
      <x:c r="E15" s="88" t="str">
        <x:v>Yes</x:v>
      </x:c>
    </x:row>
    <x:row r="16" ht="25" customHeight="1">
      <x:c r="A16" s="85" t="str">
        <x:v>T-008</x:v>
      </x:c>
      <x:c r="B16" s="86" t="n">
        <x:v>46257</x:v>
      </x:c>
      <x:c r="C16" s="87" t="str">
        <x:v>Treat L as Large; keep Lace and Velcro separate</x:v>
      </x:c>
      <x:c r="D16" s="88" t="str">
        <x:v>Diya</x:v>
      </x:c>
      <x:c r="E16" s="88" t="str">
        <x:v>Yes</x:v>
      </x:c>
    </x:row>
    <x:row r="17" ht="25" customHeight="1">
      <x:c r="A17" s="85" t="str">
        <x:v>T-009</x:v>
      </x:c>
      <x:c r="B17" s="86" t="n">
        <x:v>46257</x:v>
      </x:c>
      <x:c r="C17" s="87" t="str">
        <x:v>Add individual sizes alongside combo sizes</x:v>
      </x:c>
      <x:c r="D17" s="88" t="str">
        <x:v>Diya</x:v>
      </x:c>
      <x:c r="E17" s="88" t="str">
        <x:v>Yes</x:v>
      </x:c>
    </x:row>
    <x:row r="18" ht="25" customHeight="1">
      <x:c r="A18" s="85" t="str">
        <x:v>T-010</x:v>
      </x:c>
      <x:c r="B18" s="86" t="n">
        <x:v>46257</x:v>
      </x:c>
      <x:c r="C18" s="87" t="str">
        <x:v>Update all packing reports for all articles</x:v>
      </x:c>
      <x:c r="D18" s="88" t="str">
        <x:v>Abhay</x:v>
      </x:c>
      <x:c r="E18" s="88" t="str">
        <x:v>No</x:v>
      </x:c>
    </x:row>
    <x:row r="19" ht="25" customHeight="1">
      <x:c r="A19" s="85" t="str">
        <x:v>T-011</x:v>
      </x:c>
      <x:c r="B19" s="86" t="n">
        <x:v>46257</x:v>
      </x:c>
      <x:c r="C19" s="87" t="str">
        <x:v>Update all BOM for all articles</x:v>
      </x:c>
      <x:c r="D19" s="88" t="str">
        <x:v>Abhay</x:v>
      </x:c>
      <x:c r="E19" s="88" t="str">
        <x:v>No</x:v>
      </x:c>
    </x:row>
    <x:row r="20" ht="25" customHeight="1">
      <x:c r="A20" s="85" t="str">
        <x:v>T-013</x:v>
      </x:c>
      <x:c r="B20" s="86" t="n">
        <x:v>46257</x:v>
      </x:c>
      <x:c r="C20" s="87" t="str">
        <x:v>Send the packing report format</x:v>
      </x:c>
      <x:c r="D20" s="88" t="str">
        <x:v>Abhay</x:v>
      </x:c>
      <x:c r="E20" s="88" t="str">
        <x:v>No</x:v>
      </x:c>
    </x:row>
    <x:row r="21" ht="25" customHeight="1">
      <x:c r="A21" s="85" t="str">
        <x:v>T-014</x:v>
      </x:c>
      <x:c r="B21" s="86" t="n">
        <x:v>46257</x:v>
      </x:c>
      <x:c r="C21" s="87" t="str">
        <x:v>Allow article-specific production plans in Catalogue</x:v>
      </x:c>
      <x:c r="D21" s="88" t="str">
        <x:v>Diya</x:v>
      </x:c>
      <x:c r="E21" s="88" t="str">
        <x:v>No</x:v>
      </x:c>
    </x:row>
    <x:row r="22" ht="25" customHeight="1">
      <x:c r="A22" s="85" t="str">
        <x:v>T-015</x:v>
      </x:c>
      <x:c r="B22" s="86" t="n">
        <x:v>46257</x:v>
      </x:c>
      <x:c r="C22" s="87" t="str">
        <x:v>Add average dispatch days to MIS</x:v>
      </x:c>
      <x:c r="D22" s="88" t="str">
        <x:v>Diya</x:v>
      </x:c>
      <x:c r="E22" s="88" t="str">
        <x:v>Yes</x:v>
      </x:c>
    </x:row>
    <x:row r="23" ht="25" customHeight="1">
      <x:c r="A23" s="85" t="str">
        <x:v>T-016</x:v>
      </x:c>
      <x:c r="B23" s="86" t="n">
        <x:v>46257</x:v>
      </x:c>
      <x:c r="C23" s="87" t="str">
        <x:v>Add dispatch shortage and order-vs-dispatch percentages</x:v>
      </x:c>
      <x:c r="D23" s="88" t="str">
        <x:v>Diya</x:v>
      </x:c>
      <x:c r="E23" s="88" t="str">
        <x:v>Yes</x:v>
      </x:c>
    </x:row>
    <x:row r="24" ht="25" customHeight="1">
      <x:c r="A24" s="85" t="str">
        <x:v>T-017</x:v>
      </x:c>
      <x:c r="B24" s="86" t="n">
        <x:v>46257</x:v>
      </x:c>
      <x:c r="C24" s="87" t="str">
        <x:v>Show the MIS calculation logic</x:v>
      </x:c>
      <x:c r="D24" s="88" t="str">
        <x:v>Diya</x:v>
      </x:c>
      <x:c r="E24" s="88" t="str">
        <x:v>Yes</x:v>
      </x:c>
    </x:row>
    <x:row r="25" ht="25" customHeight="1">
      <x:c r="A25" s="85" t="str">
        <x:v>T-018</x:v>
      </x:c>
      <x:c r="B25" s="86" t="n">
        <x:v>46257</x:v>
      </x:c>
      <x:c r="C25" s="87" t="str">
        <x:v>Add repair quantity capture and repair production planning before dispatch</x:v>
      </x:c>
      <x:c r="D25" s="88" t="str">
        <x:v>Diya</x:v>
      </x:c>
      <x:c r="E25" s="88" t="str">
        <x:v>No</x:v>
      </x:c>
    </x:row>
    <x:row r="26" ht="25" customHeight="1">
      <x:c r="A26" s="85" t="str">
        <x:v>T-019</x:v>
      </x:c>
      <x:c r="B26" s="86" t="n">
        <x:v>46257</x:v>
      </x:c>
      <x:c r="C26" s="87" t="str">
        <x:v>Password-protect Machine Load</x:v>
      </x:c>
      <x:c r="D26" s="88" t="str">
        <x:v>Diya</x:v>
      </x:c>
      <x:c r="E26" s="88" t="str">
        <x:v>No</x:v>
      </x:c>
    </x:row>
    <x:row r="27" ht="25" customHeight="1">
      <x:c r="A27" s="85" t="str">
        <x:v>T-020</x:v>
      </x:c>
      <x:c r="B27" s="86" t="n">
        <x:v>46257</x:v>
      </x:c>
      <x:c r="C27" s="87" t="str">
        <x:v>Show procurement shortfall against each PI</x:v>
      </x:c>
      <x:c r="D27" s="88" t="str">
        <x:v>Diya</x:v>
      </x:c>
      <x:c r="E27" s="88" t="str">
        <x:v>No</x:v>
      </x:c>
    </x:row>
    <x:row r="28" ht="25" customHeight="1">
      <x:c r="A28" s="85" t="str">
        <x:v>T-021</x:v>
      </x:c>
      <x:c r="B28" s="86" t="n">
        <x:v>46257</x:v>
      </x:c>
      <x:c r="C28" s="87" t="str">
        <x:v>Allow article-specific production plans in Catalogue</x:v>
      </x:c>
      <x:c r="D28" s="88" t="str">
        <x:v>Diya</x:v>
      </x:c>
      <x:c r="E28" s="88" t="str">
        <x:v>No</x:v>
      </x:c>
    </x:row>
    <x:row r="29" ht="25" customHeight="1">
      <x:c r="A29" s="85" t="str">
        <x:v>T-022</x:v>
      </x:c>
      <x:c r="B29" s="86" t="n">
        <x:v>46257</x:v>
      </x:c>
      <x:c r="C29" s="87" t="str">
        <x:v>Allow partial PI scheduling</x:v>
      </x:c>
      <x:c r="D29" s="88" t="str">
        <x:v>Diya</x:v>
      </x:c>
      <x:c r="E29" s="88" t="str">
        <x:v>No</x:v>
      </x:c>
    </x:row>
    <x:row r="30" ht="25" customHeight="1">
      <x:c r="A30" s="85" t="str">
        <x:v>T-023</x:v>
      </x:c>
      <x:c r="B30" s="86" t="n">
        <x:v>46257</x:v>
      </x:c>
      <x:c r="C30" s="87" t="str">
        <x:v>Allow manual production-plan editing with warnings and override</x:v>
      </x:c>
      <x:c r="D30" s="88" t="str">
        <x:v>Diya</x:v>
      </x:c>
      <x:c r="E30" s="88" t="str">
        <x:v>No</x:v>
      </x:c>
    </x:row>
    <x:row r="31" ht="25" customHeight="1">
      <x:c r="A31" s="85" t="str">
        <x:v>T-024</x:v>
      </x:c>
      <x:c r="B31" s="86" t="n">
        <x:v>46255</x:v>
      </x:c>
      <x:c r="C31" s="87" t="str">
        <x:v>Create the management MIS dashboard</x:v>
      </x:c>
      <x:c r="D31" s="88" t="str">
        <x:v>Diya</x:v>
      </x:c>
      <x:c r="E31" s="88" t="str">
        <x:v>Yes</x:v>
      </x:c>
    </x:row>
    <x:row r="32" ht="25" customHeight="1">
      <x:c r="A32" s="85" t="str">
        <x:v>T-025</x:v>
      </x:c>
      <x:c r="B32" s="86" t="n">
        <x:v>46255</x:v>
      </x:c>
      <x:c r="C32" s="87" t="str">
        <x:v>Fix order reading when one article has multiple size lines</x:v>
      </x:c>
      <x:c r="D32" s="88" t="str">
        <x:v>Diya</x:v>
      </x:c>
      <x:c r="E32" s="88" t="str">
        <x:v>Yes</x:v>
      </x:c>
    </x:row>
    <x:row r="33" ht="25" customHeight="1">
      <x:c r="A33" s="85" t="str">
        <x:v>T-026</x:v>
      </x:c>
      <x:c r="B33" s="86" t="n">
        <x:v>46255</x:v>
      </x:c>
      <x:c r="C33" s="87" t="str">
        <x:v>Create the client input sheet for machines, live plans and actual production</x:v>
      </x:c>
      <x:c r="D33" s="88" t="str">
        <x:v>Diya</x:v>
      </x:c>
      <x:c r="E33" s="88" t="str">
        <x:v>Yes</x:v>
      </x:c>
    </x:row>
    <x:row r="34" ht="25" customHeight="1">
      <x:c r="A34" s="85" t="str">
        <x:v>T-027</x:v>
      </x:c>
      <x:c r="B34" s="86" t="n">
        <x:v>46255</x:v>
      </x:c>
      <x:c r="C34" s="87" t="str">
        <x:v>Make Catalogue editable for all categories, including Gola Plus</x:v>
      </x:c>
      <x:c r="D34" s="88" t="str">
        <x:v>Diya</x:v>
      </x:c>
      <x:c r="E34" s="88" t="str">
        <x:v>Yes</x:v>
      </x:c>
    </x:row>
    <x:row r="35" ht="25" customHeight="1">
      <x:c r="A35" s="85" t="str">
        <x:v>T-028</x:v>
      </x:c>
      <x:c r="B35" s="86" t="n">
        <x:v>46255</x:v>
      </x:c>
      <x:c r="C35" s="87" t="str">
        <x:v>Link scheduling to the PI database</x:v>
      </x:c>
      <x:c r="D35" s="88" t="str">
        <x:v>Diya</x:v>
      </x:c>
      <x:c r="E35" s="88" t="str">
        <x:v>Yes</x:v>
      </x:c>
    </x:row>
    <x:row r="36" ht="25" customHeight="1">
      <x:c r="A36" s="85" t="str">
        <x:v>T-029</x:v>
      </x:c>
      <x:c r="B36" s="86" t="n">
        <x:v>46255</x:v>
      </x:c>
      <x:c r="C36" s="87" t="str">
        <x:v>Generate a PI after Match &amp; Check edits</x:v>
      </x:c>
      <x:c r="D36" s="88" t="str">
        <x:v>Diya</x:v>
      </x:c>
      <x:c r="E36" s="88" t="str">
        <x:v>Yes</x:v>
      </x:c>
    </x:row>
    <x:row r="37" ht="25" customHeight="1">
      <x:c r="A37" s="85" t="str">
        <x:v>T-030</x:v>
      </x:c>
      <x:c r="B37" s="86" t="n">
        <x:v>46255</x:v>
      </x:c>
      <x:c r="C37" s="87" t="str">
        <x:v>Require PI regeneration when checked data changes</x:v>
      </x:c>
      <x:c r="D37" s="88" t="str">
        <x:v>Diya</x:v>
      </x:c>
      <x:c r="E37" s="88" t="str">
        <x:v>Yes</x:v>
      </x:c>
    </x:row>
    <x:row r="38" ht="25" customHeight="1">
      <x:c r="A38" s="85" t="str">
        <x:v>T-031</x:v>
      </x:c>
      <x:c r="B38" s="86" t="n">
        <x:v>46255</x:v>
      </x:c>
      <x:c r="C38" s="87" t="str">
        <x:v>Retain PI draft while changing tabs</x:v>
      </x:c>
      <x:c r="D38" s="88" t="str">
        <x:v>Diya</x:v>
      </x:c>
      <x:c r="E38" s="88" t="str">
        <x:v>Yes</x:v>
      </x:c>
    </x:row>
    <x:row r="39" ht="25" customHeight="1">
      <x:c r="A39" s="85" t="str">
        <x:v>T-032</x:v>
      </x:c>
      <x:c r="B39" s="86" t="n">
        <x:v>46255</x:v>
      </x:c>
      <x:c r="C39" s="87" t="str">
        <x:v>Create a new PI after edits</x:v>
      </x:c>
      <x:c r="D39" s="88" t="str">
        <x:v>Diya</x:v>
      </x:c>
      <x:c r="E39" s="88" t="str">
        <x:v>Yes</x:v>
      </x:c>
    </x:row>
    <x:row r="40" ht="25" customHeight="1">
      <x:c r="A40" s="85" t="str">
        <x:v>T-033</x:v>
      </x:c>
      <x:c r="B40" s="86" t="n">
        <x:v>46255</x:v>
      </x:c>
      <x:c r="C40" s="87" t="str">
        <x:v>Remove Party &amp; Article Defaults from Match &amp; Check</x:v>
      </x:c>
      <x:c r="D40" s="88" t="str">
        <x:v>Diya</x:v>
      </x:c>
      <x:c r="E40" s="88" t="str">
        <x:v>Yes</x:v>
      </x:c>
    </x:row>
    <x:row r="41" ht="25" customHeight="1">
      <x:c r="A41" s="85" t="str">
        <x:v>T-034</x:v>
      </x:c>
      <x:c r="B41" s="86" t="n">
        <x:v>46255</x:v>
      </x:c>
      <x:c r="C41" s="87" t="str">
        <x:v>Keep customer and order fields on every article</x:v>
      </x:c>
      <x:c r="D41" s="88" t="str">
        <x:v>Diya</x:v>
      </x:c>
      <x:c r="E41" s="88" t="str">
        <x:v>Yes</x:v>
      </x:c>
    </x:row>
    <x:row r="42" ht="25" customHeight="1">
      <x:c r="A42" s="85" t="str">
        <x:v>T-035</x:v>
      </x:c>
      <x:c r="B42" s="86" t="n">
        <x:v>46255</x:v>
      </x:c>
      <x:c r="C42" s="87" t="str">
        <x:v>Recalculate packing when article or type changes</x:v>
      </x:c>
      <x:c r="D42" s="88" t="str">
        <x:v>Diya</x:v>
      </x:c>
      <x:c r="E42" s="88" t="str">
        <x:v>Yes</x:v>
      </x:c>
    </x:row>
    <x:row r="43" ht="25" customHeight="1">
      <x:c r="A43" s="85" t="str">
        <x:v>T-036</x:v>
      </x:c>
      <x:c r="B43" s="86" t="n">
        <x:v>46255</x:v>
      </x:c>
      <x:c r="C43" s="87" t="str">
        <x:v>Make Spike follow Armour packing</x:v>
      </x:c>
      <x:c r="D43" s="88" t="str">
        <x:v>Diya</x:v>
      </x:c>
      <x:c r="E43" s="88" t="str">
        <x:v>Yes</x:v>
      </x:c>
    </x:row>
    <x:row r="44" ht="25" customHeight="1">
      <x:c r="A44" s="85" t="str">
        <x:v>T-037</x:v>
      </x:c>
      <x:c r="B44" s="86" t="n">
        <x:v>46255</x:v>
      </x:c>
      <x:c r="C44" s="87" t="str">
        <x:v>Show the packing list for every article and type</x:v>
      </x:c>
      <x:c r="D44" s="88" t="str">
        <x:v>Diya</x:v>
      </x:c>
      <x:c r="E44" s="88" t="str">
        <x:v>Yes</x:v>
      </x:c>
    </x:row>
    <x:row r="45" ht="25" customHeight="1">
      <x:c r="A45" s="85" t="str">
        <x:v>T-038</x:v>
      </x:c>
      <x:c r="B45" s="86" t="n">
        <x:v>46255</x:v>
      </x:c>
      <x:c r="C45" s="87" t="str">
        <x:v>Show the BOM for every article and type</x:v>
      </x:c>
      <x:c r="D45" s="88" t="str">
        <x:v>Diya</x:v>
      </x:c>
      <x:c r="E45" s="88" t="str">
        <x:v>Yes</x:v>
      </x:c>
    </x:row>
    <x:row r="46" ht="25" customHeight="1">
      <x:c r="A46" s="85" t="str">
        <x:v>T-039</x:v>
      </x:c>
      <x:c r="B46" s="86" t="n">
        <x:v>46255</x:v>
      </x:c>
      <x:c r="C46" s="87" t="str">
        <x:v>Edit pairs per carton in Packing &amp; BOM Rules</x:v>
      </x:c>
      <x:c r="D46" s="88" t="str">
        <x:v>Diya</x:v>
      </x:c>
      <x:c r="E46" s="88" t="str">
        <x:v>Yes</x:v>
      </x:c>
    </x:row>
    <x:row r="47" ht="25" customHeight="1">
      <x:c r="A47" s="85" t="str">
        <x:v>T-040</x:v>
      </x:c>
      <x:c r="B47" s="86" t="n">
        <x:v>46255</x:v>
      </x:c>
      <x:c r="C47" s="87" t="str">
        <x:v>Read the supplied Institutional and MTO order book</x:v>
      </x:c>
      <x:c r="D47" s="88" t="str">
        <x:v>Diya</x:v>
      </x:c>
      <x:c r="E47" s="88" t="str">
        <x:v>Yes</x:v>
      </x:c>
    </x:row>
    <x:row r="48" ht="25" customHeight="1">
      <x:c r="A48" s="85" t="str">
        <x:v>T-041</x:v>
      </x:c>
      <x:c r="B48" s="86" t="n">
        <x:v>46255</x:v>
      </x:c>
      <x:c r="C48" s="87" t="str">
        <x:v>Read all workbook sheets and XLSM files in bulk upload</x:v>
      </x:c>
      <x:c r="D48" s="88" t="str">
        <x:v>Diya</x:v>
      </x:c>
      <x:c r="E48" s="88" t="str">
        <x:v>Yes</x:v>
      </x:c>
    </x:row>
    <x:row r="49" ht="25" customHeight="1">
      <x:c r="A49" s="85" t="str">
        <x:v>T-042</x:v>
      </x:c>
      <x:c r="B49" s="86" t="n">
        <x:v>46255</x:v>
      </x:c>
      <x:c r="C49" s="87" t="str">
        <x:v>Use a one-row-per-article order template</x:v>
      </x:c>
      <x:c r="D49" s="88" t="str">
        <x:v>Diya</x:v>
      </x:c>
      <x:c r="E49" s="88" t="str">
        <x:v>Yes</x:v>
      </x:c>
    </x:row>
    <x:row r="50" ht="25" customHeight="1">
      <x:c r="A50" s="85" t="str">
        <x:v>T-043</x:v>
      </x:c>
      <x:c r="B50" s="86" t="n">
        <x:v>46255</x:v>
      </x:c>
      <x:c r="C50" s="87" t="str">
        <x:v>Edit orders after saving a PI</x:v>
      </x:c>
      <x:c r="D50" s="88" t="str">
        <x:v>Diya</x:v>
      </x:c>
      <x:c r="E50" s="88" t="str">
        <x:v>Yes</x:v>
      </x:c>
    </x:row>
    <x:row r="51" ht="25" customHeight="1">
      <x:c r="A51" s="85" t="str">
        <x:v>T-044</x:v>
      </x:c>
      <x:c r="B51" s="86" t="n">
        <x:v>46255</x:v>
      </x:c>
      <x:c r="C51" s="87" t="str">
        <x:v>Create a master PI database</x:v>
      </x:c>
      <x:c r="D51" s="88" t="str">
        <x:v>Diya</x:v>
      </x:c>
      <x:c r="E51" s="88" t="str">
        <x:v>Yes</x:v>
      </x:c>
    </x:row>
    <x:row r="52" ht="25" customHeight="1">
      <x:c r="A52" s="85" t="str">
        <x:v>T-045</x:v>
      </x:c>
      <x:c r="B52" s="86" t="n">
        <x:v>46255</x:v>
      </x:c>
      <x:c r="C52" s="87" t="str">
        <x:v>Remove dispatch timeline from Parties &amp; Terms</x:v>
      </x:c>
      <x:c r="D52" s="88" t="str">
        <x:v>Diya</x:v>
      </x:c>
      <x:c r="E52" s="88" t="str">
        <x:v>Yes</x:v>
      </x:c>
    </x:row>
    <x:row r="53" ht="25" customHeight="1">
      <x:c r="A53" s="85" t="str">
        <x:v>T-046</x:v>
      </x:c>
      <x:c r="B53" s="86" t="n">
        <x:v>46255</x:v>
      </x:c>
      <x:c r="C53" s="87" t="str">
        <x:v>Remove the unnecessary one-day production buffer</x:v>
      </x:c>
      <x:c r="D53" s="88" t="str">
        <x:v>Diya</x:v>
      </x:c>
      <x:c r="E53" s="88" t="str">
        <x:v>Yes</x:v>
      </x:c>
    </x:row>
    <x:row r="54" ht="25" customHeight="1">
      <x:c r="A54" s="85" t="str">
        <x:v>T-047</x:v>
      </x:c>
      <x:c r="B54" s="86" t="n">
        <x:v>46255</x:v>
      </x:c>
      <x:c r="C54" s="87" t="str">
        <x:v>Show production-planning logic for each order</x:v>
      </x:c>
      <x:c r="D54" s="88" t="str">
        <x:v>Diya</x:v>
      </x:c>
      <x:c r="E54" s="88" t="str">
        <x:v>Yes</x:v>
      </x:c>
    </x:row>
    <x:row r="55" ht="25" customHeight="1">
      <x:c r="A55" s="85" t="str">
        <x:v>T-048</x:v>
      </x:c>
      <x:c r="B55" s="86" t="n">
        <x:v>46255</x:v>
      </x:c>
      <x:c r="C55" s="87" t="str">
        <x:v>Document Vercel and database deployment steps</x:v>
      </x:c>
      <x:c r="D55" s="88" t="str">
        <x:v>Diya</x:v>
      </x:c>
      <x:c r="E55" s="88" t="str">
        <x:v>Yes</x:v>
      </x:c>
    </x:row>
    <x:row r="56" ht="25" customHeight="1">
      <x:c r="A56" s="85" t="str">
        <x:v>T-049</x:v>
      </x:c>
      <x:c r="B56" s="86" t="n">
        <x:v>46255</x:v>
      </x:c>
      <x:c r="C56" s="87" t="str">
        <x:v>Use party discount and payment terms on each PI</x:v>
      </x:c>
      <x:c r="D56" s="88" t="str">
        <x:v>Diya</x:v>
      </x:c>
      <x:c r="E56" s="88" t="str">
        <x:v>Yes</x:v>
      </x:c>
    </x:row>
    <x:row r="57" ht="25" customHeight="1">
      <x:c r="A57" s="85" t="str">
        <x:v>T-050</x:v>
      </x:c>
      <x:c r="B57" s="86" t="n">
        <x:v>46255</x:v>
      </x:c>
      <x:c r="C57" s="87" t="str">
        <x:v>Allow order entry in cartons</x:v>
      </x:c>
      <x:c r="D57" s="88" t="str">
        <x:v>Diya</x:v>
      </x:c>
      <x:c r="E57" s="88" t="str">
        <x:v>Yes</x:v>
      </x:c>
    </x:row>
    <x:row r="58" ht="25" customHeight="1">
      <x:c r="A58" s="85" t="str">
        <x:v>T-051</x:v>
      </x:c>
      <x:c r="B58" s="86" t="n">
        <x:v>46255</x:v>
      </x:c>
      <x:c r="C58" s="87" t="str">
        <x:v>Add Preparation between Cutting and Stitching</x:v>
      </x:c>
      <x:c r="D58" s="88" t="str">
        <x:v>Diya</x:v>
      </x:c>
      <x:c r="E58" s="88" t="str">
        <x:v>Yes</x:v>
      </x:c>
    </x:row>
    <x:row r="59" ht="25" customHeight="1">
      <x:c r="A59" s="85" t="str">
        <x:v>T-052</x:v>
      </x:c>
      <x:c r="B59" s="86" t="n">
        <x:v>46255</x:v>
      </x:c>
      <x:c r="C59" s="87" t="str">
        <x:v>Choose in-house or outside stitching and capture printing</x:v>
      </x:c>
      <x:c r="D59" s="88" t="str">
        <x:v>Diya</x:v>
      </x:c>
      <x:c r="E59" s="88" t="str">
        <x:v>Yes</x:v>
      </x:c>
    </x:row>
    <x:row r="60" ht="25" customHeight="1">
      <x:c r="A60" s="85" t="str">
        <x:v>T-053</x:v>
      </x:c>
      <x:c r="B60" s="86" t="n">
        <x:v>46255</x:v>
      </x:c>
      <x:c r="C60" s="87" t="str">
        <x:v>Add Upper QC between Stitching and Molding</x:v>
      </x:c>
      <x:c r="D60" s="88" t="str">
        <x:v>Diya</x:v>
      </x:c>
      <x:c r="E60" s="88" t="str">
        <x:v>Yes</x:v>
      </x:c>
    </x:row>
    <x:row r="61" ht="25" customHeight="1">
      <x:c r="A61" s="85" t="str">
        <x:v>T-054</x:v>
      </x:c>
      <x:c r="B61" s="86" t="n">
        <x:v>46255</x:v>
      </x:c>
      <x:c r="C61" s="87" t="str">
        <x:v>Separate PVC Rotary, PVC Vertical, PU and Stuck-on machines</x:v>
      </x:c>
      <x:c r="D61" s="88" t="str">
        <x:v>Diya</x:v>
      </x:c>
      <x:c r="E61" s="88" t="str">
        <x:v>Yes</x:v>
      </x:c>
    </x:row>
    <x:row r="62" ht="25" customHeight="1">
      <x:c r="A62" s="85" t="str">
        <x:v>T-055</x:v>
      </x:c>
      <x:c r="B62" s="86" t="n">
        <x:v>46255</x:v>
      </x:c>
      <x:c r="C62" s="87" t="str">
        <x:v>Separate Packing and Dispatch stages</x:v>
      </x:c>
      <x:c r="D62" s="88" t="str">
        <x:v>Diya</x:v>
      </x:c>
      <x:c r="E62" s="88" t="str">
        <x:v>Yes</x:v>
      </x:c>
    </x:row>
    <x:row r="63" ht="25" customHeight="1">
      <x:c r="A63" s="85" t="str">
        <x:v>T-056</x:v>
      </x:c>
      <x:c r="B63" s="86" t="n">
        <x:v>46255</x:v>
      </x:c>
      <x:c r="C63" s="87" t="str">
        <x:v>Create dispatch reports and reduce pending quantity</x:v>
      </x:c>
      <x:c r="D63" s="88" t="str">
        <x:v>Diya</x:v>
      </x:c>
      <x:c r="E63" s="88" t="str">
        <x:v>Yes</x:v>
      </x:c>
    </x:row>
    <x:row r="64" ht="25" customHeight="1">
      <x:c r="A64" s="85" t="str">
        <x:v>T-057</x:v>
      </x:c>
      <x:c r="B64" s="86" t="n">
        <x:v>46255</x:v>
      </x:c>
      <x:c r="C64" s="87" t="str">
        <x:v>Allow specific sizes on an article</x:v>
      </x:c>
      <x:c r="D64" s="88" t="str">
        <x:v>Unassigned</x:v>
      </x:c>
      <x:c r="E64" s="88" t="str">
        <x:v>No</x:v>
      </x:c>
    </x:row>
    <x:row r="65" ht="25" customHeight="1">
      <x:c r="A65" s="85" t="str">
        <x:v>T-058</x:v>
      </x:c>
      <x:c r="B65" s="86" t="n">
        <x:v>46255</x:v>
      </x:c>
      <x:c r="C65" s="87" t="str">
        <x:v>Add Partial, Full and Shortage dispatch statuses</x:v>
      </x:c>
      <x:c r="D65" s="88" t="str">
        <x:v>Unassigned</x:v>
      </x:c>
      <x:c r="E65" s="88" t="str">
        <x:v>No</x:v>
      </x:c>
    </x:row>
  </x:sheetData>
  <x:mergeCells>
    <x:mergeCell ref="A1:H1"/>
    <x:mergeCell ref="A2:B2"/>
    <x:mergeCell ref="A3:B3"/>
    <x:mergeCell ref="C2:D2"/>
    <x:mergeCell ref="C3:D3"/>
    <x:mergeCell ref="E2:F2"/>
    <x:mergeCell ref="E3:F3"/>
    <x:mergeCell ref="G2:H2"/>
    <x:mergeCell ref="G3:H3"/>
    <x:mergeCell ref="A5:H5"/>
  </x:mergeCells>
  <x:conditionalFormatting sqref="D8:D65">
    <x:cfRule type="containsText" dxfId="0" priority="1" operator="containsText" text="Diya"/>
    <x:cfRule type="containsText" dxfId="1" priority="2" operator="containsText" text="Abhay"/>
    <x:cfRule type="containsText" dxfId="2" priority="3" operator="containsText" text="Unassigned"/>
  </x:conditionalFormatting>
  <x:conditionalFormatting sqref="E8:E65">
    <x:cfRule type="containsText" dxfId="3" priority="4" operator="containsText" text="Yes"/>
    <x:cfRule type="containsText" dxfId="4" priority="5" operator="containsText" text="No"/>
  </x:conditionalFormatting>
  <x:dataValidations count="2">
    <x:dataValidation type="list" allowBlank="0" showDropDown="0" sqref="D8:D65">
      <x:formula1>"Diya,Abhay,Unassigned"</x:formula1>
    </x:dataValidation>
    <x:dataValidation type="list" allowBlank="0" showDropDown="0" sqref="E8:E6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93f031c4a43bf"/>
  </x:tableParts>
</x:worksheet>
</file>