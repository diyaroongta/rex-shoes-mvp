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diyaroongta/Downloads/factory-os/outputs/01a01dcd-7e34-79d2-8653-af5fca58c003/"/>
    </mc:Choice>
  </mc:AlternateContent>
  <xr:revisionPtr revIDLastSave="0" documentId="13_ncr:1_{BDE32E28-4DA5-384D-A7A8-157455452A79}" xr6:coauthVersionLast="47" xr6:coauthVersionMax="47" xr10:uidLastSave="{00000000-0000-0000-0000-000000000000}"/>
  <bookViews>
    <workbookView xWindow="4260" yWindow="660" windowWidth="15200" windowHeight="17680" xr2:uid="{00000000-000D-0000-FFFF-FFFF00000000}"/>
  </bookViews>
  <sheets>
    <sheet name="Feature Tracker" sheetId="1" r:id="rId1"/>
    <sheet name="Call Summary" sheetId="2" r:id="rId2"/>
    <sheet name="How to U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A5" i="1"/>
</calcChain>
</file>

<file path=xl/sharedStrings.xml><?xml version="1.0" encoding="utf-8"?>
<sst xmlns="http://schemas.openxmlformats.org/spreadsheetml/2006/main" count="283" uniqueCount="257">
  <si>
    <t>FACTORY OS · FEATURE CHANGE LOG</t>
  </si>
  <si>
    <t>Simple call record · 15–20 August 2026 · One row per feature or correction</t>
  </si>
  <si>
    <t>TOTAL CHANGES</t>
  </si>
  <si>
    <t>DATES COVERED</t>
  </si>
  <si>
    <t>LATEST CALL DATE</t>
  </si>
  <si>
    <t>LOG FORMAT</t>
  </si>
  <si>
    <t>15–20 August 2026</t>
  </si>
  <si>
    <t>One row per change</t>
  </si>
  <si>
    <t>Change ID</t>
  </si>
  <si>
    <t>Date</t>
  </si>
  <si>
    <t>Tab / Area</t>
  </si>
  <si>
    <t>Feature requested</t>
  </si>
  <si>
    <t>What was corrected / changed</t>
  </si>
  <si>
    <t>How it was tested</t>
  </si>
  <si>
    <t>Test result</t>
  </si>
  <si>
    <t>Follow-up / notes</t>
  </si>
  <si>
    <t>CHG-001</t>
  </si>
  <si>
    <t>PI generation</t>
  </si>
  <si>
    <t>Generate PI after Match &amp; Check edits</t>
  </si>
  <si>
    <t>Added an explicit Generate PI action that snapshots the latest checked values into the invoice.</t>
  </si>
  <si>
    <t>Browser workflow: entered an order, edited fields and generated the PI.</t>
  </si>
  <si>
    <t>PI rendered from the edited values.</t>
  </si>
  <si>
    <t>Use Regenerate whenever Match &amp; Check changes.</t>
  </si>
  <si>
    <t>CHG-002</t>
  </si>
  <si>
    <t>Regenerate PI when checked data changes</t>
  </si>
  <si>
    <t>The app detects when a generated PI is stale, shows a warning and disables Print/Save until regeneration.</t>
  </si>
  <si>
    <t>Browser workflow: changed Upper Colour after generating a PI.</t>
  </si>
  <si>
    <t>Stale warning appeared; Save was disabled; Regenerate was available.</t>
  </si>
  <si>
    <t>Prevents an old PI being sent after edits.</t>
  </si>
  <si>
    <t>CHG-003</t>
  </si>
  <si>
    <t>Retain draft while changing tabs</t>
  </si>
  <si>
    <t>PI intake remains mounted while navigating, so photos, rows and edits stay until Save or Close PI.</t>
  </si>
  <si>
    <t>Browser workflow: edited a draft, visited Packing &amp; BOM Rules, returned to PI generation.</t>
  </si>
  <si>
    <t>Draft and edited value remained intact.</t>
  </si>
  <si>
    <t>Close PI explicitly discards the draft.</t>
  </si>
  <si>
    <t>CHG-004</t>
  </si>
  <si>
    <t>Create a new PI after edits</t>
  </si>
  <si>
    <t>Added Generate Again and New PI Number actions after Match &amp; Check corrections.</t>
  </si>
  <si>
    <t>Browser UI verification and production build.</t>
  </si>
  <si>
    <t>Controls rendered and PI number can be refreshed.</t>
  </si>
  <si>
    <t>PI save still requires complete article details.</t>
  </si>
  <si>
    <t>CHG-005</t>
  </si>
  <si>
    <t>Match &amp; Check</t>
  </si>
  <si>
    <t>Remove Party &amp; Article Defaults block</t>
  </si>
  <si>
    <t>Removed the initial global defaults section; customer and article details now live on each item row.</t>
  </si>
  <si>
    <t>Browser visual inspection and production build.</t>
  </si>
  <si>
    <t>Opening defaults block is gone; item-level fields are visible.</t>
  </si>
  <si>
    <t>Matches the one-item-per-order-sheet workflow.</t>
  </si>
  <si>
    <t>CHG-006</t>
  </si>
  <si>
    <t>Per-article customer and order fields</t>
  </si>
  <si>
    <t>Added Customer, City, Order Date, Priority, Order Nature, V/L, Sole Colour, Upper Colour, Print and Stitching to every article.</t>
  </si>
  <si>
    <t>Browser form inspection and PI generation test.</t>
  </si>
  <si>
    <t>Values appeared per item and flowed to the PI.</t>
  </si>
  <si>
    <t>No new database columns required.</t>
  </si>
  <si>
    <t>CHG-007</t>
  </si>
  <si>
    <t>Article/type change recalculates packing</t>
  </si>
  <si>
    <t>Changing article or V/L remaps valid combos and immediately recalculates pairs per carton.</t>
  </si>
  <si>
    <t>Browser test: SPIKE Lace → SPADE Lace.</t>
  </si>
  <si>
    <t>Ranges changed from 6X8/9X12 to 6X7/8X12 and packing remained 18 pairs/carton.</t>
  </si>
  <si>
    <t>Old pairs/carton is not retained after an article change.</t>
  </si>
  <si>
    <t>CHG-008</t>
  </si>
  <si>
    <t>Packing &amp; BOM rules</t>
  </si>
  <si>
    <t>SPIKE follows ARMOUR packing</t>
  </si>
  <si>
    <t>SPIKE resolves its packing by matching range position to ARMOUR, including differently named Lace ranges.</t>
  </si>
  <si>
    <t>Automated unit tests for 7X10S and SPIKE 6X8 → ARMOUR 6X9.</t>
  </si>
  <si>
    <t>Inheritance tests passed.</t>
  </si>
  <si>
    <t>Editing SPIKE writes to the ARMOUR source range.</t>
  </si>
  <si>
    <t>CHG-009</t>
  </si>
  <si>
    <t>Show packing list for every article/type</t>
  </si>
  <si>
    <t>Added article/type selector with size range, interpreted PI sizes and pairs/carton.</t>
  </si>
  <si>
    <t>Browser inspection across the new Setup tab.</t>
  </si>
  <si>
    <t>Packing table displayed the effective values used by PI and order logic.</t>
  </si>
  <si>
    <t>Also visible inside each Match &amp; Check card.</t>
  </si>
  <si>
    <t>CHG-010</t>
  </si>
  <si>
    <t>Show BOM for every article/type</t>
  </si>
  <si>
    <t>Added a per-combo BOM matrix showing stage, material/UOM and rate per pair.</t>
  </si>
  <si>
    <t>Browser inspection and source-data extraction across all article types.</t>
  </si>
  <si>
    <t>BOM matrix rendered; missing BOM is shown instead of estimated.</t>
  </si>
  <si>
    <t>REX GOLA PLUS currently has packing but no BOM on file.</t>
  </si>
  <si>
    <t>CHG-011</t>
  </si>
  <si>
    <t>Edit pairs per carton in the rules tab</t>
  </si>
  <si>
    <t>Pairs/carton cells are editable with Save and Discard controls; saved changes feed all later orders and PIs.</t>
  </si>
  <si>
    <t>Browser test: changed SPIKE 7X10S from 24 to 25, confirmed Save/Discard enabled, then discarded and restored 24. Automated source-mapping test passed.</t>
  </si>
  <si>
    <t>Editor controls work locally; production database write still needs deployment verification.</t>
  </si>
  <si>
    <t>Latest local change; push to GitHub before Vercel can use it.</t>
  </si>
  <si>
    <t>CHG-012</t>
  </si>
  <si>
    <t>Bulk upload</t>
  </si>
  <si>
    <t>Read supplied Institutional and MTO Order Book</t>
  </si>
  <si>
    <t>Importer now recognises customer, city, article, colours, Lace/Velcro, sole, status and repeated individual-size columns.</t>
  </si>
  <si>
    <t>Parsed Order book 17-07-2026.xlsm directly.</t>
  </si>
  <si>
    <t>31 recognised orders, 11,211 pairs and 0 blocking errors.</t>
  </si>
  <si>
    <t>57 warnings are unknown catalogue articles and are skipped.</t>
  </si>
  <si>
    <t>CHG-013</t>
  </si>
  <si>
    <t>Read every workbook sheet and .xlsm files</t>
  </si>
  <si>
    <t>Bulk upload loops through all workbook sheets and accepts .xlsm in addition to Excel/CSV formats.</t>
  </si>
  <si>
    <t>Actual workbook test covered INSTITUTIONAL ORDER BOOK and MTO ORDER BOOK (2).</t>
  </si>
  <si>
    <t>Both sheets parsed successfully.</t>
  </si>
  <si>
    <t>Warnings do not block recognised rows.</t>
  </si>
  <si>
    <t>CHG-014</t>
  </si>
  <si>
    <t>One-row-per-article order template</t>
  </si>
  <si>
    <t>Download template now places all individual sizes across one row with customer/article metadata before them.</t>
  </si>
  <si>
    <t>Automated importer tests and production build.</t>
  </si>
  <si>
    <t>New template structure is readable by the importer.</t>
  </si>
  <si>
    <t>Kids sizes use s; adult sizes use the later numeric columns.</t>
  </si>
  <si>
    <t>CHG-015</t>
  </si>
  <si>
    <t>Orders &amp; dispatch</t>
  </si>
  <si>
    <t>Edit orders after saving a PI</t>
  </si>
  <si>
    <t>Saved orders can be reopened, corrected and saved; Save &amp; Produce is also available.</t>
  </si>
  <si>
    <t>Code validation, automated quantity tests and production build.</t>
  </si>
  <si>
    <t>Implemented locally; production workflow should be checked once deployed with live data.</t>
  </si>
  <si>
    <t>No schema migration required for order edits.</t>
  </si>
  <si>
    <t>CHG-016</t>
  </si>
  <si>
    <t>PI database</t>
  </si>
  <si>
    <t>Master database of issued PIs</t>
  </si>
  <si>
    <t>Added a PI database screen and server snapshot records so issued/revised PIs remain available independently of live orders.</t>
  </si>
  <si>
    <t>Automated PI tests and API/build validation.</t>
  </si>
  <si>
    <t>Implemented; requires the production table to exist.</t>
  </si>
  <si>
    <t>Run npm run db:setup once if the latest schema has not been applied.</t>
  </si>
  <si>
    <t>CHG-017</t>
  </si>
  <si>
    <t>Parties &amp; terms</t>
  </si>
  <si>
    <t>Remove dispatch timeline from Parties tab</t>
  </si>
  <si>
    <t>Removed dispatch-timeline editing/display from the Parties &amp; Terms screen.</t>
  </si>
  <si>
    <t>Source check and production build.</t>
  </si>
  <si>
    <t>Field is no longer shown in that tab.</t>
  </si>
  <si>
    <t>No destructive database migration required.</t>
  </si>
  <si>
    <t>CHG-018</t>
  </si>
  <si>
    <t>Production plan</t>
  </si>
  <si>
    <t>Remove unnecessary one-day buffer</t>
  </si>
  <si>
    <t>Removed duplicated in-house preparation/release buffering from scheduling.</t>
  </si>
  <si>
    <t>Automated engine test: in-house preparation is not counted twice.</t>
  </si>
  <si>
    <t>Engine test passed.</t>
  </si>
  <si>
    <t>Outside stitching/printing lead-time rules remain explicit.</t>
  </si>
  <si>
    <t>CHG-019</t>
  </si>
  <si>
    <t>Show production-planning logic per order</t>
  </si>
  <si>
    <t>Schedule/plan views expose stage routing, machine allocation, dates, lead time and delivery risk per order.</t>
  </si>
  <si>
    <t>Automated engine tests for routing, contention, machine exclusivity and dates.</t>
  </si>
  <si>
    <t>All engine tests passed.</t>
  </si>
  <si>
    <t>Planner continues to surface unknown combos rather than guessing.</t>
  </si>
  <si>
    <t>CHG-020</t>
  </si>
  <si>
    <t>Deployment</t>
  </si>
  <si>
    <t>Vercel and database deployment guidance</t>
  </si>
  <si>
    <t>Confirmed that GitHub push deploys code, while schema setup must be run separately when required.</t>
  </si>
  <si>
    <t>Compared working tree, origin/main and db/schema.sql.</t>
  </si>
  <si>
    <t>Latest packing editor is still local; PI master schema is already present in repository.</t>
  </si>
  <si>
    <t>Commit/push four latest files; run npm run db:setup if proforma_invoices is absent.</t>
  </si>
  <si>
    <t>CHG-021</t>
  </si>
  <si>
    <t>List of parties with discount and payment terms non-editable on each PI</t>
  </si>
  <si>
    <t>The party master stores city, discount, deduction sequence, GST and payment split. Each PI reads these terms and does not permit a separate per-PI override.</t>
  </si>
  <si>
    <t>Reviewed party and PI logic, API handling and the passing PI test suite.</t>
  </si>
  <si>
    <t>Implemented; verify permissions and live party records after deployment.</t>
  </si>
  <si>
    <t>Party-master records remain maintainable through the authorized Parties workflow; they are read-only within an individual PI.</t>
  </si>
  <si>
    <t>CHG-022</t>
  </si>
  <si>
    <t>PI generation / Orders</t>
  </si>
  <si>
    <t>Ability to add orders in cartons</t>
  </si>
  <si>
    <t>Added carton-based entry alongside pairs. Pairs are recalculated using the selected article's packing rule and pairs-per-carton value.</t>
  </si>
  <si>
    <t>Checked the Match &amp; Check workflow and ran the automated size/carton conversion tests.</t>
  </si>
  <si>
    <t>Carton and pair entry works in automated tests.</t>
  </si>
  <si>
    <t>Changing the article refreshes pairs per carton from the packing rule before carton totals are calculated.</t>
  </si>
  <si>
    <t>CHG-023</t>
  </si>
  <si>
    <t>Add a Preparation machine between Cutting and Stitching</t>
  </si>
  <si>
    <t>Added an explicit Preparation work centre and route stage for printing and cutting preparation between Cutting and Stitching.</t>
  </si>
  <si>
    <t>Ran production-engine routing tests and the application build.</t>
  </si>
  <si>
    <t>Stage order and scheduling logic passed.</t>
  </si>
  <si>
    <t>Preparation capacity and working hours can be maintained with the other work centres.</t>
  </si>
  <si>
    <t>CHG-024</t>
  </si>
  <si>
    <t>Match &amp; Check / Production plan</t>
  </si>
  <si>
    <t>Choose in-house or outside stitching and account for printing</t>
  </si>
  <si>
    <t>Added per-article Print Yes/No and Stitching In-house/Outside controls. In-house work uses preparation time; outside work uses transportation lead time, and printing adds its configured lead time.</t>
  </si>
  <si>
    <t>Reviewed the per-article form and ran the production-planning engine tests.</t>
  </si>
  <si>
    <t>Routing and lead-time logic passed.</t>
  </si>
  <si>
    <t>The choice is captured per article rather than as one order-wide default.</t>
  </si>
  <si>
    <t>CHG-025</t>
  </si>
  <si>
    <t>Production schedule</t>
  </si>
  <si>
    <t>Add Upper QC and Preparation between Stitching and Molding</t>
  </si>
  <si>
    <t>Added Upper QC as a distinct stage after Stitching and before Molding; Preparation remains the separate stage before Stitching.</t>
  </si>
  <si>
    <t>Ran route-order tests in the production engine and built the app.</t>
  </si>
  <si>
    <t>Stage order passed.</t>
  </si>
  <si>
    <t>The wording records both requested preparation points while keeping their correct production sequence.</t>
  </si>
  <si>
    <t>CHG-026</t>
  </si>
  <si>
    <t>Machine load</t>
  </si>
  <si>
    <t>Separate PVC Rotary, PVC Vertical, PU and Stuck-on</t>
  </si>
  <si>
    <t>Split molding/assembly capacity into PVC Rotary, PVC Vertical, PU and Stuck-on work centres, with routing based on the article's assigned process.</t>
  </si>
  <si>
    <t>Ran exclusive-machine production tests and checked the work-centre definitions.</t>
  </si>
  <si>
    <t>Machine bifurcation and routing passed.</t>
  </si>
  <si>
    <t>Stuck-on is scheduled as assembly; the three molding types are scheduled independently.</t>
  </si>
  <si>
    <t>CHG-027</t>
  </si>
  <si>
    <t>Packing &amp; Dispatch</t>
  </si>
  <si>
    <t>Separate Packing and Dispatch</t>
  </si>
  <si>
    <t>Created separate Packing and Dispatch schedule stages and a dedicated Dispatch &amp; Packing workflow.</t>
  </si>
  <si>
    <t>Ran production scheduling tests and the application build.</t>
  </si>
  <si>
    <t>Separate stages are working.</t>
  </si>
  <si>
    <t>Packing completion and physical dispatch can now be tracked separately.</t>
  </si>
  <si>
    <t>CHG-028</t>
  </si>
  <si>
    <t>Create a dispatch report against each PI and reduce pending quantity</t>
  </si>
  <si>
    <t>Added PI/order-level packing reports and dispatch history. Pending quantity is calculated as ordered quantity minus dispatched quantity.</t>
  </si>
  <si>
    <t>Reviewed dispatch API/schema logic and completed a successful app build.</t>
  </si>
  <si>
    <t>Implemented; needs an end-to-end check against the production database.</t>
  </si>
  <si>
    <t>A dispatch report affects pending quantities only after it is saved successfully.</t>
  </si>
  <si>
    <t>CHG-029</t>
  </si>
  <si>
    <t>Orders / Size breakdown</t>
  </si>
  <si>
    <t>Ability to add specific sizes</t>
  </si>
  <si>
    <t>Added an Add Size control so each article can contain only the required sizes, with quantities entered in pairs or cartons.</t>
  </si>
  <si>
    <t>Ran the automated size-editing test suite (10/10 passing).</t>
  </si>
  <si>
    <t>Specific-size creation and quantity handling passed.</t>
  </si>
  <si>
    <t>Sizes stay attached to the relevant article and BOM/colour combination.</t>
  </si>
  <si>
    <t>CHG-030</t>
  </si>
  <si>
    <t>Add dispatch status: Partial Complete, Full Complete and Shortage</t>
  </si>
  <si>
    <t>Added Partial, Full and Shortage report types, including an explicit option to close an order despite a shortage while retaining the dispatch record.</t>
  </si>
  <si>
    <t>Reviewed dispatch UI, API and schema logic and completed a successful app build.</t>
  </si>
  <si>
    <t>Implemented; live partial/full/shortage transactions still need production verification.</t>
  </si>
  <si>
    <t>Closing with shortage removes the remaining quantity from pending while preserving the shortage status for reporting.</t>
  </si>
  <si>
    <t>FACTORY OS · CALL SUMMARY</t>
  </si>
  <si>
    <t>Dates covered</t>
  </si>
  <si>
    <t>MAIN CHANGES LOGGED</t>
  </si>
  <si>
    <t>PI workflow</t>
  </si>
  <si>
    <t>Match &amp; Check edits can generate or regenerate the PI, and drafts remain while moving between tabs.</t>
  </si>
  <si>
    <t>Article rules</t>
  </si>
  <si>
    <t>Packing and BOM are visible per article/type; carton packing can be edited from the same rules tab.</t>
  </si>
  <si>
    <t>Production planning</t>
  </si>
  <si>
    <t>Preparation, Upper QC, separate machine types, Packing and Dispatch are represented as distinct stages.</t>
  </si>
  <si>
    <t>Orders support cartons and specific sizes, and dispatch reports record partial, full or shortage quantities.</t>
  </si>
  <si>
    <t>Order Book</t>
  </si>
  <si>
    <t>The supplied Institutional/MTO workbook format is readable and the template uses one row per article.</t>
  </si>
  <si>
    <t>TESTING NOTES</t>
  </si>
  <si>
    <t>Automated checks</t>
  </si>
  <si>
    <t>Production engine, PI, size and order-import test suites passed.</t>
  </si>
  <si>
    <t>Browser checks</t>
  </si>
  <si>
    <t>PI regeneration, article remapping, draft retention and packing-rule editing were checked in the browser.</t>
  </si>
  <si>
    <t>Workbook import</t>
  </si>
  <si>
    <t>31 orders and 11,211 pairs were recognised from the supplied .xlsm workbook with no blocking errors.</t>
  </si>
  <si>
    <t>Next check</t>
  </si>
  <si>
    <t>Recheck saved packing changes and the complete dispatch flow in the live app.</t>
  </si>
  <si>
    <t>HOW TO MAINTAIN THIS TRACKER</t>
  </si>
  <si>
    <t>After each product call, add one row per feature or correction and use the actual call date.</t>
  </si>
  <si>
    <t>Field</t>
  </si>
  <si>
    <t>What to enter</t>
  </si>
  <si>
    <t>Example</t>
  </si>
  <si>
    <t>Where the user sees the change</t>
  </si>
  <si>
    <t>Short description of the request</t>
  </si>
  <si>
    <t>What changed</t>
  </si>
  <si>
    <t>Plain-language description of the correction</t>
  </si>
  <si>
    <t>Regenerate PI from the latest checked values</t>
  </si>
  <si>
    <t>How tested</t>
  </si>
  <si>
    <t>Specific evidence, not only the word tested</t>
  </si>
  <si>
    <t>Browser workflow and automated test</t>
  </si>
  <si>
    <t>What happened during the check</t>
  </si>
  <si>
    <t>PI showed the edited values</t>
  </si>
  <si>
    <t>Follow-up</t>
  </si>
  <si>
    <t>Anything that still needs checking or a decision</t>
  </si>
  <si>
    <t>Recheck one live dispatch report</t>
  </si>
  <si>
    <t>Keep each entry short, factual and easy to scan. Add detail only when it helps someone repeat the check.</t>
  </si>
  <si>
    <t>21 st Aug</t>
  </si>
  <si>
    <t>Link scheduling to PI database</t>
  </si>
  <si>
    <t xml:space="preserve"> Catalogie should be editable for all categories — eg gola plus should be</t>
  </si>
  <si>
    <t xml:space="preserve">Input sheet for complete update on each machine, production, live plans and actual production -- with feedback and showing order pipeline changes </t>
  </si>
  <si>
    <t>Create a customer centric UI: MIS: - show total orders, orders on time, delayed, orders at risk, dates for each type; order vs dispatch shortfall for the last month; avg production days; capacity utilisation percentage</t>
  </si>
  <si>
    <t xml:space="preserve">Its breaking the order per line/not beign able to read it properly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</si>
</sst>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11">
    <font>
      <sz val="11"/>
      <name val="Carlito"/>
    </font>
    <font>
      <b/>
      <sz val="18"/>
      <color rgb="FFFFFFFF"/>
      <name val="Carlito"/>
    </font>
    <font>
      <i/>
      <sz val="10"/>
      <color rgb="FF4B5563"/>
      <name val="Carlito"/>
    </font>
    <font>
      <b/>
      <sz val="10"/>
      <color rgb="FF374151"/>
      <name val="Carlito"/>
    </font>
    <font>
      <b/>
      <sz val="13"/>
      <color rgb="FF1F2937"/>
      <name val="Carlito"/>
    </font>
    <font>
      <b/>
      <sz val="10"/>
      <color rgb="FFFFFFFF"/>
      <name val="Carlito"/>
    </font>
    <font>
      <sz val="9"/>
      <color rgb="FF1F2937"/>
      <name val="Carlito"/>
    </font>
    <font>
      <b/>
      <sz val="9"/>
      <color rgb="FF374151"/>
      <name val="Carlito"/>
    </font>
    <font>
      <b/>
      <sz val="11"/>
      <color rgb="FF1F2937"/>
      <name val="Carlito"/>
    </font>
    <font>
      <sz val="10"/>
      <color rgb="FF1F2937"/>
      <name val="Carlito"/>
    </font>
    <font>
      <sz val="8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E5E7EB"/>
      </patternFill>
    </fill>
    <fill>
      <patternFill patternType="solid">
        <fgColor rgb="FFFFFFFF"/>
      </patternFill>
    </fill>
    <fill>
      <patternFill patternType="solid">
        <fgColor rgb="FF374151"/>
      </patternFill>
    </fill>
    <fill>
      <patternFill patternType="solid">
        <fgColor rgb="FFF8FAFC"/>
      </patternFill>
    </fill>
    <fill>
      <patternFill patternType="solid">
        <fgColor rgb="FFF9FAFB"/>
      </patternFill>
    </fill>
    <fill>
      <patternFill patternType="solid">
        <fgColor rgb="FFD1D5DB"/>
      </patternFill>
    </fill>
  </fills>
  <borders count="7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/>
      <right/>
      <top/>
      <bottom style="medium">
        <color rgb="FF1F2937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  <border>
      <left/>
      <right/>
      <top style="thin">
        <color rgb="FFD1D5DB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5" fillId="6" borderId="2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vertical="top" wrapText="1"/>
    </xf>
    <xf numFmtId="164" fontId="6" fillId="5" borderId="3" xfId="0" applyNumberFormat="1" applyFont="1" applyFill="1" applyBorder="1" applyAlignment="1">
      <alignment vertical="top" wrapText="1"/>
    </xf>
    <xf numFmtId="0" fontId="6" fillId="5" borderId="4" xfId="0" applyFont="1" applyFill="1" applyBorder="1" applyAlignment="1">
      <alignment vertical="top" wrapText="1"/>
    </xf>
    <xf numFmtId="164" fontId="6" fillId="5" borderId="4" xfId="0" applyNumberFormat="1" applyFont="1" applyFill="1" applyBorder="1" applyAlignment="1">
      <alignment vertical="top" wrapText="1"/>
    </xf>
    <xf numFmtId="0" fontId="6" fillId="7" borderId="4" xfId="0" applyFont="1" applyFill="1" applyBorder="1" applyAlignment="1">
      <alignment vertical="top" wrapText="1"/>
    </xf>
    <xf numFmtId="164" fontId="6" fillId="7" borderId="4" xfId="0" applyNumberFormat="1" applyFont="1" applyFill="1" applyBorder="1" applyAlignment="1">
      <alignment vertical="top" wrapText="1"/>
    </xf>
    <xf numFmtId="0" fontId="6" fillId="7" borderId="5" xfId="0" applyFont="1" applyFill="1" applyBorder="1" applyAlignment="1">
      <alignment vertical="top" wrapText="1"/>
    </xf>
    <xf numFmtId="164" fontId="6" fillId="7" borderId="5" xfId="0" applyNumberFormat="1" applyFont="1" applyFill="1" applyBorder="1" applyAlignment="1">
      <alignment vertical="top" wrapText="1"/>
    </xf>
    <xf numFmtId="0" fontId="7" fillId="5" borderId="3" xfId="0" applyFont="1" applyFill="1" applyBorder="1" applyAlignment="1">
      <alignment vertical="top" wrapText="1"/>
    </xf>
    <xf numFmtId="0" fontId="7" fillId="7" borderId="4" xfId="0" applyFont="1" applyFill="1" applyBorder="1" applyAlignment="1">
      <alignment vertical="top" wrapText="1"/>
    </xf>
    <xf numFmtId="0" fontId="7" fillId="5" borderId="4" xfId="0" applyFont="1" applyFill="1" applyBorder="1" applyAlignment="1">
      <alignment vertical="top" wrapText="1"/>
    </xf>
    <xf numFmtId="0" fontId="7" fillId="7" borderId="5" xfId="0" applyFont="1" applyFill="1" applyBorder="1" applyAlignment="1">
      <alignment vertical="top" wrapText="1"/>
    </xf>
    <xf numFmtId="0" fontId="3" fillId="4" borderId="0" xfId="0" applyFont="1" applyFill="1" applyAlignment="1">
      <alignment vertical="center"/>
    </xf>
    <xf numFmtId="0" fontId="9" fillId="5" borderId="3" xfId="0" applyFont="1" applyFill="1" applyBorder="1" applyAlignment="1">
      <alignment vertical="center" wrapText="1"/>
    </xf>
    <xf numFmtId="0" fontId="9" fillId="5" borderId="4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5" fillId="6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8" fillId="8" borderId="0" xfId="0" applyFont="1" applyFill="1" applyAlignment="1">
      <alignment vertical="center"/>
    </xf>
    <xf numFmtId="0" fontId="8" fillId="9" borderId="0" xfId="0" applyFont="1" applyFill="1" applyAlignment="1">
      <alignment vertical="center"/>
    </xf>
    <xf numFmtId="0" fontId="9" fillId="5" borderId="3" xfId="0" applyFont="1" applyFill="1" applyBorder="1" applyAlignment="1">
      <alignment vertical="center" wrapText="1"/>
    </xf>
    <xf numFmtId="0" fontId="9" fillId="5" borderId="4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 wrapText="1"/>
    </xf>
    <xf numFmtId="0" fontId="3" fillId="3" borderId="0" xfId="0" applyFont="1" applyFill="1" applyAlignment="1">
      <alignment vertical="center"/>
    </xf>
    <xf numFmtId="0" fontId="2" fillId="8" borderId="6" xfId="0" applyFont="1" applyFill="1" applyBorder="1" applyAlignment="1">
      <alignment vertical="center" wrapText="1"/>
    </xf>
    <xf numFmtId="0" fontId="7" fillId="7" borderId="0" xfId="0" applyFont="1" applyFill="1" applyBorder="1" applyAlignment="1">
      <alignment vertical="top" wrapText="1"/>
    </xf>
    <xf numFmtId="164" fontId="6" fillId="7" borderId="0" xfId="0" applyNumberFormat="1" applyFont="1" applyFill="1" applyBorder="1" applyAlignment="1">
      <alignment vertical="top" wrapText="1"/>
    </xf>
    <xf numFmtId="0" fontId="6" fillId="7" borderId="0" xfId="0" applyFont="1" applyFill="1" applyBorder="1" applyAlignment="1">
      <alignment vertical="top" wrapText="1"/>
    </xf>
  </cellXfs>
  <cellStyles count="1">
    <cellStyle name="Normal" xfId="0" builtinId="0"/>
  </cellStyles>
  <dxfs count="4">
    <dxf>
      <font>
        <b/>
        <color rgb="FF9A3412"/>
      </font>
      <fill>
        <patternFill>
          <bgColor rgb="FFFFF7ED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eatureChangeLog" displayName="FeatureChangeLog" ref="A7:H43" totalsRowShown="0">
  <autoFilter ref="A7:H43" xr:uid="{00000000-0009-0000-0100-000001000000}"/>
  <tableColumns count="8">
    <tableColumn id="1" xr3:uid="{00000000-0010-0000-0000-000001000000}" name="Change ID"/>
    <tableColumn id="2" xr3:uid="{00000000-0010-0000-0000-000002000000}" name="Date"/>
    <tableColumn id="3" xr3:uid="{00000000-0010-0000-0000-000003000000}" name="Tab / Area"/>
    <tableColumn id="4" xr3:uid="{00000000-0010-0000-0000-000004000000}" name="Feature requested"/>
    <tableColumn id="5" xr3:uid="{00000000-0010-0000-0000-000005000000}" name="What was corrected / changed"/>
    <tableColumn id="6" xr3:uid="{00000000-0010-0000-0000-000006000000}" name="How it was tested"/>
    <tableColumn id="7" xr3:uid="{00000000-0010-0000-0000-000007000000}" name="Test result"/>
    <tableColumn id="8" xr3:uid="{00000000-0010-0000-0000-000008000000}" name="Follow-up / not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showGridLines="0" tabSelected="1" zoomScale="99" workbookViewId="0">
      <selection activeCell="C12" sqref="C12"/>
    </sheetView>
  </sheetViews>
  <sheetFormatPr baseColWidth="10" defaultColWidth="8.83203125" defaultRowHeight="14"/>
  <cols>
    <col min="1" max="1" width="11" customWidth="1"/>
    <col min="2" max="2" width="13" customWidth="1"/>
    <col min="3" max="3" width="21" customWidth="1"/>
    <col min="4" max="4" width="29" customWidth="1"/>
    <col min="5" max="5" width="50" customWidth="1"/>
    <col min="6" max="6" width="38" hidden="1" customWidth="1"/>
    <col min="7" max="7" width="36" hidden="1" customWidth="1"/>
    <col min="8" max="8" width="40" customWidth="1"/>
    <col min="9" max="9" width="23" customWidth="1"/>
    <col min="10" max="10" width="31" customWidth="1"/>
    <col min="11" max="11" width="35" customWidth="1"/>
  </cols>
  <sheetData>
    <row r="1" spans="1:8" ht="30" customHeight="1">
      <c r="A1" s="22" t="s">
        <v>0</v>
      </c>
      <c r="B1" s="22"/>
      <c r="C1" s="22"/>
      <c r="D1" s="22"/>
      <c r="E1" s="22"/>
      <c r="F1" s="22"/>
      <c r="G1" s="22"/>
      <c r="H1" s="22"/>
    </row>
    <row r="2" spans="1:8" ht="20" customHeight="1">
      <c r="A2" s="23" t="s">
        <v>1</v>
      </c>
      <c r="B2" s="23"/>
      <c r="C2" s="23"/>
      <c r="D2" s="23"/>
      <c r="E2" s="23"/>
      <c r="F2" s="23"/>
      <c r="G2" s="23"/>
      <c r="H2" s="23"/>
    </row>
    <row r="4" spans="1:8" ht="20" customHeight="1">
      <c r="A4" s="24" t="s">
        <v>2</v>
      </c>
      <c r="B4" s="24"/>
      <c r="C4" s="24" t="s">
        <v>3</v>
      </c>
      <c r="D4" s="24"/>
      <c r="E4" s="24" t="s">
        <v>4</v>
      </c>
      <c r="F4" s="24"/>
      <c r="G4" s="24" t="s">
        <v>5</v>
      </c>
      <c r="H4" s="24"/>
    </row>
    <row r="5" spans="1:8" ht="26" customHeight="1">
      <c r="A5" s="25">
        <f>COUNTA(A13:A106)</f>
        <v>30</v>
      </c>
      <c r="B5" s="25"/>
      <c r="C5" s="25" t="s">
        <v>6</v>
      </c>
      <c r="D5" s="25"/>
      <c r="E5" s="26">
        <f>MAX(B13:B106)</f>
        <v>46254</v>
      </c>
      <c r="F5" s="25"/>
      <c r="G5" s="25" t="s">
        <v>7</v>
      </c>
      <c r="H5" s="25"/>
    </row>
    <row r="7" spans="1:8" ht="28" customHeight="1">
      <c r="A7" s="1" t="s">
        <v>8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15</v>
      </c>
    </row>
    <row r="8" spans="1:8" ht="52" customHeight="1">
      <c r="A8" s="3"/>
      <c r="B8" s="3" t="s">
        <v>251</v>
      </c>
      <c r="C8" s="3"/>
      <c r="D8" s="3" t="s">
        <v>255</v>
      </c>
      <c r="E8" s="3"/>
      <c r="F8" s="3"/>
      <c r="G8" s="3"/>
      <c r="H8" s="3"/>
    </row>
    <row r="9" spans="1:8" ht="52" customHeight="1">
      <c r="A9" s="3"/>
      <c r="B9" s="3" t="s">
        <v>251</v>
      </c>
      <c r="C9" s="3"/>
      <c r="D9" s="3" t="s">
        <v>256</v>
      </c>
      <c r="E9" s="3"/>
      <c r="F9" s="3"/>
      <c r="G9" s="3"/>
      <c r="H9" s="3"/>
    </row>
    <row r="10" spans="1:8" ht="52" customHeight="1">
      <c r="A10" s="3"/>
      <c r="B10" s="3" t="s">
        <v>251</v>
      </c>
      <c r="C10" s="3"/>
      <c r="D10" s="3" t="s">
        <v>254</v>
      </c>
      <c r="E10" s="3"/>
      <c r="F10" s="3"/>
      <c r="G10" s="3"/>
      <c r="H10" s="3"/>
    </row>
    <row r="11" spans="1:8" ht="52" customHeight="1">
      <c r="A11" s="3"/>
      <c r="B11" s="3" t="s">
        <v>251</v>
      </c>
      <c r="C11" s="3"/>
      <c r="D11" s="3" t="s">
        <v>253</v>
      </c>
      <c r="E11" s="3"/>
      <c r="F11" s="3"/>
      <c r="G11" s="3"/>
      <c r="H11" s="3"/>
    </row>
    <row r="12" spans="1:8" ht="52" customHeight="1">
      <c r="A12" s="3"/>
      <c r="B12" s="3" t="s">
        <v>251</v>
      </c>
      <c r="C12" s="3"/>
      <c r="D12" s="3" t="s">
        <v>252</v>
      </c>
      <c r="E12" s="3"/>
      <c r="F12" s="3"/>
      <c r="G12" s="3"/>
      <c r="H12" s="3"/>
    </row>
    <row r="13" spans="1:8" ht="52" customHeight="1">
      <c r="A13" s="10" t="s">
        <v>16</v>
      </c>
      <c r="B13" s="3">
        <v>46254</v>
      </c>
      <c r="C13" s="2" t="s">
        <v>17</v>
      </c>
      <c r="D13" s="2" t="s">
        <v>18</v>
      </c>
      <c r="E13" s="2" t="s">
        <v>19</v>
      </c>
      <c r="F13" s="2" t="s">
        <v>20</v>
      </c>
      <c r="G13" s="2" t="s">
        <v>21</v>
      </c>
      <c r="H13" s="2" t="s">
        <v>22</v>
      </c>
    </row>
    <row r="14" spans="1:8" ht="52" customHeight="1">
      <c r="A14" s="11" t="s">
        <v>23</v>
      </c>
      <c r="B14" s="7">
        <v>46254</v>
      </c>
      <c r="C14" s="6" t="s">
        <v>17</v>
      </c>
      <c r="D14" s="6" t="s">
        <v>24</v>
      </c>
      <c r="E14" s="6" t="s">
        <v>25</v>
      </c>
      <c r="F14" s="6" t="s">
        <v>26</v>
      </c>
      <c r="G14" s="6" t="s">
        <v>27</v>
      </c>
      <c r="H14" s="6" t="s">
        <v>28</v>
      </c>
    </row>
    <row r="15" spans="1:8" ht="52" customHeight="1">
      <c r="A15" s="12" t="s">
        <v>29</v>
      </c>
      <c r="B15" s="5">
        <v>46254</v>
      </c>
      <c r="C15" s="4" t="s">
        <v>17</v>
      </c>
      <c r="D15" s="4" t="s">
        <v>30</v>
      </c>
      <c r="E15" s="4" t="s">
        <v>31</v>
      </c>
      <c r="F15" s="4" t="s">
        <v>32</v>
      </c>
      <c r="G15" s="4" t="s">
        <v>33</v>
      </c>
      <c r="H15" s="4" t="s">
        <v>34</v>
      </c>
    </row>
    <row r="16" spans="1:8" ht="52" customHeight="1">
      <c r="A16" s="11" t="s">
        <v>35</v>
      </c>
      <c r="B16" s="7">
        <v>46254</v>
      </c>
      <c r="C16" s="6" t="s">
        <v>17</v>
      </c>
      <c r="D16" s="6" t="s">
        <v>36</v>
      </c>
      <c r="E16" s="6" t="s">
        <v>37</v>
      </c>
      <c r="F16" s="6" t="s">
        <v>38</v>
      </c>
      <c r="G16" s="6" t="s">
        <v>39</v>
      </c>
      <c r="H16" s="6" t="s">
        <v>40</v>
      </c>
    </row>
    <row r="17" spans="1:8" ht="52" customHeight="1">
      <c r="A17" s="12" t="s">
        <v>41</v>
      </c>
      <c r="B17" s="5">
        <v>46254</v>
      </c>
      <c r="C17" s="4" t="s">
        <v>42</v>
      </c>
      <c r="D17" s="4" t="s">
        <v>43</v>
      </c>
      <c r="E17" s="4" t="s">
        <v>44</v>
      </c>
      <c r="F17" s="4" t="s">
        <v>45</v>
      </c>
      <c r="G17" s="4" t="s">
        <v>46</v>
      </c>
      <c r="H17" s="4" t="s">
        <v>47</v>
      </c>
    </row>
    <row r="18" spans="1:8" ht="52" customHeight="1">
      <c r="A18" s="11" t="s">
        <v>48</v>
      </c>
      <c r="B18" s="7">
        <v>46254</v>
      </c>
      <c r="C18" s="6" t="s">
        <v>42</v>
      </c>
      <c r="D18" s="6" t="s">
        <v>49</v>
      </c>
      <c r="E18" s="6" t="s">
        <v>50</v>
      </c>
      <c r="F18" s="6" t="s">
        <v>51</v>
      </c>
      <c r="G18" s="6" t="s">
        <v>52</v>
      </c>
      <c r="H18" s="6" t="s">
        <v>53</v>
      </c>
    </row>
    <row r="19" spans="1:8" ht="52" customHeight="1">
      <c r="A19" s="12" t="s">
        <v>54</v>
      </c>
      <c r="B19" s="5">
        <v>46254</v>
      </c>
      <c r="C19" s="4" t="s">
        <v>42</v>
      </c>
      <c r="D19" s="4" t="s">
        <v>55</v>
      </c>
      <c r="E19" s="4" t="s">
        <v>56</v>
      </c>
      <c r="F19" s="4" t="s">
        <v>57</v>
      </c>
      <c r="G19" s="4" t="s">
        <v>58</v>
      </c>
      <c r="H19" s="4" t="s">
        <v>59</v>
      </c>
    </row>
    <row r="20" spans="1:8" ht="52" customHeight="1">
      <c r="A20" s="11" t="s">
        <v>60</v>
      </c>
      <c r="B20" s="7">
        <v>46254</v>
      </c>
      <c r="C20" s="6" t="s">
        <v>61</v>
      </c>
      <c r="D20" s="6" t="s">
        <v>62</v>
      </c>
      <c r="E20" s="6" t="s">
        <v>63</v>
      </c>
      <c r="F20" s="6" t="s">
        <v>64</v>
      </c>
      <c r="G20" s="6" t="s">
        <v>65</v>
      </c>
      <c r="H20" s="6" t="s">
        <v>66</v>
      </c>
    </row>
    <row r="21" spans="1:8" ht="52" customHeight="1">
      <c r="A21" s="12" t="s">
        <v>67</v>
      </c>
      <c r="B21" s="5">
        <v>46254</v>
      </c>
      <c r="C21" s="4" t="s">
        <v>61</v>
      </c>
      <c r="D21" s="4" t="s">
        <v>68</v>
      </c>
      <c r="E21" s="4" t="s">
        <v>69</v>
      </c>
      <c r="F21" s="4" t="s">
        <v>70</v>
      </c>
      <c r="G21" s="4" t="s">
        <v>71</v>
      </c>
      <c r="H21" s="4" t="s">
        <v>72</v>
      </c>
    </row>
    <row r="22" spans="1:8" ht="52" customHeight="1">
      <c r="A22" s="11" t="s">
        <v>73</v>
      </c>
      <c r="B22" s="7">
        <v>46254</v>
      </c>
      <c r="C22" s="6" t="s">
        <v>61</v>
      </c>
      <c r="D22" s="6" t="s">
        <v>74</v>
      </c>
      <c r="E22" s="6" t="s">
        <v>75</v>
      </c>
      <c r="F22" s="6" t="s">
        <v>76</v>
      </c>
      <c r="G22" s="6" t="s">
        <v>77</v>
      </c>
      <c r="H22" s="6" t="s">
        <v>78</v>
      </c>
    </row>
    <row r="23" spans="1:8" ht="52" customHeight="1">
      <c r="A23" s="12" t="s">
        <v>79</v>
      </c>
      <c r="B23" s="5">
        <v>46254</v>
      </c>
      <c r="C23" s="4" t="s">
        <v>61</v>
      </c>
      <c r="D23" s="4" t="s">
        <v>80</v>
      </c>
      <c r="E23" s="4" t="s">
        <v>81</v>
      </c>
      <c r="F23" s="4" t="s">
        <v>82</v>
      </c>
      <c r="G23" s="4" t="s">
        <v>83</v>
      </c>
      <c r="H23" s="4" t="s">
        <v>84</v>
      </c>
    </row>
    <row r="24" spans="1:8" ht="52" customHeight="1">
      <c r="A24" s="11" t="s">
        <v>85</v>
      </c>
      <c r="B24" s="7">
        <v>46254</v>
      </c>
      <c r="C24" s="6" t="s">
        <v>86</v>
      </c>
      <c r="D24" s="6" t="s">
        <v>87</v>
      </c>
      <c r="E24" s="6" t="s">
        <v>88</v>
      </c>
      <c r="F24" s="6" t="s">
        <v>89</v>
      </c>
      <c r="G24" s="6" t="s">
        <v>90</v>
      </c>
      <c r="H24" s="6" t="s">
        <v>91</v>
      </c>
    </row>
    <row r="25" spans="1:8" ht="52" customHeight="1">
      <c r="A25" s="12" t="s">
        <v>92</v>
      </c>
      <c r="B25" s="5">
        <v>46254</v>
      </c>
      <c r="C25" s="4" t="s">
        <v>86</v>
      </c>
      <c r="D25" s="4" t="s">
        <v>93</v>
      </c>
      <c r="E25" s="4" t="s">
        <v>94</v>
      </c>
      <c r="F25" s="4" t="s">
        <v>95</v>
      </c>
      <c r="G25" s="4" t="s">
        <v>96</v>
      </c>
      <c r="H25" s="4" t="s">
        <v>97</v>
      </c>
    </row>
    <row r="26" spans="1:8" ht="52" customHeight="1">
      <c r="A26" s="11" t="s">
        <v>98</v>
      </c>
      <c r="B26" s="7">
        <v>46254</v>
      </c>
      <c r="C26" s="6" t="s">
        <v>86</v>
      </c>
      <c r="D26" s="6" t="s">
        <v>99</v>
      </c>
      <c r="E26" s="6" t="s">
        <v>100</v>
      </c>
      <c r="F26" s="6" t="s">
        <v>101</v>
      </c>
      <c r="G26" s="6" t="s">
        <v>102</v>
      </c>
      <c r="H26" s="6" t="s">
        <v>103</v>
      </c>
    </row>
    <row r="27" spans="1:8" ht="52" customHeight="1">
      <c r="A27" s="12" t="s">
        <v>104</v>
      </c>
      <c r="B27" s="5">
        <v>46254</v>
      </c>
      <c r="C27" s="4" t="s">
        <v>105</v>
      </c>
      <c r="D27" s="4" t="s">
        <v>106</v>
      </c>
      <c r="E27" s="4" t="s">
        <v>107</v>
      </c>
      <c r="F27" s="4" t="s">
        <v>108</v>
      </c>
      <c r="G27" s="4" t="s">
        <v>109</v>
      </c>
      <c r="H27" s="4" t="s">
        <v>110</v>
      </c>
    </row>
    <row r="28" spans="1:8" ht="52" customHeight="1">
      <c r="A28" s="11" t="s">
        <v>111</v>
      </c>
      <c r="B28" s="7">
        <v>46254</v>
      </c>
      <c r="C28" s="6" t="s">
        <v>112</v>
      </c>
      <c r="D28" s="6" t="s">
        <v>113</v>
      </c>
      <c r="E28" s="6" t="s">
        <v>114</v>
      </c>
      <c r="F28" s="6" t="s">
        <v>115</v>
      </c>
      <c r="G28" s="6" t="s">
        <v>116</v>
      </c>
      <c r="H28" s="6" t="s">
        <v>117</v>
      </c>
    </row>
    <row r="29" spans="1:8" ht="52" customHeight="1">
      <c r="A29" s="12" t="s">
        <v>118</v>
      </c>
      <c r="B29" s="5">
        <v>46254</v>
      </c>
      <c r="C29" s="4" t="s">
        <v>119</v>
      </c>
      <c r="D29" s="4" t="s">
        <v>120</v>
      </c>
      <c r="E29" s="4" t="s">
        <v>121</v>
      </c>
      <c r="F29" s="4" t="s">
        <v>122</v>
      </c>
      <c r="G29" s="4" t="s">
        <v>123</v>
      </c>
      <c r="H29" s="4" t="s">
        <v>124</v>
      </c>
    </row>
    <row r="30" spans="1:8" ht="52" customHeight="1">
      <c r="A30" s="11" t="s">
        <v>125</v>
      </c>
      <c r="B30" s="7">
        <v>46254</v>
      </c>
      <c r="C30" s="6" t="s">
        <v>126</v>
      </c>
      <c r="D30" s="6" t="s">
        <v>127</v>
      </c>
      <c r="E30" s="6" t="s">
        <v>128</v>
      </c>
      <c r="F30" s="6" t="s">
        <v>129</v>
      </c>
      <c r="G30" s="6" t="s">
        <v>130</v>
      </c>
      <c r="H30" s="6" t="s">
        <v>131</v>
      </c>
    </row>
    <row r="31" spans="1:8" ht="52" customHeight="1">
      <c r="A31" s="12" t="s">
        <v>132</v>
      </c>
      <c r="B31" s="5">
        <v>46254</v>
      </c>
      <c r="C31" s="4" t="s">
        <v>126</v>
      </c>
      <c r="D31" s="4" t="s">
        <v>133</v>
      </c>
      <c r="E31" s="4" t="s">
        <v>134</v>
      </c>
      <c r="F31" s="4" t="s">
        <v>135</v>
      </c>
      <c r="G31" s="4" t="s">
        <v>136</v>
      </c>
      <c r="H31" s="4" t="s">
        <v>137</v>
      </c>
    </row>
    <row r="32" spans="1:8" ht="52" customHeight="1">
      <c r="A32" s="11" t="s">
        <v>138</v>
      </c>
      <c r="B32" s="7">
        <v>46254</v>
      </c>
      <c r="C32" s="6" t="s">
        <v>139</v>
      </c>
      <c r="D32" s="6" t="s">
        <v>140</v>
      </c>
      <c r="E32" s="6" t="s">
        <v>141</v>
      </c>
      <c r="F32" s="6" t="s">
        <v>142</v>
      </c>
      <c r="G32" s="6" t="s">
        <v>143</v>
      </c>
      <c r="H32" s="6" t="s">
        <v>144</v>
      </c>
    </row>
    <row r="33" spans="1:8" ht="52" customHeight="1">
      <c r="A33" s="12" t="s">
        <v>145</v>
      </c>
      <c r="B33" s="5">
        <v>46249</v>
      </c>
      <c r="C33" s="4" t="s">
        <v>119</v>
      </c>
      <c r="D33" s="4" t="s">
        <v>146</v>
      </c>
      <c r="E33" s="4" t="s">
        <v>147</v>
      </c>
      <c r="F33" s="4" t="s">
        <v>148</v>
      </c>
      <c r="G33" s="4" t="s">
        <v>149</v>
      </c>
      <c r="H33" s="4" t="s">
        <v>150</v>
      </c>
    </row>
    <row r="34" spans="1:8" ht="52" customHeight="1">
      <c r="A34" s="11" t="s">
        <v>151</v>
      </c>
      <c r="B34" s="7">
        <v>46249</v>
      </c>
      <c r="C34" s="6" t="s">
        <v>152</v>
      </c>
      <c r="D34" s="6" t="s">
        <v>153</v>
      </c>
      <c r="E34" s="6" t="s">
        <v>154</v>
      </c>
      <c r="F34" s="6" t="s">
        <v>155</v>
      </c>
      <c r="G34" s="6" t="s">
        <v>156</v>
      </c>
      <c r="H34" s="6" t="s">
        <v>157</v>
      </c>
    </row>
    <row r="35" spans="1:8" ht="52" customHeight="1">
      <c r="A35" s="12" t="s">
        <v>158</v>
      </c>
      <c r="B35" s="5">
        <v>46249</v>
      </c>
      <c r="C35" s="4" t="s">
        <v>126</v>
      </c>
      <c r="D35" s="4" t="s">
        <v>159</v>
      </c>
      <c r="E35" s="4" t="s">
        <v>160</v>
      </c>
      <c r="F35" s="4" t="s">
        <v>161</v>
      </c>
      <c r="G35" s="4" t="s">
        <v>162</v>
      </c>
      <c r="H35" s="4" t="s">
        <v>163</v>
      </c>
    </row>
    <row r="36" spans="1:8" ht="52" customHeight="1">
      <c r="A36" s="11" t="s">
        <v>164</v>
      </c>
      <c r="B36" s="7">
        <v>46249</v>
      </c>
      <c r="C36" s="6" t="s">
        <v>165</v>
      </c>
      <c r="D36" s="6" t="s">
        <v>166</v>
      </c>
      <c r="E36" s="6" t="s">
        <v>167</v>
      </c>
      <c r="F36" s="6" t="s">
        <v>168</v>
      </c>
      <c r="G36" s="6" t="s">
        <v>169</v>
      </c>
      <c r="H36" s="6" t="s">
        <v>170</v>
      </c>
    </row>
    <row r="37" spans="1:8" ht="26">
      <c r="A37" s="12" t="s">
        <v>171</v>
      </c>
      <c r="B37" s="5">
        <v>46249</v>
      </c>
      <c r="C37" s="4" t="s">
        <v>172</v>
      </c>
      <c r="D37" s="4" t="s">
        <v>173</v>
      </c>
      <c r="E37" s="4" t="s">
        <v>174</v>
      </c>
      <c r="F37" s="4" t="s">
        <v>175</v>
      </c>
      <c r="G37" s="4" t="s">
        <v>176</v>
      </c>
      <c r="H37" s="4" t="s">
        <v>177</v>
      </c>
    </row>
    <row r="38" spans="1:8" ht="39">
      <c r="A38" s="11" t="s">
        <v>178</v>
      </c>
      <c r="B38" s="7">
        <v>46249</v>
      </c>
      <c r="C38" s="6" t="s">
        <v>179</v>
      </c>
      <c r="D38" s="6" t="s">
        <v>180</v>
      </c>
      <c r="E38" s="6" t="s">
        <v>181</v>
      </c>
      <c r="F38" s="6" t="s">
        <v>182</v>
      </c>
      <c r="G38" s="6" t="s">
        <v>183</v>
      </c>
      <c r="H38" s="6" t="s">
        <v>184</v>
      </c>
    </row>
    <row r="39" spans="1:8" ht="26">
      <c r="A39" s="12" t="s">
        <v>185</v>
      </c>
      <c r="B39" s="5">
        <v>46249</v>
      </c>
      <c r="C39" s="4" t="s">
        <v>186</v>
      </c>
      <c r="D39" s="4" t="s">
        <v>187</v>
      </c>
      <c r="E39" s="4" t="s">
        <v>188</v>
      </c>
      <c r="F39" s="4" t="s">
        <v>189</v>
      </c>
      <c r="G39" s="4" t="s">
        <v>190</v>
      </c>
      <c r="H39" s="4" t="s">
        <v>191</v>
      </c>
    </row>
    <row r="40" spans="1:8" ht="26">
      <c r="A40" s="11" t="s">
        <v>192</v>
      </c>
      <c r="B40" s="7">
        <v>46249</v>
      </c>
      <c r="C40" s="6" t="s">
        <v>186</v>
      </c>
      <c r="D40" s="6" t="s">
        <v>193</v>
      </c>
      <c r="E40" s="6" t="s">
        <v>194</v>
      </c>
      <c r="F40" s="6" t="s">
        <v>195</v>
      </c>
      <c r="G40" s="6" t="s">
        <v>196</v>
      </c>
      <c r="H40" s="6" t="s">
        <v>197</v>
      </c>
    </row>
    <row r="41" spans="1:8" ht="26">
      <c r="A41" s="12" t="s">
        <v>198</v>
      </c>
      <c r="B41" s="5">
        <v>46249</v>
      </c>
      <c r="C41" s="4" t="s">
        <v>199</v>
      </c>
      <c r="D41" s="4" t="s">
        <v>200</v>
      </c>
      <c r="E41" s="4" t="s">
        <v>201</v>
      </c>
      <c r="F41" s="4" t="s">
        <v>202</v>
      </c>
      <c r="G41" s="4" t="s">
        <v>203</v>
      </c>
      <c r="H41" s="4" t="s">
        <v>204</v>
      </c>
    </row>
    <row r="42" spans="1:8" ht="39">
      <c r="A42" s="13" t="s">
        <v>205</v>
      </c>
      <c r="B42" s="9">
        <v>46249</v>
      </c>
      <c r="C42" s="8" t="s">
        <v>186</v>
      </c>
      <c r="D42" s="8" t="s">
        <v>206</v>
      </c>
      <c r="E42" s="8" t="s">
        <v>207</v>
      </c>
      <c r="F42" s="8" t="s">
        <v>208</v>
      </c>
      <c r="G42" s="8" t="s">
        <v>209</v>
      </c>
      <c r="H42" s="8" t="s">
        <v>210</v>
      </c>
    </row>
    <row r="43" spans="1:8">
      <c r="A43" s="34"/>
      <c r="B43" s="35"/>
      <c r="C43" s="36"/>
      <c r="D43" s="36"/>
      <c r="E43" s="36"/>
      <c r="F43" s="36"/>
      <c r="G43" s="36"/>
      <c r="H43" s="36"/>
    </row>
  </sheetData>
  <mergeCells count="10">
    <mergeCell ref="A5:B5"/>
    <mergeCell ref="C5:D5"/>
    <mergeCell ref="E5:F5"/>
    <mergeCell ref="G5:H5"/>
    <mergeCell ref="A1:H1"/>
    <mergeCell ref="A2:H2"/>
    <mergeCell ref="A4:B4"/>
    <mergeCell ref="C4:D4"/>
    <mergeCell ref="E4:F4"/>
    <mergeCell ref="G4:H4"/>
  </mergeCells>
  <phoneticPr fontId="10" type="noConversion"/>
  <conditionalFormatting sqref="H13:H106">
    <cfRule type="containsText" dxfId="3" priority="1" operator="containsText" text="Working &amp; tested"/>
    <cfRule type="containsText" dxfId="2" priority="2" operator="containsText" text="production check"/>
    <cfRule type="containsText" dxfId="1" priority="3" operator="containsText" text="Action required"/>
  </conditionalFormatting>
  <conditionalFormatting sqref="I8:I99">
    <cfRule type="containsText" dxfId="0" priority="4" operator="containsText" text="Local"/>
  </conditionalFormatting>
  <dataValidations count="2">
    <dataValidation type="list" sqref="H13:H106" xr:uid="{00000000-0002-0000-0000-000000000000}">
      <formula1>"Working &amp; tested,Implemented – production check needed,Action required,Not started"</formula1>
    </dataValidation>
    <dataValidation type="list" sqref="I8:I99" xr:uid="{00000000-0002-0000-0000-000001000000}">
      <formula1>"On GitHub / deployable,Local – push required,Deployed to Vercel,Not applicable"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showGridLines="0" workbookViewId="0"/>
  </sheetViews>
  <sheetFormatPr baseColWidth="10" defaultColWidth="8.83203125" defaultRowHeight="14"/>
  <cols>
    <col min="1" max="1" width="24" customWidth="1"/>
    <col min="2" max="8" width="15" customWidth="1"/>
  </cols>
  <sheetData>
    <row r="1" spans="1:8" ht="32" customHeight="1">
      <c r="A1" s="22" t="s">
        <v>211</v>
      </c>
      <c r="B1" s="22"/>
      <c r="C1" s="22"/>
      <c r="D1" s="22"/>
      <c r="E1" s="22"/>
      <c r="F1" s="22"/>
      <c r="G1" s="22"/>
      <c r="H1" s="22"/>
    </row>
    <row r="3" spans="1:8" ht="24" customHeight="1">
      <c r="A3" s="14" t="s">
        <v>212</v>
      </c>
      <c r="B3" s="27" t="s">
        <v>6</v>
      </c>
      <c r="C3" s="27"/>
      <c r="D3" s="27"/>
      <c r="E3" s="27"/>
      <c r="F3" s="27"/>
      <c r="G3" s="27"/>
      <c r="H3" s="27"/>
    </row>
    <row r="5" spans="1:8" ht="22" customHeight="1">
      <c r="A5" s="28" t="s">
        <v>213</v>
      </c>
      <c r="B5" s="28"/>
      <c r="C5" s="28"/>
      <c r="D5" s="28"/>
      <c r="E5" s="28"/>
      <c r="F5" s="28"/>
      <c r="G5" s="28"/>
      <c r="H5" s="28"/>
    </row>
    <row r="6" spans="1:8" ht="36" customHeight="1">
      <c r="A6" s="18" t="s">
        <v>214</v>
      </c>
      <c r="B6" s="29" t="s">
        <v>215</v>
      </c>
      <c r="C6" s="29"/>
      <c r="D6" s="29"/>
      <c r="E6" s="29"/>
      <c r="F6" s="29"/>
      <c r="G6" s="29"/>
      <c r="H6" s="29"/>
    </row>
    <row r="7" spans="1:8" ht="36" customHeight="1">
      <c r="A7" s="19" t="s">
        <v>216</v>
      </c>
      <c r="B7" s="30" t="s">
        <v>217</v>
      </c>
      <c r="C7" s="30"/>
      <c r="D7" s="30"/>
      <c r="E7" s="30"/>
      <c r="F7" s="30"/>
      <c r="G7" s="30"/>
      <c r="H7" s="30"/>
    </row>
    <row r="8" spans="1:8" ht="36" customHeight="1">
      <c r="A8" s="19" t="s">
        <v>218</v>
      </c>
      <c r="B8" s="30" t="s">
        <v>219</v>
      </c>
      <c r="C8" s="30"/>
      <c r="D8" s="30"/>
      <c r="E8" s="30"/>
      <c r="F8" s="30"/>
      <c r="G8" s="30"/>
      <c r="H8" s="30"/>
    </row>
    <row r="9" spans="1:8" ht="36" customHeight="1">
      <c r="A9" s="19" t="s">
        <v>105</v>
      </c>
      <c r="B9" s="30" t="s">
        <v>220</v>
      </c>
      <c r="C9" s="30"/>
      <c r="D9" s="30"/>
      <c r="E9" s="30"/>
      <c r="F9" s="30"/>
      <c r="G9" s="30"/>
      <c r="H9" s="30"/>
    </row>
    <row r="10" spans="1:8" ht="36" customHeight="1">
      <c r="A10" s="20" t="s">
        <v>221</v>
      </c>
      <c r="B10" s="31" t="s">
        <v>222</v>
      </c>
      <c r="C10" s="31"/>
      <c r="D10" s="31"/>
      <c r="E10" s="31"/>
      <c r="F10" s="31"/>
      <c r="G10" s="31"/>
      <c r="H10" s="31"/>
    </row>
    <row r="11" spans="1:8" ht="36" customHeight="1"/>
    <row r="12" spans="1:8" ht="22" customHeight="1">
      <c r="A12" s="28" t="s">
        <v>223</v>
      </c>
      <c r="B12" s="28"/>
      <c r="C12" s="28"/>
      <c r="D12" s="28"/>
      <c r="E12" s="28"/>
      <c r="F12" s="28"/>
      <c r="G12" s="28"/>
      <c r="H12" s="28"/>
    </row>
    <row r="13" spans="1:8" ht="34" customHeight="1">
      <c r="A13" s="18" t="s">
        <v>224</v>
      </c>
      <c r="B13" s="29" t="s">
        <v>225</v>
      </c>
      <c r="C13" s="29"/>
      <c r="D13" s="29"/>
      <c r="E13" s="29"/>
      <c r="F13" s="29"/>
      <c r="G13" s="29"/>
      <c r="H13" s="29"/>
    </row>
    <row r="14" spans="1:8" ht="34" customHeight="1">
      <c r="A14" s="19" t="s">
        <v>226</v>
      </c>
      <c r="B14" s="30" t="s">
        <v>227</v>
      </c>
      <c r="C14" s="30"/>
      <c r="D14" s="30"/>
      <c r="E14" s="30"/>
      <c r="F14" s="30"/>
      <c r="G14" s="30"/>
      <c r="H14" s="30"/>
    </row>
    <row r="15" spans="1:8" ht="34" customHeight="1">
      <c r="A15" s="19" t="s">
        <v>228</v>
      </c>
      <c r="B15" s="30" t="s">
        <v>229</v>
      </c>
      <c r="C15" s="30"/>
      <c r="D15" s="30"/>
      <c r="E15" s="30"/>
      <c r="F15" s="30"/>
      <c r="G15" s="30"/>
      <c r="H15" s="30"/>
    </row>
    <row r="16" spans="1:8" ht="34" customHeight="1">
      <c r="A16" s="20" t="s">
        <v>230</v>
      </c>
      <c r="B16" s="31" t="s">
        <v>231</v>
      </c>
      <c r="C16" s="31"/>
      <c r="D16" s="31"/>
      <c r="E16" s="31"/>
      <c r="F16" s="31"/>
      <c r="G16" s="31"/>
      <c r="H16" s="31"/>
    </row>
    <row r="17" ht="36" customHeight="1"/>
    <row r="18" ht="36" customHeight="1"/>
    <row r="19" ht="36" customHeight="1"/>
    <row r="20" ht="36" customHeight="1"/>
    <row r="21" ht="36" customHeight="1"/>
    <row r="22" ht="36" customHeight="1"/>
  </sheetData>
  <mergeCells count="13">
    <mergeCell ref="B14:H14"/>
    <mergeCell ref="B15:H15"/>
    <mergeCell ref="B16:H16"/>
    <mergeCell ref="B8:H8"/>
    <mergeCell ref="B9:H9"/>
    <mergeCell ref="B10:H10"/>
    <mergeCell ref="A12:H12"/>
    <mergeCell ref="B13:H13"/>
    <mergeCell ref="A1:H1"/>
    <mergeCell ref="B3:H3"/>
    <mergeCell ref="A5:H5"/>
    <mergeCell ref="B6:H6"/>
    <mergeCell ref="B7:H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showGridLines="0" workbookViewId="0"/>
  </sheetViews>
  <sheetFormatPr baseColWidth="10" defaultColWidth="8.83203125" defaultRowHeight="14"/>
  <cols>
    <col min="1" max="1" width="25" customWidth="1"/>
    <col min="2" max="2" width="45" customWidth="1"/>
    <col min="3" max="3" width="48" customWidth="1"/>
    <col min="4" max="6" width="12" customWidth="1"/>
  </cols>
  <sheetData>
    <row r="1" spans="1:6" ht="32" customHeight="1">
      <c r="A1" s="22" t="s">
        <v>232</v>
      </c>
      <c r="B1" s="22"/>
      <c r="C1" s="22"/>
      <c r="D1" s="22"/>
      <c r="E1" s="22"/>
      <c r="F1" s="22"/>
    </row>
    <row r="3" spans="1:6" ht="24" customHeight="1">
      <c r="A3" s="32" t="s">
        <v>233</v>
      </c>
      <c r="B3" s="32"/>
      <c r="C3" s="32"/>
      <c r="D3" s="32"/>
      <c r="E3" s="32"/>
      <c r="F3" s="32"/>
    </row>
    <row r="5" spans="1:6" ht="22" customHeight="1">
      <c r="A5" s="21" t="s">
        <v>234</v>
      </c>
      <c r="B5" s="21" t="s">
        <v>235</v>
      </c>
      <c r="C5" s="21" t="s">
        <v>236</v>
      </c>
    </row>
    <row r="6" spans="1:6" ht="30" customHeight="1">
      <c r="A6" s="18" t="s">
        <v>10</v>
      </c>
      <c r="B6" s="15" t="s">
        <v>237</v>
      </c>
      <c r="C6" s="15" t="s">
        <v>17</v>
      </c>
    </row>
    <row r="7" spans="1:6" ht="30" customHeight="1">
      <c r="A7" s="19" t="s">
        <v>11</v>
      </c>
      <c r="B7" s="16" t="s">
        <v>238</v>
      </c>
      <c r="C7" s="16" t="s">
        <v>18</v>
      </c>
    </row>
    <row r="8" spans="1:6" ht="30" customHeight="1">
      <c r="A8" s="19" t="s">
        <v>239</v>
      </c>
      <c r="B8" s="16" t="s">
        <v>240</v>
      </c>
      <c r="C8" s="16" t="s">
        <v>241</v>
      </c>
    </row>
    <row r="9" spans="1:6" ht="30" customHeight="1">
      <c r="A9" s="19" t="s">
        <v>242</v>
      </c>
      <c r="B9" s="16" t="s">
        <v>243</v>
      </c>
      <c r="C9" s="16" t="s">
        <v>244</v>
      </c>
    </row>
    <row r="10" spans="1:6" ht="30" customHeight="1">
      <c r="A10" s="19" t="s">
        <v>14</v>
      </c>
      <c r="B10" s="16" t="s">
        <v>245</v>
      </c>
      <c r="C10" s="16" t="s">
        <v>246</v>
      </c>
    </row>
    <row r="11" spans="1:6" ht="30" customHeight="1">
      <c r="A11" s="20" t="s">
        <v>247</v>
      </c>
      <c r="B11" s="17" t="s">
        <v>248</v>
      </c>
      <c r="C11" s="17" t="s">
        <v>249</v>
      </c>
    </row>
    <row r="13" spans="1:6" ht="28" customHeight="1">
      <c r="A13" s="33" t="s">
        <v>250</v>
      </c>
      <c r="B13" s="33"/>
      <c r="C13" s="33"/>
      <c r="D13" s="33"/>
      <c r="E13" s="33"/>
      <c r="F13" s="33"/>
    </row>
    <row r="17" ht="38" customHeight="1"/>
  </sheetData>
  <mergeCells count="3">
    <mergeCell ref="A1:F1"/>
    <mergeCell ref="A3:F3"/>
    <mergeCell ref="A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 Tracker</vt:lpstr>
      <vt:lpstr>Call Summary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Manya Roongta</cp:lastModifiedBy>
  <dcterms:modified xsi:type="dcterms:W3CDTF">2026-08-21T06:00:54Z</dcterms:modified>
</cp:coreProperties>
</file>