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59abcfca7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99e2903ca894941"/>
    <x:sheet xmlns:r="http://schemas.openxmlformats.org/officeDocument/2006/relationships" name="Data Readiness" sheetId="2" r:id="R7c997440ad354c7b"/>
    <x:sheet xmlns:r="http://schemas.openxmlformats.org/officeDocument/2006/relationships" name="Machine Master" sheetId="3" r:id="Ra2726c5b11ce4f93"/>
    <x:sheet xmlns:r="http://schemas.openxmlformats.org/officeDocument/2006/relationships" name="Shift Calendar" sheetId="4" r:id="Re7f1d1bbe29a40b9"/>
    <x:sheet xmlns:r="http://schemas.openxmlformats.org/officeDocument/2006/relationships" name="Article Master" sheetId="5" r:id="R86c328da62824801"/>
    <x:sheet xmlns:r="http://schemas.openxmlformats.org/officeDocument/2006/relationships" name="Routing &amp; Lead Times" sheetId="6" r:id="R2334969df6ca4e29"/>
    <x:sheet xmlns:r="http://schemas.openxmlformats.org/officeDocument/2006/relationships" name="Packing Rules" sheetId="7" r:id="R6abfb749ad1a4371"/>
    <x:sheet xmlns:r="http://schemas.openxmlformats.org/officeDocument/2006/relationships" name="Catalogue &amp; MRP" sheetId="8" r:id="Rcc2b44ebca2a4b78"/>
    <x:sheet xmlns:r="http://schemas.openxmlformats.org/officeDocument/2006/relationships" name="BOM Master" sheetId="9" r:id="R93a6ef28ac44426a"/>
    <x:sheet xmlns:r="http://schemas.openxmlformats.org/officeDocument/2006/relationships" name="Material Stock" sheetId="10" r:id="R99cc2a6455204de0"/>
    <x:sheet xmlns:r="http://schemas.openxmlformats.org/officeDocument/2006/relationships" name="Parties &amp; Terms" sheetId="11" r:id="R29c59f8a8afb4a22"/>
    <x:sheet xmlns:r="http://schemas.openxmlformats.org/officeDocument/2006/relationships" name="Orders" sheetId="12" r:id="R89fb1a8af1184855"/>
    <x:sheet xmlns:r="http://schemas.openxmlformats.org/officeDocument/2006/relationships" name="Production Plan" sheetId="13" r:id="Re6fb7d716509450a"/>
    <x:sheet xmlns:r="http://schemas.openxmlformats.org/officeDocument/2006/relationships" name="Actual Production" sheetId="14" r:id="R3854eb0cb0b0426d"/>
    <x:sheet xmlns:r="http://schemas.openxmlformats.org/officeDocument/2006/relationships" name="Downtime Log" sheetId="15" r:id="R643a51dadeac4de2"/>
    <x:sheet xmlns:r="http://schemas.openxmlformats.org/officeDocument/2006/relationships" name="Packing &amp; Dispatch" sheetId="16" r:id="Rcfef9dd1807a4654"/>
    <x:sheet xmlns:r="http://schemas.openxmlformats.org/officeDocument/2006/relationships" name="Pipeline Changes" sheetId="17" r:id="Ra1f558bd391a49ff"/>
    <x:sheet xmlns:r="http://schemas.openxmlformats.org/officeDocument/2006/relationships" name="Feedback Log" sheetId="18" r:id="R5e23c74d0e1b44d9"/>
    <x:sheet xmlns:r="http://schemas.openxmlformats.org/officeDocument/2006/relationships" name="Dashboard" sheetId="19" r:id="R00286c646e194248"/>
    <x:sheet xmlns:r="http://schemas.openxmlformats.org/officeDocument/2006/relationships" name="Lists - Do Not Edit" sheetId="20" r:id="R9a58e9ecd2e3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"/>
    <x:numFmt numFmtId="201" formatCode="#,##0"/>
    <x:numFmt numFmtId="202" formatCode="0%"/>
    <x:numFmt numFmtId="203" formatCode="hh:mm"/>
    <x:numFmt numFmtId="204" formatCode="0.0"/>
    <x:numFmt numFmtId="205" formatCode="₹#,##0"/>
    <x:numFmt numFmtId="206" formatCode="0.000000"/>
    <x:numFmt numFmtId="207" formatCode="0.0%"/>
    <x:numFmt numFmtId="208" formatCode="#,##0.00"/>
    <x:numFmt numFmtId="209" formatCode="₹#,##0.00"/>
    <x:numFmt numFmtId="210" formatCode="yyyy-mm-dd hh:mm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06D"/>
      <x:name val="Carlito"/>
    </x:font>
    <x:font>
      <x:sz val="9"/>
      <x:color rgb="FF6B7280"/>
      <x:name val="Carlito"/>
    </x:font>
    <x:font>
      <x:b/>
      <x:sz val="11"/>
      <x:color rgb="FFFFFFFF"/>
      <x:name val="Carlito"/>
    </x:font>
    <x:font>
      <x:sz val="9"/>
      <x:color rgb="FF1F2933"/>
      <x:name val="Carlito"/>
    </x:font>
    <x:font>
      <x:b/>
      <x:sz val="9"/>
      <x:color rgb="FFFFFFFF"/>
      <x:name val="Carlito"/>
    </x:font>
    <x:font>
      <x:b/>
      <x:sz val="9"/>
      <x:color rgb="FF1F2933"/>
      <x:name val="Aptos"/>
    </x:font>
    <x:font>
      <x:i/>
      <x:sz val="9"/>
      <x:color rgb="FF1F2933"/>
      <x:name val="Aptos"/>
    </x:font>
    <x:font>
      <x:sz val="9"/>
      <x:color rgb="FF1F2933"/>
      <x:name val="Aptos"/>
    </x:font>
    <x:font>
      <x:b/>
      <x:sz val="16"/>
      <x:color rgb="FFFFFFFF"/>
      <x:name val="Aptos Display"/>
    </x:font>
  </x:fonts>
  <x:fills count="10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52606D"/>
      </x:patternFill>
    </x:fill>
    <x:fill>
      <x:patternFill patternType="solid">
        <x:fgColor rgb="FFE7F2EA"/>
      </x:patternFill>
    </x:fill>
    <x:fill>
      <x:patternFill patternType="solid">
        <x:fgColor rgb="FFFCECC9"/>
      </x:patternFill>
    </x:fill>
    <x:fill>
      <x:patternFill patternType="solid">
        <x:fgColor rgb="FFFFF7D6"/>
      </x:patternFill>
    </x:fill>
    <x:fill>
      <x:patternFill patternType="solid">
        <x:fgColor rgb="FFEEF2F5"/>
      </x:patternFill>
    </x:fill>
  </x:fills>
  <x:borders count="7">
    <x:border/>
    <x:border>
      <x:bottom style="thin">
        <x:color rgb="FFE5E9ED"/>
      </x:bottom>
    </x:border>
    <x:border>
      <x:top style="thin">
        <x:color rgb="FFE5E9ED"/>
      </x:top>
      <x:bottom style="thin">
        <x:color rgb="FFE5E9ED"/>
      </x:bottom>
    </x:border>
    <x:border>
      <x:top style="thin">
        <x:color rgb="FFE5E9ED"/>
      </x:top>
      <x:bottom style="thin">
        <x:color rgb="FFCBD5DC"/>
      </x:bottom>
    </x:border>
    <x:border>
      <x:right style="thin">
        <x:color rgb="FFCBD5DC"/>
      </x:right>
    </x:border>
    <x:border>
      <x:left style="thin">
        <x:color rgb="FFCBD5DC"/>
      </x:left>
      <x:right style="thin">
        <x:color rgb="FFCBD5DC"/>
      </x:right>
    </x:border>
    <x:border>
      <x:left style="thin">
        <x:color rgb="FFCBD5DC"/>
      </x:left>
    </x:border>
  </x:borders>
  <x:cellStyleXfs count="1">
    <x:xf numFmtId="0" fontId="0" fillId="0" borderId="0"/>
  </x:cellStyleXfs>
  <x:cellXfs count="2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1" xfId="0" applyNumberFormat="1" applyFont="1" applyFill="1" applyBorder="1" applyAlignment="1">
      <x:alignment vertical="center"/>
    </x:xf>
    <x:xf numFmtId="0" fontId="5" fillId="7" borderId="2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vertical="center"/>
    </x:xf>
    <x:xf numFmtId="0" fontId="5" fillId="8" borderId="2" xfId="0" applyNumberFormat="1" applyFont="1" applyFill="1" applyBorder="1" applyAlignment="1">
      <x:alignment vertical="center"/>
    </x:xf>
    <x:xf numFmtId="0" fontId="5" fillId="8" borderId="3" xfId="0" applyNumberFormat="1" applyFont="1" applyFill="1" applyBorder="1" applyAlignment="1">
      <x:alignment vertical="center"/>
    </x:xf>
    <x:xf numFmtId="200" fontId="5" fillId="8" borderId="2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200" fontId="5" fillId="8" borderId="1" xfId="0" applyNumberFormat="1" applyFont="1" applyFill="1" applyBorder="1" applyAlignment="1">
      <x:alignment vertical="center"/>
    </x:xf>
    <x:xf numFmtId="200" fontId="5" fillId="8" borderId="3" xfId="0" applyNumberFormat="1" applyFont="1" applyFill="1" applyBorder="1" applyAlignment="1">
      <x:alignment vertical="center"/>
    </x:xf>
    <x:xf numFmtId="0" fontId="5" fillId="9" borderId="1" xfId="0" applyNumberFormat="1" applyFont="1" applyFill="1" applyBorder="1" applyAlignment="1">
      <x:alignment vertical="center"/>
    </x:xf>
    <x:xf numFmtId="0" fontId="5" fillId="9" borderId="2" xfId="0" applyNumberFormat="1" applyFont="1" applyFill="1" applyBorder="1" applyAlignment="1">
      <x:alignment vertical="center"/>
    </x:xf>
    <x:xf numFmtId="0" fontId="5" fillId="9" borderId="3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vertical="center"/>
    </x:xf>
    <x:xf numFmtId="201" fontId="5" fillId="8" borderId="1" xfId="0" applyNumberFormat="1" applyFont="1" applyFill="1" applyBorder="1" applyAlignment="1">
      <x:alignment vertical="center"/>
    </x:xf>
    <x:xf numFmtId="201" fontId="5" fillId="9" borderId="1" xfId="0" applyNumberFormat="1" applyFont="1" applyFill="1" applyBorder="1" applyAlignment="1">
      <x:alignment vertical="center"/>
    </x:xf>
    <x:xf numFmtId="201" fontId="5" fillId="4" borderId="2" xfId="0" applyNumberFormat="1" applyFont="1" applyFill="1" applyBorder="1" applyAlignment="1">
      <x:alignment vertical="center"/>
    </x:xf>
    <x:xf numFmtId="201" fontId="5" fillId="8" borderId="2" xfId="0" applyNumberFormat="1" applyFont="1" applyFill="1" applyBorder="1" applyAlignment="1">
      <x:alignment vertical="center"/>
    </x:xf>
    <x:xf numFmtId="201" fontId="5" fillId="9" borderId="2" xfId="0" applyNumberFormat="1" applyFont="1" applyFill="1" applyBorder="1" applyAlignment="1">
      <x:alignment vertical="center"/>
    </x:xf>
    <x:xf numFmtId="201" fontId="5" fillId="4" borderId="3" xfId="0" applyNumberFormat="1" applyFont="1" applyFill="1" applyBorder="1" applyAlignment="1">
      <x:alignment vertical="center"/>
    </x:xf>
    <x:xf numFmtId="201" fontId="5" fillId="8" borderId="3" xfId="0" applyNumberFormat="1" applyFont="1" applyFill="1" applyBorder="1" applyAlignment="1">
      <x:alignment vertical="center"/>
    </x:xf>
    <x:xf numFmtId="201" fontId="5" fillId="9" borderId="3" xfId="0" applyNumberFormat="1" applyFont="1" applyFill="1" applyBorder="1" applyAlignment="1">
      <x:alignment vertical="center"/>
    </x:xf>
    <x:xf numFmtId="202" fontId="5" fillId="8" borderId="1" xfId="0" applyNumberFormat="1" applyFont="1" applyFill="1" applyBorder="1" applyAlignment="1">
      <x:alignment vertical="center"/>
    </x:xf>
    <x:xf numFmtId="202" fontId="5" fillId="8" borderId="2" xfId="0" applyNumberFormat="1" applyFont="1" applyFill="1" applyBorder="1" applyAlignment="1">
      <x:alignment vertical="center"/>
    </x:xf>
    <x:xf numFmtId="202" fontId="5" fillId="8" borderId="3" xfId="0" applyNumberFormat="1" applyFont="1" applyFill="1" applyBorder="1" applyAlignment="1">
      <x:alignment vertical="center"/>
    </x:xf>
    <x:xf numFmtId="203" fontId="5" fillId="8" borderId="1" xfId="0" applyNumberFormat="1" applyFont="1" applyFill="1" applyBorder="1" applyAlignment="1">
      <x:alignment vertical="center"/>
    </x:xf>
    <x:xf numFmtId="203" fontId="5" fillId="8" borderId="2" xfId="0" applyNumberFormat="1" applyFont="1" applyFill="1" applyBorder="1" applyAlignment="1">
      <x:alignment vertical="center"/>
    </x:xf>
    <x:xf numFmtId="203" fontId="5" fillId="8" borderId="3" xfId="0" applyNumberFormat="1" applyFont="1" applyFill="1" applyBorder="1" applyAlignment="1">
      <x:alignment vertical="center"/>
    </x:xf>
    <x:xf numFmtId="204" fontId="5" fillId="9" borderId="1" xfId="0" applyNumberFormat="1" applyFont="1" applyFill="1" applyBorder="1" applyAlignment="1">
      <x:alignment vertical="center"/>
    </x:xf>
    <x:xf numFmtId="204" fontId="5" fillId="9" borderId="2" xfId="0" applyNumberFormat="1" applyFont="1" applyFill="1" applyBorder="1" applyAlignment="1">
      <x:alignment vertical="center"/>
    </x:xf>
    <x:xf numFmtId="204" fontId="5" fillId="9" borderId="3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wrapText="1"/>
    </x:xf>
    <x:xf numFmtId="205" fontId="5" fillId="4" borderId="1" xfId="0" applyNumberFormat="1" applyFont="1" applyFill="1" applyBorder="1" applyAlignment="1">
      <x:alignment vertical="center"/>
    </x:xf>
    <x:xf numFmtId="205" fontId="5" fillId="8" borderId="1" xfId="0" applyNumberFormat="1" applyFont="1" applyFill="1" applyBorder="1" applyAlignment="1">
      <x:alignment vertical="center"/>
    </x:xf>
    <x:xf numFmtId="205" fontId="5" fillId="4" borderId="2" xfId="0" applyNumberFormat="1" applyFont="1" applyFill="1" applyBorder="1" applyAlignment="1">
      <x:alignment vertical="center"/>
    </x:xf>
    <x:xf numFmtId="205" fontId="5" fillId="8" borderId="2" xfId="0" applyNumberFormat="1" applyFont="1" applyFill="1" applyBorder="1" applyAlignment="1">
      <x:alignment vertical="center"/>
    </x:xf>
    <x:xf numFmtId="205" fontId="5" fillId="4" borderId="3" xfId="0" applyNumberFormat="1" applyFont="1" applyFill="1" applyBorder="1" applyAlignment="1">
      <x:alignment vertical="center"/>
    </x:xf>
    <x:xf numFmtId="205" fontId="5" fillId="8" borderId="3" xfId="0" applyNumberFormat="1" applyFont="1" applyFill="1" applyBorder="1" applyAlignment="1">
      <x:alignment vertical="center"/>
    </x:xf>
    <x:xf numFmtId="206" fontId="5" fillId="4" borderId="1" xfId="0" applyNumberFormat="1" applyFont="1" applyFill="1" applyBorder="1" applyAlignment="1">
      <x:alignment vertical="center"/>
    </x:xf>
    <x:xf numFmtId="206" fontId="5" fillId="8" borderId="1" xfId="0" applyNumberFormat="1" applyFont="1" applyFill="1" applyBorder="1" applyAlignment="1">
      <x:alignment vertical="center"/>
    </x:xf>
    <x:xf numFmtId="206" fontId="5" fillId="9" borderId="1" xfId="0" applyNumberFormat="1" applyFont="1" applyFill="1" applyBorder="1" applyAlignment="1">
      <x:alignment vertical="center"/>
    </x:xf>
    <x:xf numFmtId="206" fontId="5" fillId="4" borderId="2" xfId="0" applyNumberFormat="1" applyFont="1" applyFill="1" applyBorder="1" applyAlignment="1">
      <x:alignment vertical="center"/>
    </x:xf>
    <x:xf numFmtId="206" fontId="5" fillId="8" borderId="2" xfId="0" applyNumberFormat="1" applyFont="1" applyFill="1" applyBorder="1" applyAlignment="1">
      <x:alignment vertical="center"/>
    </x:xf>
    <x:xf numFmtId="206" fontId="5" fillId="9" borderId="2" xfId="0" applyNumberFormat="1" applyFont="1" applyFill="1" applyBorder="1" applyAlignment="1">
      <x:alignment vertical="center"/>
    </x:xf>
    <x:xf numFmtId="206" fontId="5" fillId="4" borderId="3" xfId="0" applyNumberFormat="1" applyFont="1" applyFill="1" applyBorder="1" applyAlignment="1">
      <x:alignment vertical="center"/>
    </x:xf>
    <x:xf numFmtId="206" fontId="5" fillId="8" borderId="3" xfId="0" applyNumberFormat="1" applyFont="1" applyFill="1" applyBorder="1" applyAlignment="1">
      <x:alignment vertical="center"/>
    </x:xf>
    <x:xf numFmtId="206" fontId="5" fillId="9" borderId="3" xfId="0" applyNumberFormat="1" applyFont="1" applyFill="1" applyBorder="1" applyAlignment="1">
      <x:alignment vertical="center"/>
    </x:xf>
    <x:xf numFmtId="207" fontId="5" fillId="8" borderId="1" xfId="0" applyNumberFormat="1" applyFont="1" applyFill="1" applyBorder="1" applyAlignment="1">
      <x:alignment vertical="center"/>
    </x:xf>
    <x:xf numFmtId="207" fontId="5" fillId="8" borderId="2" xfId="0" applyNumberFormat="1" applyFont="1" applyFill="1" applyBorder="1" applyAlignment="1">
      <x:alignment vertical="center"/>
    </x:xf>
    <x:xf numFmtId="207" fontId="5" fillId="8" borderId="3" xfId="0" applyNumberFormat="1" applyFont="1" applyFill="1" applyBorder="1" applyAlignment="1">
      <x:alignment vertical="center"/>
    </x:xf>
    <x:xf numFmtId="208" fontId="5" fillId="4" borderId="1" xfId="0" applyNumberFormat="1" applyFont="1" applyFill="1" applyBorder="1" applyAlignment="1">
      <x:alignment vertical="center"/>
    </x:xf>
    <x:xf numFmtId="208" fontId="5" fillId="8" borderId="1" xfId="0" applyNumberFormat="1" applyFont="1" applyFill="1" applyBorder="1" applyAlignment="1">
      <x:alignment vertical="center"/>
    </x:xf>
    <x:xf numFmtId="208" fontId="5" fillId="9" borderId="1" xfId="0" applyNumberFormat="1" applyFont="1" applyFill="1" applyBorder="1" applyAlignment="1">
      <x:alignment vertical="center"/>
    </x:xf>
    <x:xf numFmtId="208" fontId="5" fillId="4" borderId="2" xfId="0" applyNumberFormat="1" applyFont="1" applyFill="1" applyBorder="1" applyAlignment="1">
      <x:alignment vertical="center"/>
    </x:xf>
    <x:xf numFmtId="208" fontId="5" fillId="8" borderId="2" xfId="0" applyNumberFormat="1" applyFont="1" applyFill="1" applyBorder="1" applyAlignment="1">
      <x:alignment vertical="center"/>
    </x:xf>
    <x:xf numFmtId="208" fontId="5" fillId="9" borderId="2" xfId="0" applyNumberFormat="1" applyFont="1" applyFill="1" applyBorder="1" applyAlignment="1">
      <x:alignment vertical="center"/>
    </x:xf>
    <x:xf numFmtId="208" fontId="5" fillId="4" borderId="3" xfId="0" applyNumberFormat="1" applyFont="1" applyFill="1" applyBorder="1" applyAlignment="1">
      <x:alignment vertical="center"/>
    </x:xf>
    <x:xf numFmtId="208" fontId="5" fillId="8" borderId="3" xfId="0" applyNumberFormat="1" applyFont="1" applyFill="1" applyBorder="1" applyAlignment="1">
      <x:alignment vertical="center"/>
    </x:xf>
    <x:xf numFmtId="208" fontId="5" fillId="9" borderId="3" xfId="0" applyNumberFormat="1" applyFont="1" applyFill="1" applyBorder="1" applyAlignment="1">
      <x:alignment vertical="center"/>
    </x:xf>
    <x:xf numFmtId="209" fontId="5" fillId="8" borderId="1" xfId="0" applyNumberFormat="1" applyFont="1" applyFill="1" applyBorder="1" applyAlignment="1">
      <x:alignment vertical="center"/>
    </x:xf>
    <x:xf numFmtId="209" fontId="5" fillId="8" borderId="2" xfId="0" applyNumberFormat="1" applyFont="1" applyFill="1" applyBorder="1" applyAlignment="1">
      <x:alignment vertical="center"/>
    </x:xf>
    <x:xf numFmtId="209" fontId="5" fillId="8" borderId="3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210" fontId="5" fillId="8" borderId="1" xfId="0" applyNumberFormat="1" applyFont="1" applyFill="1" applyBorder="1" applyAlignment="1">
      <x:alignment vertical="center"/>
    </x:xf>
    <x:xf numFmtId="210" fontId="5" fillId="8" borderId="2" xfId="0" applyNumberFormat="1" applyFont="1" applyFill="1" applyBorder="1" applyAlignment="1">
      <x:alignment vertical="center"/>
    </x:xf>
    <x:xf numFmtId="210" fontId="5" fillId="8" borderId="3" xfId="0" applyNumberFormat="1" applyFont="1" applyFill="1" applyBorder="1" applyAlignment="1">
      <x:alignment vertical="center"/>
    </x:xf>
    <x:xf numFmtId="207" fontId="5" fillId="9" borderId="1" xfId="0" applyNumberFormat="1" applyFont="1" applyFill="1" applyBorder="1" applyAlignment="1">
      <x:alignment vertical="center"/>
    </x:xf>
    <x:xf numFmtId="207" fontId="5" fillId="9" borderId="2" xfId="0" applyNumberFormat="1" applyFont="1" applyFill="1" applyBorder="1" applyAlignment="1">
      <x:alignment vertical="center"/>
    </x:xf>
    <x:xf numFmtId="207" fontId="5" fillId="9" borderId="3" xfId="0" applyNumberFormat="1" applyFont="1" applyFill="1" applyBorder="1" applyAlignment="1">
      <x:alignment vertical="center"/>
    </x:xf>
    <x:xf numFmtId="202" fontId="5" fillId="9" borderId="3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0" borderId="0" xfId="0" applyNumberFormat="1" applyFont="1" applyFill="1" applyBorder="1"/>
    <x:xf numFmtId="0" fontId="7" fillId="5" borderId="0" xfId="0" applyNumberFormat="1" applyFont="1" applyFill="1" applyBorder="1"/>
    <x:xf numFmtId="0" fontId="9" fillId="4" borderId="1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/>
    </x:xf>
    <x:xf numFmtId="0" fontId="9" fillId="4" borderId="3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/>
    </x:xf>
    <x:xf numFmtId="0" fontId="9" fillId="6" borderId="2" xfId="0" applyNumberFormat="1" applyFont="1" applyFill="1" applyBorder="1" applyAlignment="1">
      <x:alignment vertical="center"/>
    </x:xf>
    <x:xf numFmtId="0" fontId="9" fillId="6" borderId="3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vertical="center"/>
    </x:xf>
    <x:xf numFmtId="0" fontId="9" fillId="7" borderId="2" xfId="0" applyNumberFormat="1" applyFont="1" applyFill="1" applyBorder="1" applyAlignment="1">
      <x:alignment vertical="center"/>
    </x:xf>
    <x:xf numFmtId="0" fontId="9" fillId="7" borderId="3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/>
    </x:xf>
    <x:xf numFmtId="200" fontId="9" fillId="8" borderId="2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200" fontId="9" fillId="8" borderId="1" xfId="0" applyNumberFormat="1" applyFont="1" applyFill="1" applyBorder="1" applyAlignment="1">
      <x:alignment vertical="center"/>
    </x:xf>
    <x:xf numFmtId="200" fontId="9" fillId="8" borderId="3" xfId="0" applyNumberFormat="1" applyFont="1" applyFill="1" applyBorder="1" applyAlignment="1">
      <x:alignment vertical="center"/>
    </x:xf>
    <x:xf numFmtId="201" fontId="9" fillId="4" borderId="1" xfId="0" applyNumberFormat="1" applyFont="1" applyFill="1" applyBorder="1" applyAlignment="1">
      <x:alignment vertical="center"/>
    </x:xf>
    <x:xf numFmtId="201" fontId="9" fillId="8" borderId="1" xfId="0" applyNumberFormat="1" applyFont="1" applyFill="1" applyBorder="1" applyAlignment="1">
      <x:alignment vertical="center"/>
    </x:xf>
    <x:xf numFmtId="201" fontId="9" fillId="9" borderId="1" xfId="0" applyNumberFormat="1" applyFont="1" applyFill="1" applyBorder="1" applyAlignment="1">
      <x:alignment vertical="center"/>
    </x:xf>
    <x:xf numFmtId="202" fontId="9" fillId="8" borderId="1" xfId="0" applyNumberFormat="1" applyFont="1" applyFill="1" applyBorder="1" applyAlignment="1">
      <x:alignment vertical="center"/>
    </x:xf>
    <x:xf numFmtId="201" fontId="9" fillId="4" borderId="2" xfId="0" applyNumberFormat="1" applyFont="1" applyFill="1" applyBorder="1" applyAlignment="1">
      <x:alignment vertical="center"/>
    </x:xf>
    <x:xf numFmtId="201" fontId="9" fillId="8" borderId="2" xfId="0" applyNumberFormat="1" applyFont="1" applyFill="1" applyBorder="1" applyAlignment="1">
      <x:alignment vertical="center"/>
    </x:xf>
    <x:xf numFmtId="201" fontId="9" fillId="9" borderId="2" xfId="0" applyNumberFormat="1" applyFont="1" applyFill="1" applyBorder="1" applyAlignment="1">
      <x:alignment vertical="center"/>
    </x:xf>
    <x:xf numFmtId="202" fontId="9" fillId="8" borderId="2" xfId="0" applyNumberFormat="1" applyFont="1" applyFill="1" applyBorder="1" applyAlignment="1">
      <x:alignment vertical="center"/>
    </x:xf>
    <x:xf numFmtId="201" fontId="9" fillId="4" borderId="3" xfId="0" applyNumberFormat="1" applyFont="1" applyFill="1" applyBorder="1" applyAlignment="1">
      <x:alignment vertical="center"/>
    </x:xf>
    <x:xf numFmtId="201" fontId="9" fillId="8" borderId="3" xfId="0" applyNumberFormat="1" applyFont="1" applyFill="1" applyBorder="1" applyAlignment="1">
      <x:alignment vertical="center"/>
    </x:xf>
    <x:xf numFmtId="201" fontId="9" fillId="9" borderId="3" xfId="0" applyNumberFormat="1" applyFont="1" applyFill="1" applyBorder="1" applyAlignment="1">
      <x:alignment vertical="center"/>
    </x:xf>
    <x:xf numFmtId="202" fontId="9" fillId="8" borderId="3" xfId="0" applyNumberFormat="1" applyFont="1" applyFill="1" applyBorder="1" applyAlignment="1">
      <x:alignment vertical="center"/>
    </x:xf>
    <x:xf numFmtId="203" fontId="9" fillId="8" borderId="1" xfId="0" applyNumberFormat="1" applyFont="1" applyFill="1" applyBorder="1" applyAlignment="1">
      <x:alignment vertical="center"/>
    </x:xf>
    <x:xf numFmtId="204" fontId="9" fillId="9" borderId="1" xfId="0" applyNumberFormat="1" applyFont="1" applyFill="1" applyBorder="1" applyAlignment="1">
      <x:alignment vertical="center"/>
    </x:xf>
    <x:xf numFmtId="203" fontId="9" fillId="8" borderId="2" xfId="0" applyNumberFormat="1" applyFont="1" applyFill="1" applyBorder="1" applyAlignment="1">
      <x:alignment vertical="center"/>
    </x:xf>
    <x:xf numFmtId="204" fontId="9" fillId="9" borderId="2" xfId="0" applyNumberFormat="1" applyFont="1" applyFill="1" applyBorder="1" applyAlignment="1">
      <x:alignment vertical="center"/>
    </x:xf>
    <x:xf numFmtId="203" fontId="9" fillId="8" borderId="3" xfId="0" applyNumberFormat="1" applyFont="1" applyFill="1" applyBorder="1" applyAlignment="1">
      <x:alignment vertical="center"/>
    </x:xf>
    <x:xf numFmtId="204" fontId="9" fillId="9" borderId="3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wrapText="1"/>
    </x:xf>
    <x:xf numFmtId="205" fontId="9" fillId="4" borderId="1" xfId="0" applyNumberFormat="1" applyFont="1" applyFill="1" applyBorder="1" applyAlignment="1">
      <x:alignment vertical="center"/>
    </x:xf>
    <x:xf numFmtId="205" fontId="9" fillId="8" borderId="1" xfId="0" applyNumberFormat="1" applyFont="1" applyFill="1" applyBorder="1" applyAlignment="1">
      <x:alignment vertical="center"/>
    </x:xf>
    <x:xf numFmtId="205" fontId="9" fillId="4" borderId="2" xfId="0" applyNumberFormat="1" applyFont="1" applyFill="1" applyBorder="1" applyAlignment="1">
      <x:alignment vertical="center"/>
    </x:xf>
    <x:xf numFmtId="205" fontId="9" fillId="8" borderId="2" xfId="0" applyNumberFormat="1" applyFont="1" applyFill="1" applyBorder="1" applyAlignment="1">
      <x:alignment vertical="center"/>
    </x:xf>
    <x:xf numFmtId="205" fontId="9" fillId="4" borderId="3" xfId="0" applyNumberFormat="1" applyFont="1" applyFill="1" applyBorder="1" applyAlignment="1">
      <x:alignment vertical="center"/>
    </x:xf>
    <x:xf numFmtId="205" fontId="9" fillId="8" borderId="3" xfId="0" applyNumberFormat="1" applyFont="1" applyFill="1" applyBorder="1" applyAlignment="1">
      <x:alignment vertical="center"/>
    </x:xf>
    <x:xf numFmtId="206" fontId="9" fillId="4" borderId="1" xfId="0" applyNumberFormat="1" applyFont="1" applyFill="1" applyBorder="1" applyAlignment="1">
      <x:alignment vertical="center"/>
    </x:xf>
    <x:xf numFmtId="206" fontId="9" fillId="8" borderId="1" xfId="0" applyNumberFormat="1" applyFont="1" applyFill="1" applyBorder="1" applyAlignment="1">
      <x:alignment vertical="center"/>
    </x:xf>
    <x:xf numFmtId="207" fontId="9" fillId="8" borderId="1" xfId="0" applyNumberFormat="1" applyFont="1" applyFill="1" applyBorder="1" applyAlignment="1">
      <x:alignment vertical="center"/>
    </x:xf>
    <x:xf numFmtId="206" fontId="9" fillId="9" borderId="1" xfId="0" applyNumberFormat="1" applyFont="1" applyFill="1" applyBorder="1" applyAlignment="1">
      <x:alignment vertical="center"/>
    </x:xf>
    <x:xf numFmtId="206" fontId="9" fillId="4" borderId="2" xfId="0" applyNumberFormat="1" applyFont="1" applyFill="1" applyBorder="1" applyAlignment="1">
      <x:alignment vertical="center"/>
    </x:xf>
    <x:xf numFmtId="206" fontId="9" fillId="8" borderId="2" xfId="0" applyNumberFormat="1" applyFont="1" applyFill="1" applyBorder="1" applyAlignment="1">
      <x:alignment vertical="center"/>
    </x:xf>
    <x:xf numFmtId="207" fontId="9" fillId="8" borderId="2" xfId="0" applyNumberFormat="1" applyFont="1" applyFill="1" applyBorder="1" applyAlignment="1">
      <x:alignment vertical="center"/>
    </x:xf>
    <x:xf numFmtId="206" fontId="9" fillId="9" borderId="2" xfId="0" applyNumberFormat="1" applyFont="1" applyFill="1" applyBorder="1" applyAlignment="1">
      <x:alignment vertical="center"/>
    </x:xf>
    <x:xf numFmtId="206" fontId="9" fillId="4" borderId="3" xfId="0" applyNumberFormat="1" applyFont="1" applyFill="1" applyBorder="1" applyAlignment="1">
      <x:alignment vertical="center"/>
    </x:xf>
    <x:xf numFmtId="206" fontId="9" fillId="8" borderId="3" xfId="0" applyNumberFormat="1" applyFont="1" applyFill="1" applyBorder="1" applyAlignment="1">
      <x:alignment vertical="center"/>
    </x:xf>
    <x:xf numFmtId="207" fontId="9" fillId="8" borderId="3" xfId="0" applyNumberFormat="1" applyFont="1" applyFill="1" applyBorder="1" applyAlignment="1">
      <x:alignment vertical="center"/>
    </x:xf>
    <x:xf numFmtId="206" fontId="9" fillId="9" borderId="3" xfId="0" applyNumberFormat="1" applyFont="1" applyFill="1" applyBorder="1" applyAlignment="1">
      <x:alignment vertical="center"/>
    </x:xf>
    <x:xf numFmtId="208" fontId="9" fillId="4" borderId="1" xfId="0" applyNumberFormat="1" applyFont="1" applyFill="1" applyBorder="1" applyAlignment="1">
      <x:alignment vertical="center"/>
    </x:xf>
    <x:xf numFmtId="208" fontId="9" fillId="8" borderId="1" xfId="0" applyNumberFormat="1" applyFont="1" applyFill="1" applyBorder="1" applyAlignment="1">
      <x:alignment vertical="center"/>
    </x:xf>
    <x:xf numFmtId="208" fontId="9" fillId="9" borderId="1" xfId="0" applyNumberFormat="1" applyFont="1" applyFill="1" applyBorder="1" applyAlignment="1">
      <x:alignment vertical="center"/>
    </x:xf>
    <x:xf numFmtId="209" fontId="9" fillId="8" borderId="1" xfId="0" applyNumberFormat="1" applyFont="1" applyFill="1" applyBorder="1" applyAlignment="1">
      <x:alignment vertical="center"/>
    </x:xf>
    <x:xf numFmtId="208" fontId="9" fillId="4" borderId="2" xfId="0" applyNumberFormat="1" applyFont="1" applyFill="1" applyBorder="1" applyAlignment="1">
      <x:alignment vertical="center"/>
    </x:xf>
    <x:xf numFmtId="208" fontId="9" fillId="8" borderId="2" xfId="0" applyNumberFormat="1" applyFont="1" applyFill="1" applyBorder="1" applyAlignment="1">
      <x:alignment vertical="center"/>
    </x:xf>
    <x:xf numFmtId="208" fontId="9" fillId="9" borderId="2" xfId="0" applyNumberFormat="1" applyFont="1" applyFill="1" applyBorder="1" applyAlignment="1">
      <x:alignment vertical="center"/>
    </x:xf>
    <x:xf numFmtId="209" fontId="9" fillId="8" borderId="2" xfId="0" applyNumberFormat="1" applyFont="1" applyFill="1" applyBorder="1" applyAlignment="1">
      <x:alignment vertical="center"/>
    </x:xf>
    <x:xf numFmtId="208" fontId="9" fillId="4" borderId="3" xfId="0" applyNumberFormat="1" applyFont="1" applyFill="1" applyBorder="1" applyAlignment="1">
      <x:alignment vertical="center"/>
    </x:xf>
    <x:xf numFmtId="208" fontId="9" fillId="8" borderId="3" xfId="0" applyNumberFormat="1" applyFont="1" applyFill="1" applyBorder="1" applyAlignment="1">
      <x:alignment vertical="center"/>
    </x:xf>
    <x:xf numFmtId="208" fontId="9" fillId="9" borderId="3" xfId="0" applyNumberFormat="1" applyFont="1" applyFill="1" applyBorder="1" applyAlignment="1">
      <x:alignment vertical="center"/>
    </x:xf>
    <x:xf numFmtId="209" fontId="9" fillId="8" borderId="3" xfId="0" applyNumberFormat="1" applyFont="1" applyFill="1" applyBorder="1" applyAlignment="1">
      <x:alignment vertical="center"/>
    </x:xf>
    <x:xf numFmtId="0" fontId="9" fillId="9" borderId="1" xfId="0" applyNumberFormat="1" applyFont="1" applyFill="1" applyBorder="1" applyAlignment="1">
      <x:alignment vertical="center"/>
    </x:xf>
    <x:xf numFmtId="0" fontId="9" fillId="9" borderId="2" xfId="0" applyNumberFormat="1" applyFont="1" applyFill="1" applyBorder="1" applyAlignment="1">
      <x:alignment vertical="center"/>
    </x:xf>
    <x:xf numFmtId="0" fontId="9" fillId="9" borderId="3" xfId="0" applyNumberFormat="1" applyFont="1" applyFill="1" applyBorder="1" applyAlignment="1">
      <x:alignment vertical="center"/>
    </x:xf>
    <x:xf numFmtId="210" fontId="9" fillId="8" borderId="1" xfId="0" applyNumberFormat="1" applyFont="1" applyFill="1" applyBorder="1" applyAlignment="1">
      <x:alignment vertical="center"/>
    </x:xf>
    <x:xf numFmtId="210" fontId="9" fillId="8" borderId="2" xfId="0" applyNumberFormat="1" applyFont="1" applyFill="1" applyBorder="1" applyAlignment="1">
      <x:alignment vertical="center"/>
    </x:xf>
    <x:xf numFmtId="210" fontId="9" fillId="8" borderId="3" xfId="0" applyNumberFormat="1" applyFont="1" applyFill="1" applyBorder="1" applyAlignment="1">
      <x:alignment vertical="center"/>
    </x:xf>
    <x:xf numFmtId="207" fontId="9" fillId="9" borderId="1" xfId="0" applyNumberFormat="1" applyFont="1" applyFill="1" applyBorder="1" applyAlignment="1">
      <x:alignment vertical="center"/>
    </x:xf>
    <x:xf numFmtId="207" fontId="9" fillId="9" borderId="2" xfId="0" applyNumberFormat="1" applyFont="1" applyFill="1" applyBorder="1" applyAlignment="1">
      <x:alignment vertical="center"/>
    </x:xf>
    <x:xf numFmtId="207" fontId="9" fillId="9" borderId="3" xfId="0" applyNumberFormat="1" applyFont="1" applyFill="1" applyBorder="1" applyAlignment="1">
      <x:alignment vertical="center"/>
    </x:xf>
    <x:xf numFmtId="202" fontId="9" fillId="9" borderId="3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0" fontId="9" fillId="3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72"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7A4E00"/>
      </x:font>
      <x:fill>
        <x:patternFill patternType="solid">
          <x:bgColor rgb="FFFCECC9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7A4E00"/>
      </x:font>
      <x:fill>
        <x:patternFill patternType="solid">
          <x:bgColor rgb="FFFCECC9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7A4E00"/>
      </x:font>
      <x:fill>
        <x:patternFill patternType="solid">
          <x:bgColor rgb="FFFCECC9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7A4E00"/>
      </x:font>
      <x:fill>
        <x:patternFill patternType="solid">
          <x:bgColor rgb="FFFCECC9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7A4E00"/>
      </x:font>
      <x:fill>
        <x:patternFill patternType="solid">
          <x:bgColor rgb="FFFCECC9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7A4E00"/>
      </x:font>
      <x:fill>
        <x:patternFill patternType="solid">
          <x:bgColor rgb="FFFCECC9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7A4E00"/>
      </x:font>
      <x:fill>
        <x:patternFill patternType="solid">
          <x:bgColor rgb="FFFCECC9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7A4E00"/>
      </x:font>
      <x:fill>
        <x:patternFill patternType="solid">
          <x:bgColor rgb="FFFCECC9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7A4E00"/>
      </x:font>
      <x:fill>
        <x:patternFill patternType="solid">
          <x:bgColor rgb="FFFCECC9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7A4E00"/>
      </x:font>
      <x:fill>
        <x:patternFill patternType="solid">
          <x:bgColor rgb="FFFCECC9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b/>
        <x:color rgb="FF245B36"/>
      </x:font>
      <x:fill>
        <x:patternFill patternType="solid">
          <x:bgColor rgb="FFE7F2EA"/>
        </x:patternFill>
      </x:fill>
    </x:dxf>
    <x:dxf>
      <x:font>
        <x:b/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245B36"/>
      </x:font>
      <x:fill>
        <x:patternFill patternType="solid">
          <x:bgColor rgb="FFE7F2EA"/>
        </x:patternFill>
      </x:fill>
    </x:dxf>
    <x:dxf>
      <x:font>
        <x:color rgb="FF7A4E00"/>
      </x:font>
      <x:fill>
        <x:patternFill patternType="solid">
          <x:bgColor rgb="FFFCECC9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color rgb="FF8A3030"/>
      </x:font>
      <x:fill>
        <x:patternFill patternType="solid">
          <x:bgColor rgb="FFF8E1E1"/>
        </x:patternFill>
      </x:fill>
    </x:dxf>
    <x:dxf>
      <x:font>
        <x:b/>
        <x:color rgb="FF7A4E00"/>
      </x:font>
      <x:fill>
        <x:patternFill patternType="solid">
          <x:bgColor rgb="FFFCEC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913a338ca4033" /><Relationship Type="http://schemas.openxmlformats.org/officeDocument/2006/relationships/theme" Target="/xl/theme/theme1.xml" Id="R7def6b35a1c0438a" /><Relationship Type="http://schemas.openxmlformats.org/officeDocument/2006/relationships/sharedStrings" Target="/xl/sharedStrings.xml" Id="Re46a49f741ab4a7b" /><Relationship Type="http://schemas.openxmlformats.org/officeDocument/2006/relationships/worksheet" Target="/xl/worksheets/sheet1.xml" Id="Rc99e2903ca894941" /><Relationship Type="http://schemas.openxmlformats.org/officeDocument/2006/relationships/worksheet" Target="/xl/worksheets/sheet2.xml" Id="R7c997440ad354c7b" /><Relationship Type="http://schemas.openxmlformats.org/officeDocument/2006/relationships/worksheet" Target="/xl/worksheets/sheet3.xml" Id="Ra2726c5b11ce4f93" /><Relationship Type="http://schemas.openxmlformats.org/officeDocument/2006/relationships/worksheet" Target="/xl/worksheets/sheet4.xml" Id="Re7f1d1bbe29a40b9" /><Relationship Type="http://schemas.openxmlformats.org/officeDocument/2006/relationships/worksheet" Target="/xl/worksheets/sheet5.xml" Id="R86c328da62824801" /><Relationship Type="http://schemas.openxmlformats.org/officeDocument/2006/relationships/worksheet" Target="/xl/worksheets/sheet6.xml" Id="R2334969df6ca4e29" /><Relationship Type="http://schemas.openxmlformats.org/officeDocument/2006/relationships/worksheet" Target="/xl/worksheets/sheet7.xml" Id="R6abfb749ad1a4371" /><Relationship Type="http://schemas.openxmlformats.org/officeDocument/2006/relationships/worksheet" Target="/xl/worksheets/sheet8.xml" Id="Rcc2b44ebca2a4b78" /><Relationship Type="http://schemas.openxmlformats.org/officeDocument/2006/relationships/worksheet" Target="/xl/worksheets/sheet9.xml" Id="R93a6ef28ac44426a" /><Relationship Type="http://schemas.openxmlformats.org/officeDocument/2006/relationships/worksheet" Target="/xl/worksheets/sheet10.xml" Id="R99cc2a6455204de0" /><Relationship Type="http://schemas.openxmlformats.org/officeDocument/2006/relationships/worksheet" Target="/xl/worksheets/sheet11.xml" Id="R29c59f8a8afb4a22" /><Relationship Type="http://schemas.openxmlformats.org/officeDocument/2006/relationships/worksheet" Target="/xl/worksheets/sheet12.xml" Id="R89fb1a8af1184855" /><Relationship Type="http://schemas.openxmlformats.org/officeDocument/2006/relationships/worksheet" Target="/xl/worksheets/sheet13.xml" Id="Re6fb7d716509450a" /><Relationship Type="http://schemas.openxmlformats.org/officeDocument/2006/relationships/worksheet" Target="/xl/worksheets/sheet14.xml" Id="R3854eb0cb0b0426d" /><Relationship Type="http://schemas.openxmlformats.org/officeDocument/2006/relationships/worksheet" Target="/xl/worksheets/sheet15.xml" Id="R643a51dadeac4de2" /><Relationship Type="http://schemas.openxmlformats.org/officeDocument/2006/relationships/worksheet" Target="/xl/worksheets/sheet16.xml" Id="Rcfef9dd1807a4654" /><Relationship Type="http://schemas.openxmlformats.org/officeDocument/2006/relationships/worksheet" Target="/xl/worksheets/sheet17.xml" Id="Ra1f558bd391a49ff" /><Relationship Type="http://schemas.openxmlformats.org/officeDocument/2006/relationships/worksheet" Target="/xl/worksheets/sheet18.xml" Id="R5e23c74d0e1b44d9" /><Relationship Type="http://schemas.openxmlformats.org/officeDocument/2006/relationships/worksheet" Target="/xl/worksheets/sheet19.xml" Id="R00286c646e194248" /><Relationship Type="http://schemas.openxmlformats.org/officeDocument/2006/relationships/worksheet" Target="/xl/worksheets/sheet20.xml" Id="R9a58e9ecd2e348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26dbe54c2c40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 vs Actual by Production Stage (pairs)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Planned Pairs</c:v>
          </c:tx>
          <c:cat>
            <c:strRef>
              <c:f>'Dashboard'!$A$14:$A$21</c:f>
              <c:strCache>
                <c:ptCount val="0"/>
              </c:strCache>
            </c:strRef>
          </c:cat>
          <c:val>
            <c:numRef>
              <c:f>'Dashboard'!$B$14:$B$21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Actual Good Pairs</c:v>
          </c:tx>
          <c:cat>
            <c:strRef>
              <c:f>'Dashboard'!$A$14:$A$21</c:f>
              <c:strCache>
                <c:ptCount val="0"/>
              </c:strCache>
            </c:strRef>
          </c:cat>
          <c:val>
            <c:numRef>
              <c:f>'Dashboard'!$C$14:$C$21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26dbe54c2c40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ReadinessTable" displayName="DataReadinessTable" ref="A4:L21" headerRowCount="1" totalsRowCount="0" totalsRowShown="0">
  <x:autoFilter ref="A4:L21"/>
  <x:tableColumns count="12">
    <x:tableColumn id="1" name="ID"/>
    <x:tableColumn id="2" name="Input Area"/>
    <x:tableColumn id="3" name="Why It Is Required"/>
    <x:tableColumn id="4" name="Client Owner"/>
    <x:tableColumn id="5" name="Update Frequency"/>
    <x:tableColumn id="6" name="Required Before Go-live"/>
    <x:tableColumn id="7" name="Current Model Status"/>
    <x:tableColumn id="8" name="Client Status"/>
    <x:tableColumn id="9" name="Approval Status"/>
    <x:tableColumn id="10" name="Approver"/>
    <x:tableColumn id="11" name="Target Date"/>
    <x:tableColumn id="12" name="Notes / Blocker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MachineMasterTable" displayName="MachineMasterTable" ref="A4:V54" headerRowCount="1" totalsRowCount="0" totalsRowShown="0">
  <x:autoFilter ref="A4:V54"/>
  <x:tableColumns count="22">
    <x:tableColumn id="1" name="Work Centre Code"/>
    <x:tableColumn id="2" name="Physical Machine / Line ID"/>
    <x:tableColumn id="3" name="Machine / Line Name"/>
    <x:tableColumn id="4" name="Stage"/>
    <x:tableColumn id="5" name="Machine Family"/>
    <x:tableColumn id="6" name="Sole Type Capability"/>
    <x:tableColumn id="7" name="Pooled or Exclusive"/>
    <x:tableColumn id="8" name="Current Model Capacity (pairs/day)"/>
    <x:tableColumn id="9" name="Client Rated Capacity (pairs/day)"/>
    <x:tableColumn id="10" name="Observed Avg Good Pairs/Day (last 30 days)"/>
    <x:tableColumn id="11" name="Recommended Planning Capacity"/>
    <x:tableColumn id="12" name="Working Hours / Shift"/>
    <x:tableColumn id="13" name="Shifts / Day"/>
    <x:tableColumn id="14" name="Planned Efficiency %"/>
    <x:tableColumn id="15" name="Changeover Minutes"/>
    <x:tableColumn id="16" name="Minimum Batch Pairs"/>
    <x:tableColumn id="17" name="Availability"/>
    <x:tableColumn id="18" name="Effective From"/>
    <x:tableColumn id="19" name="Source / Evidence"/>
    <x:tableColumn id="20" name="Approved By"/>
    <x:tableColumn id="21" name="Confirmation Status"/>
    <x:tableColumn id="22" name="Notes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ShiftCalendarTable" displayName="ShiftCalendarTable" ref="A4:Q204" headerRowCount="1" totalsRowCount="0" totalsRowShown="0">
  <x:autoFilter ref="A4:Q204"/>
  <x:tableColumns count="17">
    <x:tableColumn id="1" name="Date"/>
    <x:tableColumn id="2" name="Shift"/>
    <x:tableColumn id="3" name="Work Centre Code"/>
    <x:tableColumn id="4" name="Machine / Line ID"/>
    <x:tableColumn id="5" name="Start Time"/>
    <x:tableColumn id="6" name="End Time"/>
    <x:tableColumn id="7" name="Break Minutes"/>
    <x:tableColumn id="8" name="Planned Maintenance Minutes"/>
    <x:tableColumn id="9" name="Other Planned Stop Minutes"/>
    <x:tableColumn id="10" name="Gross Hours"/>
    <x:tableColumn id="11" name="Net Available Hours"/>
    <x:tableColumn id="12" name="Available?"/>
    <x:tableColumn id="13" name="Capacity Multiplier %"/>
    <x:tableColumn id="14" name="Supervisor"/>
    <x:tableColumn id="15" name="Reason / Note"/>
    <x:tableColumn id="16" name="Updated By"/>
    <x:tableColumn id="17" name="Updated Timestamp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ArticleMasterTable" displayName="ArticleMasterTable" ref="A4:Z54" headerRowCount="1" totalsRowCount="0" totalsRowShown="0">
  <x:autoFilter ref="A4:Z54"/>
  <x:tableColumns count="26">
    <x:tableColumn id="1" name="Article Code"/>
    <x:tableColumn id="2" name="Display Name"/>
    <x:tableColumn id="3" name="Article Type"/>
    <x:tableColumn id="4" name="Active?"/>
    <x:tableColumn id="5" name="Order Nature"/>
    <x:tableColumn id="6" name="Current Sole Type"/>
    <x:tableColumn id="7" name="Client Confirmed Sole Type"/>
    <x:tableColumn id="8" name="PVC Machine Assignment"/>
    <x:tableColumn id="9" name="Stuck-on?"/>
    <x:tableColumn id="10" name="Printing Default"/>
    <x:tableColumn id="11" name="In-house Stitching Allowed"/>
    <x:tableColumn id="12" name="Outside Stitching Allowed"/>
    <x:tableColumn id="13" name="Default Stitching Source"/>
    <x:tableColumn id="14" name="In-house Preparation Days"/>
    <x:tableColumn id="15" name="Outside Transport Days"/>
    <x:tableColumn id="16" name="Printing Days"/>
    <x:tableColumn id="17" name="Upper Colour / Material Required"/>
    <x:tableColumn id="18" name="Sole Colour Required"/>
    <x:tableColumn id="19" name="Lace / Velcro Colour Required"/>
    <x:tableColumn id="20" name="Current Size Combos"/>
    <x:tableColumn id="21" name="MRP Complete?"/>
    <x:tableColumn id="22" name="Photo Available?"/>
    <x:tableColumn id="23" name="Confirmation Status"/>
    <x:tableColumn id="24" name="Approved By"/>
    <x:tableColumn id="25" name="Effective Date"/>
    <x:tableColumn id="26" name="Notes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LeadTimeRulesTable" displayName="LeadTimeRulesTable" ref="A4:H7" headerRowCount="1" totalsRowCount="0" totalsRowShown="0">
  <x:autoFilter ref="A4:H7"/>
  <x:tableColumns count="8">
    <x:tableColumn id="1" name="Rule Code"/>
    <x:tableColumn id="2" name="Lead-Time Rule"/>
    <x:tableColumn id="3" name="Current Placeholder Days"/>
    <x:tableColumn id="4" name="Client Confirmed Days"/>
    <x:tableColumn id="5" name="Applies When"/>
    <x:tableColumn id="6" name="Effective From"/>
    <x:tableColumn id="7" name="Approved By"/>
    <x:tableColumn id="8" name="Confirmation Status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ArticleRoutingTable" displayName="ArticleRoutingTable" ref="A10:Q108" headerRowCount="1" totalsRowCount="0" totalsRowShown="0">
  <x:autoFilter ref="A10:Q108"/>
  <x:tableColumns count="17">
    <x:tableColumn id="1" name="Article Code"/>
    <x:tableColumn id="2" name="Article Type"/>
    <x:tableColumn id="3" name="Sequence"/>
    <x:tableColumn id="4" name="Stage"/>
    <x:tableColumn id="5" name="Current Work Centre"/>
    <x:tableColumn id="6" name="Client Confirmed Work Centre"/>
    <x:tableColumn id="7" name="Applies?"/>
    <x:tableColumn id="8" name="Processing Mode"/>
    <x:tableColumn id="9" name="Current Target Day From Order"/>
    <x:tableColumn id="10" name="Client Target Day From Order"/>
    <x:tableColumn id="11" name="Standard Setup Minutes"/>
    <x:tableColumn id="12" name="Transfer / Queue Days"/>
    <x:tableColumn id="13" name="Overlap Allowed?"/>
    <x:tableColumn id="14" name="Effective From"/>
    <x:tableColumn id="15" name="Approved By"/>
    <x:tableColumn id="16" name="Confirmation Status"/>
    <x:tableColumn id="17" name="Notes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PackingRulesTable" displayName="PackingRulesTable" ref="A4:T139" headerRowCount="1" totalsRowCount="0" totalsRowShown="0">
  <x:autoFilter ref="A4:T139"/>
  <x:tableColumns count="20">
    <x:tableColumn id="1" name="Rule ID"/>
    <x:tableColumn id="2" name="Article Code"/>
    <x:tableColumn id="3" name="Article Type"/>
    <x:tableColumn id="4" name="Rule Kind"/>
    <x:tableColumn id="5" name="Size Range / Single Profile"/>
    <x:tableColumn id="6" name="Sizes Included"/>
    <x:tableColumn id="7" name="Current Effective Pairs / Carton"/>
    <x:tableColumn id="8" name="Client Confirmed Pairs / Carton"/>
    <x:tableColumn id="9" name="Source Packing List"/>
    <x:tableColumn id="10" name="Source Size Range"/>
    <x:tableColumn id="11" name="Inherited?"/>
    <x:tableColumn id="12" name="Inner Pack Qty"/>
    <x:tableColumn id="13" name="Carton Length"/>
    <x:tableColumn id="14" name="Carton Width"/>
    <x:tableColumn id="15" name="Carton Height"/>
    <x:tableColumn id="16" name="Gross Weight"/>
    <x:tableColumn id="17" name="Effective From"/>
    <x:tableColumn id="18" name="Approved By"/>
    <x:tableColumn id="19" name="Confirmation Status"/>
    <x:tableColumn id="20" name="Notes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CatalogueMrpTable" displayName="CatalogueMrpTable" ref="A4:P105" headerRowCount="1" totalsRowCount="0" totalsRowShown="0">
  <x:autoFilter ref="A4:P105"/>
  <x:tableColumns count="16">
    <x:tableColumn id="1" name="Article Code"/>
    <x:tableColumn id="2" name="Article Type"/>
    <x:tableColumn id="3" name="Size Range"/>
    <x:tableColumn id="4" name="Current Model MRP"/>
    <x:tableColumn id="5" name="Client Confirmed MRP"/>
    <x:tableColumn id="6" name="Currency"/>
    <x:tableColumn id="7" name="Sole Type Confirmed"/>
    <x:tableColumn id="8" name="Sole Description"/>
    <x:tableColumn id="9" name="Upper Description"/>
    <x:tableColumn id="10" name="Standard Colours"/>
    <x:tableColumn id="11" name="Photo File / Link"/>
    <x:tableColumn id="12" name="Catalogue Description"/>
    <x:tableColumn id="13" name="Effective From"/>
    <x:tableColumn id="14" name="Approved By"/>
    <x:tableColumn id="15" name="Confirmation Status"/>
    <x:tableColumn id="16" name="Notes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BomMasterTable" displayName="BomMasterTable" ref="A4:Q1341" headerRowCount="1" totalsRowCount="0" totalsRowShown="0">
  <x:autoFilter ref="A4:Q1341"/>
  <x:tableColumns count="17">
    <x:tableColumn id="1" name="BOM Row ID"/>
    <x:tableColumn id="2" name="Article Code"/>
    <x:tableColumn id="3" name="Article Type"/>
    <x:tableColumn id="4" name="Size Range"/>
    <x:tableColumn id="5" name="Production Stage"/>
    <x:tableColumn id="6" name="Material Key"/>
    <x:tableColumn id="7" name="Material Name"/>
    <x:tableColumn id="8" name="UOM"/>
    <x:tableColumn id="9" name="Current Consumption / Pair"/>
    <x:tableColumn id="10" name="Client Confirmed Consumption / Pair"/>
    <x:tableColumn id="11" name="Wastage %"/>
    <x:tableColumn id="12" name="Net Consumption / Pair"/>
    <x:tableColumn id="13" name="Effective From"/>
    <x:tableColumn id="14" name="Source BOM / Trial"/>
    <x:tableColumn id="15" name="Approved By"/>
    <x:tableColumn id="16" name="Confirmation Status"/>
    <x:tableColumn id="17" name="Notes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MaterialStockTable" displayName="MaterialStockTable" ref="A4:R153" headerRowCount="1" totalsRowCount="0" totalsRowShown="0">
  <x:autoFilter ref="A4:R153"/>
  <x:tableColumns count="18">
    <x:tableColumn id="1" name="Material Key"/>
    <x:tableColumn id="2" name="Material Name"/>
    <x:tableColumn id="3" name="UOM"/>
    <x:tableColumn id="4" name="Current Model Stock"/>
    <x:tableColumn id="5" name="Physical Count"/>
    <x:tableColumn id="6" name="Reserved for Open Orders"/>
    <x:tableColumn id="7" name="Open PO Due Within Horizon"/>
    <x:tableColumn id="8" name="Available to Plan"/>
    <x:tableColumn id="9" name="Reorder Level"/>
    <x:tableColumn id="10" name="Lead Time Days"/>
    <x:tableColumn id="11" name="Preferred Supplier"/>
    <x:tableColumn id="12" name="Last Purchase Rate"/>
    <x:tableColumn id="13" name="Stock Count Date"/>
    <x:tableColumn id="14" name="Location / Bin"/>
    <x:tableColumn id="15" name="Batch / Lot"/>
    <x:tableColumn id="16" name="Approved By"/>
    <x:tableColumn id="17" name="Confirmation Status"/>
    <x:tableColumn id="18" name="Notes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1" name="PartiesTermsTable" displayName="PartiesTermsTable" ref="A4:S104" headerRowCount="1" totalsRowCount="0" totalsRowShown="0">
  <x:autoFilter ref="A4:S104"/>
  <x:tableColumns count="19">
    <x:tableColumn id="1" name="Party Name"/>
    <x:tableColumn id="2" name="City"/>
    <x:tableColumn id="3" name="Active?"/>
    <x:tableColumn id="4" name="Discount %"/>
    <x:tableColumn id="5" name="Deduction 1 Label"/>
    <x:tableColumn id="6" name="Deduction 1 %"/>
    <x:tableColumn id="7" name="Deduction 2 Label"/>
    <x:tableColumn id="8" name="Deduction 2 %"/>
    <x:tableColumn id="9" name="Deduction 3 Label"/>
    <x:tableColumn id="10" name="Deduction 3 %"/>
    <x:tableColumn id="11" name="GST %"/>
    <x:tableColumn id="12" name="Payment Advance %"/>
    <x:tableColumn id="13" name="Payment Balance %"/>
    <x:tableColumn id="14" name="Order Nature Default"/>
    <x:tableColumn id="15" name="Credit / Payment Terms"/>
    <x:tableColumn id="16" name="Effective From"/>
    <x:tableColumn id="17" name="Approved By"/>
    <x:tableColumn id="18" name="Confirmation Status"/>
    <x:tableColumn id="19" name="Notes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2" name="OrdersInputTable" displayName="OrdersInputTable" ref="A4:AW304" headerRowCount="1" totalsRowCount="0" totalsRowShown="0">
  <x:autoFilter ref="A4:AW304"/>
  <x:tableColumns count="49">
    <x:tableColumn id="1" name="Order ID"/>
    <x:tableColumn id="2" name="PI No"/>
    <x:tableColumn id="3" name="Customer"/>
    <x:tableColumn id="4" name="City"/>
    <x:tableColumn id="5" name="Order Date"/>
    <x:tableColumn id="6" name="Requested Dispatch Date"/>
    <x:tableColumn id="7" name="Priority"/>
    <x:tableColumn id="8" name="Article Code"/>
    <x:tableColumn id="9" name="Article Type"/>
    <x:tableColumn id="10" name="Order Nature"/>
    <x:tableColumn id="11" name="Stitching Source"/>
    <x:tableColumn id="12" name="Printing Required?"/>
    <x:tableColumn id="13" name="Upper Colour / Material"/>
    <x:tableColumn id="14" name="Sole Colour"/>
    <x:tableColumn id="15" name="Lace Colour"/>
    <x:tableColumn id="16" name="Velcro Colour"/>
    <x:tableColumn id="17" name="Current Stage"/>
    <x:tableColumn id="18" name="Order Status"/>
    <x:tableColumn id="19" name="6s"/>
    <x:tableColumn id="20" name="7s"/>
    <x:tableColumn id="21" name="8s"/>
    <x:tableColumn id="22" name="9s"/>
    <x:tableColumn id="23" name="10s"/>
    <x:tableColumn id="24" name="11s"/>
    <x:tableColumn id="25" name="12s"/>
    <x:tableColumn id="26" name="13s"/>
    <x:tableColumn id="27" name="1"/>
    <x:tableColumn id="28" name="2"/>
    <x:tableColumn id="29" name="3"/>
    <x:tableColumn id="30" name="4"/>
    <x:tableColumn id="31" name="5"/>
    <x:tableColumn id="32" name="6"/>
    <x:tableColumn id="33" name="7"/>
    <x:tableColumn id="34" name="8"/>
    <x:tableColumn id="35" name="9"/>
    <x:tableColumn id="36" name="10"/>
    <x:tableColumn id="37" name="11"/>
    <x:tableColumn id="38" name="12"/>
    <x:tableColumn id="39" name="13"/>
    <x:tableColumn id="40" name="Size Total Pairs"/>
    <x:tableColumn id="41" name="Order Entered As"/>
    <x:tableColumn id="42" name="Entered Cartons"/>
    <x:tableColumn id="43" name="Pairs / Carton"/>
    <x:tableColumn id="44" name="Declared Total Pairs"/>
    <x:tableColumn id="45" name="Quantity Check"/>
    <x:tableColumn id="46" name="Customer PO / Ref"/>
    <x:tableColumn id="47" name="Remarks"/>
    <x:tableColumn id="48" name="Updated By"/>
    <x:tableColumn id="49" name="Updated Timestamp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3" name="ProductionPlanTable" displayName="ProductionPlanTable" ref="A4:Y504" headerRowCount="1" totalsRowCount="0" totalsRowShown="0">
  <x:autoFilter ref="A4:Y504"/>
  <x:tableColumns count="25">
    <x:tableColumn id="1" name="Plan ID"/>
    <x:tableColumn id="2" name="Plan Version"/>
    <x:tableColumn id="3" name="Plan Date"/>
    <x:tableColumn id="4" name="Shift"/>
    <x:tableColumn id="5" name="Work Centre Code"/>
    <x:tableColumn id="6" name="Machine / Line ID"/>
    <x:tableColumn id="7" name="Sequence"/>
    <x:tableColumn id="8" name="PI No"/>
    <x:tableColumn id="9" name="Order ID"/>
    <x:tableColumn id="10" name="Article Code"/>
    <x:tableColumn id="11" name="Article Type"/>
    <x:tableColumn id="12" name="Stage"/>
    <x:tableColumn id="13" name="Planned Start Time"/>
    <x:tableColumn id="14" name="Planned End Time"/>
    <x:tableColumn id="15" name="Planned Pairs"/>
    <x:tableColumn id="16" name="Setup Minutes"/>
    <x:tableColumn id="17" name="Plan Status"/>
    <x:tableColumn id="18" name="Locked?"/>
    <x:tableColumn id="19" name="Previous Plan Date"/>
    <x:tableColumn id="20" name="Previous Planned Pairs"/>
    <x:tableColumn id="21" name="Reason for Change"/>
    <x:tableColumn id="22" name="Expected Pipeline Effect"/>
    <x:tableColumn id="23" name="Planner"/>
    <x:tableColumn id="24" name="Approved By"/>
    <x:tableColumn id="25" name="Updated Timestamp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4" name="ActualProductionTable" displayName="ActualProductionTable" ref="A4:AD704" headerRowCount="1" totalsRowCount="0" totalsRowShown="0">
  <x:autoFilter ref="A4:AD704"/>
  <x:tableColumns count="30">
    <x:tableColumn id="1" name="Actual ID"/>
    <x:tableColumn id="2" name="Production Date"/>
    <x:tableColumn id="3" name="Shift"/>
    <x:tableColumn id="4" name="Work Centre Code"/>
    <x:tableColumn id="5" name="Machine / Line ID"/>
    <x:tableColumn id="6" name="PI No"/>
    <x:tableColumn id="7" name="Order ID"/>
    <x:tableColumn id="8" name="Article Code"/>
    <x:tableColumn id="9" name="Article Type"/>
    <x:tableColumn id="10" name="Size / Range"/>
    <x:tableColumn id="11" name="Stage"/>
    <x:tableColumn id="12" name="Start Time"/>
    <x:tableColumn id="13" name="End Time"/>
    <x:tableColumn id="14" name="Planned Pairs"/>
    <x:tableColumn id="15" name="Opening WIP"/>
    <x:tableColumn id="16" name="Input Pairs"/>
    <x:tableColumn id="17" name="Good Pairs"/>
    <x:tableColumn id="18" name="Reject Pairs"/>
    <x:tableColumn id="19" name="Rework Pairs"/>
    <x:tableColumn id="20" name="Closing WIP"/>
    <x:tableColumn id="21" name="Variance to Plan"/>
    <x:tableColumn id="22" name="Attainment %"/>
    <x:tableColumn id="23" name="Running Minutes"/>
    <x:tableColumn id="24" name="Downtime Minutes"/>
    <x:tableColumn id="25" name="Operators"/>
    <x:tableColumn id="26" name="Supervisor"/>
    <x:tableColumn id="27" name="Variance / Reject Reason"/>
    <x:tableColumn id="28" name="Corrective Action"/>
    <x:tableColumn id="29" name="Approved By"/>
    <x:tableColumn id="30" name="Updated Timestamp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15" name="DowntimeLogTable" displayName="DowntimeLogTable" ref="A4:X404" headerRowCount="1" totalsRowCount="0" totalsRowShown="0">
  <x:autoFilter ref="A4:X404"/>
  <x:tableColumns count="24">
    <x:tableColumn id="1" name="Downtime ID"/>
    <x:tableColumn id="2" name="Date"/>
    <x:tableColumn id="3" name="Shift"/>
    <x:tableColumn id="4" name="Work Centre Code"/>
    <x:tableColumn id="5" name="Machine / Line ID"/>
    <x:tableColumn id="6" name="PI No"/>
    <x:tableColumn id="7" name="Order ID"/>
    <x:tableColumn id="8" name="Category"/>
    <x:tableColumn id="9" name="Planned / Unplanned"/>
    <x:tableColumn id="10" name="Start Time"/>
    <x:tableColumn id="11" name="End Time"/>
    <x:tableColumn id="12" name="Total Minutes"/>
    <x:tableColumn id="13" name="Estimated Pairs Lost"/>
    <x:tableColumn id="14" name="Reason"/>
    <x:tableColumn id="15" name="Root Cause"/>
    <x:tableColumn id="16" name="Immediate Action"/>
    <x:tableColumn id="17" name="Permanent Corrective Action"/>
    <x:tableColumn id="18" name="Owner"/>
    <x:tableColumn id="19" name="Status"/>
    <x:tableColumn id="20" name="Target Closure Date"/>
    <x:tableColumn id="21" name="Closed Date"/>
    <x:tableColumn id="22" name="Reported By"/>
    <x:tableColumn id="23" name="Approved By"/>
    <x:tableColumn id="24" name="Updated Timestamp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16" name="PackingDispatchTable" displayName="PackingDispatchTable" ref="A4:X504" headerRowCount="1" totalsRowCount="0" totalsRowShown="0">
  <x:autoFilter ref="A4:X504"/>
  <x:tableColumns count="24">
    <x:tableColumn id="1" name="Event ID"/>
    <x:tableColumn id="2" name="Packing Date"/>
    <x:tableColumn id="3" name="Dispatch Date"/>
    <x:tableColumn id="4" name="PI No"/>
    <x:tableColumn id="5" name="Order ID"/>
    <x:tableColumn id="6" name="Customer"/>
    <x:tableColumn id="7" name="Article Code"/>
    <x:tableColumn id="8" name="Article Type"/>
    <x:tableColumn id="9" name="Size / Range"/>
    <x:tableColumn id="10" name="Pairs Packed"/>
    <x:tableColumn id="11" name="Pairs / Carton"/>
    <x:tableColumn id="12" name="Cartons"/>
    <x:tableColumn id="13" name="Pairs Dispatched"/>
    <x:tableColumn id="14" name="Dispatch Status"/>
    <x:tableColumn id="15" name="Shortage Pairs Closed"/>
    <x:tableColumn id="16" name="Close Order?"/>
    <x:tableColumn id="17" name="Packing Report No"/>
    <x:tableColumn id="18" name="Challan / Invoice No"/>
    <x:tableColumn id="19" name="Transporter"/>
    <x:tableColumn id="20" name="Vehicle / Tracking"/>
    <x:tableColumn id="21" name="Quality Hold"/>
    <x:tableColumn id="22" name="Reason / Note"/>
    <x:tableColumn id="23" name="Updated By"/>
    <x:tableColumn id="24" name="Updated Timestamp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17" name="PipelineChangesTable" displayName="PipelineChangesTable" ref="A4:V504" headerRowCount="1" totalsRowCount="0" totalsRowShown="0">
  <x:autoFilter ref="A4:V504"/>
  <x:tableColumns count="22">
    <x:tableColumn id="1" name="Change ID"/>
    <x:tableColumn id="2" name="Change Timestamp"/>
    <x:tableColumn id="3" name="PI No"/>
    <x:tableColumn id="4" name="Order ID"/>
    <x:tableColumn id="5" name="Article Code"/>
    <x:tableColumn id="6" name="Quantity Affected"/>
    <x:tableColumn id="7" name="From Stage"/>
    <x:tableColumn id="8" name="To Stage"/>
    <x:tableColumn id="9" name="Change Type"/>
    <x:tableColumn id="10" name="Reason Code"/>
    <x:tableColumn id="11" name="Detailed Reason"/>
    <x:tableColumn id="12" name="Previous Completion Date"/>
    <x:tableColumn id="13" name="Revised Completion Date"/>
    <x:tableColumn id="14" name="Delay Days"/>
    <x:tableColumn id="15" name="Customer Impact?"/>
    <x:tableColumn id="16" name="Production Plan Impact"/>
    <x:tableColumn id="17" name="Dispatch Impact"/>
    <x:tableColumn id="18" name="Approval Required?"/>
    <x:tableColumn id="19" name="Approved By"/>
    <x:tableColumn id="20" name="Updated By"/>
    <x:tableColumn id="21" name="Resolution Status"/>
    <x:tableColumn id="22" name="Resolution Note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18" name="FeedbackLogTable" displayName="FeedbackLogTable" ref="A4:V304" headerRowCount="1" totalsRowCount="0" totalsRowShown="0">
  <x:autoFilter ref="A4:V304"/>
  <x:tableColumns count="22">
    <x:tableColumn id="1" name="Feedback ID"/>
    <x:tableColumn id="2" name="Raised Date"/>
    <x:tableColumn id="3" name="Raised By"/>
    <x:tableColumn id="4" name="Source Role"/>
    <x:tableColumn id="5" name="Module / Tab"/>
    <x:tableColumn id="6" name="Feedback Type"/>
    <x:tableColumn id="7" name="Related PI / Order"/>
    <x:tableColumn id="8" name="Problem / Request"/>
    <x:tableColumn id="9" name="Expected Behaviour"/>
    <x:tableColumn id="10" name="Severity"/>
    <x:tableColumn id="11" name="Business Impact"/>
    <x:tableColumn id="12" name="Evidence / Attachment Link"/>
    <x:tableColumn id="13" name="Product Decision"/>
    <x:tableColumn id="14" name="Owner"/>
    <x:tableColumn id="15" name="Status"/>
    <x:tableColumn id="16" name="Target Date"/>
    <x:tableColumn id="17" name="Implemented Release"/>
    <x:tableColumn id="18" name="Test Evidence"/>
    <x:tableColumn id="19" name="Retested By"/>
    <x:tableColumn id="20" name="Retest Date"/>
    <x:tableColumn id="21" name="Client Accepted?"/>
    <x:tableColumn id="22" name="Closure Not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39236a66234d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275a26395645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0aa38c498340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d91b6a16d348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74c63f1fd04e46" /><Relationship Type="http://schemas.openxmlformats.org/officeDocument/2006/relationships/table" Target="/xl/tables/table6.xml" Id="R9df3155fe72342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174244940324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d0677c16ea047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0a0e84037dd4b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75bcaa665944b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096429c8dab4c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e907bd088c041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13cbd76bd6b447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d137421c57248d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d603bd2740640b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77a07471bca4ef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7b25594cdce4d4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d1d155be48b4d7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.xml" Id="Rd46ae1f78e7644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58" hidden="0" customWidth="1"/>
    <x:col min="4" max="4" width="25" hidden="0" customWidth="1"/>
    <x:col min="5" max="5" width="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40" t="str">
        <x:v>Factory OS — Client Complete Input Pack</x:v>
      </x:c>
      <x:c r="B1" s="122"/>
      <x:c r="C1" s="122"/>
      <x:c r="D1" s="122"/>
      <x:c r="E1" s="122"/>
      <x:c r="F1" s="122"/>
      <x:c r="G1" s="122"/>
      <x:c r="H1" s="122"/>
    </x:row>
    <x:row r="2" ht="34" customHeight="1">
      <x:c r="A2" s="123" t="str">
        <x:v>Purpose: replace placeholders with approved factory data and create one disciplined feed for live planning, actual production, pipeline movement and management feedback.</x:v>
      </x:c>
      <x:c r="B2" s="123"/>
      <x:c r="C2" s="123"/>
      <x:c r="D2" s="123"/>
      <x:c r="E2" s="123"/>
      <x:c r="F2" s="123"/>
      <x:c r="G2" s="123"/>
      <x:c r="H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</x:row>
    <x:row r="4">
      <x:c r="A4" s="125"/>
      <x:c r="B4" s="125"/>
      <x:c r="C4" s="125"/>
      <x:c r="D4" s="125"/>
      <x:c r="E4" s="125"/>
      <x:c r="F4" s="125"/>
      <x:c r="G4" s="125"/>
      <x:c r="H4" s="125"/>
    </x:row>
    <x:row r="5">
      <x:c r="A5" s="126" t="str">
        <x:v>How to use this workbook</x:v>
      </x:c>
      <x:c r="B5" s="126"/>
      <x:c r="C5" s="126"/>
      <x:c r="D5" s="126"/>
      <x:c r="E5" s="126"/>
      <x:c r="F5" s="126"/>
      <x:c r="G5" s="126"/>
      <x:c r="H5" s="126"/>
    </x:row>
    <x:row r="6">
      <x:c r="A6" s="126" t="str">
        <x:v>Step</x:v>
      </x:c>
      <x:c r="B6" s="126" t="str">
        <x:v>Action</x:v>
      </x:c>
      <x:c r="C6" s="126" t="str">
        <x:v>What the client must do</x:v>
      </x:c>
      <x:c r="D6" s="126" t="str">
        <x:v>Frequency</x:v>
      </x:c>
      <x:c r="E6" s="125"/>
      <x:c r="F6" s="125"/>
      <x:c r="G6" s="125"/>
      <x:c r="H6" s="125"/>
    </x:row>
    <x:row r="7">
      <x:c r="A7" s="127" t="str">
        <x:v>1</x:v>
      </x:c>
      <x:c r="B7" s="127" t="str">
        <x:v>Nominate owners</x:v>
      </x:c>
      <x:c r="C7" s="127" t="str">
        <x:v>Fill the client owner and approver for each section in Data Readiness.</x:v>
      </x:c>
      <x:c r="D7" s="127" t="str">
        <x:v>Before work starts</x:v>
      </x:c>
      <x:c r="E7" s="125"/>
      <x:c r="F7" s="125"/>
      <x:c r="G7" s="125"/>
      <x:c r="H7" s="125"/>
    </x:row>
    <x:row r="8">
      <x:c r="A8" s="128" t="str">
        <x:v>2</x:v>
      </x:c>
      <x:c r="B8" s="128" t="str">
        <x:v>Confirm masters</x:v>
      </x:c>
      <x:c r="C8" s="128" t="str">
        <x:v>Complete Machines, Articles, Routing, Packing, Catalogue, BOM, Materials and Parties.</x:v>
      </x:c>
      <x:c r="D8" s="128" t="str">
        <x:v>One-time, then when changed</x:v>
      </x:c>
      <x:c r="E8" s="125"/>
      <x:c r="F8" s="125"/>
      <x:c r="G8" s="125"/>
      <x:c r="H8" s="125"/>
    </x:row>
    <x:row r="9">
      <x:c r="A9" s="128" t="str">
        <x:v>3</x:v>
      </x:c>
      <x:c r="B9" s="128" t="str">
        <x:v>Load opening pipeline</x:v>
      </x:c>
      <x:c r="C9" s="128" t="str">
        <x:v>Put every open order in Orders. Use one row per article/order and keep every size in that same row.</x:v>
      </x:c>
      <x:c r="D9" s="128" t="str">
        <x:v>Before go-live</x:v>
      </x:c>
      <x:c r="E9" s="125"/>
      <x:c r="F9" s="125"/>
      <x:c r="G9" s="125"/>
      <x:c r="H9" s="125"/>
    </x:row>
    <x:row r="10">
      <x:c r="A10" s="128" t="str">
        <x:v>4</x:v>
      </x:c>
      <x:c r="B10" s="128" t="str">
        <x:v>Publish the plan</x:v>
      </x:c>
      <x:c r="C10" s="128" t="str">
        <x:v>Planning enters machine/shift allocations in Production Plan.</x:v>
      </x:c>
      <x:c r="D10" s="128" t="str">
        <x:v>Daily before production</x:v>
      </x:c>
      <x:c r="E10" s="125"/>
      <x:c r="F10" s="125"/>
      <x:c r="G10" s="125"/>
      <x:c r="H10" s="125"/>
    </x:row>
    <x:row r="11">
      <x:c r="A11" s="128" t="str">
        <x:v>5</x:v>
      </x:c>
      <x:c r="B11" s="128" t="str">
        <x:v>Capture actuals</x:v>
      </x:c>
      <x:c r="C11" s="128" t="str">
        <x:v>Production enters good pairs, rejects, WIP and downtime by machine and shift.</x:v>
      </x:c>
      <x:c r="D11" s="128" t="str">
        <x:v>Every shift</x:v>
      </x:c>
      <x:c r="E11" s="125"/>
      <x:c r="F11" s="125"/>
      <x:c r="G11" s="125"/>
      <x:c r="H11" s="125"/>
    </x:row>
    <x:row r="12">
      <x:c r="A12" s="128" t="str">
        <x:v>6</x:v>
      </x:c>
      <x:c r="B12" s="128" t="str">
        <x:v>Record movements</x:v>
      </x:c>
      <x:c r="C12" s="128" t="str">
        <x:v>Any hold, stage change, priority change or revised dispatch date goes in Pipeline Changes.</x:v>
      </x:c>
      <x:c r="D12" s="128" t="str">
        <x:v>At the time of change</x:v>
      </x:c>
      <x:c r="E12" s="125"/>
      <x:c r="F12" s="125"/>
      <x:c r="G12" s="125"/>
      <x:c r="H12" s="125"/>
    </x:row>
    <x:row r="13">
      <x:c r="A13" s="129" t="str">
        <x:v>7</x:v>
      </x:c>
      <x:c r="B13" s="129" t="str">
        <x:v>Close the loop</x:v>
      </x:c>
      <x:c r="C13" s="129" t="str">
        <x:v>Packing/dispatch and feedback are recorded with evidence, owner and approval.</x:v>
      </x:c>
      <x:c r="D13" s="129" t="str">
        <x:v>Per event / weekly review</x:v>
      </x:c>
      <x:c r="E13" s="125"/>
      <x:c r="F13" s="125"/>
      <x:c r="G13" s="125"/>
      <x:c r="H13" s="125"/>
    </x:row>
    <x:row r="14">
      <x:c r="A14" s="126" t="str">
        <x:v>What the client receives once these inputs are approved</x:v>
      </x:c>
      <x:c r="B14" s="126"/>
      <x:c r="C14" s="126"/>
      <x:c r="D14" s="126"/>
      <x:c r="E14" s="126"/>
      <x:c r="F14" s="126"/>
      <x:c r="G14" s="126"/>
      <x:c r="H14" s="126"/>
    </x:row>
    <x:row r="15">
      <x:c r="A15" s="130" t="str">
        <x:v>Capacity-constrained live schedule</x:v>
      </x:c>
      <x:c r="B15" s="130" t="str">
        <x:v>Order sequence and dates by actual machine/line and available shift capacity.</x:v>
      </x:c>
      <x:c r="C15" s="125"/>
      <x:c r="D15" s="125"/>
      <x:c r="E15" s="125"/>
      <x:c r="F15" s="125"/>
      <x:c r="G15" s="125"/>
      <x:c r="H15" s="125"/>
    </x:row>
    <x:row r="16">
      <x:c r="A16" s="131" t="str">
        <x:v>Plan versus actual</x:v>
      </x:c>
      <x:c r="B16" s="131" t="str">
        <x:v>Daily and shift-level attainment, rejection, rework and downtime by work centre.</x:v>
      </x:c>
      <x:c r="C16" s="125"/>
      <x:c r="D16" s="125"/>
      <x:c r="E16" s="125"/>
      <x:c r="F16" s="125"/>
      <x:c r="G16" s="125"/>
      <x:c r="H16" s="125"/>
    </x:row>
    <x:row r="17">
      <x:c r="A17" s="131" t="str">
        <x:v>Order pipeline</x:v>
      </x:c>
      <x:c r="B17" s="131" t="str">
        <x:v>Current stage, stage movements, holds, revised dates and the reason/approver for every change.</x:v>
      </x:c>
      <x:c r="C17" s="125"/>
      <x:c r="D17" s="125"/>
      <x:c r="E17" s="125"/>
      <x:c r="F17" s="125"/>
      <x:c r="G17" s="125"/>
      <x:c r="H17" s="125"/>
    </x:row>
    <x:row r="18">
      <x:c r="A18" s="131" t="str">
        <x:v>Delivery risk</x:v>
      </x:c>
      <x:c r="B18" s="131" t="str">
        <x:v>Orders at risk because of capacity, late stages, downtime, material shortage or revised priorities.</x:v>
      </x:c>
      <x:c r="C18" s="125"/>
      <x:c r="D18" s="125"/>
      <x:c r="E18" s="125"/>
      <x:c r="F18" s="125"/>
      <x:c r="G18" s="125"/>
      <x:c r="H18" s="125"/>
    </x:row>
    <x:row r="19">
      <x:c r="A19" s="131" t="str">
        <x:v>Packing and dispatch</x:v>
      </x:c>
      <x:c r="B19" s="131" t="str">
        <x:v>Packed, dispatched, pending and shortage-closed quantities against each PI/order.</x:v>
      </x:c>
      <x:c r="C19" s="125"/>
      <x:c r="D19" s="125"/>
      <x:c r="E19" s="125"/>
      <x:c r="F19" s="125"/>
      <x:c r="G19" s="125"/>
      <x:c r="H19" s="125"/>
    </x:row>
    <x:row r="20">
      <x:c r="A20" s="131" t="str">
        <x:v>Material requirement</x:v>
      </x:c>
      <x:c r="B20" s="131" t="str">
        <x:v>BOM-based requirement, live stock and procurement shortfall by material.</x:v>
      </x:c>
      <x:c r="C20" s="125"/>
      <x:c r="D20" s="125"/>
      <x:c r="E20" s="125"/>
      <x:c r="F20" s="125"/>
      <x:c r="G20" s="125"/>
      <x:c r="H20" s="125"/>
    </x:row>
    <x:row r="21">
      <x:c r="A21" s="132" t="str">
        <x:v>Controlled change history</x:v>
      </x:c>
      <x:c r="B21" s="132" t="str">
        <x:v>Client feedback, decision, implementation status and test evidence.</x:v>
      </x:c>
      <x:c r="C21" s="125"/>
      <x:c r="D21" s="125"/>
      <x:c r="E21" s="125"/>
      <x:c r="F21" s="125"/>
      <x:c r="G21" s="125"/>
      <x:c r="H21" s="125"/>
    </x:row>
    <x:row r="22">
      <x:c r="A22" s="125"/>
      <x:c r="B22" s="125"/>
      <x:c r="C22" s="125"/>
      <x:c r="D22" s="125"/>
      <x:c r="E22" s="125"/>
      <x:c r="F22" s="125"/>
      <x:c r="G22" s="125"/>
      <x:c r="H22" s="125"/>
    </x:row>
    <x:row r="23">
      <x:c r="A23" s="126" t="str">
        <x:v>Non-negotiable data rules</x:v>
      </x:c>
      <x:c r="B23" s="126"/>
      <x:c r="C23" s="126"/>
      <x:c r="D23" s="126"/>
      <x:c r="E23" s="126"/>
      <x:c r="F23" s="126"/>
      <x:c r="G23" s="126"/>
      <x:c r="H23" s="126"/>
    </x:row>
    <x:row r="24">
      <x:c r="A24" s="133" t="str">
        <x:v>One row = one business record. Do not create a new order line merely because the size changes.</x:v>
      </x:c>
      <x:c r="B24" s="133"/>
      <x:c r="C24" s="133"/>
      <x:c r="D24" s="133"/>
      <x:c r="E24" s="133"/>
      <x:c r="F24" s="133"/>
      <x:c r="G24" s="133"/>
      <x:c r="H24" s="133"/>
    </x:row>
    <x:row r="25">
      <x:c r="A25" s="134" t="str">
        <x:v>Orders must keep all size quantities in the same row. Kids sizes use the s suffix (6s–13s).</x:v>
      </x:c>
      <x:c r="B25" s="134"/>
      <x:c r="C25" s="134"/>
      <x:c r="D25" s="134"/>
      <x:c r="E25" s="134"/>
      <x:c r="F25" s="134"/>
      <x:c r="G25" s="134"/>
      <x:c r="H25" s="134"/>
    </x:row>
    <x:row r="26">
      <x:c r="A26" s="134" t="str">
        <x:v>Never overwrite plan values with actual values; plans and actuals belong in separate sheets.</x:v>
      </x:c>
      <x:c r="B26" s="134"/>
      <x:c r="C26" s="134"/>
      <x:c r="D26" s="134"/>
      <x:c r="E26" s="134"/>
      <x:c r="F26" s="134"/>
      <x:c r="G26" s="134"/>
      <x:c r="H26" s="134"/>
    </x:row>
    <x:row r="27">
      <x:c r="A27" s="134" t="str">
        <x:v>Every pipeline change needs a reason, owner, timestamp and approval where it changes delivery.</x:v>
      </x:c>
      <x:c r="B27" s="134"/>
      <x:c r="C27" s="134"/>
      <x:c r="D27" s="134"/>
      <x:c r="E27" s="134"/>
      <x:c r="F27" s="134"/>
      <x:c r="G27" s="134"/>
      <x:c r="H27" s="134"/>
    </x:row>
    <x:row r="28">
      <x:c r="A28" s="134" t="str">
        <x:v>Use stable PI, order, article, work-centre and machine IDs. Do not rename an ID after it is used.</x:v>
      </x:c>
      <x:c r="B28" s="134"/>
      <x:c r="C28" s="134"/>
      <x:c r="D28" s="134"/>
      <x:c r="E28" s="134"/>
      <x:c r="F28" s="134"/>
      <x:c r="G28" s="134"/>
      <x:c r="H28" s="134"/>
    </x:row>
    <x:row r="29">
      <x:c r="A29" s="135" t="str">
        <x:v>Unknown values stay blank or To Confirm. Do not guess factory data.</x:v>
      </x:c>
      <x:c r="B29" s="135"/>
      <x:c r="C29" s="135"/>
      <x:c r="D29" s="135"/>
      <x:c r="E29" s="135"/>
      <x:c r="F29" s="135"/>
      <x:c r="G29" s="135"/>
      <x:c r="H29" s="135"/>
    </x:row>
    <x:row r="30">
      <x:c r="A30" s="125"/>
      <x:c r="B30" s="125"/>
      <x:c r="C30" s="125"/>
      <x:c r="D30" s="125"/>
      <x:c r="E30" s="125"/>
      <x:c r="F30" s="125"/>
      <x:c r="G30" s="125"/>
      <x:c r="H30" s="125"/>
    </x:row>
    <x:row r="31">
      <x:c r="A31" s="127" t="str">
        <x:v>Client project owner</x:v>
      </x:c>
      <x:c r="B31" s="136" t="str"/>
      <x:c r="C31" s="125"/>
      <x:c r="D31" s="125"/>
      <x:c r="E31" s="125"/>
      <x:c r="F31" s="125"/>
      <x:c r="G31" s="125"/>
      <x:c r="H31" s="125"/>
    </x:row>
    <x:row r="32">
      <x:c r="A32" s="128" t="str">
        <x:v>Factory data approver</x:v>
      </x:c>
      <x:c r="B32" s="137" t="str"/>
      <x:c r="C32" s="125"/>
      <x:c r="D32" s="125"/>
      <x:c r="E32" s="125"/>
      <x:c r="F32" s="125"/>
      <x:c r="G32" s="125"/>
      <x:c r="H32" s="125"/>
    </x:row>
    <x:row r="33">
      <x:c r="A33" s="128" t="str">
        <x:v>Planned go-live date</x:v>
      </x:c>
      <x:c r="B33" s="138" t="str"/>
      <x:c r="C33" s="125"/>
      <x:c r="D33" s="125"/>
      <x:c r="E33" s="125"/>
      <x:c r="F33" s="125"/>
      <x:c r="G33" s="125"/>
      <x:c r="H33" s="125"/>
    </x:row>
    <x:row r="34">
      <x:c r="A34" s="129" t="str">
        <x:v>Daily cut-off time</x:v>
      </x:c>
      <x:c r="B34" s="139" t="str"/>
      <x:c r="C34" s="125"/>
      <x:c r="D34" s="125"/>
      <x:c r="E34" s="125"/>
      <x:c r="F34" s="125"/>
      <x:c r="G34" s="125"/>
      <x:c r="H34" s="125"/>
    </x:row>
  </x:sheetData>
  <x:mergeCells>
    <x:mergeCell ref="A1:H1"/>
    <x:mergeCell ref="A2:H2"/>
    <x:mergeCell ref="A3:H3"/>
    <x:mergeCell ref="A5:H5"/>
    <x:mergeCell ref="A14:H14"/>
    <x:mergeCell ref="A23:H23"/>
    <x:mergeCell ref="A24:H24"/>
    <x:mergeCell ref="A25:H25"/>
    <x:mergeCell ref="A26:H26"/>
    <x:mergeCell ref="A27:H27"/>
    <x:mergeCell ref="A28:H2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52" hidden="0" customWidth="1"/>
    <x:col min="4" max="4" width="20" hidden="0" customWidth="1"/>
    <x:col min="5" max="5" width="24" hidden="0" customWidth="1"/>
    <x:col min="6" max="6" width="18" hidden="0" customWidth="1"/>
    <x:col min="7" max="7" width="50" hidden="0" customWidth="1"/>
    <x:col min="8" max="8" width="18" hidden="0" customWidth="1"/>
    <x:col min="9" max="9" width="18" hidden="0" customWidth="1"/>
    <x:col min="10" max="10" width="20" hidden="0" customWidth="1"/>
    <x:col min="11" max="11" width="14" hidden="0" customWidth="1"/>
    <x:col min="12" max="12" width="40" hidden="0" customWidth="1"/>
  </x:cols>
  <x:sheetData>
    <x:row r="1" ht="30" customHeight="1">
      <x:c r="A1" s="140" t="str">
        <x:v>Data Readiness &amp; Ownership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</x:row>
    <x:row r="2" ht="34" customHeight="1">
      <x:c r="A2" s="123" t="str">
        <x:v>Use this as the collection tracker. The model should not be treated as live until every required row is validated and approved.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</x:row>
    <x:row r="4" ht="34" customHeight="1">
      <x:c r="A4" s="141" t="str">
        <x:v>ID</x:v>
      </x:c>
      <x:c r="B4" s="142" t="str">
        <x:v>Input Area</x:v>
      </x:c>
      <x:c r="C4" s="142" t="str">
        <x:v>Why It Is Required</x:v>
      </x:c>
      <x:c r="D4" s="142" t="str">
        <x:v>Client Owner</x:v>
      </x:c>
      <x:c r="E4" s="142" t="str">
        <x:v>Update Frequency</x:v>
      </x:c>
      <x:c r="F4" s="142" t="str">
        <x:v>Required Before Go-live</x:v>
      </x:c>
      <x:c r="G4" s="142" t="str">
        <x:v>Current Model Status</x:v>
      </x:c>
      <x:c r="H4" s="142" t="str">
        <x:v>Client Status</x:v>
      </x:c>
      <x:c r="I4" s="142" t="str">
        <x:v>Approval Status</x:v>
      </x:c>
      <x:c r="J4" s="142" t="str">
        <x:v>Approver</x:v>
      </x:c>
      <x:c r="K4" s="142" t="str">
        <x:v>Target Date</x:v>
      </x:c>
      <x:c r="L4" s="143" t="str">
        <x:v>Notes / Blocker</x:v>
      </x:c>
    </x:row>
    <x:row r="5">
      <x:c r="A5" s="127" t="str">
        <x:v>M01</x:v>
      </x:c>
      <x:c r="B5" s="127" t="str">
        <x:v>Physical machines and real capacity</x:v>
      </x:c>
      <x:c r="C5" s="127" t="str">
        <x:v>Drives capacity-constrained scheduling and machine utilisation.</x:v>
      </x:c>
      <x:c r="D5" s="136" t="str"/>
      <x:c r="E5" s="136" t="str">
        <x:v>One-time before go-live</x:v>
      </x:c>
      <x:c r="F5" s="136" t="str">
        <x:v>Yes</x:v>
      </x:c>
      <x:c r="G5" s="127" t="str">
        <x:v>11 work-centre capacities are placeholders.</x:v>
      </x:c>
      <x:c r="H5" s="136" t="str">
        <x:v>Not Started</x:v>
      </x:c>
      <x:c r="I5" s="136" t="str">
        <x:v>Pending</x:v>
      </x:c>
      <x:c r="J5" s="136" t="str"/>
      <x:c r="K5" s="144" t="str"/>
      <x:c r="L5" s="136" t="str"/>
    </x:row>
    <x:row r="6">
      <x:c r="A6" s="128" t="str">
        <x:v>M02</x:v>
      </x:c>
      <x:c r="B6" s="128" t="str">
        <x:v>Shift and availability calendar</x:v>
      </x:c>
      <x:c r="C6" s="128" t="str">
        <x:v>Prevents planning production on holidays, maintenance and unavailable shifts.</x:v>
      </x:c>
      <x:c r="D6" s="137" t="str"/>
      <x:c r="E6" s="137" t="str">
        <x:v>Daily before planning</x:v>
      </x:c>
      <x:c r="F6" s="137" t="str">
        <x:v>Yes</x:v>
      </x:c>
      <x:c r="G6" s="128" t="str">
        <x:v>No live calendar exists in the model.</x:v>
      </x:c>
      <x:c r="H6" s="137" t="str">
        <x:v>Not Started</x:v>
      </x:c>
      <x:c r="I6" s="137" t="str">
        <x:v>Pending</x:v>
      </x:c>
      <x:c r="J6" s="137" t="str"/>
      <x:c r="K6" s="138" t="str"/>
      <x:c r="L6" s="137" t="str"/>
    </x:row>
    <x:row r="7">
      <x:c r="A7" s="128" t="str">
        <x:v>A01</x:v>
      </x:c>
      <x:c r="B7" s="128" t="str">
        <x:v>Article master and article nature</x:v>
      </x:c>
      <x:c r="C7" s="128" t="str">
        <x:v>Controls article type, required colours, printing and stitching route.</x:v>
      </x:c>
      <x:c r="D7" s="137" t="str"/>
      <x:c r="E7" s="137" t="str">
        <x:v>When changed</x:v>
      </x:c>
      <x:c r="F7" s="137" t="str">
        <x:v>Yes</x:v>
      </x:c>
      <x:c r="G7" s="128" t="str">
        <x:v>14 article records exist; several attributes need confirmation.</x:v>
      </x:c>
      <x:c r="H7" s="137" t="str">
        <x:v>Not Started</x:v>
      </x:c>
      <x:c r="I7" s="137" t="str">
        <x:v>Pending</x:v>
      </x:c>
      <x:c r="J7" s="137" t="str"/>
      <x:c r="K7" s="138" t="str"/>
      <x:c r="L7" s="137" t="str"/>
    </x:row>
    <x:row r="8">
      <x:c r="A8" s="128" t="str">
        <x:v>A02</x:v>
      </x:c>
      <x:c r="B8" s="128" t="str">
        <x:v>PVC rotary/vertical assignment</x:v>
      </x:c>
      <x:c r="C8" s="128" t="str">
        <x:v>Routes each PVC article to the correct physical molding machine.</x:v>
      </x:c>
      <x:c r="D8" s="137" t="str"/>
      <x:c r="E8" s="137" t="str">
        <x:v>One-time before go-live</x:v>
      </x:c>
      <x:c r="F8" s="137" t="str">
        <x:v>Yes</x:v>
      </x:c>
      <x:c r="G8" s="128" t="str">
        <x:v>All 7 PVC article assignments are missing.</x:v>
      </x:c>
      <x:c r="H8" s="137" t="str">
        <x:v>Not Started</x:v>
      </x:c>
      <x:c r="I8" s="137" t="str">
        <x:v>Pending</x:v>
      </x:c>
      <x:c r="J8" s="137" t="str"/>
      <x:c r="K8" s="138" t="str"/>
      <x:c r="L8" s="137" t="str"/>
    </x:row>
    <x:row r="9">
      <x:c r="A9" s="128" t="str">
        <x:v>R01</x:v>
      </x:c>
      <x:c r="B9" s="128" t="str">
        <x:v>Routing and stage lead times</x:v>
      </x:c>
      <x:c r="C9" s="128" t="str">
        <x:v>Controls the order pipeline and promised completion dates.</x:v>
      </x:c>
      <x:c r="D9" s="137" t="str"/>
      <x:c r="E9" s="137" t="str">
        <x:v>One-time before go-live</x:v>
      </x:c>
      <x:c r="F9" s="137" t="str">
        <x:v>Yes</x:v>
      </x:c>
      <x:c r="G9" s="128" t="str">
        <x:v>30-day stage targets and lead times are placeholders.</x:v>
      </x:c>
      <x:c r="H9" s="137" t="str">
        <x:v>Not Started</x:v>
      </x:c>
      <x:c r="I9" s="137" t="str">
        <x:v>Pending</x:v>
      </x:c>
      <x:c r="J9" s="137" t="str"/>
      <x:c r="K9" s="138" t="str"/>
      <x:c r="L9" s="137" t="str"/>
    </x:row>
    <x:row r="10">
      <x:c r="A10" s="128" t="str">
        <x:v>P01</x:v>
      </x:c>
      <x:c r="B10" s="128" t="str">
        <x:v>Combination packing rules</x:v>
      </x:c>
      <x:c r="C10" s="128" t="str">
        <x:v>Calculates pairs/carton and cartons separately for every article/range.</x:v>
      </x:c>
      <x:c r="D10" s="137" t="str"/>
      <x:c r="E10" s="137" t="str">
        <x:v>When changed</x:v>
      </x:c>
      <x:c r="F10" s="137" t="str">
        <x:v>Yes</x:v>
      </x:c>
      <x:c r="G10" s="128" t="str">
        <x:v>Several ranges require confirmation.</x:v>
      </x:c>
      <x:c r="H10" s="137" t="str">
        <x:v>Not Started</x:v>
      </x:c>
      <x:c r="I10" s="137" t="str">
        <x:v>Pending</x:v>
      </x:c>
      <x:c r="J10" s="137" t="str"/>
      <x:c r="K10" s="138" t="str"/>
      <x:c r="L10" s="137" t="str"/>
    </x:row>
    <x:row r="11">
      <x:c r="A11" s="128" t="str">
        <x:v>P02</x:v>
      </x:c>
      <x:c r="B11" s="128" t="str">
        <x:v>Single-size packing rules</x:v>
      </x:c>
      <x:c r="C11" s="128" t="str">
        <x:v>Prevents a single-size order being treated as a combination pack.</x:v>
      </x:c>
      <x:c r="D11" s="137" t="str"/>
      <x:c r="E11" s="137" t="str">
        <x:v>When changed</x:v>
      </x:c>
      <x:c r="F11" s="137" t="str">
        <x:v>Yes</x:v>
      </x:c>
      <x:c r="G11" s="128" t="str">
        <x:v>Current profile mappings need factory approval.</x:v>
      </x:c>
      <x:c r="H11" s="137" t="str">
        <x:v>Not Started</x:v>
      </x:c>
      <x:c r="I11" s="137" t="str">
        <x:v>Pending</x:v>
      </x:c>
      <x:c r="J11" s="137" t="str"/>
      <x:c r="K11" s="138" t="str"/>
      <x:c r="L11" s="137" t="str"/>
    </x:row>
    <x:row r="12">
      <x:c r="A12" s="128" t="str">
        <x:v>C01</x:v>
      </x:c>
      <x:c r="B12" s="128" t="str">
        <x:v>Catalogue MRP and photos</x:v>
      </x:c>
      <x:c r="C12" s="128" t="str">
        <x:v>Produces complete PIs and an editable catalogue.</x:v>
      </x:c>
      <x:c r="D12" s="137" t="str"/>
      <x:c r="E12" s="137" t="str">
        <x:v>When changed</x:v>
      </x:c>
      <x:c r="F12" s="137" t="str">
        <x:v>Yes</x:v>
      </x:c>
      <x:c r="G12" s="128" t="str">
        <x:v>Only Rex Gola Plus has size-range MRP in the reference master.</x:v>
      </x:c>
      <x:c r="H12" s="137" t="str">
        <x:v>Not Started</x:v>
      </x:c>
      <x:c r="I12" s="137" t="str">
        <x:v>Pending</x:v>
      </x:c>
      <x:c r="J12" s="137" t="str"/>
      <x:c r="K12" s="138" t="str"/>
      <x:c r="L12" s="137" t="str"/>
    </x:row>
    <x:row r="13">
      <x:c r="A13" s="128" t="str">
        <x:v>B01</x:v>
      </x:c>
      <x:c r="B13" s="128" t="str">
        <x:v>BOM consumption and wastage</x:v>
      </x:c>
      <x:c r="C13" s="128" t="str">
        <x:v>Drives procurement and material shortage calculations.</x:v>
      </x:c>
      <x:c r="D13" s="137" t="str"/>
      <x:c r="E13" s="137" t="str">
        <x:v>When changed</x:v>
      </x:c>
      <x:c r="F13" s="137" t="str">
        <x:v>Yes</x:v>
      </x:c>
      <x:c r="G13" s="128" t="str">
        <x:v>Current BOM seed requires client confirmation; some source workbooks are incomplete.</x:v>
      </x:c>
      <x:c r="H13" s="137" t="str">
        <x:v>Not Started</x:v>
      </x:c>
      <x:c r="I13" s="137" t="str">
        <x:v>Pending</x:v>
      </x:c>
      <x:c r="J13" s="137" t="str"/>
      <x:c r="K13" s="138" t="str"/>
      <x:c r="L13" s="137" t="str"/>
    </x:row>
    <x:row r="14">
      <x:c r="A14" s="128" t="str">
        <x:v>S01</x:v>
      </x:c>
      <x:c r="B14" s="128" t="str">
        <x:v>Material physical stock</x:v>
      </x:c>
      <x:c r="C14" s="128" t="str">
        <x:v>Nets material requirements against real available stock.</x:v>
      </x:c>
      <x:c r="D14" s="137" t="str"/>
      <x:c r="E14" s="137" t="str">
        <x:v>Daily before planning</x:v>
      </x:c>
      <x:c r="F14" s="137" t="str">
        <x:v>Yes</x:v>
      </x:c>
      <x:c r="G14" s="128" t="str">
        <x:v>109 materials exist; many stock balances are placeholders or zero.</x:v>
      </x:c>
      <x:c r="H14" s="137" t="str">
        <x:v>Not Started</x:v>
      </x:c>
      <x:c r="I14" s="137" t="str">
        <x:v>Pending</x:v>
      </x:c>
      <x:c r="J14" s="137" t="str"/>
      <x:c r="K14" s="138" t="str"/>
      <x:c r="L14" s="137" t="str"/>
    </x:row>
    <x:row r="15">
      <x:c r="A15" s="128" t="str">
        <x:v>T01</x:v>
      </x:c>
      <x:c r="B15" s="128" t="str">
        <x:v>Party commercial terms</x:v>
      </x:c>
      <x:c r="C15" s="128" t="str">
        <x:v>Locks discount, deductions, GST and payment split on every PI.</x:v>
      </x:c>
      <x:c r="D15" s="137" t="str"/>
      <x:c r="E15" s="137" t="str">
        <x:v>When changed</x:v>
      </x:c>
      <x:c r="F15" s="137" t="str">
        <x:v>Yes</x:v>
      </x:c>
      <x:c r="G15" s="128" t="str">
        <x:v>Stored in database; client master must be supplied and approved.</x:v>
      </x:c>
      <x:c r="H15" s="137" t="str">
        <x:v>Not Started</x:v>
      </x:c>
      <x:c r="I15" s="137" t="str">
        <x:v>Pending</x:v>
      </x:c>
      <x:c r="J15" s="137" t="str"/>
      <x:c r="K15" s="138" t="str"/>
      <x:c r="L15" s="137" t="str"/>
    </x:row>
    <x:row r="16">
      <x:c r="A16" s="128" t="str">
        <x:v>O01</x:v>
      </x:c>
      <x:c r="B16" s="128" t="str">
        <x:v>Opening order backlog</x:v>
      </x:c>
      <x:c r="C16" s="128" t="str">
        <x:v>Creates the live order and PI pipeline without duplicating sizes or orders.</x:v>
      </x:c>
      <x:c r="D16" s="137" t="str"/>
      <x:c r="E16" s="137" t="str">
        <x:v>One-time before go-live</x:v>
      </x:c>
      <x:c r="F16" s="137" t="str">
        <x:v>Yes</x:v>
      </x:c>
      <x:c r="G16" s="128" t="str">
        <x:v>Historical PIs require explicit production-plan linking.</x:v>
      </x:c>
      <x:c r="H16" s="137" t="str">
        <x:v>Not Started</x:v>
      </x:c>
      <x:c r="I16" s="137" t="str">
        <x:v>Pending</x:v>
      </x:c>
      <x:c r="J16" s="137" t="str"/>
      <x:c r="K16" s="138" t="str"/>
      <x:c r="L16" s="137" t="str"/>
    </x:row>
    <x:row r="17">
      <x:c r="A17" s="128" t="str">
        <x:v>PL01</x:v>
      </x:c>
      <x:c r="B17" s="128" t="str">
        <x:v>Daily production plan</x:v>
      </x:c>
      <x:c r="C17" s="128" t="str">
        <x:v>Defines intended order/machine/shift output before actual production begins.</x:v>
      </x:c>
      <x:c r="D17" s="137" t="str"/>
      <x:c r="E17" s="137" t="str">
        <x:v>Daily before planning</x:v>
      </x:c>
      <x:c r="F17" s="137" t="str">
        <x:v>Yes</x:v>
      </x:c>
      <x:c r="G17" s="128" t="str">
        <x:v>No approved daily plan feed exists.</x:v>
      </x:c>
      <x:c r="H17" s="137" t="str">
        <x:v>Not Started</x:v>
      </x:c>
      <x:c r="I17" s="137" t="str">
        <x:v>Pending</x:v>
      </x:c>
      <x:c r="J17" s="137" t="str"/>
      <x:c r="K17" s="138" t="str"/>
      <x:c r="L17" s="137" t="str"/>
    </x:row>
    <x:row r="18">
      <x:c r="A18" s="128" t="str">
        <x:v>AC01</x:v>
      </x:c>
      <x:c r="B18" s="128" t="str">
        <x:v>Actual production by shift</x:v>
      </x:c>
      <x:c r="C18" s="128" t="str">
        <x:v>Measures plan attainment, WIP, rejection and actual machine performance.</x:v>
      </x:c>
      <x:c r="D18" s="137" t="str"/>
      <x:c r="E18" s="137" t="str">
        <x:v>Every shift</x:v>
      </x:c>
      <x:c r="F18" s="137" t="str">
        <x:v>Yes</x:v>
      </x:c>
      <x:c r="G18" s="128" t="str">
        <x:v>No actual-production feed exists.</x:v>
      </x:c>
      <x:c r="H18" s="137" t="str">
        <x:v>Not Started</x:v>
      </x:c>
      <x:c r="I18" s="137" t="str">
        <x:v>Pending</x:v>
      </x:c>
      <x:c r="J18" s="137" t="str"/>
      <x:c r="K18" s="138" t="str"/>
      <x:c r="L18" s="137" t="str"/>
    </x:row>
    <x:row r="19">
      <x:c r="A19" s="128" t="str">
        <x:v>D01</x:v>
      </x:c>
      <x:c r="B19" s="128" t="str">
        <x:v>Downtime events and reasons</x:v>
      </x:c>
      <x:c r="C19" s="128" t="str">
        <x:v>Explains lost capacity and makes replanning accountable.</x:v>
      </x:c>
      <x:c r="D19" s="137" t="str"/>
      <x:c r="E19" s="137" t="str">
        <x:v>Per production event</x:v>
      </x:c>
      <x:c r="F19" s="137" t="str">
        <x:v>Yes</x:v>
      </x:c>
      <x:c r="G19" s="128" t="str">
        <x:v>No downtime event log exists.</x:v>
      </x:c>
      <x:c r="H19" s="137" t="str">
        <x:v>Not Started</x:v>
      </x:c>
      <x:c r="I19" s="137" t="str">
        <x:v>Pending</x:v>
      </x:c>
      <x:c r="J19" s="137" t="str"/>
      <x:c r="K19" s="138" t="str"/>
      <x:c r="L19" s="137" t="str"/>
    </x:row>
    <x:row r="20">
      <x:c r="A20" s="128" t="str">
        <x:v>DP01</x:v>
      </x:c>
      <x:c r="B20" s="128" t="str">
        <x:v>Opening packed/dispatched balances</x:v>
      </x:c>
      <x:c r="C20" s="128" t="str">
        <x:v>Calculates pending quantities correctly for partial and shortage closure.</x:v>
      </x:c>
      <x:c r="D20" s="137" t="str"/>
      <x:c r="E20" s="137" t="str">
        <x:v>One-time before go-live</x:v>
      </x:c>
      <x:c r="F20" s="137" t="str">
        <x:v>Yes</x:v>
      </x:c>
      <x:c r="G20" s="128" t="str">
        <x:v>Dispatch events exist only where previously entered.</x:v>
      </x:c>
      <x:c r="H20" s="137" t="str">
        <x:v>Not Started</x:v>
      </x:c>
      <x:c r="I20" s="137" t="str">
        <x:v>Pending</x:v>
      </x:c>
      <x:c r="J20" s="137" t="str"/>
      <x:c r="K20" s="138" t="str"/>
      <x:c r="L20" s="137" t="str"/>
    </x:row>
    <x:row r="21">
      <x:c r="A21" s="129" t="str">
        <x:v>F01</x:v>
      </x:c>
      <x:c r="B21" s="129" t="str">
        <x:v>Feedback ownership and release approval</x:v>
      </x:c>
      <x:c r="C21" s="129" t="str">
        <x:v>Prevents requests from being lost and requires retesting before closure.</x:v>
      </x:c>
      <x:c r="D21" s="139" t="str"/>
      <x:c r="E21" s="139" t="str">
        <x:v>Weekly review</x:v>
      </x:c>
      <x:c r="F21" s="139" t="str">
        <x:v>No</x:v>
      </x:c>
      <x:c r="G21" s="129" t="str">
        <x:v>Feature changes are not yet governed by a client acceptance process.</x:v>
      </x:c>
      <x:c r="H21" s="139" t="str">
        <x:v>Not Started</x:v>
      </x:c>
      <x:c r="I21" s="139" t="str">
        <x:v>Pending</x:v>
      </x:c>
      <x:c r="J21" s="139" t="str"/>
      <x:c r="K21" s="145" t="str"/>
      <x:c r="L21" s="139" t="str"/>
    </x:row>
  </x:sheetData>
  <x:mergeCells>
    <x:mergeCell ref="A1:L1"/>
    <x:mergeCell ref="A2:L2"/>
    <x:mergeCell ref="A3:L3"/>
  </x:mergeCells>
  <x:conditionalFormatting sqref="H5:I21">
    <x:cfRule type="containsText" dxfId="0" priority="1" operator="containsText" text="Approved"/>
    <x:cfRule type="containsText" dxfId="1" priority="2" operator="containsText" text="Validated"/>
    <x:cfRule type="containsText" dxfId="2" priority="3" operator="containsText" text="Confirmed"/>
    <x:cfRule type="containsText" dxfId="3" priority="4" operator="containsText" text="To Confirm"/>
    <x:cfRule type="containsText" dxfId="4" priority="5" operator="containsText" text="Rejected"/>
    <x:cfRule type="containsText" dxfId="5" priority="6" operator="containsText" text="Blocked"/>
  </x:conditionalFormatting>
  <x:dataValidations count="4">
    <x:dataValidation type="list" sqref="E5:E21">
      <x:formula1>"One-time before go-live,When changed,Daily before planning,Every shift,Per production event,Per dispatch,Weekly review"</x:formula1>
    </x:dataValidation>
    <x:dataValidation type="list" sqref="F5:F21">
      <x:formula1>"Yes,No"</x:formula1>
    </x:dataValidation>
    <x:dataValidation type="list" sqref="H5:H21">
      <x:formula1>"Not Started,In Progress,Submitted,Validated,Blocked"</x:formula1>
    </x:dataValidation>
    <x:dataValidation type="list" sqref="I5:I21">
      <x:formula1>"Pending,Approved,Rejected"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39236a66234d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18" hidden="0" customWidth="1"/>
    <x:col min="5" max="5" width="24" hidden="0" customWidth="1"/>
    <x:col min="6" max="6" width="20" hidden="0" customWidth="1"/>
    <x:col min="7" max="7" width="20" hidden="0" customWidth="1"/>
    <x:col min="8" max="8" width="22" hidden="0" customWidth="1"/>
    <x:col min="9" max="9" width="22" hidden="0" customWidth="1"/>
    <x:col min="10" max="10" width="24" hidden="0" customWidth="1"/>
    <x:col min="11" max="11" width="22" hidden="0" customWidth="1"/>
    <x:col min="12" max="12" width="18" hidden="0" customWidth="1"/>
    <x:col min="13" max="13" width="1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30" hidden="0" customWidth="1"/>
    <x:col min="20" max="20" width="20" hidden="0" customWidth="1"/>
    <x:col min="21" max="21" width="18" hidden="0" customWidth="1"/>
    <x:col min="22" max="22" width="36" hidden="0" customWidth="1"/>
  </x:cols>
  <x:sheetData>
    <x:row r="1" ht="30" customHeight="1">
      <x:c r="A1" s="140" t="str">
        <x:v>Machine &amp; Work-Centre Master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  <x:c r="U1" s="122"/>
      <x:c r="V1" s="122"/>
    </x:row>
    <x:row r="2" ht="34" customHeight="1">
      <x:c r="A2" s="123" t="str">
        <x:v>Add one row for every physical machine or pooled production line. The current work-centre rows show the placeholders used by the model today.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  <x:c r="T3" s="124"/>
      <x:c r="U3" s="124"/>
      <x:c r="V3" s="124"/>
    </x:row>
    <x:row r="4" ht="34" customHeight="1">
      <x:c r="A4" s="141" t="str">
        <x:v>Work Centre Code</x:v>
      </x:c>
      <x:c r="B4" s="142" t="str">
        <x:v>Physical Machine / Line ID</x:v>
      </x:c>
      <x:c r="C4" s="142" t="str">
        <x:v>Machine / Line Name</x:v>
      </x:c>
      <x:c r="D4" s="142" t="str">
        <x:v>Stage</x:v>
      </x:c>
      <x:c r="E4" s="142" t="str">
        <x:v>Machine Family</x:v>
      </x:c>
      <x:c r="F4" s="142" t="str">
        <x:v>Sole Type Capability</x:v>
      </x:c>
      <x:c r="G4" s="142" t="str">
        <x:v>Pooled or Exclusive</x:v>
      </x:c>
      <x:c r="H4" s="142" t="str">
        <x:v>Current Model Capacity (pairs/day)</x:v>
      </x:c>
      <x:c r="I4" s="142" t="str">
        <x:v>Client Rated Capacity (pairs/day)</x:v>
      </x:c>
      <x:c r="J4" s="142" t="str">
        <x:v>Observed Avg Good Pairs/Day (last 30 days)</x:v>
      </x:c>
      <x:c r="K4" s="142" t="str">
        <x:v>Recommended Planning Capacity</x:v>
      </x:c>
      <x:c r="L4" s="142" t="str">
        <x:v>Working Hours / Shift</x:v>
      </x:c>
      <x:c r="M4" s="142" t="str">
        <x:v>Shifts / Day</x:v>
      </x:c>
      <x:c r="N4" s="142" t="str">
        <x:v>Planned Efficiency %</x:v>
      </x:c>
      <x:c r="O4" s="142" t="str">
        <x:v>Changeover Minutes</x:v>
      </x:c>
      <x:c r="P4" s="142" t="str">
        <x:v>Minimum Batch Pairs</x:v>
      </x:c>
      <x:c r="Q4" s="142" t="str">
        <x:v>Availability</x:v>
      </x:c>
      <x:c r="R4" s="142" t="str">
        <x:v>Effective From</x:v>
      </x:c>
      <x:c r="S4" s="142" t="str">
        <x:v>Source / Evidence</x:v>
      </x:c>
      <x:c r="T4" s="142" t="str">
        <x:v>Approved By</x:v>
      </x:c>
      <x:c r="U4" s="142" t="str">
        <x:v>Confirmation Status</x:v>
      </x:c>
      <x:c r="V4" s="143" t="str">
        <x:v>Notes</x:v>
      </x:c>
    </x:row>
    <x:row r="5">
      <x:c r="A5" s="127" t="str">
        <x:v>CUTTING</x:v>
      </x:c>
      <x:c r="B5" s="136" t="str"/>
      <x:c r="C5" s="136" t="str">
        <x:v>Cutting hall</x:v>
      </x:c>
      <x:c r="D5" s="136" t="str">
        <x:v>CUTTING</x:v>
      </x:c>
      <x:c r="E5" s="136" t="str">
        <x:v>Cutting hall</x:v>
      </x:c>
      <x:c r="F5" s="136" t="str">
        <x:v>ALL</x:v>
      </x:c>
      <x:c r="G5" s="136" t="str">
        <x:v>Pooled</x:v>
      </x:c>
      <x:c r="H5" s="146" t="n">
        <x:v>2500</x:v>
      </x:c>
      <x:c r="I5" s="147" t="str"/>
      <x:c r="J5" s="147" t="str"/>
      <x:c r="K5" s="148" t="str">
        <x:f>IF(AND(I5="",J5=""),"",IF(I5="",J5,IF(J5="",I5,MIN(I5,J5))))</x:f>
      </x:c>
      <x:c r="L5" s="136" t="str"/>
      <x:c r="M5" s="136" t="str"/>
      <x:c r="N5" s="149" t="str"/>
      <x:c r="O5" s="136" t="str"/>
      <x:c r="P5" s="136" t="str"/>
      <x:c r="Q5" s="136" t="str">
        <x:v>Active</x:v>
      </x:c>
      <x:c r="R5" s="144" t="str"/>
      <x:c r="S5" s="136" t="str">
        <x:v>Current model placeholder</x:v>
      </x:c>
      <x:c r="T5" s="136" t="str"/>
      <x:c r="U5" s="136" t="str">
        <x:v>To Confirm</x:v>
      </x:c>
      <x:c r="V5" s="136" t="str"/>
    </x:row>
    <x:row r="6">
      <x:c r="A6" s="128" t="str">
        <x:v>PREPARATION</x:v>
      </x:c>
      <x:c r="B6" s="137" t="str"/>
      <x:c r="C6" s="137" t="str">
        <x:v>Preparation &amp; printing</x:v>
      </x:c>
      <x:c r="D6" s="137" t="str">
        <x:v>PREPARATION</x:v>
      </x:c>
      <x:c r="E6" s="137" t="str">
        <x:v>Preparation &amp; printing</x:v>
      </x:c>
      <x:c r="F6" s="137" t="str">
        <x:v>ALL</x:v>
      </x:c>
      <x:c r="G6" s="137" t="str">
        <x:v>Pooled</x:v>
      </x:c>
      <x:c r="H6" s="150" t="n">
        <x:v>2000</x:v>
      </x:c>
      <x:c r="I6" s="151" t="str"/>
      <x:c r="J6" s="151" t="str"/>
      <x:c r="K6" s="152" t="str">
        <x:f>IF(AND(I6="",J6=""),"",IF(I6="",J6,IF(J6="",I6,MIN(I6,J6))))</x:f>
      </x:c>
      <x:c r="L6" s="137" t="str"/>
      <x:c r="M6" s="137" t="str"/>
      <x:c r="N6" s="153" t="str"/>
      <x:c r="O6" s="137" t="str"/>
      <x:c r="P6" s="137" t="str"/>
      <x:c r="Q6" s="137" t="str">
        <x:v>Active</x:v>
      </x:c>
      <x:c r="R6" s="138" t="str"/>
      <x:c r="S6" s="137" t="str">
        <x:v>Current model placeholder</x:v>
      </x:c>
      <x:c r="T6" s="137" t="str"/>
      <x:c r="U6" s="137" t="str">
        <x:v>To Confirm</x:v>
      </x:c>
      <x:c r="V6" s="137" t="str"/>
    </x:row>
    <x:row r="7">
      <x:c r="A7" s="128" t="str">
        <x:v>STITCHING</x:v>
      </x:c>
      <x:c r="B7" s="137" t="str"/>
      <x:c r="C7" s="137" t="str">
        <x:v>Stitching lines</x:v>
      </x:c>
      <x:c r="D7" s="137" t="str">
        <x:v>STITCHING</x:v>
      </x:c>
      <x:c r="E7" s="137" t="str">
        <x:v>Stitching lines</x:v>
      </x:c>
      <x:c r="F7" s="137" t="str">
        <x:v>ALL</x:v>
      </x:c>
      <x:c r="G7" s="137" t="str">
        <x:v>Pooled</x:v>
      </x:c>
      <x:c r="H7" s="150" t="n">
        <x:v>2000</x:v>
      </x:c>
      <x:c r="I7" s="151" t="str"/>
      <x:c r="J7" s="151" t="str"/>
      <x:c r="K7" s="152" t="str">
        <x:f>IF(AND(I7="",J7=""),"",IF(I7="",J7,IF(J7="",I7,MIN(I7,J7))))</x:f>
      </x:c>
      <x:c r="L7" s="137" t="str"/>
      <x:c r="M7" s="137" t="str"/>
      <x:c r="N7" s="153" t="str"/>
      <x:c r="O7" s="137" t="str"/>
      <x:c r="P7" s="137" t="str"/>
      <x:c r="Q7" s="137" t="str">
        <x:v>Active</x:v>
      </x:c>
      <x:c r="R7" s="138" t="str"/>
      <x:c r="S7" s="137" t="str">
        <x:v>Current model placeholder</x:v>
      </x:c>
      <x:c r="T7" s="137" t="str"/>
      <x:c r="U7" s="137" t="str">
        <x:v>To Confirm</x:v>
      </x:c>
      <x:c r="V7" s="137" t="str"/>
    </x:row>
    <x:row r="8">
      <x:c r="A8" s="128" t="str">
        <x:v>UPPER_QC</x:v>
      </x:c>
      <x:c r="B8" s="137" t="str"/>
      <x:c r="C8" s="137" t="str">
        <x:v>Upper QC &amp; preparation</x:v>
      </x:c>
      <x:c r="D8" s="137" t="str">
        <x:v>UPPER_QC</x:v>
      </x:c>
      <x:c r="E8" s="137" t="str">
        <x:v>Upper QC &amp; preparation</x:v>
      </x:c>
      <x:c r="F8" s="137" t="str">
        <x:v>ALL</x:v>
      </x:c>
      <x:c r="G8" s="137" t="str">
        <x:v>Pooled</x:v>
      </x:c>
      <x:c r="H8" s="150" t="n">
        <x:v>2200</x:v>
      </x:c>
      <x:c r="I8" s="151" t="str"/>
      <x:c r="J8" s="151" t="str"/>
      <x:c r="K8" s="152" t="str">
        <x:f>IF(AND(I8="",J8=""),"",IF(I8="",J8,IF(J8="",I8,MIN(I8,J8))))</x:f>
      </x:c>
      <x:c r="L8" s="137" t="str"/>
      <x:c r="M8" s="137" t="str"/>
      <x:c r="N8" s="153" t="str"/>
      <x:c r="O8" s="137" t="str"/>
      <x:c r="P8" s="137" t="str"/>
      <x:c r="Q8" s="137" t="str">
        <x:v>Active</x:v>
      </x:c>
      <x:c r="R8" s="138" t="str"/>
      <x:c r="S8" s="137" t="str">
        <x:v>Current model placeholder</x:v>
      </x:c>
      <x:c r="T8" s="137" t="str"/>
      <x:c r="U8" s="137" t="str">
        <x:v>To Confirm</x:v>
      </x:c>
      <x:c r="V8" s="137" t="str"/>
    </x:row>
    <x:row r="9">
      <x:c r="A9" s="128" t="str">
        <x:v>MOLDING_PVC_ROTARY</x:v>
      </x:c>
      <x:c r="B9" s="137" t="str"/>
      <x:c r="C9" s="137" t="str">
        <x:v>PVC rotary</x:v>
      </x:c>
      <x:c r="D9" s="137" t="str">
        <x:v>MOLDING</x:v>
      </x:c>
      <x:c r="E9" s="137" t="str">
        <x:v>PVC rotary</x:v>
      </x:c>
      <x:c r="F9" s="137" t="str">
        <x:v>PVC</x:v>
      </x:c>
      <x:c r="G9" s="137" t="str">
        <x:v>Exclusive</x:v>
      </x:c>
      <x:c r="H9" s="150" t="n">
        <x:v>1200</x:v>
      </x:c>
      <x:c r="I9" s="151" t="str"/>
      <x:c r="J9" s="151" t="str"/>
      <x:c r="K9" s="152" t="str">
        <x:f>IF(AND(I9="",J9=""),"",IF(I9="",J9,IF(J9="",I9,MIN(I9,J9))))</x:f>
      </x:c>
      <x:c r="L9" s="137" t="str"/>
      <x:c r="M9" s="137" t="str"/>
      <x:c r="N9" s="153" t="str"/>
      <x:c r="O9" s="137" t="str"/>
      <x:c r="P9" s="137" t="str"/>
      <x:c r="Q9" s="137" t="str">
        <x:v>Active</x:v>
      </x:c>
      <x:c r="R9" s="138" t="str"/>
      <x:c r="S9" s="137" t="str">
        <x:v>Current model placeholder</x:v>
      </x:c>
      <x:c r="T9" s="137" t="str"/>
      <x:c r="U9" s="137" t="str">
        <x:v>To Confirm</x:v>
      </x:c>
      <x:c r="V9" s="137" t="str"/>
    </x:row>
    <x:row r="10">
      <x:c r="A10" s="128" t="str">
        <x:v>MOLDING_PVC_VERTICAL</x:v>
      </x:c>
      <x:c r="B10" s="137" t="str"/>
      <x:c r="C10" s="137" t="str">
        <x:v>PVC vertical</x:v>
      </x:c>
      <x:c r="D10" s="137" t="str">
        <x:v>MOLDING</x:v>
      </x:c>
      <x:c r="E10" s="137" t="str">
        <x:v>PVC vertical</x:v>
      </x:c>
      <x:c r="F10" s="137" t="str">
        <x:v>PVC</x:v>
      </x:c>
      <x:c r="G10" s="137" t="str">
        <x:v>Exclusive</x:v>
      </x:c>
      <x:c r="H10" s="150" t="n">
        <x:v>1000</x:v>
      </x:c>
      <x:c r="I10" s="151" t="str"/>
      <x:c r="J10" s="151" t="str"/>
      <x:c r="K10" s="152" t="str">
        <x:f>IF(AND(I10="",J10=""),"",IF(I10="",J10,IF(J10="",I10,MIN(I10,J10))))</x:f>
      </x:c>
      <x:c r="L10" s="137" t="str"/>
      <x:c r="M10" s="137" t="str"/>
      <x:c r="N10" s="153" t="str"/>
      <x:c r="O10" s="137" t="str"/>
      <x:c r="P10" s="137" t="str"/>
      <x:c r="Q10" s="137" t="str">
        <x:v>Active</x:v>
      </x:c>
      <x:c r="R10" s="138" t="str"/>
      <x:c r="S10" s="137" t="str">
        <x:v>Current model placeholder</x:v>
      </x:c>
      <x:c r="T10" s="137" t="str"/>
      <x:c r="U10" s="137" t="str">
        <x:v>To Confirm</x:v>
      </x:c>
      <x:c r="V10" s="137" t="str"/>
    </x:row>
    <x:row r="11">
      <x:c r="A11" s="128" t="str">
        <x:v>MOLDING_PU</x:v>
      </x:c>
      <x:c r="B11" s="137" t="str"/>
      <x:c r="C11" s="137" t="str">
        <x:v>PU molding</x:v>
      </x:c>
      <x:c r="D11" s="137" t="str">
        <x:v>MOLDING</x:v>
      </x:c>
      <x:c r="E11" s="137" t="str">
        <x:v>PU molding</x:v>
      </x:c>
      <x:c r="F11" s="137" t="str">
        <x:v>PU</x:v>
      </x:c>
      <x:c r="G11" s="137" t="str">
        <x:v>Exclusive</x:v>
      </x:c>
      <x:c r="H11" s="150" t="n">
        <x:v>1000</x:v>
      </x:c>
      <x:c r="I11" s="151" t="str"/>
      <x:c r="J11" s="151" t="str"/>
      <x:c r="K11" s="152" t="str">
        <x:f>IF(AND(I11="",J11=""),"",IF(I11="",J11,IF(J11="",I11,MIN(I11,J11))))</x:f>
      </x:c>
      <x:c r="L11" s="137" t="str"/>
      <x:c r="M11" s="137" t="str"/>
      <x:c r="N11" s="153" t="str"/>
      <x:c r="O11" s="137" t="str"/>
      <x:c r="P11" s="137" t="str"/>
      <x:c r="Q11" s="137" t="str">
        <x:v>Active</x:v>
      </x:c>
      <x:c r="R11" s="138" t="str"/>
      <x:c r="S11" s="137" t="str">
        <x:v>Current model placeholder</x:v>
      </x:c>
      <x:c r="T11" s="137" t="str"/>
      <x:c r="U11" s="137" t="str">
        <x:v>To Confirm</x:v>
      </x:c>
      <x:c r="V11" s="137" t="str"/>
    </x:row>
    <x:row r="12">
      <x:c r="A12" s="128" t="str">
        <x:v>MOLDING_EVA</x:v>
      </x:c>
      <x:c r="B12" s="137" t="str"/>
      <x:c r="C12" s="137" t="str">
        <x:v>EVA molding</x:v>
      </x:c>
      <x:c r="D12" s="137" t="str">
        <x:v>MOLDING</x:v>
      </x:c>
      <x:c r="E12" s="137" t="str">
        <x:v>EVA molding</x:v>
      </x:c>
      <x:c r="F12" s="137" t="str">
        <x:v>EVA</x:v>
      </x:c>
      <x:c r="G12" s="137" t="str">
        <x:v>Exclusive</x:v>
      </x:c>
      <x:c r="H12" s="150" t="n">
        <x:v>1500</x:v>
      </x:c>
      <x:c r="I12" s="151" t="str"/>
      <x:c r="J12" s="151" t="str"/>
      <x:c r="K12" s="152" t="str">
        <x:f>IF(AND(I12="",J12=""),"",IF(I12="",J12,IF(J12="",I12,MIN(I12,J12))))</x:f>
      </x:c>
      <x:c r="L12" s="137" t="str"/>
      <x:c r="M12" s="137" t="str"/>
      <x:c r="N12" s="153" t="str"/>
      <x:c r="O12" s="137" t="str"/>
      <x:c r="P12" s="137" t="str"/>
      <x:c r="Q12" s="137" t="str">
        <x:v>Active</x:v>
      </x:c>
      <x:c r="R12" s="138" t="str"/>
      <x:c r="S12" s="137" t="str">
        <x:v>Current model placeholder</x:v>
      </x:c>
      <x:c r="T12" s="137" t="str"/>
      <x:c r="U12" s="137" t="str">
        <x:v>To Confirm</x:v>
      </x:c>
      <x:c r="V12" s="137" t="str"/>
    </x:row>
    <x:row r="13">
      <x:c r="A13" s="128" t="str">
        <x:v>ASSEMBLY_STUCK-ON</x:v>
      </x:c>
      <x:c r="B13" s="137" t="str"/>
      <x:c r="C13" s="137" t="str">
        <x:v>Sole sticking</x:v>
      </x:c>
      <x:c r="D13" s="137" t="str">
        <x:v>ASSEMBLY</x:v>
      </x:c>
      <x:c r="E13" s="137" t="str">
        <x:v>Sole sticking</x:v>
      </x:c>
      <x:c r="F13" s="137" t="str">
        <x:v>STUCK-ON</x:v>
      </x:c>
      <x:c r="G13" s="137" t="str">
        <x:v>Pooled</x:v>
      </x:c>
      <x:c r="H13" s="150" t="n">
        <x:v>1800</x:v>
      </x:c>
      <x:c r="I13" s="151" t="str"/>
      <x:c r="J13" s="151" t="str"/>
      <x:c r="K13" s="152" t="str">
        <x:f>IF(AND(I13="",J13=""),"",IF(I13="",J13,IF(J13="",I13,MIN(I13,J13))))</x:f>
      </x:c>
      <x:c r="L13" s="137" t="str"/>
      <x:c r="M13" s="137" t="str"/>
      <x:c r="N13" s="153" t="str"/>
      <x:c r="O13" s="137" t="str"/>
      <x:c r="P13" s="137" t="str"/>
      <x:c r="Q13" s="137" t="str">
        <x:v>Active</x:v>
      </x:c>
      <x:c r="R13" s="138" t="str"/>
      <x:c r="S13" s="137" t="str">
        <x:v>Current model placeholder</x:v>
      </x:c>
      <x:c r="T13" s="137" t="str"/>
      <x:c r="U13" s="137" t="str">
        <x:v>To Confirm</x:v>
      </x:c>
      <x:c r="V13" s="137" t="str"/>
    </x:row>
    <x:row r="14">
      <x:c r="A14" s="128" t="str">
        <x:v>PACKING</x:v>
      </x:c>
      <x:c r="B14" s="137" t="str"/>
      <x:c r="C14" s="137" t="str">
        <x:v>Packing</x:v>
      </x:c>
      <x:c r="D14" s="137" t="str">
        <x:v>PACKING</x:v>
      </x:c>
      <x:c r="E14" s="137" t="str">
        <x:v>Packing</x:v>
      </x:c>
      <x:c r="F14" s="137" t="str">
        <x:v>ALL</x:v>
      </x:c>
      <x:c r="G14" s="137" t="str">
        <x:v>Pooled</x:v>
      </x:c>
      <x:c r="H14" s="150" t="n">
        <x:v>3000</x:v>
      </x:c>
      <x:c r="I14" s="151" t="str"/>
      <x:c r="J14" s="151" t="str"/>
      <x:c r="K14" s="152" t="str">
        <x:f>IF(AND(I14="",J14=""),"",IF(I14="",J14,IF(J14="",I14,MIN(I14,J14))))</x:f>
      </x:c>
      <x:c r="L14" s="137" t="str"/>
      <x:c r="M14" s="137" t="str"/>
      <x:c r="N14" s="153" t="str"/>
      <x:c r="O14" s="137" t="str"/>
      <x:c r="P14" s="137" t="str"/>
      <x:c r="Q14" s="137" t="str">
        <x:v>Active</x:v>
      </x:c>
      <x:c r="R14" s="138" t="str"/>
      <x:c r="S14" s="137" t="str">
        <x:v>Current model placeholder</x:v>
      </x:c>
      <x:c r="T14" s="137" t="str"/>
      <x:c r="U14" s="137" t="str">
        <x:v>To Confirm</x:v>
      </x:c>
      <x:c r="V14" s="137" t="str"/>
    </x:row>
    <x:row r="15">
      <x:c r="A15" s="128" t="str">
        <x:v>DISPATCH</x:v>
      </x:c>
      <x:c r="B15" s="137" t="str"/>
      <x:c r="C15" s="137" t="str">
        <x:v>Dispatch</x:v>
      </x:c>
      <x:c r="D15" s="137" t="str">
        <x:v>DISPATCH</x:v>
      </x:c>
      <x:c r="E15" s="137" t="str">
        <x:v>Dispatch</x:v>
      </x:c>
      <x:c r="F15" s="137" t="str">
        <x:v>ALL</x:v>
      </x:c>
      <x:c r="G15" s="137" t="str">
        <x:v>Pooled</x:v>
      </x:c>
      <x:c r="H15" s="150" t="n">
        <x:v>4000</x:v>
      </x:c>
      <x:c r="I15" s="151" t="str"/>
      <x:c r="J15" s="151" t="str"/>
      <x:c r="K15" s="152" t="str">
        <x:f>IF(AND(I15="",J15=""),"",IF(I15="",J15,IF(J15="",I15,MIN(I15,J15))))</x:f>
      </x:c>
      <x:c r="L15" s="137" t="str"/>
      <x:c r="M15" s="137" t="str"/>
      <x:c r="N15" s="153" t="str"/>
      <x:c r="O15" s="137" t="str"/>
      <x:c r="P15" s="137" t="str"/>
      <x:c r="Q15" s="137" t="str">
        <x:v>Active</x:v>
      </x:c>
      <x:c r="R15" s="138" t="str"/>
      <x:c r="S15" s="137" t="str">
        <x:v>Current model placeholder</x:v>
      </x:c>
      <x:c r="T15" s="137" t="str"/>
      <x:c r="U15" s="137" t="str">
        <x:v>To Confirm</x:v>
      </x:c>
      <x:c r="V15" s="137" t="str"/>
    </x:row>
    <x:row r="16">
      <x:c r="A16" s="128" t="str"/>
      <x:c r="B16" s="137" t="str"/>
      <x:c r="C16" s="137" t="str"/>
      <x:c r="D16" s="137" t="str"/>
      <x:c r="E16" s="137" t="str"/>
      <x:c r="F16" s="137" t="str"/>
      <x:c r="G16" s="137" t="str"/>
      <x:c r="H16" s="150" t="str"/>
      <x:c r="I16" s="151" t="str"/>
      <x:c r="J16" s="151" t="str"/>
      <x:c r="K16" s="152" t="str">
        <x:f>IF(AND(I16="",J16=""),"",IF(I16="",J16,IF(J16="",I16,MIN(I16,J16))))</x:f>
      </x:c>
      <x:c r="L16" s="137" t="str"/>
      <x:c r="M16" s="137" t="str"/>
      <x:c r="N16" s="153" t="str"/>
      <x:c r="O16" s="137" t="str"/>
      <x:c r="P16" s="137" t="str"/>
      <x:c r="Q16" s="137" t="str"/>
      <x:c r="R16" s="138" t="str"/>
      <x:c r="S16" s="137" t="str"/>
      <x:c r="T16" s="137" t="str"/>
      <x:c r="U16" s="137" t="str"/>
      <x:c r="V16" s="137" t="str"/>
    </x:row>
    <x:row r="17">
      <x:c r="A17" s="128" t="str"/>
      <x:c r="B17" s="137" t="str"/>
      <x:c r="C17" s="137" t="str"/>
      <x:c r="D17" s="137" t="str"/>
      <x:c r="E17" s="137" t="str"/>
      <x:c r="F17" s="137" t="str"/>
      <x:c r="G17" s="137" t="str"/>
      <x:c r="H17" s="150" t="str"/>
      <x:c r="I17" s="151" t="str"/>
      <x:c r="J17" s="151" t="str"/>
      <x:c r="K17" s="152" t="str">
        <x:f>IF(AND(I17="",J17=""),"",IF(I17="",J17,IF(J17="",I17,MIN(I17,J17))))</x:f>
      </x:c>
      <x:c r="L17" s="137" t="str"/>
      <x:c r="M17" s="137" t="str"/>
      <x:c r="N17" s="153" t="str"/>
      <x:c r="O17" s="137" t="str"/>
      <x:c r="P17" s="137" t="str"/>
      <x:c r="Q17" s="137" t="str"/>
      <x:c r="R17" s="138" t="str"/>
      <x:c r="S17" s="137" t="str"/>
      <x:c r="T17" s="137" t="str"/>
      <x:c r="U17" s="137" t="str"/>
      <x:c r="V17" s="137" t="str"/>
    </x:row>
    <x:row r="18">
      <x:c r="A18" s="128" t="str"/>
      <x:c r="B18" s="137" t="str"/>
      <x:c r="C18" s="137" t="str"/>
      <x:c r="D18" s="137" t="str"/>
      <x:c r="E18" s="137" t="str"/>
      <x:c r="F18" s="137" t="str"/>
      <x:c r="G18" s="137" t="str"/>
      <x:c r="H18" s="150" t="str"/>
      <x:c r="I18" s="151" t="str"/>
      <x:c r="J18" s="151" t="str"/>
      <x:c r="K18" s="152" t="str">
        <x:f>IF(AND(I18="",J18=""),"",IF(I18="",J18,IF(J18="",I18,MIN(I18,J18))))</x:f>
      </x:c>
      <x:c r="L18" s="137" t="str"/>
      <x:c r="M18" s="137" t="str"/>
      <x:c r="N18" s="153" t="str"/>
      <x:c r="O18" s="137" t="str"/>
      <x:c r="P18" s="137" t="str"/>
      <x:c r="Q18" s="137" t="str"/>
      <x:c r="R18" s="138" t="str"/>
      <x:c r="S18" s="137" t="str"/>
      <x:c r="T18" s="137" t="str"/>
      <x:c r="U18" s="137" t="str"/>
      <x:c r="V18" s="137" t="str"/>
    </x:row>
    <x:row r="19">
      <x:c r="A19" s="128" t="str"/>
      <x:c r="B19" s="137" t="str"/>
      <x:c r="C19" s="137" t="str"/>
      <x:c r="D19" s="137" t="str"/>
      <x:c r="E19" s="137" t="str"/>
      <x:c r="F19" s="137" t="str"/>
      <x:c r="G19" s="137" t="str"/>
      <x:c r="H19" s="150" t="str"/>
      <x:c r="I19" s="151" t="str"/>
      <x:c r="J19" s="151" t="str"/>
      <x:c r="K19" s="152" t="str">
        <x:f>IF(AND(I19="",J19=""),"",IF(I19="",J19,IF(J19="",I19,MIN(I19,J19))))</x:f>
      </x:c>
      <x:c r="L19" s="137" t="str"/>
      <x:c r="M19" s="137" t="str"/>
      <x:c r="N19" s="153" t="str"/>
      <x:c r="O19" s="137" t="str"/>
      <x:c r="P19" s="137" t="str"/>
      <x:c r="Q19" s="137" t="str"/>
      <x:c r="R19" s="138" t="str"/>
      <x:c r="S19" s="137" t="str"/>
      <x:c r="T19" s="137" t="str"/>
      <x:c r="U19" s="137" t="str"/>
      <x:c r="V19" s="137" t="str"/>
    </x:row>
    <x:row r="20">
      <x:c r="A20" s="128" t="str"/>
      <x:c r="B20" s="137" t="str"/>
      <x:c r="C20" s="137" t="str"/>
      <x:c r="D20" s="137" t="str"/>
      <x:c r="E20" s="137" t="str"/>
      <x:c r="F20" s="137" t="str"/>
      <x:c r="G20" s="137" t="str"/>
      <x:c r="H20" s="150" t="str"/>
      <x:c r="I20" s="151" t="str"/>
      <x:c r="J20" s="151" t="str"/>
      <x:c r="K20" s="152" t="str">
        <x:f>IF(AND(I20="",J20=""),"",IF(I20="",J20,IF(J20="",I20,MIN(I20,J20))))</x:f>
      </x:c>
      <x:c r="L20" s="137" t="str"/>
      <x:c r="M20" s="137" t="str"/>
      <x:c r="N20" s="153" t="str"/>
      <x:c r="O20" s="137" t="str"/>
      <x:c r="P20" s="137" t="str"/>
      <x:c r="Q20" s="137" t="str"/>
      <x:c r="R20" s="138" t="str"/>
      <x:c r="S20" s="137" t="str"/>
      <x:c r="T20" s="137" t="str"/>
      <x:c r="U20" s="137" t="str"/>
      <x:c r="V20" s="137" t="str"/>
    </x:row>
    <x:row r="21">
      <x:c r="A21" s="128" t="str"/>
      <x:c r="B21" s="137" t="str"/>
      <x:c r="C21" s="137" t="str"/>
      <x:c r="D21" s="137" t="str"/>
      <x:c r="E21" s="137" t="str"/>
      <x:c r="F21" s="137" t="str"/>
      <x:c r="G21" s="137" t="str"/>
      <x:c r="H21" s="150" t="str"/>
      <x:c r="I21" s="151" t="str"/>
      <x:c r="J21" s="151" t="str"/>
      <x:c r="K21" s="152" t="str">
        <x:f>IF(AND(I21="",J21=""),"",IF(I21="",J21,IF(J21="",I21,MIN(I21,J21))))</x:f>
      </x:c>
      <x:c r="L21" s="137" t="str"/>
      <x:c r="M21" s="137" t="str"/>
      <x:c r="N21" s="153" t="str"/>
      <x:c r="O21" s="137" t="str"/>
      <x:c r="P21" s="137" t="str"/>
      <x:c r="Q21" s="137" t="str"/>
      <x:c r="R21" s="138" t="str"/>
      <x:c r="S21" s="137" t="str"/>
      <x:c r="T21" s="137" t="str"/>
      <x:c r="U21" s="137" t="str"/>
      <x:c r="V21" s="137" t="str"/>
    </x:row>
    <x:row r="22">
      <x:c r="A22" s="128" t="str"/>
      <x:c r="B22" s="137" t="str"/>
      <x:c r="C22" s="137" t="str"/>
      <x:c r="D22" s="137" t="str"/>
      <x:c r="E22" s="137" t="str"/>
      <x:c r="F22" s="137" t="str"/>
      <x:c r="G22" s="137" t="str"/>
      <x:c r="H22" s="150" t="str"/>
      <x:c r="I22" s="151" t="str"/>
      <x:c r="J22" s="151" t="str"/>
      <x:c r="K22" s="152" t="str">
        <x:f>IF(AND(I22="",J22=""),"",IF(I22="",J22,IF(J22="",I22,MIN(I22,J22))))</x:f>
      </x:c>
      <x:c r="L22" s="137" t="str"/>
      <x:c r="M22" s="137" t="str"/>
      <x:c r="N22" s="153" t="str"/>
      <x:c r="O22" s="137" t="str"/>
      <x:c r="P22" s="137" t="str"/>
      <x:c r="Q22" s="137" t="str"/>
      <x:c r="R22" s="138" t="str"/>
      <x:c r="S22" s="137" t="str"/>
      <x:c r="T22" s="137" t="str"/>
      <x:c r="U22" s="137" t="str"/>
      <x:c r="V22" s="137" t="str"/>
    </x:row>
    <x:row r="23">
      <x:c r="A23" s="128" t="str"/>
      <x:c r="B23" s="137" t="str"/>
      <x:c r="C23" s="137" t="str"/>
      <x:c r="D23" s="137" t="str"/>
      <x:c r="E23" s="137" t="str"/>
      <x:c r="F23" s="137" t="str"/>
      <x:c r="G23" s="137" t="str"/>
      <x:c r="H23" s="150" t="str"/>
      <x:c r="I23" s="151" t="str"/>
      <x:c r="J23" s="151" t="str"/>
      <x:c r="K23" s="152" t="str">
        <x:f>IF(AND(I23="",J23=""),"",IF(I23="",J23,IF(J23="",I23,MIN(I23,J23))))</x:f>
      </x:c>
      <x:c r="L23" s="137" t="str"/>
      <x:c r="M23" s="137" t="str"/>
      <x:c r="N23" s="153" t="str"/>
      <x:c r="O23" s="137" t="str"/>
      <x:c r="P23" s="137" t="str"/>
      <x:c r="Q23" s="137" t="str"/>
      <x:c r="R23" s="138" t="str"/>
      <x:c r="S23" s="137" t="str"/>
      <x:c r="T23" s="137" t="str"/>
      <x:c r="U23" s="137" t="str"/>
      <x:c r="V23" s="137" t="str"/>
    </x:row>
    <x:row r="24">
      <x:c r="A24" s="128" t="str"/>
      <x:c r="B24" s="137" t="str"/>
      <x:c r="C24" s="137" t="str"/>
      <x:c r="D24" s="137" t="str"/>
      <x:c r="E24" s="137" t="str"/>
      <x:c r="F24" s="137" t="str"/>
      <x:c r="G24" s="137" t="str"/>
      <x:c r="H24" s="150" t="str"/>
      <x:c r="I24" s="151" t="str"/>
      <x:c r="J24" s="151" t="str"/>
      <x:c r="K24" s="152" t="str">
        <x:f>IF(AND(I24="",J24=""),"",IF(I24="",J24,IF(J24="",I24,MIN(I24,J24))))</x:f>
      </x:c>
      <x:c r="L24" s="137" t="str"/>
      <x:c r="M24" s="137" t="str"/>
      <x:c r="N24" s="153" t="str"/>
      <x:c r="O24" s="137" t="str"/>
      <x:c r="P24" s="137" t="str"/>
      <x:c r="Q24" s="137" t="str"/>
      <x:c r="R24" s="138" t="str"/>
      <x:c r="S24" s="137" t="str"/>
      <x:c r="T24" s="137" t="str"/>
      <x:c r="U24" s="137" t="str"/>
      <x:c r="V24" s="137" t="str"/>
    </x:row>
    <x:row r="25">
      <x:c r="A25" s="128" t="str"/>
      <x:c r="B25" s="137" t="str"/>
      <x:c r="C25" s="137" t="str"/>
      <x:c r="D25" s="137" t="str"/>
      <x:c r="E25" s="137" t="str"/>
      <x:c r="F25" s="137" t="str"/>
      <x:c r="G25" s="137" t="str"/>
      <x:c r="H25" s="150" t="str"/>
      <x:c r="I25" s="151" t="str"/>
      <x:c r="J25" s="151" t="str"/>
      <x:c r="K25" s="152" t="str">
        <x:f>IF(AND(I25="",J25=""),"",IF(I25="",J25,IF(J25="",I25,MIN(I25,J25))))</x:f>
      </x:c>
      <x:c r="L25" s="137" t="str"/>
      <x:c r="M25" s="137" t="str"/>
      <x:c r="N25" s="153" t="str"/>
      <x:c r="O25" s="137" t="str"/>
      <x:c r="P25" s="137" t="str"/>
      <x:c r="Q25" s="137" t="str"/>
      <x:c r="R25" s="138" t="str"/>
      <x:c r="S25" s="137" t="str"/>
      <x:c r="T25" s="137" t="str"/>
      <x:c r="U25" s="137" t="str"/>
      <x:c r="V25" s="137" t="str"/>
    </x:row>
    <x:row r="26">
      <x:c r="A26" s="128" t="str"/>
      <x:c r="B26" s="137" t="str"/>
      <x:c r="C26" s="137" t="str"/>
      <x:c r="D26" s="137" t="str"/>
      <x:c r="E26" s="137" t="str"/>
      <x:c r="F26" s="137" t="str"/>
      <x:c r="G26" s="137" t="str"/>
      <x:c r="H26" s="150" t="str"/>
      <x:c r="I26" s="151" t="str"/>
      <x:c r="J26" s="151" t="str"/>
      <x:c r="K26" s="152" t="str">
        <x:f>IF(AND(I26="",J26=""),"",IF(I26="",J26,IF(J26="",I26,MIN(I26,J26))))</x:f>
      </x:c>
      <x:c r="L26" s="137" t="str"/>
      <x:c r="M26" s="137" t="str"/>
      <x:c r="N26" s="153" t="str"/>
      <x:c r="O26" s="137" t="str"/>
      <x:c r="P26" s="137" t="str"/>
      <x:c r="Q26" s="137" t="str"/>
      <x:c r="R26" s="138" t="str"/>
      <x:c r="S26" s="137" t="str"/>
      <x:c r="T26" s="137" t="str"/>
      <x:c r="U26" s="137" t="str"/>
      <x:c r="V26" s="137" t="str"/>
    </x:row>
    <x:row r="27">
      <x:c r="A27" s="128" t="str"/>
      <x:c r="B27" s="137" t="str"/>
      <x:c r="C27" s="137" t="str"/>
      <x:c r="D27" s="137" t="str"/>
      <x:c r="E27" s="137" t="str"/>
      <x:c r="F27" s="137" t="str"/>
      <x:c r="G27" s="137" t="str"/>
      <x:c r="H27" s="150" t="str"/>
      <x:c r="I27" s="151" t="str"/>
      <x:c r="J27" s="151" t="str"/>
      <x:c r="K27" s="152" t="str">
        <x:f>IF(AND(I27="",J27=""),"",IF(I27="",J27,IF(J27="",I27,MIN(I27,J27))))</x:f>
      </x:c>
      <x:c r="L27" s="137" t="str"/>
      <x:c r="M27" s="137" t="str"/>
      <x:c r="N27" s="153" t="str"/>
      <x:c r="O27" s="137" t="str"/>
      <x:c r="P27" s="137" t="str"/>
      <x:c r="Q27" s="137" t="str"/>
      <x:c r="R27" s="138" t="str"/>
      <x:c r="S27" s="137" t="str"/>
      <x:c r="T27" s="137" t="str"/>
      <x:c r="U27" s="137" t="str"/>
      <x:c r="V27" s="137" t="str"/>
    </x:row>
    <x:row r="28">
      <x:c r="A28" s="128" t="str"/>
      <x:c r="B28" s="137" t="str"/>
      <x:c r="C28" s="137" t="str"/>
      <x:c r="D28" s="137" t="str"/>
      <x:c r="E28" s="137" t="str"/>
      <x:c r="F28" s="137" t="str"/>
      <x:c r="G28" s="137" t="str"/>
      <x:c r="H28" s="150" t="str"/>
      <x:c r="I28" s="151" t="str"/>
      <x:c r="J28" s="151" t="str"/>
      <x:c r="K28" s="152" t="str">
        <x:f>IF(AND(I28="",J28=""),"",IF(I28="",J28,IF(J28="",I28,MIN(I28,J28))))</x:f>
      </x:c>
      <x:c r="L28" s="137" t="str"/>
      <x:c r="M28" s="137" t="str"/>
      <x:c r="N28" s="153" t="str"/>
      <x:c r="O28" s="137" t="str"/>
      <x:c r="P28" s="137" t="str"/>
      <x:c r="Q28" s="137" t="str"/>
      <x:c r="R28" s="138" t="str"/>
      <x:c r="S28" s="137" t="str"/>
      <x:c r="T28" s="137" t="str"/>
      <x:c r="U28" s="137" t="str"/>
      <x:c r="V28" s="137" t="str"/>
    </x:row>
    <x:row r="29">
      <x:c r="A29" s="128" t="str"/>
      <x:c r="B29" s="137" t="str"/>
      <x:c r="C29" s="137" t="str"/>
      <x:c r="D29" s="137" t="str"/>
      <x:c r="E29" s="137" t="str"/>
      <x:c r="F29" s="137" t="str"/>
      <x:c r="G29" s="137" t="str"/>
      <x:c r="H29" s="150" t="str"/>
      <x:c r="I29" s="151" t="str"/>
      <x:c r="J29" s="151" t="str"/>
      <x:c r="K29" s="152" t="str">
        <x:f>IF(AND(I29="",J29=""),"",IF(I29="",J29,IF(J29="",I29,MIN(I29,J29))))</x:f>
      </x:c>
      <x:c r="L29" s="137" t="str"/>
      <x:c r="M29" s="137" t="str"/>
      <x:c r="N29" s="153" t="str"/>
      <x:c r="O29" s="137" t="str"/>
      <x:c r="P29" s="137" t="str"/>
      <x:c r="Q29" s="137" t="str"/>
      <x:c r="R29" s="138" t="str"/>
      <x:c r="S29" s="137" t="str"/>
      <x:c r="T29" s="137" t="str"/>
      <x:c r="U29" s="137" t="str"/>
      <x:c r="V29" s="137" t="str"/>
    </x:row>
    <x:row r="30">
      <x:c r="A30" s="128" t="str"/>
      <x:c r="B30" s="137" t="str"/>
      <x:c r="C30" s="137" t="str"/>
      <x:c r="D30" s="137" t="str"/>
      <x:c r="E30" s="137" t="str"/>
      <x:c r="F30" s="137" t="str"/>
      <x:c r="G30" s="137" t="str"/>
      <x:c r="H30" s="150" t="str"/>
      <x:c r="I30" s="151" t="str"/>
      <x:c r="J30" s="151" t="str"/>
      <x:c r="K30" s="152" t="str">
        <x:f>IF(AND(I30="",J30=""),"",IF(I30="",J30,IF(J30="",I30,MIN(I30,J30))))</x:f>
      </x:c>
      <x:c r="L30" s="137" t="str"/>
      <x:c r="M30" s="137" t="str"/>
      <x:c r="N30" s="153" t="str"/>
      <x:c r="O30" s="137" t="str"/>
      <x:c r="P30" s="137" t="str"/>
      <x:c r="Q30" s="137" t="str"/>
      <x:c r="R30" s="138" t="str"/>
      <x:c r="S30" s="137" t="str"/>
      <x:c r="T30" s="137" t="str"/>
      <x:c r="U30" s="137" t="str"/>
      <x:c r="V30" s="137" t="str"/>
    </x:row>
    <x:row r="31">
      <x:c r="A31" s="128" t="str"/>
      <x:c r="B31" s="137" t="str"/>
      <x:c r="C31" s="137" t="str"/>
      <x:c r="D31" s="137" t="str"/>
      <x:c r="E31" s="137" t="str"/>
      <x:c r="F31" s="137" t="str"/>
      <x:c r="G31" s="137" t="str"/>
      <x:c r="H31" s="150" t="str"/>
      <x:c r="I31" s="151" t="str"/>
      <x:c r="J31" s="151" t="str"/>
      <x:c r="K31" s="152" t="str">
        <x:f>IF(AND(I31="",J31=""),"",IF(I31="",J31,IF(J31="",I31,MIN(I31,J31))))</x:f>
      </x:c>
      <x:c r="L31" s="137" t="str"/>
      <x:c r="M31" s="137" t="str"/>
      <x:c r="N31" s="153" t="str"/>
      <x:c r="O31" s="137" t="str"/>
      <x:c r="P31" s="137" t="str"/>
      <x:c r="Q31" s="137" t="str"/>
      <x:c r="R31" s="138" t="str"/>
      <x:c r="S31" s="137" t="str"/>
      <x:c r="T31" s="137" t="str"/>
      <x:c r="U31" s="137" t="str"/>
      <x:c r="V31" s="137" t="str"/>
    </x:row>
    <x:row r="32">
      <x:c r="A32" s="128" t="str"/>
      <x:c r="B32" s="137" t="str"/>
      <x:c r="C32" s="137" t="str"/>
      <x:c r="D32" s="137" t="str"/>
      <x:c r="E32" s="137" t="str"/>
      <x:c r="F32" s="137" t="str"/>
      <x:c r="G32" s="137" t="str"/>
      <x:c r="H32" s="150" t="str"/>
      <x:c r="I32" s="151" t="str"/>
      <x:c r="J32" s="151" t="str"/>
      <x:c r="K32" s="152" t="str">
        <x:f>IF(AND(I32="",J32=""),"",IF(I32="",J32,IF(J32="",I32,MIN(I32,J32))))</x:f>
      </x:c>
      <x:c r="L32" s="137" t="str"/>
      <x:c r="M32" s="137" t="str"/>
      <x:c r="N32" s="153" t="str"/>
      <x:c r="O32" s="137" t="str"/>
      <x:c r="P32" s="137" t="str"/>
      <x:c r="Q32" s="137" t="str"/>
      <x:c r="R32" s="138" t="str"/>
      <x:c r="S32" s="137" t="str"/>
      <x:c r="T32" s="137" t="str"/>
      <x:c r="U32" s="137" t="str"/>
      <x:c r="V32" s="137" t="str"/>
    </x:row>
    <x:row r="33">
      <x:c r="A33" s="128" t="str"/>
      <x:c r="B33" s="137" t="str"/>
      <x:c r="C33" s="137" t="str"/>
      <x:c r="D33" s="137" t="str"/>
      <x:c r="E33" s="137" t="str"/>
      <x:c r="F33" s="137" t="str"/>
      <x:c r="G33" s="137" t="str"/>
      <x:c r="H33" s="150" t="str"/>
      <x:c r="I33" s="151" t="str"/>
      <x:c r="J33" s="151" t="str"/>
      <x:c r="K33" s="152" t="str">
        <x:f>IF(AND(I33="",J33=""),"",IF(I33="",J33,IF(J33="",I33,MIN(I33,J33))))</x:f>
      </x:c>
      <x:c r="L33" s="137" t="str"/>
      <x:c r="M33" s="137" t="str"/>
      <x:c r="N33" s="153" t="str"/>
      <x:c r="O33" s="137" t="str"/>
      <x:c r="P33" s="137" t="str"/>
      <x:c r="Q33" s="137" t="str"/>
      <x:c r="R33" s="138" t="str"/>
      <x:c r="S33" s="137" t="str"/>
      <x:c r="T33" s="137" t="str"/>
      <x:c r="U33" s="137" t="str"/>
      <x:c r="V33" s="137" t="str"/>
    </x:row>
    <x:row r="34">
      <x:c r="A34" s="128" t="str"/>
      <x:c r="B34" s="137" t="str"/>
      <x:c r="C34" s="137" t="str"/>
      <x:c r="D34" s="137" t="str"/>
      <x:c r="E34" s="137" t="str"/>
      <x:c r="F34" s="137" t="str"/>
      <x:c r="G34" s="137" t="str"/>
      <x:c r="H34" s="150" t="str"/>
      <x:c r="I34" s="151" t="str"/>
      <x:c r="J34" s="151" t="str"/>
      <x:c r="K34" s="152" t="str">
        <x:f>IF(AND(I34="",J34=""),"",IF(I34="",J34,IF(J34="",I34,MIN(I34,J34))))</x:f>
      </x:c>
      <x:c r="L34" s="137" t="str"/>
      <x:c r="M34" s="137" t="str"/>
      <x:c r="N34" s="153" t="str"/>
      <x:c r="O34" s="137" t="str"/>
      <x:c r="P34" s="137" t="str"/>
      <x:c r="Q34" s="137" t="str"/>
      <x:c r="R34" s="138" t="str"/>
      <x:c r="S34" s="137" t="str"/>
      <x:c r="T34" s="137" t="str"/>
      <x:c r="U34" s="137" t="str"/>
      <x:c r="V34" s="137" t="str"/>
    </x:row>
    <x:row r="35">
      <x:c r="A35" s="128" t="str"/>
      <x:c r="B35" s="137" t="str"/>
      <x:c r="C35" s="137" t="str"/>
      <x:c r="D35" s="137" t="str"/>
      <x:c r="E35" s="137" t="str"/>
      <x:c r="F35" s="137" t="str"/>
      <x:c r="G35" s="137" t="str"/>
      <x:c r="H35" s="150" t="str"/>
      <x:c r="I35" s="151" t="str"/>
      <x:c r="J35" s="151" t="str"/>
      <x:c r="K35" s="152" t="str">
        <x:f>IF(AND(I35="",J35=""),"",IF(I35="",J35,IF(J35="",I35,MIN(I35,J35))))</x:f>
      </x:c>
      <x:c r="L35" s="137" t="str"/>
      <x:c r="M35" s="137" t="str"/>
      <x:c r="N35" s="153" t="str"/>
      <x:c r="O35" s="137" t="str"/>
      <x:c r="P35" s="137" t="str"/>
      <x:c r="Q35" s="137" t="str"/>
      <x:c r="R35" s="138" t="str"/>
      <x:c r="S35" s="137" t="str"/>
      <x:c r="T35" s="137" t="str"/>
      <x:c r="U35" s="137" t="str"/>
      <x:c r="V35" s="137" t="str"/>
    </x:row>
    <x:row r="36">
      <x:c r="A36" s="128" t="str"/>
      <x:c r="B36" s="137" t="str"/>
      <x:c r="C36" s="137" t="str"/>
      <x:c r="D36" s="137" t="str"/>
      <x:c r="E36" s="137" t="str"/>
      <x:c r="F36" s="137" t="str"/>
      <x:c r="G36" s="137" t="str"/>
      <x:c r="H36" s="150" t="str"/>
      <x:c r="I36" s="151" t="str"/>
      <x:c r="J36" s="151" t="str"/>
      <x:c r="K36" s="152" t="str">
        <x:f>IF(AND(I36="",J36=""),"",IF(I36="",J36,IF(J36="",I36,MIN(I36,J36))))</x:f>
      </x:c>
      <x:c r="L36" s="137" t="str"/>
      <x:c r="M36" s="137" t="str"/>
      <x:c r="N36" s="153" t="str"/>
      <x:c r="O36" s="137" t="str"/>
      <x:c r="P36" s="137" t="str"/>
      <x:c r="Q36" s="137" t="str"/>
      <x:c r="R36" s="138" t="str"/>
      <x:c r="S36" s="137" t="str"/>
      <x:c r="T36" s="137" t="str"/>
      <x:c r="U36" s="137" t="str"/>
      <x:c r="V36" s="137" t="str"/>
    </x:row>
    <x:row r="37">
      <x:c r="A37" s="128" t="str"/>
      <x:c r="B37" s="137" t="str"/>
      <x:c r="C37" s="137" t="str"/>
      <x:c r="D37" s="137" t="str"/>
      <x:c r="E37" s="137" t="str"/>
      <x:c r="F37" s="137" t="str"/>
      <x:c r="G37" s="137" t="str"/>
      <x:c r="H37" s="150" t="str"/>
      <x:c r="I37" s="151" t="str"/>
      <x:c r="J37" s="151" t="str"/>
      <x:c r="K37" s="152" t="str">
        <x:f>IF(AND(I37="",J37=""),"",IF(I37="",J37,IF(J37="",I37,MIN(I37,J37))))</x:f>
      </x:c>
      <x:c r="L37" s="137" t="str"/>
      <x:c r="M37" s="137" t="str"/>
      <x:c r="N37" s="153" t="str"/>
      <x:c r="O37" s="137" t="str"/>
      <x:c r="P37" s="137" t="str"/>
      <x:c r="Q37" s="137" t="str"/>
      <x:c r="R37" s="138" t="str"/>
      <x:c r="S37" s="137" t="str"/>
      <x:c r="T37" s="137" t="str"/>
      <x:c r="U37" s="137" t="str"/>
      <x:c r="V37" s="137" t="str"/>
    </x:row>
    <x:row r="38">
      <x:c r="A38" s="128" t="str"/>
      <x:c r="B38" s="137" t="str"/>
      <x:c r="C38" s="137" t="str"/>
      <x:c r="D38" s="137" t="str"/>
      <x:c r="E38" s="137" t="str"/>
      <x:c r="F38" s="137" t="str"/>
      <x:c r="G38" s="137" t="str"/>
      <x:c r="H38" s="150" t="str"/>
      <x:c r="I38" s="151" t="str"/>
      <x:c r="J38" s="151" t="str"/>
      <x:c r="K38" s="152" t="str">
        <x:f>IF(AND(I38="",J38=""),"",IF(I38="",J38,IF(J38="",I38,MIN(I38,J38))))</x:f>
      </x:c>
      <x:c r="L38" s="137" t="str"/>
      <x:c r="M38" s="137" t="str"/>
      <x:c r="N38" s="153" t="str"/>
      <x:c r="O38" s="137" t="str"/>
      <x:c r="P38" s="137" t="str"/>
      <x:c r="Q38" s="137" t="str"/>
      <x:c r="R38" s="138" t="str"/>
      <x:c r="S38" s="137" t="str"/>
      <x:c r="T38" s="137" t="str"/>
      <x:c r="U38" s="137" t="str"/>
      <x:c r="V38" s="137" t="str"/>
    </x:row>
    <x:row r="39">
      <x:c r="A39" s="128" t="str"/>
      <x:c r="B39" s="137" t="str"/>
      <x:c r="C39" s="137" t="str"/>
      <x:c r="D39" s="137" t="str"/>
      <x:c r="E39" s="137" t="str"/>
      <x:c r="F39" s="137" t="str"/>
      <x:c r="G39" s="137" t="str"/>
      <x:c r="H39" s="150" t="str"/>
      <x:c r="I39" s="151" t="str"/>
      <x:c r="J39" s="151" t="str"/>
      <x:c r="K39" s="152" t="str">
        <x:f>IF(AND(I39="",J39=""),"",IF(I39="",J39,IF(J39="",I39,MIN(I39,J39))))</x:f>
      </x:c>
      <x:c r="L39" s="137" t="str"/>
      <x:c r="M39" s="137" t="str"/>
      <x:c r="N39" s="153" t="str"/>
      <x:c r="O39" s="137" t="str"/>
      <x:c r="P39" s="137" t="str"/>
      <x:c r="Q39" s="137" t="str"/>
      <x:c r="R39" s="138" t="str"/>
      <x:c r="S39" s="137" t="str"/>
      <x:c r="T39" s="137" t="str"/>
      <x:c r="U39" s="137" t="str"/>
      <x:c r="V39" s="137" t="str"/>
    </x:row>
    <x:row r="40">
      <x:c r="A40" s="128" t="str"/>
      <x:c r="B40" s="137" t="str"/>
      <x:c r="C40" s="137" t="str"/>
      <x:c r="D40" s="137" t="str"/>
      <x:c r="E40" s="137" t="str"/>
      <x:c r="F40" s="137" t="str"/>
      <x:c r="G40" s="137" t="str"/>
      <x:c r="H40" s="150" t="str"/>
      <x:c r="I40" s="151" t="str"/>
      <x:c r="J40" s="151" t="str"/>
      <x:c r="K40" s="152" t="str">
        <x:f>IF(AND(I40="",J40=""),"",IF(I40="",J40,IF(J40="",I40,MIN(I40,J40))))</x:f>
      </x:c>
      <x:c r="L40" s="137" t="str"/>
      <x:c r="M40" s="137" t="str"/>
      <x:c r="N40" s="153" t="str"/>
      <x:c r="O40" s="137" t="str"/>
      <x:c r="P40" s="137" t="str"/>
      <x:c r="Q40" s="137" t="str"/>
      <x:c r="R40" s="138" t="str"/>
      <x:c r="S40" s="137" t="str"/>
      <x:c r="T40" s="137" t="str"/>
      <x:c r="U40" s="137" t="str"/>
      <x:c r="V40" s="137" t="str"/>
    </x:row>
    <x:row r="41">
      <x:c r="A41" s="128" t="str"/>
      <x:c r="B41" s="137" t="str"/>
      <x:c r="C41" s="137" t="str"/>
      <x:c r="D41" s="137" t="str"/>
      <x:c r="E41" s="137" t="str"/>
      <x:c r="F41" s="137" t="str"/>
      <x:c r="G41" s="137" t="str"/>
      <x:c r="H41" s="150" t="str"/>
      <x:c r="I41" s="151" t="str"/>
      <x:c r="J41" s="151" t="str"/>
      <x:c r="K41" s="152" t="str">
        <x:f>IF(AND(I41="",J41=""),"",IF(I41="",J41,IF(J41="",I41,MIN(I41,J41))))</x:f>
      </x:c>
      <x:c r="L41" s="137" t="str"/>
      <x:c r="M41" s="137" t="str"/>
      <x:c r="N41" s="153" t="str"/>
      <x:c r="O41" s="137" t="str"/>
      <x:c r="P41" s="137" t="str"/>
      <x:c r="Q41" s="137" t="str"/>
      <x:c r="R41" s="138" t="str"/>
      <x:c r="S41" s="137" t="str"/>
      <x:c r="T41" s="137" t="str"/>
      <x:c r="U41" s="137" t="str"/>
      <x:c r="V41" s="137" t="str"/>
    </x:row>
    <x:row r="42">
      <x:c r="A42" s="128" t="str"/>
      <x:c r="B42" s="137" t="str"/>
      <x:c r="C42" s="137" t="str"/>
      <x:c r="D42" s="137" t="str"/>
      <x:c r="E42" s="137" t="str"/>
      <x:c r="F42" s="137" t="str"/>
      <x:c r="G42" s="137" t="str"/>
      <x:c r="H42" s="150" t="str"/>
      <x:c r="I42" s="151" t="str"/>
      <x:c r="J42" s="151" t="str"/>
      <x:c r="K42" s="152" t="str">
        <x:f>IF(AND(I42="",J42=""),"",IF(I42="",J42,IF(J42="",I42,MIN(I42,J42))))</x:f>
      </x:c>
      <x:c r="L42" s="137" t="str"/>
      <x:c r="M42" s="137" t="str"/>
      <x:c r="N42" s="153" t="str"/>
      <x:c r="O42" s="137" t="str"/>
      <x:c r="P42" s="137" t="str"/>
      <x:c r="Q42" s="137" t="str"/>
      <x:c r="R42" s="138" t="str"/>
      <x:c r="S42" s="137" t="str"/>
      <x:c r="T42" s="137" t="str"/>
      <x:c r="U42" s="137" t="str"/>
      <x:c r="V42" s="137" t="str"/>
    </x:row>
    <x:row r="43">
      <x:c r="A43" s="128" t="str"/>
      <x:c r="B43" s="137" t="str"/>
      <x:c r="C43" s="137" t="str"/>
      <x:c r="D43" s="137" t="str"/>
      <x:c r="E43" s="137" t="str"/>
      <x:c r="F43" s="137" t="str"/>
      <x:c r="G43" s="137" t="str"/>
      <x:c r="H43" s="150" t="str"/>
      <x:c r="I43" s="151" t="str"/>
      <x:c r="J43" s="151" t="str"/>
      <x:c r="K43" s="152" t="str">
        <x:f>IF(AND(I43="",J43=""),"",IF(I43="",J43,IF(J43="",I43,MIN(I43,J43))))</x:f>
      </x:c>
      <x:c r="L43" s="137" t="str"/>
      <x:c r="M43" s="137" t="str"/>
      <x:c r="N43" s="153" t="str"/>
      <x:c r="O43" s="137" t="str"/>
      <x:c r="P43" s="137" t="str"/>
      <x:c r="Q43" s="137" t="str"/>
      <x:c r="R43" s="138" t="str"/>
      <x:c r="S43" s="137" t="str"/>
      <x:c r="T43" s="137" t="str"/>
      <x:c r="U43" s="137" t="str"/>
      <x:c r="V43" s="137" t="str"/>
    </x:row>
    <x:row r="44">
      <x:c r="A44" s="128" t="str"/>
      <x:c r="B44" s="137" t="str"/>
      <x:c r="C44" s="137" t="str"/>
      <x:c r="D44" s="137" t="str"/>
      <x:c r="E44" s="137" t="str"/>
      <x:c r="F44" s="137" t="str"/>
      <x:c r="G44" s="137" t="str"/>
      <x:c r="H44" s="150" t="str"/>
      <x:c r="I44" s="151" t="str"/>
      <x:c r="J44" s="151" t="str"/>
      <x:c r="K44" s="152" t="str">
        <x:f>IF(AND(I44="",J44=""),"",IF(I44="",J44,IF(J44="",I44,MIN(I44,J44))))</x:f>
      </x:c>
      <x:c r="L44" s="137" t="str"/>
      <x:c r="M44" s="137" t="str"/>
      <x:c r="N44" s="153" t="str"/>
      <x:c r="O44" s="137" t="str"/>
      <x:c r="P44" s="137" t="str"/>
      <x:c r="Q44" s="137" t="str"/>
      <x:c r="R44" s="138" t="str"/>
      <x:c r="S44" s="137" t="str"/>
      <x:c r="T44" s="137" t="str"/>
      <x:c r="U44" s="137" t="str"/>
      <x:c r="V44" s="137" t="str"/>
    </x:row>
    <x:row r="45">
      <x:c r="A45" s="128" t="str"/>
      <x:c r="B45" s="137" t="str"/>
      <x:c r="C45" s="137" t="str"/>
      <x:c r="D45" s="137" t="str"/>
      <x:c r="E45" s="137" t="str"/>
      <x:c r="F45" s="137" t="str"/>
      <x:c r="G45" s="137" t="str"/>
      <x:c r="H45" s="150" t="str"/>
      <x:c r="I45" s="151" t="str"/>
      <x:c r="J45" s="151" t="str"/>
      <x:c r="K45" s="152" t="str">
        <x:f>IF(AND(I45="",J45=""),"",IF(I45="",J45,IF(J45="",I45,MIN(I45,J45))))</x:f>
      </x:c>
      <x:c r="L45" s="137" t="str"/>
      <x:c r="M45" s="137" t="str"/>
      <x:c r="N45" s="153" t="str"/>
      <x:c r="O45" s="137" t="str"/>
      <x:c r="P45" s="137" t="str"/>
      <x:c r="Q45" s="137" t="str"/>
      <x:c r="R45" s="138" t="str"/>
      <x:c r="S45" s="137" t="str"/>
      <x:c r="T45" s="137" t="str"/>
      <x:c r="U45" s="137" t="str"/>
      <x:c r="V45" s="137" t="str"/>
    </x:row>
    <x:row r="46">
      <x:c r="A46" s="128" t="str"/>
      <x:c r="B46" s="137" t="str"/>
      <x:c r="C46" s="137" t="str"/>
      <x:c r="D46" s="137" t="str"/>
      <x:c r="E46" s="137" t="str"/>
      <x:c r="F46" s="137" t="str"/>
      <x:c r="G46" s="137" t="str"/>
      <x:c r="H46" s="150" t="str"/>
      <x:c r="I46" s="151" t="str"/>
      <x:c r="J46" s="151" t="str"/>
      <x:c r="K46" s="152" t="str">
        <x:f>IF(AND(I46="",J46=""),"",IF(I46="",J46,IF(J46="",I46,MIN(I46,J46))))</x:f>
      </x:c>
      <x:c r="L46" s="137" t="str"/>
      <x:c r="M46" s="137" t="str"/>
      <x:c r="N46" s="153" t="str"/>
      <x:c r="O46" s="137" t="str"/>
      <x:c r="P46" s="137" t="str"/>
      <x:c r="Q46" s="137" t="str"/>
      <x:c r="R46" s="138" t="str"/>
      <x:c r="S46" s="137" t="str"/>
      <x:c r="T46" s="137" t="str"/>
      <x:c r="U46" s="137" t="str"/>
      <x:c r="V46" s="137" t="str"/>
    </x:row>
    <x:row r="47">
      <x:c r="A47" s="128" t="str"/>
      <x:c r="B47" s="137" t="str"/>
      <x:c r="C47" s="137" t="str"/>
      <x:c r="D47" s="137" t="str"/>
      <x:c r="E47" s="137" t="str"/>
      <x:c r="F47" s="137" t="str"/>
      <x:c r="G47" s="137" t="str"/>
      <x:c r="H47" s="150" t="str"/>
      <x:c r="I47" s="151" t="str"/>
      <x:c r="J47" s="151" t="str"/>
      <x:c r="K47" s="152" t="str">
        <x:f>IF(AND(I47="",J47=""),"",IF(I47="",J47,IF(J47="",I47,MIN(I47,J47))))</x:f>
      </x:c>
      <x:c r="L47" s="137" t="str"/>
      <x:c r="M47" s="137" t="str"/>
      <x:c r="N47" s="153" t="str"/>
      <x:c r="O47" s="137" t="str"/>
      <x:c r="P47" s="137" t="str"/>
      <x:c r="Q47" s="137" t="str"/>
      <x:c r="R47" s="138" t="str"/>
      <x:c r="S47" s="137" t="str"/>
      <x:c r="T47" s="137" t="str"/>
      <x:c r="U47" s="137" t="str"/>
      <x:c r="V47" s="137" t="str"/>
    </x:row>
    <x:row r="48">
      <x:c r="A48" s="128" t="str"/>
      <x:c r="B48" s="137" t="str"/>
      <x:c r="C48" s="137" t="str"/>
      <x:c r="D48" s="137" t="str"/>
      <x:c r="E48" s="137" t="str"/>
      <x:c r="F48" s="137" t="str"/>
      <x:c r="G48" s="137" t="str"/>
      <x:c r="H48" s="150" t="str"/>
      <x:c r="I48" s="151" t="str"/>
      <x:c r="J48" s="151" t="str"/>
      <x:c r="K48" s="152" t="str">
        <x:f>IF(AND(I48="",J48=""),"",IF(I48="",J48,IF(J48="",I48,MIN(I48,J48))))</x:f>
      </x:c>
      <x:c r="L48" s="137" t="str"/>
      <x:c r="M48" s="137" t="str"/>
      <x:c r="N48" s="153" t="str"/>
      <x:c r="O48" s="137" t="str"/>
      <x:c r="P48" s="137" t="str"/>
      <x:c r="Q48" s="137" t="str"/>
      <x:c r="R48" s="138" t="str"/>
      <x:c r="S48" s="137" t="str"/>
      <x:c r="T48" s="137" t="str"/>
      <x:c r="U48" s="137" t="str"/>
      <x:c r="V48" s="137" t="str"/>
    </x:row>
    <x:row r="49">
      <x:c r="A49" s="128" t="str"/>
      <x:c r="B49" s="137" t="str"/>
      <x:c r="C49" s="137" t="str"/>
      <x:c r="D49" s="137" t="str"/>
      <x:c r="E49" s="137" t="str"/>
      <x:c r="F49" s="137" t="str"/>
      <x:c r="G49" s="137" t="str"/>
      <x:c r="H49" s="150" t="str"/>
      <x:c r="I49" s="151" t="str"/>
      <x:c r="J49" s="151" t="str"/>
      <x:c r="K49" s="152" t="str">
        <x:f>IF(AND(I49="",J49=""),"",IF(I49="",J49,IF(J49="",I49,MIN(I49,J49))))</x:f>
      </x:c>
      <x:c r="L49" s="137" t="str"/>
      <x:c r="M49" s="137" t="str"/>
      <x:c r="N49" s="153" t="str"/>
      <x:c r="O49" s="137" t="str"/>
      <x:c r="P49" s="137" t="str"/>
      <x:c r="Q49" s="137" t="str"/>
      <x:c r="R49" s="138" t="str"/>
      <x:c r="S49" s="137" t="str"/>
      <x:c r="T49" s="137" t="str"/>
      <x:c r="U49" s="137" t="str"/>
      <x:c r="V49" s="137" t="str"/>
    </x:row>
    <x:row r="50">
      <x:c r="A50" s="128" t="str"/>
      <x:c r="B50" s="137" t="str"/>
      <x:c r="C50" s="137" t="str"/>
      <x:c r="D50" s="137" t="str"/>
      <x:c r="E50" s="137" t="str"/>
      <x:c r="F50" s="137" t="str"/>
      <x:c r="G50" s="137" t="str"/>
      <x:c r="H50" s="150" t="str"/>
      <x:c r="I50" s="151" t="str"/>
      <x:c r="J50" s="151" t="str"/>
      <x:c r="K50" s="152" t="str">
        <x:f>IF(AND(I50="",J50=""),"",IF(I50="",J50,IF(J50="",I50,MIN(I50,J50))))</x:f>
      </x:c>
      <x:c r="L50" s="137" t="str"/>
      <x:c r="M50" s="137" t="str"/>
      <x:c r="N50" s="153" t="str"/>
      <x:c r="O50" s="137" t="str"/>
      <x:c r="P50" s="137" t="str"/>
      <x:c r="Q50" s="137" t="str"/>
      <x:c r="R50" s="138" t="str"/>
      <x:c r="S50" s="137" t="str"/>
      <x:c r="T50" s="137" t="str"/>
      <x:c r="U50" s="137" t="str"/>
      <x:c r="V50" s="137" t="str"/>
    </x:row>
    <x:row r="51">
      <x:c r="A51" s="128" t="str"/>
      <x:c r="B51" s="137" t="str"/>
      <x:c r="C51" s="137" t="str"/>
      <x:c r="D51" s="137" t="str"/>
      <x:c r="E51" s="137" t="str"/>
      <x:c r="F51" s="137" t="str"/>
      <x:c r="G51" s="137" t="str"/>
      <x:c r="H51" s="150" t="str"/>
      <x:c r="I51" s="151" t="str"/>
      <x:c r="J51" s="151" t="str"/>
      <x:c r="K51" s="152" t="str">
        <x:f>IF(AND(I51="",J51=""),"",IF(I51="",J51,IF(J51="",I51,MIN(I51,J51))))</x:f>
      </x:c>
      <x:c r="L51" s="137" t="str"/>
      <x:c r="M51" s="137" t="str"/>
      <x:c r="N51" s="153" t="str"/>
      <x:c r="O51" s="137" t="str"/>
      <x:c r="P51" s="137" t="str"/>
      <x:c r="Q51" s="137" t="str"/>
      <x:c r="R51" s="138" t="str"/>
      <x:c r="S51" s="137" t="str"/>
      <x:c r="T51" s="137" t="str"/>
      <x:c r="U51" s="137" t="str"/>
      <x:c r="V51" s="137" t="str"/>
    </x:row>
    <x:row r="52">
      <x:c r="A52" s="128" t="str"/>
      <x:c r="B52" s="137" t="str"/>
      <x:c r="C52" s="137" t="str"/>
      <x:c r="D52" s="137" t="str"/>
      <x:c r="E52" s="137" t="str"/>
      <x:c r="F52" s="137" t="str"/>
      <x:c r="G52" s="137" t="str"/>
      <x:c r="H52" s="150" t="str"/>
      <x:c r="I52" s="151" t="str"/>
      <x:c r="J52" s="151" t="str"/>
      <x:c r="K52" s="152" t="str">
        <x:f>IF(AND(I52="",J52=""),"",IF(I52="",J52,IF(J52="",I52,MIN(I52,J52))))</x:f>
      </x:c>
      <x:c r="L52" s="137" t="str"/>
      <x:c r="M52" s="137" t="str"/>
      <x:c r="N52" s="153" t="str"/>
      <x:c r="O52" s="137" t="str"/>
      <x:c r="P52" s="137" t="str"/>
      <x:c r="Q52" s="137" t="str"/>
      <x:c r="R52" s="138" t="str"/>
      <x:c r="S52" s="137" t="str"/>
      <x:c r="T52" s="137" t="str"/>
      <x:c r="U52" s="137" t="str"/>
      <x:c r="V52" s="137" t="str"/>
    </x:row>
    <x:row r="53">
      <x:c r="A53" s="128" t="str"/>
      <x:c r="B53" s="137" t="str"/>
      <x:c r="C53" s="137" t="str"/>
      <x:c r="D53" s="137" t="str"/>
      <x:c r="E53" s="137" t="str"/>
      <x:c r="F53" s="137" t="str"/>
      <x:c r="G53" s="137" t="str"/>
      <x:c r="H53" s="150" t="str"/>
      <x:c r="I53" s="151" t="str"/>
      <x:c r="J53" s="151" t="str"/>
      <x:c r="K53" s="152" t="str">
        <x:f>IF(AND(I53="",J53=""),"",IF(I53="",J53,IF(J53="",I53,MIN(I53,J53))))</x:f>
      </x:c>
      <x:c r="L53" s="137" t="str"/>
      <x:c r="M53" s="137" t="str"/>
      <x:c r="N53" s="153" t="str"/>
      <x:c r="O53" s="137" t="str"/>
      <x:c r="P53" s="137" t="str"/>
      <x:c r="Q53" s="137" t="str"/>
      <x:c r="R53" s="138" t="str"/>
      <x:c r="S53" s="137" t="str"/>
      <x:c r="T53" s="137" t="str"/>
      <x:c r="U53" s="137" t="str"/>
      <x:c r="V53" s="137" t="str"/>
    </x:row>
    <x:row r="54">
      <x:c r="A54" s="129" t="str"/>
      <x:c r="B54" s="139" t="str"/>
      <x:c r="C54" s="139" t="str"/>
      <x:c r="D54" s="139" t="str"/>
      <x:c r="E54" s="139" t="str"/>
      <x:c r="F54" s="139" t="str"/>
      <x:c r="G54" s="139" t="str"/>
      <x:c r="H54" s="154" t="str"/>
      <x:c r="I54" s="155" t="str"/>
      <x:c r="J54" s="155" t="str"/>
      <x:c r="K54" s="156" t="str">
        <x:f>IF(AND(I54="",J54=""),"",IF(I54="",J54,IF(J54="",I54,MIN(I54,J54))))</x:f>
      </x:c>
      <x:c r="L54" s="139" t="str"/>
      <x:c r="M54" s="139" t="str"/>
      <x:c r="N54" s="157" t="str"/>
      <x:c r="O54" s="139" t="str"/>
      <x:c r="P54" s="139" t="str"/>
      <x:c r="Q54" s="139" t="str"/>
      <x:c r="R54" s="145" t="str"/>
      <x:c r="S54" s="139" t="str"/>
      <x:c r="T54" s="139" t="str"/>
      <x:c r="U54" s="139" t="str"/>
      <x:c r="V54" s="139" t="str"/>
    </x:row>
  </x:sheetData>
  <x:mergeCells>
    <x:mergeCell ref="A1:V1"/>
    <x:mergeCell ref="A2:V2"/>
    <x:mergeCell ref="A3:V3"/>
  </x:mergeCells>
  <x:conditionalFormatting sqref="U5:U54">
    <x:cfRule type="containsText" dxfId="6" priority="1" operator="containsText" text="Approved"/>
    <x:cfRule type="containsText" dxfId="7" priority="2" operator="containsText" text="Validated"/>
    <x:cfRule type="containsText" dxfId="8" priority="3" operator="containsText" text="Confirmed"/>
    <x:cfRule type="containsText" dxfId="9" priority="4" operator="containsText" text="To Confirm"/>
    <x:cfRule type="containsText" dxfId="10" priority="5" operator="containsText" text="Rejected"/>
    <x:cfRule type="containsText" dxfId="11" priority="6" operator="containsText" text="Blocked"/>
  </x:conditionalFormatting>
  <x:dataValidations count="6">
    <x:dataValidation type="list" sqref="A5:A54">
      <x:formula1>'Lists - Do Not Edit'!$A$2:$A$14</x:formula1>
    </x:dataValidation>
    <x:dataValidation type="list" sqref="D5:D54">
      <x:formula1>'Lists - Do Not Edit'!$B$2:$B$12</x:formula1>
    </x:dataValidation>
    <x:dataValidation type="list" sqref="F5:F54">
      <x:formula1>"ALL,PVC,PU,EVA,STUCK-ON"</x:formula1>
    </x:dataValidation>
    <x:dataValidation type="list" sqref="G5:G54">
      <x:formula1>"Pooled,Exclusive"</x:formula1>
    </x:dataValidation>
    <x:dataValidation type="list" sqref="Q5:Q54">
      <x:formula1>"Active,Inactive,Under Maintenance,Trial"</x:formula1>
    </x:dataValidation>
    <x:dataValidation type="list" sqref="U5:U54">
      <x:formula1>"To Confirm,Confirmed,Not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275a26395645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22" hidden="0" customWidth="1"/>
    <x:col min="5" max="5" width="12" hidden="0" customWidth="1"/>
    <x:col min="6" max="6" width="12" hidden="0" customWidth="1"/>
    <x:col min="7" max="7" width="15" hidden="0" customWidth="1"/>
    <x:col min="8" max="8" width="22" hidden="0" customWidth="1"/>
    <x:col min="9" max="9" width="22" hidden="0" customWidth="1"/>
    <x:col min="10" max="10" width="14" hidden="0" customWidth="1"/>
    <x:col min="11" max="11" width="18" hidden="0" customWidth="1"/>
    <x:col min="12" max="12" width="14" hidden="0" customWidth="1"/>
    <x:col min="13" max="13" width="18" hidden="0" customWidth="1"/>
    <x:col min="14" max="14" width="20" hidden="0" customWidth="1"/>
    <x:col min="15" max="15" width="38" hidden="0" customWidth="1"/>
    <x:col min="16" max="16" width="20" hidden="0" customWidth="1"/>
    <x:col min="17" max="17" width="20" hidden="0" customWidth="1"/>
  </x:cols>
  <x:sheetData>
    <x:row r="1" ht="30" customHeight="1">
      <x:c r="A1" s="140" t="str">
        <x:v>Shift &amp; Availability Calendar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</x:row>
    <x:row r="2" ht="34" customHeight="1">
      <x:c r="A2" s="123" t="str">
        <x:v>Enter planned availability before the daily plan is released. One row per date, shift and physical machine/line.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</x:row>
    <x:row r="4" ht="34" customHeight="1">
      <x:c r="A4" s="141" t="str">
        <x:v>Date</x:v>
      </x:c>
      <x:c r="B4" s="142" t="str">
        <x:v>Shift</x:v>
      </x:c>
      <x:c r="C4" s="142" t="str">
        <x:v>Work Centre Code</x:v>
      </x:c>
      <x:c r="D4" s="142" t="str">
        <x:v>Machine / Line ID</x:v>
      </x:c>
      <x:c r="E4" s="142" t="str">
        <x:v>Start Time</x:v>
      </x:c>
      <x:c r="F4" s="142" t="str">
        <x:v>End Time</x:v>
      </x:c>
      <x:c r="G4" s="142" t="str">
        <x:v>Break Minutes</x:v>
      </x:c>
      <x:c r="H4" s="142" t="str">
        <x:v>Planned Maintenance Minutes</x:v>
      </x:c>
      <x:c r="I4" s="142" t="str">
        <x:v>Other Planned Stop Minutes</x:v>
      </x:c>
      <x:c r="J4" s="142" t="str">
        <x:v>Gross Hours</x:v>
      </x:c>
      <x:c r="K4" s="142" t="str">
        <x:v>Net Available Hours</x:v>
      </x:c>
      <x:c r="L4" s="142" t="str">
        <x:v>Available?</x:v>
      </x:c>
      <x:c r="M4" s="142" t="str">
        <x:v>Capacity Multiplier %</x:v>
      </x:c>
      <x:c r="N4" s="142" t="str">
        <x:v>Supervisor</x:v>
      </x:c>
      <x:c r="O4" s="142" t="str">
        <x:v>Reason / Note</x:v>
      </x:c>
      <x:c r="P4" s="142" t="str">
        <x:v>Updated By</x:v>
      </x:c>
      <x:c r="Q4" s="143" t="str">
        <x:v>Updated Timestamp</x:v>
      </x:c>
    </x:row>
    <x:row r="5">
      <x:c r="A5" s="144" t="str"/>
      <x:c r="B5" s="136" t="str"/>
      <x:c r="C5" s="136" t="str"/>
      <x:c r="D5" s="136" t="str"/>
      <x:c r="E5" s="158" t="str"/>
      <x:c r="F5" s="158" t="str"/>
      <x:c r="G5" s="136" t="str"/>
      <x:c r="H5" s="136" t="str"/>
      <x:c r="I5" s="136" t="str"/>
      <x:c r="J5" s="159" t="str">
        <x:f>IF(OR(E5="",F5=""),"",MOD(F5-E5,1)*24)</x:f>
      </x:c>
      <x:c r="K5" s="159" t="str">
        <x:f>IF(J5="","",MAX(0,J5-(G5+H5+I5)/60))</x:f>
      </x:c>
      <x:c r="L5" s="136" t="str"/>
      <x:c r="M5" s="149" t="str"/>
      <x:c r="N5" s="136" t="str"/>
      <x:c r="O5" s="136" t="str"/>
      <x:c r="P5" s="136" t="str"/>
      <x:c r="Q5" s="136" t="str"/>
    </x:row>
    <x:row r="6">
      <x:c r="A6" s="138" t="str"/>
      <x:c r="B6" s="137" t="str"/>
      <x:c r="C6" s="137" t="str"/>
      <x:c r="D6" s="137" t="str"/>
      <x:c r="E6" s="160" t="str"/>
      <x:c r="F6" s="160" t="str"/>
      <x:c r="G6" s="137" t="str"/>
      <x:c r="H6" s="137" t="str"/>
      <x:c r="I6" s="137" t="str"/>
      <x:c r="J6" s="161" t="str">
        <x:f>IF(OR(E6="",F6=""),"",MOD(F6-E6,1)*24)</x:f>
      </x:c>
      <x:c r="K6" s="161" t="str">
        <x:f>IF(J6="","",MAX(0,J6-(G6+H6+I6)/60))</x:f>
      </x:c>
      <x:c r="L6" s="137" t="str"/>
      <x:c r="M6" s="153" t="str"/>
      <x:c r="N6" s="137" t="str"/>
      <x:c r="O6" s="137" t="str"/>
      <x:c r="P6" s="137" t="str"/>
      <x:c r="Q6" s="137" t="str"/>
    </x:row>
    <x:row r="7">
      <x:c r="A7" s="138" t="str"/>
      <x:c r="B7" s="137" t="str"/>
      <x:c r="C7" s="137" t="str"/>
      <x:c r="D7" s="137" t="str"/>
      <x:c r="E7" s="160" t="str"/>
      <x:c r="F7" s="160" t="str"/>
      <x:c r="G7" s="137" t="str"/>
      <x:c r="H7" s="137" t="str"/>
      <x:c r="I7" s="137" t="str"/>
      <x:c r="J7" s="161" t="str">
        <x:f>IF(OR(E7="",F7=""),"",MOD(F7-E7,1)*24)</x:f>
      </x:c>
      <x:c r="K7" s="161" t="str">
        <x:f>IF(J7="","",MAX(0,J7-(G7+H7+I7)/60))</x:f>
      </x:c>
      <x:c r="L7" s="137" t="str"/>
      <x:c r="M7" s="153" t="str"/>
      <x:c r="N7" s="137" t="str"/>
      <x:c r="O7" s="137" t="str"/>
      <x:c r="P7" s="137" t="str"/>
      <x:c r="Q7" s="137" t="str"/>
    </x:row>
    <x:row r="8">
      <x:c r="A8" s="138" t="str"/>
      <x:c r="B8" s="137" t="str"/>
      <x:c r="C8" s="137" t="str"/>
      <x:c r="D8" s="137" t="str"/>
      <x:c r="E8" s="160" t="str"/>
      <x:c r="F8" s="160" t="str"/>
      <x:c r="G8" s="137" t="str"/>
      <x:c r="H8" s="137" t="str"/>
      <x:c r="I8" s="137" t="str"/>
      <x:c r="J8" s="161" t="str">
        <x:f>IF(OR(E8="",F8=""),"",MOD(F8-E8,1)*24)</x:f>
      </x:c>
      <x:c r="K8" s="161" t="str">
        <x:f>IF(J8="","",MAX(0,J8-(G8+H8+I8)/60))</x:f>
      </x:c>
      <x:c r="L8" s="137" t="str"/>
      <x:c r="M8" s="153" t="str"/>
      <x:c r="N8" s="137" t="str"/>
      <x:c r="O8" s="137" t="str"/>
      <x:c r="P8" s="137" t="str"/>
      <x:c r="Q8" s="137" t="str"/>
    </x:row>
    <x:row r="9">
      <x:c r="A9" s="138" t="str"/>
      <x:c r="B9" s="137" t="str"/>
      <x:c r="C9" s="137" t="str"/>
      <x:c r="D9" s="137" t="str"/>
      <x:c r="E9" s="160" t="str"/>
      <x:c r="F9" s="160" t="str"/>
      <x:c r="G9" s="137" t="str"/>
      <x:c r="H9" s="137" t="str"/>
      <x:c r="I9" s="137" t="str"/>
      <x:c r="J9" s="161" t="str">
        <x:f>IF(OR(E9="",F9=""),"",MOD(F9-E9,1)*24)</x:f>
      </x:c>
      <x:c r="K9" s="161" t="str">
        <x:f>IF(J9="","",MAX(0,J9-(G9+H9+I9)/60))</x:f>
      </x:c>
      <x:c r="L9" s="137" t="str"/>
      <x:c r="M9" s="153" t="str"/>
      <x:c r="N9" s="137" t="str"/>
      <x:c r="O9" s="137" t="str"/>
      <x:c r="P9" s="137" t="str"/>
      <x:c r="Q9" s="137" t="str"/>
    </x:row>
    <x:row r="10">
      <x:c r="A10" s="138" t="str"/>
      <x:c r="B10" s="137" t="str"/>
      <x:c r="C10" s="137" t="str"/>
      <x:c r="D10" s="137" t="str"/>
      <x:c r="E10" s="160" t="str"/>
      <x:c r="F10" s="160" t="str"/>
      <x:c r="G10" s="137" t="str"/>
      <x:c r="H10" s="137" t="str"/>
      <x:c r="I10" s="137" t="str"/>
      <x:c r="J10" s="161" t="str">
        <x:f>IF(OR(E10="",F10=""),"",MOD(F10-E10,1)*24)</x:f>
      </x:c>
      <x:c r="K10" s="161" t="str">
        <x:f>IF(J10="","",MAX(0,J10-(G10+H10+I10)/60))</x:f>
      </x:c>
      <x:c r="L10" s="137" t="str"/>
      <x:c r="M10" s="153" t="str"/>
      <x:c r="N10" s="137" t="str"/>
      <x:c r="O10" s="137" t="str"/>
      <x:c r="P10" s="137" t="str"/>
      <x:c r="Q10" s="137" t="str"/>
    </x:row>
    <x:row r="11">
      <x:c r="A11" s="138" t="str"/>
      <x:c r="B11" s="137" t="str"/>
      <x:c r="C11" s="137" t="str"/>
      <x:c r="D11" s="137" t="str"/>
      <x:c r="E11" s="160" t="str"/>
      <x:c r="F11" s="160" t="str"/>
      <x:c r="G11" s="137" t="str"/>
      <x:c r="H11" s="137" t="str"/>
      <x:c r="I11" s="137" t="str"/>
      <x:c r="J11" s="161" t="str">
        <x:f>IF(OR(E11="",F11=""),"",MOD(F11-E11,1)*24)</x:f>
      </x:c>
      <x:c r="K11" s="161" t="str">
        <x:f>IF(J11="","",MAX(0,J11-(G11+H11+I11)/60))</x:f>
      </x:c>
      <x:c r="L11" s="137" t="str"/>
      <x:c r="M11" s="153" t="str"/>
      <x:c r="N11" s="137" t="str"/>
      <x:c r="O11" s="137" t="str"/>
      <x:c r="P11" s="137" t="str"/>
      <x:c r="Q11" s="137" t="str"/>
    </x:row>
    <x:row r="12">
      <x:c r="A12" s="138" t="str"/>
      <x:c r="B12" s="137" t="str"/>
      <x:c r="C12" s="137" t="str"/>
      <x:c r="D12" s="137" t="str"/>
      <x:c r="E12" s="160" t="str"/>
      <x:c r="F12" s="160" t="str"/>
      <x:c r="G12" s="137" t="str"/>
      <x:c r="H12" s="137" t="str"/>
      <x:c r="I12" s="137" t="str"/>
      <x:c r="J12" s="161" t="str">
        <x:f>IF(OR(E12="",F12=""),"",MOD(F12-E12,1)*24)</x:f>
      </x:c>
      <x:c r="K12" s="161" t="str">
        <x:f>IF(J12="","",MAX(0,J12-(G12+H12+I12)/60))</x:f>
      </x:c>
      <x:c r="L12" s="137" t="str"/>
      <x:c r="M12" s="153" t="str"/>
      <x:c r="N12" s="137" t="str"/>
      <x:c r="O12" s="137" t="str"/>
      <x:c r="P12" s="137" t="str"/>
      <x:c r="Q12" s="137" t="str"/>
    </x:row>
    <x:row r="13">
      <x:c r="A13" s="138" t="str"/>
      <x:c r="B13" s="137" t="str"/>
      <x:c r="C13" s="137" t="str"/>
      <x:c r="D13" s="137" t="str"/>
      <x:c r="E13" s="160" t="str"/>
      <x:c r="F13" s="160" t="str"/>
      <x:c r="G13" s="137" t="str"/>
      <x:c r="H13" s="137" t="str"/>
      <x:c r="I13" s="137" t="str"/>
      <x:c r="J13" s="161" t="str">
        <x:f>IF(OR(E13="",F13=""),"",MOD(F13-E13,1)*24)</x:f>
      </x:c>
      <x:c r="K13" s="161" t="str">
        <x:f>IF(J13="","",MAX(0,J13-(G13+H13+I13)/60))</x:f>
      </x:c>
      <x:c r="L13" s="137" t="str"/>
      <x:c r="M13" s="153" t="str"/>
      <x:c r="N13" s="137" t="str"/>
      <x:c r="O13" s="137" t="str"/>
      <x:c r="P13" s="137" t="str"/>
      <x:c r="Q13" s="137" t="str"/>
    </x:row>
    <x:row r="14">
      <x:c r="A14" s="138" t="str"/>
      <x:c r="B14" s="137" t="str"/>
      <x:c r="C14" s="137" t="str"/>
      <x:c r="D14" s="137" t="str"/>
      <x:c r="E14" s="160" t="str"/>
      <x:c r="F14" s="160" t="str"/>
      <x:c r="G14" s="137" t="str"/>
      <x:c r="H14" s="137" t="str"/>
      <x:c r="I14" s="137" t="str"/>
      <x:c r="J14" s="161" t="str">
        <x:f>IF(OR(E14="",F14=""),"",MOD(F14-E14,1)*24)</x:f>
      </x:c>
      <x:c r="K14" s="161" t="str">
        <x:f>IF(J14="","",MAX(0,J14-(G14+H14+I14)/60))</x:f>
      </x:c>
      <x:c r="L14" s="137" t="str"/>
      <x:c r="M14" s="153" t="str"/>
      <x:c r="N14" s="137" t="str"/>
      <x:c r="O14" s="137" t="str"/>
      <x:c r="P14" s="137" t="str"/>
      <x:c r="Q14" s="137" t="str"/>
    </x:row>
    <x:row r="15">
      <x:c r="A15" s="138" t="str"/>
      <x:c r="B15" s="137" t="str"/>
      <x:c r="C15" s="137" t="str"/>
      <x:c r="D15" s="137" t="str"/>
      <x:c r="E15" s="160" t="str"/>
      <x:c r="F15" s="160" t="str"/>
      <x:c r="G15" s="137" t="str"/>
      <x:c r="H15" s="137" t="str"/>
      <x:c r="I15" s="137" t="str"/>
      <x:c r="J15" s="161" t="str">
        <x:f>IF(OR(E15="",F15=""),"",MOD(F15-E15,1)*24)</x:f>
      </x:c>
      <x:c r="K15" s="161" t="str">
        <x:f>IF(J15="","",MAX(0,J15-(G15+H15+I15)/60))</x:f>
      </x:c>
      <x:c r="L15" s="137" t="str"/>
      <x:c r="M15" s="153" t="str"/>
      <x:c r="N15" s="137" t="str"/>
      <x:c r="O15" s="137" t="str"/>
      <x:c r="P15" s="137" t="str"/>
      <x:c r="Q15" s="137" t="str"/>
    </x:row>
    <x:row r="16">
      <x:c r="A16" s="138" t="str"/>
      <x:c r="B16" s="137" t="str"/>
      <x:c r="C16" s="137" t="str"/>
      <x:c r="D16" s="137" t="str"/>
      <x:c r="E16" s="160" t="str"/>
      <x:c r="F16" s="160" t="str"/>
      <x:c r="G16" s="137" t="str"/>
      <x:c r="H16" s="137" t="str"/>
      <x:c r="I16" s="137" t="str"/>
      <x:c r="J16" s="161" t="str">
        <x:f>IF(OR(E16="",F16=""),"",MOD(F16-E16,1)*24)</x:f>
      </x:c>
      <x:c r="K16" s="161" t="str">
        <x:f>IF(J16="","",MAX(0,J16-(G16+H16+I16)/60))</x:f>
      </x:c>
      <x:c r="L16" s="137" t="str"/>
      <x:c r="M16" s="153" t="str"/>
      <x:c r="N16" s="137" t="str"/>
      <x:c r="O16" s="137" t="str"/>
      <x:c r="P16" s="137" t="str"/>
      <x:c r="Q16" s="137" t="str"/>
    </x:row>
    <x:row r="17">
      <x:c r="A17" s="138" t="str"/>
      <x:c r="B17" s="137" t="str"/>
      <x:c r="C17" s="137" t="str"/>
      <x:c r="D17" s="137" t="str"/>
      <x:c r="E17" s="160" t="str"/>
      <x:c r="F17" s="160" t="str"/>
      <x:c r="G17" s="137" t="str"/>
      <x:c r="H17" s="137" t="str"/>
      <x:c r="I17" s="137" t="str"/>
      <x:c r="J17" s="161" t="str">
        <x:f>IF(OR(E17="",F17=""),"",MOD(F17-E17,1)*24)</x:f>
      </x:c>
      <x:c r="K17" s="161" t="str">
        <x:f>IF(J17="","",MAX(0,J17-(G17+H17+I17)/60))</x:f>
      </x:c>
      <x:c r="L17" s="137" t="str"/>
      <x:c r="M17" s="153" t="str"/>
      <x:c r="N17" s="137" t="str"/>
      <x:c r="O17" s="137" t="str"/>
      <x:c r="P17" s="137" t="str"/>
      <x:c r="Q17" s="137" t="str"/>
    </x:row>
    <x:row r="18">
      <x:c r="A18" s="138" t="str"/>
      <x:c r="B18" s="137" t="str"/>
      <x:c r="C18" s="137" t="str"/>
      <x:c r="D18" s="137" t="str"/>
      <x:c r="E18" s="160" t="str"/>
      <x:c r="F18" s="160" t="str"/>
      <x:c r="G18" s="137" t="str"/>
      <x:c r="H18" s="137" t="str"/>
      <x:c r="I18" s="137" t="str"/>
      <x:c r="J18" s="161" t="str">
        <x:f>IF(OR(E18="",F18=""),"",MOD(F18-E18,1)*24)</x:f>
      </x:c>
      <x:c r="K18" s="161" t="str">
        <x:f>IF(J18="","",MAX(0,J18-(G18+H18+I18)/60))</x:f>
      </x:c>
      <x:c r="L18" s="137" t="str"/>
      <x:c r="M18" s="153" t="str"/>
      <x:c r="N18" s="137" t="str"/>
      <x:c r="O18" s="137" t="str"/>
      <x:c r="P18" s="137" t="str"/>
      <x:c r="Q18" s="137" t="str"/>
    </x:row>
    <x:row r="19">
      <x:c r="A19" s="138" t="str"/>
      <x:c r="B19" s="137" t="str"/>
      <x:c r="C19" s="137" t="str"/>
      <x:c r="D19" s="137" t="str"/>
      <x:c r="E19" s="160" t="str"/>
      <x:c r="F19" s="160" t="str"/>
      <x:c r="G19" s="137" t="str"/>
      <x:c r="H19" s="137" t="str"/>
      <x:c r="I19" s="137" t="str"/>
      <x:c r="J19" s="161" t="str">
        <x:f>IF(OR(E19="",F19=""),"",MOD(F19-E19,1)*24)</x:f>
      </x:c>
      <x:c r="K19" s="161" t="str">
        <x:f>IF(J19="","",MAX(0,J19-(G19+H19+I19)/60))</x:f>
      </x:c>
      <x:c r="L19" s="137" t="str"/>
      <x:c r="M19" s="153" t="str"/>
      <x:c r="N19" s="137" t="str"/>
      <x:c r="O19" s="137" t="str"/>
      <x:c r="P19" s="137" t="str"/>
      <x:c r="Q19" s="137" t="str"/>
    </x:row>
    <x:row r="20">
      <x:c r="A20" s="138" t="str"/>
      <x:c r="B20" s="137" t="str"/>
      <x:c r="C20" s="137" t="str"/>
      <x:c r="D20" s="137" t="str"/>
      <x:c r="E20" s="160" t="str"/>
      <x:c r="F20" s="160" t="str"/>
      <x:c r="G20" s="137" t="str"/>
      <x:c r="H20" s="137" t="str"/>
      <x:c r="I20" s="137" t="str"/>
      <x:c r="J20" s="161" t="str">
        <x:f>IF(OR(E20="",F20=""),"",MOD(F20-E20,1)*24)</x:f>
      </x:c>
      <x:c r="K20" s="161" t="str">
        <x:f>IF(J20="","",MAX(0,J20-(G20+H20+I20)/60))</x:f>
      </x:c>
      <x:c r="L20" s="137" t="str"/>
      <x:c r="M20" s="153" t="str"/>
      <x:c r="N20" s="137" t="str"/>
      <x:c r="O20" s="137" t="str"/>
      <x:c r="P20" s="137" t="str"/>
      <x:c r="Q20" s="137" t="str"/>
    </x:row>
    <x:row r="21">
      <x:c r="A21" s="138" t="str"/>
      <x:c r="B21" s="137" t="str"/>
      <x:c r="C21" s="137" t="str"/>
      <x:c r="D21" s="137" t="str"/>
      <x:c r="E21" s="160" t="str"/>
      <x:c r="F21" s="160" t="str"/>
      <x:c r="G21" s="137" t="str"/>
      <x:c r="H21" s="137" t="str"/>
      <x:c r="I21" s="137" t="str"/>
      <x:c r="J21" s="161" t="str">
        <x:f>IF(OR(E21="",F21=""),"",MOD(F21-E21,1)*24)</x:f>
      </x:c>
      <x:c r="K21" s="161" t="str">
        <x:f>IF(J21="","",MAX(0,J21-(G21+H21+I21)/60))</x:f>
      </x:c>
      <x:c r="L21" s="137" t="str"/>
      <x:c r="M21" s="153" t="str"/>
      <x:c r="N21" s="137" t="str"/>
      <x:c r="O21" s="137" t="str"/>
      <x:c r="P21" s="137" t="str"/>
      <x:c r="Q21" s="137" t="str"/>
    </x:row>
    <x:row r="22">
      <x:c r="A22" s="138" t="str"/>
      <x:c r="B22" s="137" t="str"/>
      <x:c r="C22" s="137" t="str"/>
      <x:c r="D22" s="137" t="str"/>
      <x:c r="E22" s="160" t="str"/>
      <x:c r="F22" s="160" t="str"/>
      <x:c r="G22" s="137" t="str"/>
      <x:c r="H22" s="137" t="str"/>
      <x:c r="I22" s="137" t="str"/>
      <x:c r="J22" s="161" t="str">
        <x:f>IF(OR(E22="",F22=""),"",MOD(F22-E22,1)*24)</x:f>
      </x:c>
      <x:c r="K22" s="161" t="str">
        <x:f>IF(J22="","",MAX(0,J22-(G22+H22+I22)/60))</x:f>
      </x:c>
      <x:c r="L22" s="137" t="str"/>
      <x:c r="M22" s="153" t="str"/>
      <x:c r="N22" s="137" t="str"/>
      <x:c r="O22" s="137" t="str"/>
      <x:c r="P22" s="137" t="str"/>
      <x:c r="Q22" s="137" t="str"/>
    </x:row>
    <x:row r="23">
      <x:c r="A23" s="138" t="str"/>
      <x:c r="B23" s="137" t="str"/>
      <x:c r="C23" s="137" t="str"/>
      <x:c r="D23" s="137" t="str"/>
      <x:c r="E23" s="160" t="str"/>
      <x:c r="F23" s="160" t="str"/>
      <x:c r="G23" s="137" t="str"/>
      <x:c r="H23" s="137" t="str"/>
      <x:c r="I23" s="137" t="str"/>
      <x:c r="J23" s="161" t="str">
        <x:f>IF(OR(E23="",F23=""),"",MOD(F23-E23,1)*24)</x:f>
      </x:c>
      <x:c r="K23" s="161" t="str">
        <x:f>IF(J23="","",MAX(0,J23-(G23+H23+I23)/60))</x:f>
      </x:c>
      <x:c r="L23" s="137" t="str"/>
      <x:c r="M23" s="153" t="str"/>
      <x:c r="N23" s="137" t="str"/>
      <x:c r="O23" s="137" t="str"/>
      <x:c r="P23" s="137" t="str"/>
      <x:c r="Q23" s="137" t="str"/>
    </x:row>
    <x:row r="24">
      <x:c r="A24" s="138" t="str"/>
      <x:c r="B24" s="137" t="str"/>
      <x:c r="C24" s="137" t="str"/>
      <x:c r="D24" s="137" t="str"/>
      <x:c r="E24" s="160" t="str"/>
      <x:c r="F24" s="160" t="str"/>
      <x:c r="G24" s="137" t="str"/>
      <x:c r="H24" s="137" t="str"/>
      <x:c r="I24" s="137" t="str"/>
      <x:c r="J24" s="161" t="str">
        <x:f>IF(OR(E24="",F24=""),"",MOD(F24-E24,1)*24)</x:f>
      </x:c>
      <x:c r="K24" s="161" t="str">
        <x:f>IF(J24="","",MAX(0,J24-(G24+H24+I24)/60))</x:f>
      </x:c>
      <x:c r="L24" s="137" t="str"/>
      <x:c r="M24" s="153" t="str"/>
      <x:c r="N24" s="137" t="str"/>
      <x:c r="O24" s="137" t="str"/>
      <x:c r="P24" s="137" t="str"/>
      <x:c r="Q24" s="137" t="str"/>
    </x:row>
    <x:row r="25">
      <x:c r="A25" s="138" t="str"/>
      <x:c r="B25" s="137" t="str"/>
      <x:c r="C25" s="137" t="str"/>
      <x:c r="D25" s="137" t="str"/>
      <x:c r="E25" s="160" t="str"/>
      <x:c r="F25" s="160" t="str"/>
      <x:c r="G25" s="137" t="str"/>
      <x:c r="H25" s="137" t="str"/>
      <x:c r="I25" s="137" t="str"/>
      <x:c r="J25" s="161" t="str">
        <x:f>IF(OR(E25="",F25=""),"",MOD(F25-E25,1)*24)</x:f>
      </x:c>
      <x:c r="K25" s="161" t="str">
        <x:f>IF(J25="","",MAX(0,J25-(G25+H25+I25)/60))</x:f>
      </x:c>
      <x:c r="L25" s="137" t="str"/>
      <x:c r="M25" s="153" t="str"/>
      <x:c r="N25" s="137" t="str"/>
      <x:c r="O25" s="137" t="str"/>
      <x:c r="P25" s="137" t="str"/>
      <x:c r="Q25" s="137" t="str"/>
    </x:row>
    <x:row r="26">
      <x:c r="A26" s="138" t="str"/>
      <x:c r="B26" s="137" t="str"/>
      <x:c r="C26" s="137" t="str"/>
      <x:c r="D26" s="137" t="str"/>
      <x:c r="E26" s="160" t="str"/>
      <x:c r="F26" s="160" t="str"/>
      <x:c r="G26" s="137" t="str"/>
      <x:c r="H26" s="137" t="str"/>
      <x:c r="I26" s="137" t="str"/>
      <x:c r="J26" s="161" t="str">
        <x:f>IF(OR(E26="",F26=""),"",MOD(F26-E26,1)*24)</x:f>
      </x:c>
      <x:c r="K26" s="161" t="str">
        <x:f>IF(J26="","",MAX(0,J26-(G26+H26+I26)/60))</x:f>
      </x:c>
      <x:c r="L26" s="137" t="str"/>
      <x:c r="M26" s="153" t="str"/>
      <x:c r="N26" s="137" t="str"/>
      <x:c r="O26" s="137" t="str"/>
      <x:c r="P26" s="137" t="str"/>
      <x:c r="Q26" s="137" t="str"/>
    </x:row>
    <x:row r="27">
      <x:c r="A27" s="138" t="str"/>
      <x:c r="B27" s="137" t="str"/>
      <x:c r="C27" s="137" t="str"/>
      <x:c r="D27" s="137" t="str"/>
      <x:c r="E27" s="160" t="str"/>
      <x:c r="F27" s="160" t="str"/>
      <x:c r="G27" s="137" t="str"/>
      <x:c r="H27" s="137" t="str"/>
      <x:c r="I27" s="137" t="str"/>
      <x:c r="J27" s="161" t="str">
        <x:f>IF(OR(E27="",F27=""),"",MOD(F27-E27,1)*24)</x:f>
      </x:c>
      <x:c r="K27" s="161" t="str">
        <x:f>IF(J27="","",MAX(0,J27-(G27+H27+I27)/60))</x:f>
      </x:c>
      <x:c r="L27" s="137" t="str"/>
      <x:c r="M27" s="153" t="str"/>
      <x:c r="N27" s="137" t="str"/>
      <x:c r="O27" s="137" t="str"/>
      <x:c r="P27" s="137" t="str"/>
      <x:c r="Q27" s="137" t="str"/>
    </x:row>
    <x:row r="28">
      <x:c r="A28" s="138" t="str"/>
      <x:c r="B28" s="137" t="str"/>
      <x:c r="C28" s="137" t="str"/>
      <x:c r="D28" s="137" t="str"/>
      <x:c r="E28" s="160" t="str"/>
      <x:c r="F28" s="160" t="str"/>
      <x:c r="G28" s="137" t="str"/>
      <x:c r="H28" s="137" t="str"/>
      <x:c r="I28" s="137" t="str"/>
      <x:c r="J28" s="161" t="str">
        <x:f>IF(OR(E28="",F28=""),"",MOD(F28-E28,1)*24)</x:f>
      </x:c>
      <x:c r="K28" s="161" t="str">
        <x:f>IF(J28="","",MAX(0,J28-(G28+H28+I28)/60))</x:f>
      </x:c>
      <x:c r="L28" s="137" t="str"/>
      <x:c r="M28" s="153" t="str"/>
      <x:c r="N28" s="137" t="str"/>
      <x:c r="O28" s="137" t="str"/>
      <x:c r="P28" s="137" t="str"/>
      <x:c r="Q28" s="137" t="str"/>
    </x:row>
    <x:row r="29">
      <x:c r="A29" s="138" t="str"/>
      <x:c r="B29" s="137" t="str"/>
      <x:c r="C29" s="137" t="str"/>
      <x:c r="D29" s="137" t="str"/>
      <x:c r="E29" s="160" t="str"/>
      <x:c r="F29" s="160" t="str"/>
      <x:c r="G29" s="137" t="str"/>
      <x:c r="H29" s="137" t="str"/>
      <x:c r="I29" s="137" t="str"/>
      <x:c r="J29" s="161" t="str">
        <x:f>IF(OR(E29="",F29=""),"",MOD(F29-E29,1)*24)</x:f>
      </x:c>
      <x:c r="K29" s="161" t="str">
        <x:f>IF(J29="","",MAX(0,J29-(G29+H29+I29)/60))</x:f>
      </x:c>
      <x:c r="L29" s="137" t="str"/>
      <x:c r="M29" s="153" t="str"/>
      <x:c r="N29" s="137" t="str"/>
      <x:c r="O29" s="137" t="str"/>
      <x:c r="P29" s="137" t="str"/>
      <x:c r="Q29" s="137" t="str"/>
    </x:row>
    <x:row r="30">
      <x:c r="A30" s="138" t="str"/>
      <x:c r="B30" s="137" t="str"/>
      <x:c r="C30" s="137" t="str"/>
      <x:c r="D30" s="137" t="str"/>
      <x:c r="E30" s="160" t="str"/>
      <x:c r="F30" s="160" t="str"/>
      <x:c r="G30" s="137" t="str"/>
      <x:c r="H30" s="137" t="str"/>
      <x:c r="I30" s="137" t="str"/>
      <x:c r="J30" s="161" t="str">
        <x:f>IF(OR(E30="",F30=""),"",MOD(F30-E30,1)*24)</x:f>
      </x:c>
      <x:c r="K30" s="161" t="str">
        <x:f>IF(J30="","",MAX(0,J30-(G30+H30+I30)/60))</x:f>
      </x:c>
      <x:c r="L30" s="137" t="str"/>
      <x:c r="M30" s="153" t="str"/>
      <x:c r="N30" s="137" t="str"/>
      <x:c r="O30" s="137" t="str"/>
      <x:c r="P30" s="137" t="str"/>
      <x:c r="Q30" s="137" t="str"/>
    </x:row>
    <x:row r="31">
      <x:c r="A31" s="138" t="str"/>
      <x:c r="B31" s="137" t="str"/>
      <x:c r="C31" s="137" t="str"/>
      <x:c r="D31" s="137" t="str"/>
      <x:c r="E31" s="160" t="str"/>
      <x:c r="F31" s="160" t="str"/>
      <x:c r="G31" s="137" t="str"/>
      <x:c r="H31" s="137" t="str"/>
      <x:c r="I31" s="137" t="str"/>
      <x:c r="J31" s="161" t="str">
        <x:f>IF(OR(E31="",F31=""),"",MOD(F31-E31,1)*24)</x:f>
      </x:c>
      <x:c r="K31" s="161" t="str">
        <x:f>IF(J31="","",MAX(0,J31-(G31+H31+I31)/60))</x:f>
      </x:c>
      <x:c r="L31" s="137" t="str"/>
      <x:c r="M31" s="153" t="str"/>
      <x:c r="N31" s="137" t="str"/>
      <x:c r="O31" s="137" t="str"/>
      <x:c r="P31" s="137" t="str"/>
      <x:c r="Q31" s="137" t="str"/>
    </x:row>
    <x:row r="32">
      <x:c r="A32" s="138" t="str"/>
      <x:c r="B32" s="137" t="str"/>
      <x:c r="C32" s="137" t="str"/>
      <x:c r="D32" s="137" t="str"/>
      <x:c r="E32" s="160" t="str"/>
      <x:c r="F32" s="160" t="str"/>
      <x:c r="G32" s="137" t="str"/>
      <x:c r="H32" s="137" t="str"/>
      <x:c r="I32" s="137" t="str"/>
      <x:c r="J32" s="161" t="str">
        <x:f>IF(OR(E32="",F32=""),"",MOD(F32-E32,1)*24)</x:f>
      </x:c>
      <x:c r="K32" s="161" t="str">
        <x:f>IF(J32="","",MAX(0,J32-(G32+H32+I32)/60))</x:f>
      </x:c>
      <x:c r="L32" s="137" t="str"/>
      <x:c r="M32" s="153" t="str"/>
      <x:c r="N32" s="137" t="str"/>
      <x:c r="O32" s="137" t="str"/>
      <x:c r="P32" s="137" t="str"/>
      <x:c r="Q32" s="137" t="str"/>
    </x:row>
    <x:row r="33">
      <x:c r="A33" s="138" t="str"/>
      <x:c r="B33" s="137" t="str"/>
      <x:c r="C33" s="137" t="str"/>
      <x:c r="D33" s="137" t="str"/>
      <x:c r="E33" s="160" t="str"/>
      <x:c r="F33" s="160" t="str"/>
      <x:c r="G33" s="137" t="str"/>
      <x:c r="H33" s="137" t="str"/>
      <x:c r="I33" s="137" t="str"/>
      <x:c r="J33" s="161" t="str">
        <x:f>IF(OR(E33="",F33=""),"",MOD(F33-E33,1)*24)</x:f>
      </x:c>
      <x:c r="K33" s="161" t="str">
        <x:f>IF(J33="","",MAX(0,J33-(G33+H33+I33)/60))</x:f>
      </x:c>
      <x:c r="L33" s="137" t="str"/>
      <x:c r="M33" s="153" t="str"/>
      <x:c r="N33" s="137" t="str"/>
      <x:c r="O33" s="137" t="str"/>
      <x:c r="P33" s="137" t="str"/>
      <x:c r="Q33" s="137" t="str"/>
    </x:row>
    <x:row r="34">
      <x:c r="A34" s="138" t="str"/>
      <x:c r="B34" s="137" t="str"/>
      <x:c r="C34" s="137" t="str"/>
      <x:c r="D34" s="137" t="str"/>
      <x:c r="E34" s="160" t="str"/>
      <x:c r="F34" s="160" t="str"/>
      <x:c r="G34" s="137" t="str"/>
      <x:c r="H34" s="137" t="str"/>
      <x:c r="I34" s="137" t="str"/>
      <x:c r="J34" s="161" t="str">
        <x:f>IF(OR(E34="",F34=""),"",MOD(F34-E34,1)*24)</x:f>
      </x:c>
      <x:c r="K34" s="161" t="str">
        <x:f>IF(J34="","",MAX(0,J34-(G34+H34+I34)/60))</x:f>
      </x:c>
      <x:c r="L34" s="137" t="str"/>
      <x:c r="M34" s="153" t="str"/>
      <x:c r="N34" s="137" t="str"/>
      <x:c r="O34" s="137" t="str"/>
      <x:c r="P34" s="137" t="str"/>
      <x:c r="Q34" s="137" t="str"/>
    </x:row>
    <x:row r="35">
      <x:c r="A35" s="138" t="str"/>
      <x:c r="B35" s="137" t="str"/>
      <x:c r="C35" s="137" t="str"/>
      <x:c r="D35" s="137" t="str"/>
      <x:c r="E35" s="160" t="str"/>
      <x:c r="F35" s="160" t="str"/>
      <x:c r="G35" s="137" t="str"/>
      <x:c r="H35" s="137" t="str"/>
      <x:c r="I35" s="137" t="str"/>
      <x:c r="J35" s="161" t="str">
        <x:f>IF(OR(E35="",F35=""),"",MOD(F35-E35,1)*24)</x:f>
      </x:c>
      <x:c r="K35" s="161" t="str">
        <x:f>IF(J35="","",MAX(0,J35-(G35+H35+I35)/60))</x:f>
      </x:c>
      <x:c r="L35" s="137" t="str"/>
      <x:c r="M35" s="153" t="str"/>
      <x:c r="N35" s="137" t="str"/>
      <x:c r="O35" s="137" t="str"/>
      <x:c r="P35" s="137" t="str"/>
      <x:c r="Q35" s="137" t="str"/>
    </x:row>
    <x:row r="36">
      <x:c r="A36" s="138" t="str"/>
      <x:c r="B36" s="137" t="str"/>
      <x:c r="C36" s="137" t="str"/>
      <x:c r="D36" s="137" t="str"/>
      <x:c r="E36" s="160" t="str"/>
      <x:c r="F36" s="160" t="str"/>
      <x:c r="G36" s="137" t="str"/>
      <x:c r="H36" s="137" t="str"/>
      <x:c r="I36" s="137" t="str"/>
      <x:c r="J36" s="161" t="str">
        <x:f>IF(OR(E36="",F36=""),"",MOD(F36-E36,1)*24)</x:f>
      </x:c>
      <x:c r="K36" s="161" t="str">
        <x:f>IF(J36="","",MAX(0,J36-(G36+H36+I36)/60))</x:f>
      </x:c>
      <x:c r="L36" s="137" t="str"/>
      <x:c r="M36" s="153" t="str"/>
      <x:c r="N36" s="137" t="str"/>
      <x:c r="O36" s="137" t="str"/>
      <x:c r="P36" s="137" t="str"/>
      <x:c r="Q36" s="137" t="str"/>
    </x:row>
    <x:row r="37">
      <x:c r="A37" s="138" t="str"/>
      <x:c r="B37" s="137" t="str"/>
      <x:c r="C37" s="137" t="str"/>
      <x:c r="D37" s="137" t="str"/>
      <x:c r="E37" s="160" t="str"/>
      <x:c r="F37" s="160" t="str"/>
      <x:c r="G37" s="137" t="str"/>
      <x:c r="H37" s="137" t="str"/>
      <x:c r="I37" s="137" t="str"/>
      <x:c r="J37" s="161" t="str">
        <x:f>IF(OR(E37="",F37=""),"",MOD(F37-E37,1)*24)</x:f>
      </x:c>
      <x:c r="K37" s="161" t="str">
        <x:f>IF(J37="","",MAX(0,J37-(G37+H37+I37)/60))</x:f>
      </x:c>
      <x:c r="L37" s="137" t="str"/>
      <x:c r="M37" s="153" t="str"/>
      <x:c r="N37" s="137" t="str"/>
      <x:c r="O37" s="137" t="str"/>
      <x:c r="P37" s="137" t="str"/>
      <x:c r="Q37" s="137" t="str"/>
    </x:row>
    <x:row r="38">
      <x:c r="A38" s="138" t="str"/>
      <x:c r="B38" s="137" t="str"/>
      <x:c r="C38" s="137" t="str"/>
      <x:c r="D38" s="137" t="str"/>
      <x:c r="E38" s="160" t="str"/>
      <x:c r="F38" s="160" t="str"/>
      <x:c r="G38" s="137" t="str"/>
      <x:c r="H38" s="137" t="str"/>
      <x:c r="I38" s="137" t="str"/>
      <x:c r="J38" s="161" t="str">
        <x:f>IF(OR(E38="",F38=""),"",MOD(F38-E38,1)*24)</x:f>
      </x:c>
      <x:c r="K38" s="161" t="str">
        <x:f>IF(J38="","",MAX(0,J38-(G38+H38+I38)/60))</x:f>
      </x:c>
      <x:c r="L38" s="137" t="str"/>
      <x:c r="M38" s="153" t="str"/>
      <x:c r="N38" s="137" t="str"/>
      <x:c r="O38" s="137" t="str"/>
      <x:c r="P38" s="137" t="str"/>
      <x:c r="Q38" s="137" t="str"/>
    </x:row>
    <x:row r="39">
      <x:c r="A39" s="138" t="str"/>
      <x:c r="B39" s="137" t="str"/>
      <x:c r="C39" s="137" t="str"/>
      <x:c r="D39" s="137" t="str"/>
      <x:c r="E39" s="160" t="str"/>
      <x:c r="F39" s="160" t="str"/>
      <x:c r="G39" s="137" t="str"/>
      <x:c r="H39" s="137" t="str"/>
      <x:c r="I39" s="137" t="str"/>
      <x:c r="J39" s="161" t="str">
        <x:f>IF(OR(E39="",F39=""),"",MOD(F39-E39,1)*24)</x:f>
      </x:c>
      <x:c r="K39" s="161" t="str">
        <x:f>IF(J39="","",MAX(0,J39-(G39+H39+I39)/60))</x:f>
      </x:c>
      <x:c r="L39" s="137" t="str"/>
      <x:c r="M39" s="153" t="str"/>
      <x:c r="N39" s="137" t="str"/>
      <x:c r="O39" s="137" t="str"/>
      <x:c r="P39" s="137" t="str"/>
      <x:c r="Q39" s="137" t="str"/>
    </x:row>
    <x:row r="40">
      <x:c r="A40" s="138" t="str"/>
      <x:c r="B40" s="137" t="str"/>
      <x:c r="C40" s="137" t="str"/>
      <x:c r="D40" s="137" t="str"/>
      <x:c r="E40" s="160" t="str"/>
      <x:c r="F40" s="160" t="str"/>
      <x:c r="G40" s="137" t="str"/>
      <x:c r="H40" s="137" t="str"/>
      <x:c r="I40" s="137" t="str"/>
      <x:c r="J40" s="161" t="str">
        <x:f>IF(OR(E40="",F40=""),"",MOD(F40-E40,1)*24)</x:f>
      </x:c>
      <x:c r="K40" s="161" t="str">
        <x:f>IF(J40="","",MAX(0,J40-(G40+H40+I40)/60))</x:f>
      </x:c>
      <x:c r="L40" s="137" t="str"/>
      <x:c r="M40" s="153" t="str"/>
      <x:c r="N40" s="137" t="str"/>
      <x:c r="O40" s="137" t="str"/>
      <x:c r="P40" s="137" t="str"/>
      <x:c r="Q40" s="137" t="str"/>
    </x:row>
    <x:row r="41">
      <x:c r="A41" s="138" t="str"/>
      <x:c r="B41" s="137" t="str"/>
      <x:c r="C41" s="137" t="str"/>
      <x:c r="D41" s="137" t="str"/>
      <x:c r="E41" s="160" t="str"/>
      <x:c r="F41" s="160" t="str"/>
      <x:c r="G41" s="137" t="str"/>
      <x:c r="H41" s="137" t="str"/>
      <x:c r="I41" s="137" t="str"/>
      <x:c r="J41" s="161" t="str">
        <x:f>IF(OR(E41="",F41=""),"",MOD(F41-E41,1)*24)</x:f>
      </x:c>
      <x:c r="K41" s="161" t="str">
        <x:f>IF(J41="","",MAX(0,J41-(G41+H41+I41)/60))</x:f>
      </x:c>
      <x:c r="L41" s="137" t="str"/>
      <x:c r="M41" s="153" t="str"/>
      <x:c r="N41" s="137" t="str"/>
      <x:c r="O41" s="137" t="str"/>
      <x:c r="P41" s="137" t="str"/>
      <x:c r="Q41" s="137" t="str"/>
    </x:row>
    <x:row r="42">
      <x:c r="A42" s="138" t="str"/>
      <x:c r="B42" s="137" t="str"/>
      <x:c r="C42" s="137" t="str"/>
      <x:c r="D42" s="137" t="str"/>
      <x:c r="E42" s="160" t="str"/>
      <x:c r="F42" s="160" t="str"/>
      <x:c r="G42" s="137" t="str"/>
      <x:c r="H42" s="137" t="str"/>
      <x:c r="I42" s="137" t="str"/>
      <x:c r="J42" s="161" t="str">
        <x:f>IF(OR(E42="",F42=""),"",MOD(F42-E42,1)*24)</x:f>
      </x:c>
      <x:c r="K42" s="161" t="str">
        <x:f>IF(J42="","",MAX(0,J42-(G42+H42+I42)/60))</x:f>
      </x:c>
      <x:c r="L42" s="137" t="str"/>
      <x:c r="M42" s="153" t="str"/>
      <x:c r="N42" s="137" t="str"/>
      <x:c r="O42" s="137" t="str"/>
      <x:c r="P42" s="137" t="str"/>
      <x:c r="Q42" s="137" t="str"/>
    </x:row>
    <x:row r="43">
      <x:c r="A43" s="138" t="str"/>
      <x:c r="B43" s="137" t="str"/>
      <x:c r="C43" s="137" t="str"/>
      <x:c r="D43" s="137" t="str"/>
      <x:c r="E43" s="160" t="str"/>
      <x:c r="F43" s="160" t="str"/>
      <x:c r="G43" s="137" t="str"/>
      <x:c r="H43" s="137" t="str"/>
      <x:c r="I43" s="137" t="str"/>
      <x:c r="J43" s="161" t="str">
        <x:f>IF(OR(E43="",F43=""),"",MOD(F43-E43,1)*24)</x:f>
      </x:c>
      <x:c r="K43" s="161" t="str">
        <x:f>IF(J43="","",MAX(0,J43-(G43+H43+I43)/60))</x:f>
      </x:c>
      <x:c r="L43" s="137" t="str"/>
      <x:c r="M43" s="153" t="str"/>
      <x:c r="N43" s="137" t="str"/>
      <x:c r="O43" s="137" t="str"/>
      <x:c r="P43" s="137" t="str"/>
      <x:c r="Q43" s="137" t="str"/>
    </x:row>
    <x:row r="44">
      <x:c r="A44" s="138" t="str"/>
      <x:c r="B44" s="137" t="str"/>
      <x:c r="C44" s="137" t="str"/>
      <x:c r="D44" s="137" t="str"/>
      <x:c r="E44" s="160" t="str"/>
      <x:c r="F44" s="160" t="str"/>
      <x:c r="G44" s="137" t="str"/>
      <x:c r="H44" s="137" t="str"/>
      <x:c r="I44" s="137" t="str"/>
      <x:c r="J44" s="161" t="str">
        <x:f>IF(OR(E44="",F44=""),"",MOD(F44-E44,1)*24)</x:f>
      </x:c>
      <x:c r="K44" s="161" t="str">
        <x:f>IF(J44="","",MAX(0,J44-(G44+H44+I44)/60))</x:f>
      </x:c>
      <x:c r="L44" s="137" t="str"/>
      <x:c r="M44" s="153" t="str"/>
      <x:c r="N44" s="137" t="str"/>
      <x:c r="O44" s="137" t="str"/>
      <x:c r="P44" s="137" t="str"/>
      <x:c r="Q44" s="137" t="str"/>
    </x:row>
    <x:row r="45">
      <x:c r="A45" s="138" t="str"/>
      <x:c r="B45" s="137" t="str"/>
      <x:c r="C45" s="137" t="str"/>
      <x:c r="D45" s="137" t="str"/>
      <x:c r="E45" s="160" t="str"/>
      <x:c r="F45" s="160" t="str"/>
      <x:c r="G45" s="137" t="str"/>
      <x:c r="H45" s="137" t="str"/>
      <x:c r="I45" s="137" t="str"/>
      <x:c r="J45" s="161" t="str">
        <x:f>IF(OR(E45="",F45=""),"",MOD(F45-E45,1)*24)</x:f>
      </x:c>
      <x:c r="K45" s="161" t="str">
        <x:f>IF(J45="","",MAX(0,J45-(G45+H45+I45)/60))</x:f>
      </x:c>
      <x:c r="L45" s="137" t="str"/>
      <x:c r="M45" s="153" t="str"/>
      <x:c r="N45" s="137" t="str"/>
      <x:c r="O45" s="137" t="str"/>
      <x:c r="P45" s="137" t="str"/>
      <x:c r="Q45" s="137" t="str"/>
    </x:row>
    <x:row r="46">
      <x:c r="A46" s="138" t="str"/>
      <x:c r="B46" s="137" t="str"/>
      <x:c r="C46" s="137" t="str"/>
      <x:c r="D46" s="137" t="str"/>
      <x:c r="E46" s="160" t="str"/>
      <x:c r="F46" s="160" t="str"/>
      <x:c r="G46" s="137" t="str"/>
      <x:c r="H46" s="137" t="str"/>
      <x:c r="I46" s="137" t="str"/>
      <x:c r="J46" s="161" t="str">
        <x:f>IF(OR(E46="",F46=""),"",MOD(F46-E46,1)*24)</x:f>
      </x:c>
      <x:c r="K46" s="161" t="str">
        <x:f>IF(J46="","",MAX(0,J46-(G46+H46+I46)/60))</x:f>
      </x:c>
      <x:c r="L46" s="137" t="str"/>
      <x:c r="M46" s="153" t="str"/>
      <x:c r="N46" s="137" t="str"/>
      <x:c r="O46" s="137" t="str"/>
      <x:c r="P46" s="137" t="str"/>
      <x:c r="Q46" s="137" t="str"/>
    </x:row>
    <x:row r="47">
      <x:c r="A47" s="138" t="str"/>
      <x:c r="B47" s="137" t="str"/>
      <x:c r="C47" s="137" t="str"/>
      <x:c r="D47" s="137" t="str"/>
      <x:c r="E47" s="160" t="str"/>
      <x:c r="F47" s="160" t="str"/>
      <x:c r="G47" s="137" t="str"/>
      <x:c r="H47" s="137" t="str"/>
      <x:c r="I47" s="137" t="str"/>
      <x:c r="J47" s="161" t="str">
        <x:f>IF(OR(E47="",F47=""),"",MOD(F47-E47,1)*24)</x:f>
      </x:c>
      <x:c r="K47" s="161" t="str">
        <x:f>IF(J47="","",MAX(0,J47-(G47+H47+I47)/60))</x:f>
      </x:c>
      <x:c r="L47" s="137" t="str"/>
      <x:c r="M47" s="153" t="str"/>
      <x:c r="N47" s="137" t="str"/>
      <x:c r="O47" s="137" t="str"/>
      <x:c r="P47" s="137" t="str"/>
      <x:c r="Q47" s="137" t="str"/>
    </x:row>
    <x:row r="48">
      <x:c r="A48" s="138" t="str"/>
      <x:c r="B48" s="137" t="str"/>
      <x:c r="C48" s="137" t="str"/>
      <x:c r="D48" s="137" t="str"/>
      <x:c r="E48" s="160" t="str"/>
      <x:c r="F48" s="160" t="str"/>
      <x:c r="G48" s="137" t="str"/>
      <x:c r="H48" s="137" t="str"/>
      <x:c r="I48" s="137" t="str"/>
      <x:c r="J48" s="161" t="str">
        <x:f>IF(OR(E48="",F48=""),"",MOD(F48-E48,1)*24)</x:f>
      </x:c>
      <x:c r="K48" s="161" t="str">
        <x:f>IF(J48="","",MAX(0,J48-(G48+H48+I48)/60))</x:f>
      </x:c>
      <x:c r="L48" s="137" t="str"/>
      <x:c r="M48" s="153" t="str"/>
      <x:c r="N48" s="137" t="str"/>
      <x:c r="O48" s="137" t="str"/>
      <x:c r="P48" s="137" t="str"/>
      <x:c r="Q48" s="137" t="str"/>
    </x:row>
    <x:row r="49">
      <x:c r="A49" s="138" t="str"/>
      <x:c r="B49" s="137" t="str"/>
      <x:c r="C49" s="137" t="str"/>
      <x:c r="D49" s="137" t="str"/>
      <x:c r="E49" s="160" t="str"/>
      <x:c r="F49" s="160" t="str"/>
      <x:c r="G49" s="137" t="str"/>
      <x:c r="H49" s="137" t="str"/>
      <x:c r="I49" s="137" t="str"/>
      <x:c r="J49" s="161" t="str">
        <x:f>IF(OR(E49="",F49=""),"",MOD(F49-E49,1)*24)</x:f>
      </x:c>
      <x:c r="K49" s="161" t="str">
        <x:f>IF(J49="","",MAX(0,J49-(G49+H49+I49)/60))</x:f>
      </x:c>
      <x:c r="L49" s="137" t="str"/>
      <x:c r="M49" s="153" t="str"/>
      <x:c r="N49" s="137" t="str"/>
      <x:c r="O49" s="137" t="str"/>
      <x:c r="P49" s="137" t="str"/>
      <x:c r="Q49" s="137" t="str"/>
    </x:row>
    <x:row r="50">
      <x:c r="A50" s="138" t="str"/>
      <x:c r="B50" s="137" t="str"/>
      <x:c r="C50" s="137" t="str"/>
      <x:c r="D50" s="137" t="str"/>
      <x:c r="E50" s="160" t="str"/>
      <x:c r="F50" s="160" t="str"/>
      <x:c r="G50" s="137" t="str"/>
      <x:c r="H50" s="137" t="str"/>
      <x:c r="I50" s="137" t="str"/>
      <x:c r="J50" s="161" t="str">
        <x:f>IF(OR(E50="",F50=""),"",MOD(F50-E50,1)*24)</x:f>
      </x:c>
      <x:c r="K50" s="161" t="str">
        <x:f>IF(J50="","",MAX(0,J50-(G50+H50+I50)/60))</x:f>
      </x:c>
      <x:c r="L50" s="137" t="str"/>
      <x:c r="M50" s="153" t="str"/>
      <x:c r="N50" s="137" t="str"/>
      <x:c r="O50" s="137" t="str"/>
      <x:c r="P50" s="137" t="str"/>
      <x:c r="Q50" s="137" t="str"/>
    </x:row>
    <x:row r="51">
      <x:c r="A51" s="138" t="str"/>
      <x:c r="B51" s="137" t="str"/>
      <x:c r="C51" s="137" t="str"/>
      <x:c r="D51" s="137" t="str"/>
      <x:c r="E51" s="160" t="str"/>
      <x:c r="F51" s="160" t="str"/>
      <x:c r="G51" s="137" t="str"/>
      <x:c r="H51" s="137" t="str"/>
      <x:c r="I51" s="137" t="str"/>
      <x:c r="J51" s="161" t="str">
        <x:f>IF(OR(E51="",F51=""),"",MOD(F51-E51,1)*24)</x:f>
      </x:c>
      <x:c r="K51" s="161" t="str">
        <x:f>IF(J51="","",MAX(0,J51-(G51+H51+I51)/60))</x:f>
      </x:c>
      <x:c r="L51" s="137" t="str"/>
      <x:c r="M51" s="153" t="str"/>
      <x:c r="N51" s="137" t="str"/>
      <x:c r="O51" s="137" t="str"/>
      <x:c r="P51" s="137" t="str"/>
      <x:c r="Q51" s="137" t="str"/>
    </x:row>
    <x:row r="52">
      <x:c r="A52" s="138" t="str"/>
      <x:c r="B52" s="137" t="str"/>
      <x:c r="C52" s="137" t="str"/>
      <x:c r="D52" s="137" t="str"/>
      <x:c r="E52" s="160" t="str"/>
      <x:c r="F52" s="160" t="str"/>
      <x:c r="G52" s="137" t="str"/>
      <x:c r="H52" s="137" t="str"/>
      <x:c r="I52" s="137" t="str"/>
      <x:c r="J52" s="161" t="str">
        <x:f>IF(OR(E52="",F52=""),"",MOD(F52-E52,1)*24)</x:f>
      </x:c>
      <x:c r="K52" s="161" t="str">
        <x:f>IF(J52="","",MAX(0,J52-(G52+H52+I52)/60))</x:f>
      </x:c>
      <x:c r="L52" s="137" t="str"/>
      <x:c r="M52" s="153" t="str"/>
      <x:c r="N52" s="137" t="str"/>
      <x:c r="O52" s="137" t="str"/>
      <x:c r="P52" s="137" t="str"/>
      <x:c r="Q52" s="137" t="str"/>
    </x:row>
    <x:row r="53">
      <x:c r="A53" s="138" t="str"/>
      <x:c r="B53" s="137" t="str"/>
      <x:c r="C53" s="137" t="str"/>
      <x:c r="D53" s="137" t="str"/>
      <x:c r="E53" s="160" t="str"/>
      <x:c r="F53" s="160" t="str"/>
      <x:c r="G53" s="137" t="str"/>
      <x:c r="H53" s="137" t="str"/>
      <x:c r="I53" s="137" t="str"/>
      <x:c r="J53" s="161" t="str">
        <x:f>IF(OR(E53="",F53=""),"",MOD(F53-E53,1)*24)</x:f>
      </x:c>
      <x:c r="K53" s="161" t="str">
        <x:f>IF(J53="","",MAX(0,J53-(G53+H53+I53)/60))</x:f>
      </x:c>
      <x:c r="L53" s="137" t="str"/>
      <x:c r="M53" s="153" t="str"/>
      <x:c r="N53" s="137" t="str"/>
      <x:c r="O53" s="137" t="str"/>
      <x:c r="P53" s="137" t="str"/>
      <x:c r="Q53" s="137" t="str"/>
    </x:row>
    <x:row r="54">
      <x:c r="A54" s="138" t="str"/>
      <x:c r="B54" s="137" t="str"/>
      <x:c r="C54" s="137" t="str"/>
      <x:c r="D54" s="137" t="str"/>
      <x:c r="E54" s="160" t="str"/>
      <x:c r="F54" s="160" t="str"/>
      <x:c r="G54" s="137" t="str"/>
      <x:c r="H54" s="137" t="str"/>
      <x:c r="I54" s="137" t="str"/>
      <x:c r="J54" s="161" t="str">
        <x:f>IF(OR(E54="",F54=""),"",MOD(F54-E54,1)*24)</x:f>
      </x:c>
      <x:c r="K54" s="161" t="str">
        <x:f>IF(J54="","",MAX(0,J54-(G54+H54+I54)/60))</x:f>
      </x:c>
      <x:c r="L54" s="137" t="str"/>
      <x:c r="M54" s="153" t="str"/>
      <x:c r="N54" s="137" t="str"/>
      <x:c r="O54" s="137" t="str"/>
      <x:c r="P54" s="137" t="str"/>
      <x:c r="Q54" s="137" t="str"/>
    </x:row>
    <x:row r="55">
      <x:c r="A55" s="138" t="str"/>
      <x:c r="B55" s="137" t="str"/>
      <x:c r="C55" s="137" t="str"/>
      <x:c r="D55" s="137" t="str"/>
      <x:c r="E55" s="160" t="str"/>
      <x:c r="F55" s="160" t="str"/>
      <x:c r="G55" s="137" t="str"/>
      <x:c r="H55" s="137" t="str"/>
      <x:c r="I55" s="137" t="str"/>
      <x:c r="J55" s="161" t="str">
        <x:f>IF(OR(E55="",F55=""),"",MOD(F55-E55,1)*24)</x:f>
      </x:c>
      <x:c r="K55" s="161" t="str">
        <x:f>IF(J55="","",MAX(0,J55-(G55+H55+I55)/60))</x:f>
      </x:c>
      <x:c r="L55" s="137" t="str"/>
      <x:c r="M55" s="153" t="str"/>
      <x:c r="N55" s="137" t="str"/>
      <x:c r="O55" s="137" t="str"/>
      <x:c r="P55" s="137" t="str"/>
      <x:c r="Q55" s="137" t="str"/>
    </x:row>
    <x:row r="56">
      <x:c r="A56" s="138" t="str"/>
      <x:c r="B56" s="137" t="str"/>
      <x:c r="C56" s="137" t="str"/>
      <x:c r="D56" s="137" t="str"/>
      <x:c r="E56" s="160" t="str"/>
      <x:c r="F56" s="160" t="str"/>
      <x:c r="G56" s="137" t="str"/>
      <x:c r="H56" s="137" t="str"/>
      <x:c r="I56" s="137" t="str"/>
      <x:c r="J56" s="161" t="str">
        <x:f>IF(OR(E56="",F56=""),"",MOD(F56-E56,1)*24)</x:f>
      </x:c>
      <x:c r="K56" s="161" t="str">
        <x:f>IF(J56="","",MAX(0,J56-(G56+H56+I56)/60))</x:f>
      </x:c>
      <x:c r="L56" s="137" t="str"/>
      <x:c r="M56" s="153" t="str"/>
      <x:c r="N56" s="137" t="str"/>
      <x:c r="O56" s="137" t="str"/>
      <x:c r="P56" s="137" t="str"/>
      <x:c r="Q56" s="137" t="str"/>
    </x:row>
    <x:row r="57">
      <x:c r="A57" s="138" t="str"/>
      <x:c r="B57" s="137" t="str"/>
      <x:c r="C57" s="137" t="str"/>
      <x:c r="D57" s="137" t="str"/>
      <x:c r="E57" s="160" t="str"/>
      <x:c r="F57" s="160" t="str"/>
      <x:c r="G57" s="137" t="str"/>
      <x:c r="H57" s="137" t="str"/>
      <x:c r="I57" s="137" t="str"/>
      <x:c r="J57" s="161" t="str">
        <x:f>IF(OR(E57="",F57=""),"",MOD(F57-E57,1)*24)</x:f>
      </x:c>
      <x:c r="K57" s="161" t="str">
        <x:f>IF(J57="","",MAX(0,J57-(G57+H57+I57)/60))</x:f>
      </x:c>
      <x:c r="L57" s="137" t="str"/>
      <x:c r="M57" s="153" t="str"/>
      <x:c r="N57" s="137" t="str"/>
      <x:c r="O57" s="137" t="str"/>
      <x:c r="P57" s="137" t="str"/>
      <x:c r="Q57" s="137" t="str"/>
    </x:row>
    <x:row r="58">
      <x:c r="A58" s="138" t="str"/>
      <x:c r="B58" s="137" t="str"/>
      <x:c r="C58" s="137" t="str"/>
      <x:c r="D58" s="137" t="str"/>
      <x:c r="E58" s="160" t="str"/>
      <x:c r="F58" s="160" t="str"/>
      <x:c r="G58" s="137" t="str"/>
      <x:c r="H58" s="137" t="str"/>
      <x:c r="I58" s="137" t="str"/>
      <x:c r="J58" s="161" t="str">
        <x:f>IF(OR(E58="",F58=""),"",MOD(F58-E58,1)*24)</x:f>
      </x:c>
      <x:c r="K58" s="161" t="str">
        <x:f>IF(J58="","",MAX(0,J58-(G58+H58+I58)/60))</x:f>
      </x:c>
      <x:c r="L58" s="137" t="str"/>
      <x:c r="M58" s="153" t="str"/>
      <x:c r="N58" s="137" t="str"/>
      <x:c r="O58" s="137" t="str"/>
      <x:c r="P58" s="137" t="str"/>
      <x:c r="Q58" s="137" t="str"/>
    </x:row>
    <x:row r="59">
      <x:c r="A59" s="138" t="str"/>
      <x:c r="B59" s="137" t="str"/>
      <x:c r="C59" s="137" t="str"/>
      <x:c r="D59" s="137" t="str"/>
      <x:c r="E59" s="160" t="str"/>
      <x:c r="F59" s="160" t="str"/>
      <x:c r="G59" s="137" t="str"/>
      <x:c r="H59" s="137" t="str"/>
      <x:c r="I59" s="137" t="str"/>
      <x:c r="J59" s="161" t="str">
        <x:f>IF(OR(E59="",F59=""),"",MOD(F59-E59,1)*24)</x:f>
      </x:c>
      <x:c r="K59" s="161" t="str">
        <x:f>IF(J59="","",MAX(0,J59-(G59+H59+I59)/60))</x:f>
      </x:c>
      <x:c r="L59" s="137" t="str"/>
      <x:c r="M59" s="153" t="str"/>
      <x:c r="N59" s="137" t="str"/>
      <x:c r="O59" s="137" t="str"/>
      <x:c r="P59" s="137" t="str"/>
      <x:c r="Q59" s="137" t="str"/>
    </x:row>
    <x:row r="60">
      <x:c r="A60" s="138" t="str"/>
      <x:c r="B60" s="137" t="str"/>
      <x:c r="C60" s="137" t="str"/>
      <x:c r="D60" s="137" t="str"/>
      <x:c r="E60" s="160" t="str"/>
      <x:c r="F60" s="160" t="str"/>
      <x:c r="G60" s="137" t="str"/>
      <x:c r="H60" s="137" t="str"/>
      <x:c r="I60" s="137" t="str"/>
      <x:c r="J60" s="161" t="str">
        <x:f>IF(OR(E60="",F60=""),"",MOD(F60-E60,1)*24)</x:f>
      </x:c>
      <x:c r="K60" s="161" t="str">
        <x:f>IF(J60="","",MAX(0,J60-(G60+H60+I60)/60))</x:f>
      </x:c>
      <x:c r="L60" s="137" t="str"/>
      <x:c r="M60" s="153" t="str"/>
      <x:c r="N60" s="137" t="str"/>
      <x:c r="O60" s="137" t="str"/>
      <x:c r="P60" s="137" t="str"/>
      <x:c r="Q60" s="137" t="str"/>
    </x:row>
    <x:row r="61">
      <x:c r="A61" s="138" t="str"/>
      <x:c r="B61" s="137" t="str"/>
      <x:c r="C61" s="137" t="str"/>
      <x:c r="D61" s="137" t="str"/>
      <x:c r="E61" s="160" t="str"/>
      <x:c r="F61" s="160" t="str"/>
      <x:c r="G61" s="137" t="str"/>
      <x:c r="H61" s="137" t="str"/>
      <x:c r="I61" s="137" t="str"/>
      <x:c r="J61" s="161" t="str">
        <x:f>IF(OR(E61="",F61=""),"",MOD(F61-E61,1)*24)</x:f>
      </x:c>
      <x:c r="K61" s="161" t="str">
        <x:f>IF(J61="","",MAX(0,J61-(G61+H61+I61)/60))</x:f>
      </x:c>
      <x:c r="L61" s="137" t="str"/>
      <x:c r="M61" s="153" t="str"/>
      <x:c r="N61" s="137" t="str"/>
      <x:c r="O61" s="137" t="str"/>
      <x:c r="P61" s="137" t="str"/>
      <x:c r="Q61" s="137" t="str"/>
    </x:row>
    <x:row r="62">
      <x:c r="A62" s="138" t="str"/>
      <x:c r="B62" s="137" t="str"/>
      <x:c r="C62" s="137" t="str"/>
      <x:c r="D62" s="137" t="str"/>
      <x:c r="E62" s="160" t="str"/>
      <x:c r="F62" s="160" t="str"/>
      <x:c r="G62" s="137" t="str"/>
      <x:c r="H62" s="137" t="str"/>
      <x:c r="I62" s="137" t="str"/>
      <x:c r="J62" s="161" t="str">
        <x:f>IF(OR(E62="",F62=""),"",MOD(F62-E62,1)*24)</x:f>
      </x:c>
      <x:c r="K62" s="161" t="str">
        <x:f>IF(J62="","",MAX(0,J62-(G62+H62+I62)/60))</x:f>
      </x:c>
      <x:c r="L62" s="137" t="str"/>
      <x:c r="M62" s="153" t="str"/>
      <x:c r="N62" s="137" t="str"/>
      <x:c r="O62" s="137" t="str"/>
      <x:c r="P62" s="137" t="str"/>
      <x:c r="Q62" s="137" t="str"/>
    </x:row>
    <x:row r="63">
      <x:c r="A63" s="138" t="str"/>
      <x:c r="B63" s="137" t="str"/>
      <x:c r="C63" s="137" t="str"/>
      <x:c r="D63" s="137" t="str"/>
      <x:c r="E63" s="160" t="str"/>
      <x:c r="F63" s="160" t="str"/>
      <x:c r="G63" s="137" t="str"/>
      <x:c r="H63" s="137" t="str"/>
      <x:c r="I63" s="137" t="str"/>
      <x:c r="J63" s="161" t="str">
        <x:f>IF(OR(E63="",F63=""),"",MOD(F63-E63,1)*24)</x:f>
      </x:c>
      <x:c r="K63" s="161" t="str">
        <x:f>IF(J63="","",MAX(0,J63-(G63+H63+I63)/60))</x:f>
      </x:c>
      <x:c r="L63" s="137" t="str"/>
      <x:c r="M63" s="153" t="str"/>
      <x:c r="N63" s="137" t="str"/>
      <x:c r="O63" s="137" t="str"/>
      <x:c r="P63" s="137" t="str"/>
      <x:c r="Q63" s="137" t="str"/>
    </x:row>
    <x:row r="64">
      <x:c r="A64" s="138" t="str"/>
      <x:c r="B64" s="137" t="str"/>
      <x:c r="C64" s="137" t="str"/>
      <x:c r="D64" s="137" t="str"/>
      <x:c r="E64" s="160" t="str"/>
      <x:c r="F64" s="160" t="str"/>
      <x:c r="G64" s="137" t="str"/>
      <x:c r="H64" s="137" t="str"/>
      <x:c r="I64" s="137" t="str"/>
      <x:c r="J64" s="161" t="str">
        <x:f>IF(OR(E64="",F64=""),"",MOD(F64-E64,1)*24)</x:f>
      </x:c>
      <x:c r="K64" s="161" t="str">
        <x:f>IF(J64="","",MAX(0,J64-(G64+H64+I64)/60))</x:f>
      </x:c>
      <x:c r="L64" s="137" t="str"/>
      <x:c r="M64" s="153" t="str"/>
      <x:c r="N64" s="137" t="str"/>
      <x:c r="O64" s="137" t="str"/>
      <x:c r="P64" s="137" t="str"/>
      <x:c r="Q64" s="137" t="str"/>
    </x:row>
    <x:row r="65">
      <x:c r="A65" s="138" t="str"/>
      <x:c r="B65" s="137" t="str"/>
      <x:c r="C65" s="137" t="str"/>
      <x:c r="D65" s="137" t="str"/>
      <x:c r="E65" s="160" t="str"/>
      <x:c r="F65" s="160" t="str"/>
      <x:c r="G65" s="137" t="str"/>
      <x:c r="H65" s="137" t="str"/>
      <x:c r="I65" s="137" t="str"/>
      <x:c r="J65" s="161" t="str">
        <x:f>IF(OR(E65="",F65=""),"",MOD(F65-E65,1)*24)</x:f>
      </x:c>
      <x:c r="K65" s="161" t="str">
        <x:f>IF(J65="","",MAX(0,J65-(G65+H65+I65)/60))</x:f>
      </x:c>
      <x:c r="L65" s="137" t="str"/>
      <x:c r="M65" s="153" t="str"/>
      <x:c r="N65" s="137" t="str"/>
      <x:c r="O65" s="137" t="str"/>
      <x:c r="P65" s="137" t="str"/>
      <x:c r="Q65" s="137" t="str"/>
    </x:row>
    <x:row r="66">
      <x:c r="A66" s="138" t="str"/>
      <x:c r="B66" s="137" t="str"/>
      <x:c r="C66" s="137" t="str"/>
      <x:c r="D66" s="137" t="str"/>
      <x:c r="E66" s="160" t="str"/>
      <x:c r="F66" s="160" t="str"/>
      <x:c r="G66" s="137" t="str"/>
      <x:c r="H66" s="137" t="str"/>
      <x:c r="I66" s="137" t="str"/>
      <x:c r="J66" s="161" t="str">
        <x:f>IF(OR(E66="",F66=""),"",MOD(F66-E66,1)*24)</x:f>
      </x:c>
      <x:c r="K66" s="161" t="str">
        <x:f>IF(J66="","",MAX(0,J66-(G66+H66+I66)/60))</x:f>
      </x:c>
      <x:c r="L66" s="137" t="str"/>
      <x:c r="M66" s="153" t="str"/>
      <x:c r="N66" s="137" t="str"/>
      <x:c r="O66" s="137" t="str"/>
      <x:c r="P66" s="137" t="str"/>
      <x:c r="Q66" s="137" t="str"/>
    </x:row>
    <x:row r="67">
      <x:c r="A67" s="138" t="str"/>
      <x:c r="B67" s="137" t="str"/>
      <x:c r="C67" s="137" t="str"/>
      <x:c r="D67" s="137" t="str"/>
      <x:c r="E67" s="160" t="str"/>
      <x:c r="F67" s="160" t="str"/>
      <x:c r="G67" s="137" t="str"/>
      <x:c r="H67" s="137" t="str"/>
      <x:c r="I67" s="137" t="str"/>
      <x:c r="J67" s="161" t="str">
        <x:f>IF(OR(E67="",F67=""),"",MOD(F67-E67,1)*24)</x:f>
      </x:c>
      <x:c r="K67" s="161" t="str">
        <x:f>IF(J67="","",MAX(0,J67-(G67+H67+I67)/60))</x:f>
      </x:c>
      <x:c r="L67" s="137" t="str"/>
      <x:c r="M67" s="153" t="str"/>
      <x:c r="N67" s="137" t="str"/>
      <x:c r="O67" s="137" t="str"/>
      <x:c r="P67" s="137" t="str"/>
      <x:c r="Q67" s="137" t="str"/>
    </x:row>
    <x:row r="68">
      <x:c r="A68" s="138" t="str"/>
      <x:c r="B68" s="137" t="str"/>
      <x:c r="C68" s="137" t="str"/>
      <x:c r="D68" s="137" t="str"/>
      <x:c r="E68" s="160" t="str"/>
      <x:c r="F68" s="160" t="str"/>
      <x:c r="G68" s="137" t="str"/>
      <x:c r="H68" s="137" t="str"/>
      <x:c r="I68" s="137" t="str"/>
      <x:c r="J68" s="161" t="str">
        <x:f>IF(OR(E68="",F68=""),"",MOD(F68-E68,1)*24)</x:f>
      </x:c>
      <x:c r="K68" s="161" t="str">
        <x:f>IF(J68="","",MAX(0,J68-(G68+H68+I68)/60))</x:f>
      </x:c>
      <x:c r="L68" s="137" t="str"/>
      <x:c r="M68" s="153" t="str"/>
      <x:c r="N68" s="137" t="str"/>
      <x:c r="O68" s="137" t="str"/>
      <x:c r="P68" s="137" t="str"/>
      <x:c r="Q68" s="137" t="str"/>
    </x:row>
    <x:row r="69">
      <x:c r="A69" s="138" t="str"/>
      <x:c r="B69" s="137" t="str"/>
      <x:c r="C69" s="137" t="str"/>
      <x:c r="D69" s="137" t="str"/>
      <x:c r="E69" s="160" t="str"/>
      <x:c r="F69" s="160" t="str"/>
      <x:c r="G69" s="137" t="str"/>
      <x:c r="H69" s="137" t="str"/>
      <x:c r="I69" s="137" t="str"/>
      <x:c r="J69" s="161" t="str">
        <x:f>IF(OR(E69="",F69=""),"",MOD(F69-E69,1)*24)</x:f>
      </x:c>
      <x:c r="K69" s="161" t="str">
        <x:f>IF(J69="","",MAX(0,J69-(G69+H69+I69)/60))</x:f>
      </x:c>
      <x:c r="L69" s="137" t="str"/>
      <x:c r="M69" s="153" t="str"/>
      <x:c r="N69" s="137" t="str"/>
      <x:c r="O69" s="137" t="str"/>
      <x:c r="P69" s="137" t="str"/>
      <x:c r="Q69" s="137" t="str"/>
    </x:row>
    <x:row r="70">
      <x:c r="A70" s="138" t="str"/>
      <x:c r="B70" s="137" t="str"/>
      <x:c r="C70" s="137" t="str"/>
      <x:c r="D70" s="137" t="str"/>
      <x:c r="E70" s="160" t="str"/>
      <x:c r="F70" s="160" t="str"/>
      <x:c r="G70" s="137" t="str"/>
      <x:c r="H70" s="137" t="str"/>
      <x:c r="I70" s="137" t="str"/>
      <x:c r="J70" s="161" t="str">
        <x:f>IF(OR(E70="",F70=""),"",MOD(F70-E70,1)*24)</x:f>
      </x:c>
      <x:c r="K70" s="161" t="str">
        <x:f>IF(J70="","",MAX(0,J70-(G70+H70+I70)/60))</x:f>
      </x:c>
      <x:c r="L70" s="137" t="str"/>
      <x:c r="M70" s="153" t="str"/>
      <x:c r="N70" s="137" t="str"/>
      <x:c r="O70" s="137" t="str"/>
      <x:c r="P70" s="137" t="str"/>
      <x:c r="Q70" s="137" t="str"/>
    </x:row>
    <x:row r="71">
      <x:c r="A71" s="138" t="str"/>
      <x:c r="B71" s="137" t="str"/>
      <x:c r="C71" s="137" t="str"/>
      <x:c r="D71" s="137" t="str"/>
      <x:c r="E71" s="160" t="str"/>
      <x:c r="F71" s="160" t="str"/>
      <x:c r="G71" s="137" t="str"/>
      <x:c r="H71" s="137" t="str"/>
      <x:c r="I71" s="137" t="str"/>
      <x:c r="J71" s="161" t="str">
        <x:f>IF(OR(E71="",F71=""),"",MOD(F71-E71,1)*24)</x:f>
      </x:c>
      <x:c r="K71" s="161" t="str">
        <x:f>IF(J71="","",MAX(0,J71-(G71+H71+I71)/60))</x:f>
      </x:c>
      <x:c r="L71" s="137" t="str"/>
      <x:c r="M71" s="153" t="str"/>
      <x:c r="N71" s="137" t="str"/>
      <x:c r="O71" s="137" t="str"/>
      <x:c r="P71" s="137" t="str"/>
      <x:c r="Q71" s="137" t="str"/>
    </x:row>
    <x:row r="72">
      <x:c r="A72" s="138" t="str"/>
      <x:c r="B72" s="137" t="str"/>
      <x:c r="C72" s="137" t="str"/>
      <x:c r="D72" s="137" t="str"/>
      <x:c r="E72" s="160" t="str"/>
      <x:c r="F72" s="160" t="str"/>
      <x:c r="G72" s="137" t="str"/>
      <x:c r="H72" s="137" t="str"/>
      <x:c r="I72" s="137" t="str"/>
      <x:c r="J72" s="161" t="str">
        <x:f>IF(OR(E72="",F72=""),"",MOD(F72-E72,1)*24)</x:f>
      </x:c>
      <x:c r="K72" s="161" t="str">
        <x:f>IF(J72="","",MAX(0,J72-(G72+H72+I72)/60))</x:f>
      </x:c>
      <x:c r="L72" s="137" t="str"/>
      <x:c r="M72" s="153" t="str"/>
      <x:c r="N72" s="137" t="str"/>
      <x:c r="O72" s="137" t="str"/>
      <x:c r="P72" s="137" t="str"/>
      <x:c r="Q72" s="137" t="str"/>
    </x:row>
    <x:row r="73">
      <x:c r="A73" s="138" t="str"/>
      <x:c r="B73" s="137" t="str"/>
      <x:c r="C73" s="137" t="str"/>
      <x:c r="D73" s="137" t="str"/>
      <x:c r="E73" s="160" t="str"/>
      <x:c r="F73" s="160" t="str"/>
      <x:c r="G73" s="137" t="str"/>
      <x:c r="H73" s="137" t="str"/>
      <x:c r="I73" s="137" t="str"/>
      <x:c r="J73" s="161" t="str">
        <x:f>IF(OR(E73="",F73=""),"",MOD(F73-E73,1)*24)</x:f>
      </x:c>
      <x:c r="K73" s="161" t="str">
        <x:f>IF(J73="","",MAX(0,J73-(G73+H73+I73)/60))</x:f>
      </x:c>
      <x:c r="L73" s="137" t="str"/>
      <x:c r="M73" s="153" t="str"/>
      <x:c r="N73" s="137" t="str"/>
      <x:c r="O73" s="137" t="str"/>
      <x:c r="P73" s="137" t="str"/>
      <x:c r="Q73" s="137" t="str"/>
    </x:row>
    <x:row r="74">
      <x:c r="A74" s="138" t="str"/>
      <x:c r="B74" s="137" t="str"/>
      <x:c r="C74" s="137" t="str"/>
      <x:c r="D74" s="137" t="str"/>
      <x:c r="E74" s="160" t="str"/>
      <x:c r="F74" s="160" t="str"/>
      <x:c r="G74" s="137" t="str"/>
      <x:c r="H74" s="137" t="str"/>
      <x:c r="I74" s="137" t="str"/>
      <x:c r="J74" s="161" t="str">
        <x:f>IF(OR(E74="",F74=""),"",MOD(F74-E74,1)*24)</x:f>
      </x:c>
      <x:c r="K74" s="161" t="str">
        <x:f>IF(J74="","",MAX(0,J74-(G74+H74+I74)/60))</x:f>
      </x:c>
      <x:c r="L74" s="137" t="str"/>
      <x:c r="M74" s="153" t="str"/>
      <x:c r="N74" s="137" t="str"/>
      <x:c r="O74" s="137" t="str"/>
      <x:c r="P74" s="137" t="str"/>
      <x:c r="Q74" s="137" t="str"/>
    </x:row>
    <x:row r="75">
      <x:c r="A75" s="138" t="str"/>
      <x:c r="B75" s="137" t="str"/>
      <x:c r="C75" s="137" t="str"/>
      <x:c r="D75" s="137" t="str"/>
      <x:c r="E75" s="160" t="str"/>
      <x:c r="F75" s="160" t="str"/>
      <x:c r="G75" s="137" t="str"/>
      <x:c r="H75" s="137" t="str"/>
      <x:c r="I75" s="137" t="str"/>
      <x:c r="J75" s="161" t="str">
        <x:f>IF(OR(E75="",F75=""),"",MOD(F75-E75,1)*24)</x:f>
      </x:c>
      <x:c r="K75" s="161" t="str">
        <x:f>IF(J75="","",MAX(0,J75-(G75+H75+I75)/60))</x:f>
      </x:c>
      <x:c r="L75" s="137" t="str"/>
      <x:c r="M75" s="153" t="str"/>
      <x:c r="N75" s="137" t="str"/>
      <x:c r="O75" s="137" t="str"/>
      <x:c r="P75" s="137" t="str"/>
      <x:c r="Q75" s="137" t="str"/>
    </x:row>
    <x:row r="76">
      <x:c r="A76" s="138" t="str"/>
      <x:c r="B76" s="137" t="str"/>
      <x:c r="C76" s="137" t="str"/>
      <x:c r="D76" s="137" t="str"/>
      <x:c r="E76" s="160" t="str"/>
      <x:c r="F76" s="160" t="str"/>
      <x:c r="G76" s="137" t="str"/>
      <x:c r="H76" s="137" t="str"/>
      <x:c r="I76" s="137" t="str"/>
      <x:c r="J76" s="161" t="str">
        <x:f>IF(OR(E76="",F76=""),"",MOD(F76-E76,1)*24)</x:f>
      </x:c>
      <x:c r="K76" s="161" t="str">
        <x:f>IF(J76="","",MAX(0,J76-(G76+H76+I76)/60))</x:f>
      </x:c>
      <x:c r="L76" s="137" t="str"/>
      <x:c r="M76" s="153" t="str"/>
      <x:c r="N76" s="137" t="str"/>
      <x:c r="O76" s="137" t="str"/>
      <x:c r="P76" s="137" t="str"/>
      <x:c r="Q76" s="137" t="str"/>
    </x:row>
    <x:row r="77">
      <x:c r="A77" s="138" t="str"/>
      <x:c r="B77" s="137" t="str"/>
      <x:c r="C77" s="137" t="str"/>
      <x:c r="D77" s="137" t="str"/>
      <x:c r="E77" s="160" t="str"/>
      <x:c r="F77" s="160" t="str"/>
      <x:c r="G77" s="137" t="str"/>
      <x:c r="H77" s="137" t="str"/>
      <x:c r="I77" s="137" t="str"/>
      <x:c r="J77" s="161" t="str">
        <x:f>IF(OR(E77="",F77=""),"",MOD(F77-E77,1)*24)</x:f>
      </x:c>
      <x:c r="K77" s="161" t="str">
        <x:f>IF(J77="","",MAX(0,J77-(G77+H77+I77)/60))</x:f>
      </x:c>
      <x:c r="L77" s="137" t="str"/>
      <x:c r="M77" s="153" t="str"/>
      <x:c r="N77" s="137" t="str"/>
      <x:c r="O77" s="137" t="str"/>
      <x:c r="P77" s="137" t="str"/>
      <x:c r="Q77" s="137" t="str"/>
    </x:row>
    <x:row r="78">
      <x:c r="A78" s="138" t="str"/>
      <x:c r="B78" s="137" t="str"/>
      <x:c r="C78" s="137" t="str"/>
      <x:c r="D78" s="137" t="str"/>
      <x:c r="E78" s="160" t="str"/>
      <x:c r="F78" s="160" t="str"/>
      <x:c r="G78" s="137" t="str"/>
      <x:c r="H78" s="137" t="str"/>
      <x:c r="I78" s="137" t="str"/>
      <x:c r="J78" s="161" t="str">
        <x:f>IF(OR(E78="",F78=""),"",MOD(F78-E78,1)*24)</x:f>
      </x:c>
      <x:c r="K78" s="161" t="str">
        <x:f>IF(J78="","",MAX(0,J78-(G78+H78+I78)/60))</x:f>
      </x:c>
      <x:c r="L78" s="137" t="str"/>
      <x:c r="M78" s="153" t="str"/>
      <x:c r="N78" s="137" t="str"/>
      <x:c r="O78" s="137" t="str"/>
      <x:c r="P78" s="137" t="str"/>
      <x:c r="Q78" s="137" t="str"/>
    </x:row>
    <x:row r="79">
      <x:c r="A79" s="138" t="str"/>
      <x:c r="B79" s="137" t="str"/>
      <x:c r="C79" s="137" t="str"/>
      <x:c r="D79" s="137" t="str"/>
      <x:c r="E79" s="160" t="str"/>
      <x:c r="F79" s="160" t="str"/>
      <x:c r="G79" s="137" t="str"/>
      <x:c r="H79" s="137" t="str"/>
      <x:c r="I79" s="137" t="str"/>
      <x:c r="J79" s="161" t="str">
        <x:f>IF(OR(E79="",F79=""),"",MOD(F79-E79,1)*24)</x:f>
      </x:c>
      <x:c r="K79" s="161" t="str">
        <x:f>IF(J79="","",MAX(0,J79-(G79+H79+I79)/60))</x:f>
      </x:c>
      <x:c r="L79" s="137" t="str"/>
      <x:c r="M79" s="153" t="str"/>
      <x:c r="N79" s="137" t="str"/>
      <x:c r="O79" s="137" t="str"/>
      <x:c r="P79" s="137" t="str"/>
      <x:c r="Q79" s="137" t="str"/>
    </x:row>
    <x:row r="80">
      <x:c r="A80" s="138" t="str"/>
      <x:c r="B80" s="137" t="str"/>
      <x:c r="C80" s="137" t="str"/>
      <x:c r="D80" s="137" t="str"/>
      <x:c r="E80" s="160" t="str"/>
      <x:c r="F80" s="160" t="str"/>
      <x:c r="G80" s="137" t="str"/>
      <x:c r="H80" s="137" t="str"/>
      <x:c r="I80" s="137" t="str"/>
      <x:c r="J80" s="161" t="str">
        <x:f>IF(OR(E80="",F80=""),"",MOD(F80-E80,1)*24)</x:f>
      </x:c>
      <x:c r="K80" s="161" t="str">
        <x:f>IF(J80="","",MAX(0,J80-(G80+H80+I80)/60))</x:f>
      </x:c>
      <x:c r="L80" s="137" t="str"/>
      <x:c r="M80" s="153" t="str"/>
      <x:c r="N80" s="137" t="str"/>
      <x:c r="O80" s="137" t="str"/>
      <x:c r="P80" s="137" t="str"/>
      <x:c r="Q80" s="137" t="str"/>
    </x:row>
    <x:row r="81">
      <x:c r="A81" s="138" t="str"/>
      <x:c r="B81" s="137" t="str"/>
      <x:c r="C81" s="137" t="str"/>
      <x:c r="D81" s="137" t="str"/>
      <x:c r="E81" s="160" t="str"/>
      <x:c r="F81" s="160" t="str"/>
      <x:c r="G81" s="137" t="str"/>
      <x:c r="H81" s="137" t="str"/>
      <x:c r="I81" s="137" t="str"/>
      <x:c r="J81" s="161" t="str">
        <x:f>IF(OR(E81="",F81=""),"",MOD(F81-E81,1)*24)</x:f>
      </x:c>
      <x:c r="K81" s="161" t="str">
        <x:f>IF(J81="","",MAX(0,J81-(G81+H81+I81)/60))</x:f>
      </x:c>
      <x:c r="L81" s="137" t="str"/>
      <x:c r="M81" s="153" t="str"/>
      <x:c r="N81" s="137" t="str"/>
      <x:c r="O81" s="137" t="str"/>
      <x:c r="P81" s="137" t="str"/>
      <x:c r="Q81" s="137" t="str"/>
    </x:row>
    <x:row r="82">
      <x:c r="A82" s="138" t="str"/>
      <x:c r="B82" s="137" t="str"/>
      <x:c r="C82" s="137" t="str"/>
      <x:c r="D82" s="137" t="str"/>
      <x:c r="E82" s="160" t="str"/>
      <x:c r="F82" s="160" t="str"/>
      <x:c r="G82" s="137" t="str"/>
      <x:c r="H82" s="137" t="str"/>
      <x:c r="I82" s="137" t="str"/>
      <x:c r="J82" s="161" t="str">
        <x:f>IF(OR(E82="",F82=""),"",MOD(F82-E82,1)*24)</x:f>
      </x:c>
      <x:c r="K82" s="161" t="str">
        <x:f>IF(J82="","",MAX(0,J82-(G82+H82+I82)/60))</x:f>
      </x:c>
      <x:c r="L82" s="137" t="str"/>
      <x:c r="M82" s="153" t="str"/>
      <x:c r="N82" s="137" t="str"/>
      <x:c r="O82" s="137" t="str"/>
      <x:c r="P82" s="137" t="str"/>
      <x:c r="Q82" s="137" t="str"/>
    </x:row>
    <x:row r="83">
      <x:c r="A83" s="138" t="str"/>
      <x:c r="B83" s="137" t="str"/>
      <x:c r="C83" s="137" t="str"/>
      <x:c r="D83" s="137" t="str"/>
      <x:c r="E83" s="160" t="str"/>
      <x:c r="F83" s="160" t="str"/>
      <x:c r="G83" s="137" t="str"/>
      <x:c r="H83" s="137" t="str"/>
      <x:c r="I83" s="137" t="str"/>
      <x:c r="J83" s="161" t="str">
        <x:f>IF(OR(E83="",F83=""),"",MOD(F83-E83,1)*24)</x:f>
      </x:c>
      <x:c r="K83" s="161" t="str">
        <x:f>IF(J83="","",MAX(0,J83-(G83+H83+I83)/60))</x:f>
      </x:c>
      <x:c r="L83" s="137" t="str"/>
      <x:c r="M83" s="153" t="str"/>
      <x:c r="N83" s="137" t="str"/>
      <x:c r="O83" s="137" t="str"/>
      <x:c r="P83" s="137" t="str"/>
      <x:c r="Q83" s="137" t="str"/>
    </x:row>
    <x:row r="84">
      <x:c r="A84" s="138" t="str"/>
      <x:c r="B84" s="137" t="str"/>
      <x:c r="C84" s="137" t="str"/>
      <x:c r="D84" s="137" t="str"/>
      <x:c r="E84" s="160" t="str"/>
      <x:c r="F84" s="160" t="str"/>
      <x:c r="G84" s="137" t="str"/>
      <x:c r="H84" s="137" t="str"/>
      <x:c r="I84" s="137" t="str"/>
      <x:c r="J84" s="161" t="str">
        <x:f>IF(OR(E84="",F84=""),"",MOD(F84-E84,1)*24)</x:f>
      </x:c>
      <x:c r="K84" s="161" t="str">
        <x:f>IF(J84="","",MAX(0,J84-(G84+H84+I84)/60))</x:f>
      </x:c>
      <x:c r="L84" s="137" t="str"/>
      <x:c r="M84" s="153" t="str"/>
      <x:c r="N84" s="137" t="str"/>
      <x:c r="O84" s="137" t="str"/>
      <x:c r="P84" s="137" t="str"/>
      <x:c r="Q84" s="137" t="str"/>
    </x:row>
    <x:row r="85">
      <x:c r="A85" s="138" t="str"/>
      <x:c r="B85" s="137" t="str"/>
      <x:c r="C85" s="137" t="str"/>
      <x:c r="D85" s="137" t="str"/>
      <x:c r="E85" s="160" t="str"/>
      <x:c r="F85" s="160" t="str"/>
      <x:c r="G85" s="137" t="str"/>
      <x:c r="H85" s="137" t="str"/>
      <x:c r="I85" s="137" t="str"/>
      <x:c r="J85" s="161" t="str">
        <x:f>IF(OR(E85="",F85=""),"",MOD(F85-E85,1)*24)</x:f>
      </x:c>
      <x:c r="K85" s="161" t="str">
        <x:f>IF(J85="","",MAX(0,J85-(G85+H85+I85)/60))</x:f>
      </x:c>
      <x:c r="L85" s="137" t="str"/>
      <x:c r="M85" s="153" t="str"/>
      <x:c r="N85" s="137" t="str"/>
      <x:c r="O85" s="137" t="str"/>
      <x:c r="P85" s="137" t="str"/>
      <x:c r="Q85" s="137" t="str"/>
    </x:row>
    <x:row r="86">
      <x:c r="A86" s="138" t="str"/>
      <x:c r="B86" s="137" t="str"/>
      <x:c r="C86" s="137" t="str"/>
      <x:c r="D86" s="137" t="str"/>
      <x:c r="E86" s="160" t="str"/>
      <x:c r="F86" s="160" t="str"/>
      <x:c r="G86" s="137" t="str"/>
      <x:c r="H86" s="137" t="str"/>
      <x:c r="I86" s="137" t="str"/>
      <x:c r="J86" s="161" t="str">
        <x:f>IF(OR(E86="",F86=""),"",MOD(F86-E86,1)*24)</x:f>
      </x:c>
      <x:c r="K86" s="161" t="str">
        <x:f>IF(J86="","",MAX(0,J86-(G86+H86+I86)/60))</x:f>
      </x:c>
      <x:c r="L86" s="137" t="str"/>
      <x:c r="M86" s="153" t="str"/>
      <x:c r="N86" s="137" t="str"/>
      <x:c r="O86" s="137" t="str"/>
      <x:c r="P86" s="137" t="str"/>
      <x:c r="Q86" s="137" t="str"/>
    </x:row>
    <x:row r="87">
      <x:c r="A87" s="138" t="str"/>
      <x:c r="B87" s="137" t="str"/>
      <x:c r="C87" s="137" t="str"/>
      <x:c r="D87" s="137" t="str"/>
      <x:c r="E87" s="160" t="str"/>
      <x:c r="F87" s="160" t="str"/>
      <x:c r="G87" s="137" t="str"/>
      <x:c r="H87" s="137" t="str"/>
      <x:c r="I87" s="137" t="str"/>
      <x:c r="J87" s="161" t="str">
        <x:f>IF(OR(E87="",F87=""),"",MOD(F87-E87,1)*24)</x:f>
      </x:c>
      <x:c r="K87" s="161" t="str">
        <x:f>IF(J87="","",MAX(0,J87-(G87+H87+I87)/60))</x:f>
      </x:c>
      <x:c r="L87" s="137" t="str"/>
      <x:c r="M87" s="153" t="str"/>
      <x:c r="N87" s="137" t="str"/>
      <x:c r="O87" s="137" t="str"/>
      <x:c r="P87" s="137" t="str"/>
      <x:c r="Q87" s="137" t="str"/>
    </x:row>
    <x:row r="88">
      <x:c r="A88" s="138" t="str"/>
      <x:c r="B88" s="137" t="str"/>
      <x:c r="C88" s="137" t="str"/>
      <x:c r="D88" s="137" t="str"/>
      <x:c r="E88" s="160" t="str"/>
      <x:c r="F88" s="160" t="str"/>
      <x:c r="G88" s="137" t="str"/>
      <x:c r="H88" s="137" t="str"/>
      <x:c r="I88" s="137" t="str"/>
      <x:c r="J88" s="161" t="str">
        <x:f>IF(OR(E88="",F88=""),"",MOD(F88-E88,1)*24)</x:f>
      </x:c>
      <x:c r="K88" s="161" t="str">
        <x:f>IF(J88="","",MAX(0,J88-(G88+H88+I88)/60))</x:f>
      </x:c>
      <x:c r="L88" s="137" t="str"/>
      <x:c r="M88" s="153" t="str"/>
      <x:c r="N88" s="137" t="str"/>
      <x:c r="O88" s="137" t="str"/>
      <x:c r="P88" s="137" t="str"/>
      <x:c r="Q88" s="137" t="str"/>
    </x:row>
    <x:row r="89">
      <x:c r="A89" s="138" t="str"/>
      <x:c r="B89" s="137" t="str"/>
      <x:c r="C89" s="137" t="str"/>
      <x:c r="D89" s="137" t="str"/>
      <x:c r="E89" s="160" t="str"/>
      <x:c r="F89" s="160" t="str"/>
      <x:c r="G89" s="137" t="str"/>
      <x:c r="H89" s="137" t="str"/>
      <x:c r="I89" s="137" t="str"/>
      <x:c r="J89" s="161" t="str">
        <x:f>IF(OR(E89="",F89=""),"",MOD(F89-E89,1)*24)</x:f>
      </x:c>
      <x:c r="K89" s="161" t="str">
        <x:f>IF(J89="","",MAX(0,J89-(G89+H89+I89)/60))</x:f>
      </x:c>
      <x:c r="L89" s="137" t="str"/>
      <x:c r="M89" s="153" t="str"/>
      <x:c r="N89" s="137" t="str"/>
      <x:c r="O89" s="137" t="str"/>
      <x:c r="P89" s="137" t="str"/>
      <x:c r="Q89" s="137" t="str"/>
    </x:row>
    <x:row r="90">
      <x:c r="A90" s="138" t="str"/>
      <x:c r="B90" s="137" t="str"/>
      <x:c r="C90" s="137" t="str"/>
      <x:c r="D90" s="137" t="str"/>
      <x:c r="E90" s="160" t="str"/>
      <x:c r="F90" s="160" t="str"/>
      <x:c r="G90" s="137" t="str"/>
      <x:c r="H90" s="137" t="str"/>
      <x:c r="I90" s="137" t="str"/>
      <x:c r="J90" s="161" t="str">
        <x:f>IF(OR(E90="",F90=""),"",MOD(F90-E90,1)*24)</x:f>
      </x:c>
      <x:c r="K90" s="161" t="str">
        <x:f>IF(J90="","",MAX(0,J90-(G90+H90+I90)/60))</x:f>
      </x:c>
      <x:c r="L90" s="137" t="str"/>
      <x:c r="M90" s="153" t="str"/>
      <x:c r="N90" s="137" t="str"/>
      <x:c r="O90" s="137" t="str"/>
      <x:c r="P90" s="137" t="str"/>
      <x:c r="Q90" s="137" t="str"/>
    </x:row>
    <x:row r="91">
      <x:c r="A91" s="138" t="str"/>
      <x:c r="B91" s="137" t="str"/>
      <x:c r="C91" s="137" t="str"/>
      <x:c r="D91" s="137" t="str"/>
      <x:c r="E91" s="160" t="str"/>
      <x:c r="F91" s="160" t="str"/>
      <x:c r="G91" s="137" t="str"/>
      <x:c r="H91" s="137" t="str"/>
      <x:c r="I91" s="137" t="str"/>
      <x:c r="J91" s="161" t="str">
        <x:f>IF(OR(E91="",F91=""),"",MOD(F91-E91,1)*24)</x:f>
      </x:c>
      <x:c r="K91" s="161" t="str">
        <x:f>IF(J91="","",MAX(0,J91-(G91+H91+I91)/60))</x:f>
      </x:c>
      <x:c r="L91" s="137" t="str"/>
      <x:c r="M91" s="153" t="str"/>
      <x:c r="N91" s="137" t="str"/>
      <x:c r="O91" s="137" t="str"/>
      <x:c r="P91" s="137" t="str"/>
      <x:c r="Q91" s="137" t="str"/>
    </x:row>
    <x:row r="92">
      <x:c r="A92" s="138" t="str"/>
      <x:c r="B92" s="137" t="str"/>
      <x:c r="C92" s="137" t="str"/>
      <x:c r="D92" s="137" t="str"/>
      <x:c r="E92" s="160" t="str"/>
      <x:c r="F92" s="160" t="str"/>
      <x:c r="G92" s="137" t="str"/>
      <x:c r="H92" s="137" t="str"/>
      <x:c r="I92" s="137" t="str"/>
      <x:c r="J92" s="161" t="str">
        <x:f>IF(OR(E92="",F92=""),"",MOD(F92-E92,1)*24)</x:f>
      </x:c>
      <x:c r="K92" s="161" t="str">
        <x:f>IF(J92="","",MAX(0,J92-(G92+H92+I92)/60))</x:f>
      </x:c>
      <x:c r="L92" s="137" t="str"/>
      <x:c r="M92" s="153" t="str"/>
      <x:c r="N92" s="137" t="str"/>
      <x:c r="O92" s="137" t="str"/>
      <x:c r="P92" s="137" t="str"/>
      <x:c r="Q92" s="137" t="str"/>
    </x:row>
    <x:row r="93">
      <x:c r="A93" s="138" t="str"/>
      <x:c r="B93" s="137" t="str"/>
      <x:c r="C93" s="137" t="str"/>
      <x:c r="D93" s="137" t="str"/>
      <x:c r="E93" s="160" t="str"/>
      <x:c r="F93" s="160" t="str"/>
      <x:c r="G93" s="137" t="str"/>
      <x:c r="H93" s="137" t="str"/>
      <x:c r="I93" s="137" t="str"/>
      <x:c r="J93" s="161" t="str">
        <x:f>IF(OR(E93="",F93=""),"",MOD(F93-E93,1)*24)</x:f>
      </x:c>
      <x:c r="K93" s="161" t="str">
        <x:f>IF(J93="","",MAX(0,J93-(G93+H93+I93)/60))</x:f>
      </x:c>
      <x:c r="L93" s="137" t="str"/>
      <x:c r="M93" s="153" t="str"/>
      <x:c r="N93" s="137" t="str"/>
      <x:c r="O93" s="137" t="str"/>
      <x:c r="P93" s="137" t="str"/>
      <x:c r="Q93" s="137" t="str"/>
    </x:row>
    <x:row r="94">
      <x:c r="A94" s="138" t="str"/>
      <x:c r="B94" s="137" t="str"/>
      <x:c r="C94" s="137" t="str"/>
      <x:c r="D94" s="137" t="str"/>
      <x:c r="E94" s="160" t="str"/>
      <x:c r="F94" s="160" t="str"/>
      <x:c r="G94" s="137" t="str"/>
      <x:c r="H94" s="137" t="str"/>
      <x:c r="I94" s="137" t="str"/>
      <x:c r="J94" s="161" t="str">
        <x:f>IF(OR(E94="",F94=""),"",MOD(F94-E94,1)*24)</x:f>
      </x:c>
      <x:c r="K94" s="161" t="str">
        <x:f>IF(J94="","",MAX(0,J94-(G94+H94+I94)/60))</x:f>
      </x:c>
      <x:c r="L94" s="137" t="str"/>
      <x:c r="M94" s="153" t="str"/>
      <x:c r="N94" s="137" t="str"/>
      <x:c r="O94" s="137" t="str"/>
      <x:c r="P94" s="137" t="str"/>
      <x:c r="Q94" s="137" t="str"/>
    </x:row>
    <x:row r="95">
      <x:c r="A95" s="138" t="str"/>
      <x:c r="B95" s="137" t="str"/>
      <x:c r="C95" s="137" t="str"/>
      <x:c r="D95" s="137" t="str"/>
      <x:c r="E95" s="160" t="str"/>
      <x:c r="F95" s="160" t="str"/>
      <x:c r="G95" s="137" t="str"/>
      <x:c r="H95" s="137" t="str"/>
      <x:c r="I95" s="137" t="str"/>
      <x:c r="J95" s="161" t="str">
        <x:f>IF(OR(E95="",F95=""),"",MOD(F95-E95,1)*24)</x:f>
      </x:c>
      <x:c r="K95" s="161" t="str">
        <x:f>IF(J95="","",MAX(0,J95-(G95+H95+I95)/60))</x:f>
      </x:c>
      <x:c r="L95" s="137" t="str"/>
      <x:c r="M95" s="153" t="str"/>
      <x:c r="N95" s="137" t="str"/>
      <x:c r="O95" s="137" t="str"/>
      <x:c r="P95" s="137" t="str"/>
      <x:c r="Q95" s="137" t="str"/>
    </x:row>
    <x:row r="96">
      <x:c r="A96" s="138" t="str"/>
      <x:c r="B96" s="137" t="str"/>
      <x:c r="C96" s="137" t="str"/>
      <x:c r="D96" s="137" t="str"/>
      <x:c r="E96" s="160" t="str"/>
      <x:c r="F96" s="160" t="str"/>
      <x:c r="G96" s="137" t="str"/>
      <x:c r="H96" s="137" t="str"/>
      <x:c r="I96" s="137" t="str"/>
      <x:c r="J96" s="161" t="str">
        <x:f>IF(OR(E96="",F96=""),"",MOD(F96-E96,1)*24)</x:f>
      </x:c>
      <x:c r="K96" s="161" t="str">
        <x:f>IF(J96="","",MAX(0,J96-(G96+H96+I96)/60))</x:f>
      </x:c>
      <x:c r="L96" s="137" t="str"/>
      <x:c r="M96" s="153" t="str"/>
      <x:c r="N96" s="137" t="str"/>
      <x:c r="O96" s="137" t="str"/>
      <x:c r="P96" s="137" t="str"/>
      <x:c r="Q96" s="137" t="str"/>
    </x:row>
    <x:row r="97">
      <x:c r="A97" s="138" t="str"/>
      <x:c r="B97" s="137" t="str"/>
      <x:c r="C97" s="137" t="str"/>
      <x:c r="D97" s="137" t="str"/>
      <x:c r="E97" s="160" t="str"/>
      <x:c r="F97" s="160" t="str"/>
      <x:c r="G97" s="137" t="str"/>
      <x:c r="H97" s="137" t="str"/>
      <x:c r="I97" s="137" t="str"/>
      <x:c r="J97" s="161" t="str">
        <x:f>IF(OR(E97="",F97=""),"",MOD(F97-E97,1)*24)</x:f>
      </x:c>
      <x:c r="K97" s="161" t="str">
        <x:f>IF(J97="","",MAX(0,J97-(G97+H97+I97)/60))</x:f>
      </x:c>
      <x:c r="L97" s="137" t="str"/>
      <x:c r="M97" s="153" t="str"/>
      <x:c r="N97" s="137" t="str"/>
      <x:c r="O97" s="137" t="str"/>
      <x:c r="P97" s="137" t="str"/>
      <x:c r="Q97" s="137" t="str"/>
    </x:row>
    <x:row r="98">
      <x:c r="A98" s="138" t="str"/>
      <x:c r="B98" s="137" t="str"/>
      <x:c r="C98" s="137" t="str"/>
      <x:c r="D98" s="137" t="str"/>
      <x:c r="E98" s="160" t="str"/>
      <x:c r="F98" s="160" t="str"/>
      <x:c r="G98" s="137" t="str"/>
      <x:c r="H98" s="137" t="str"/>
      <x:c r="I98" s="137" t="str"/>
      <x:c r="J98" s="161" t="str">
        <x:f>IF(OR(E98="",F98=""),"",MOD(F98-E98,1)*24)</x:f>
      </x:c>
      <x:c r="K98" s="161" t="str">
        <x:f>IF(J98="","",MAX(0,J98-(G98+H98+I98)/60))</x:f>
      </x:c>
      <x:c r="L98" s="137" t="str"/>
      <x:c r="M98" s="153" t="str"/>
      <x:c r="N98" s="137" t="str"/>
      <x:c r="O98" s="137" t="str"/>
      <x:c r="P98" s="137" t="str"/>
      <x:c r="Q98" s="137" t="str"/>
    </x:row>
    <x:row r="99">
      <x:c r="A99" s="138" t="str"/>
      <x:c r="B99" s="137" t="str"/>
      <x:c r="C99" s="137" t="str"/>
      <x:c r="D99" s="137" t="str"/>
      <x:c r="E99" s="160" t="str"/>
      <x:c r="F99" s="160" t="str"/>
      <x:c r="G99" s="137" t="str"/>
      <x:c r="H99" s="137" t="str"/>
      <x:c r="I99" s="137" t="str"/>
      <x:c r="J99" s="161" t="str">
        <x:f>IF(OR(E99="",F99=""),"",MOD(F99-E99,1)*24)</x:f>
      </x:c>
      <x:c r="K99" s="161" t="str">
        <x:f>IF(J99="","",MAX(0,J99-(G99+H99+I99)/60))</x:f>
      </x:c>
      <x:c r="L99" s="137" t="str"/>
      <x:c r="M99" s="153" t="str"/>
      <x:c r="N99" s="137" t="str"/>
      <x:c r="O99" s="137" t="str"/>
      <x:c r="P99" s="137" t="str"/>
      <x:c r="Q99" s="137" t="str"/>
    </x:row>
    <x:row r="100">
      <x:c r="A100" s="138" t="str"/>
      <x:c r="B100" s="137" t="str"/>
      <x:c r="C100" s="137" t="str"/>
      <x:c r="D100" s="137" t="str"/>
      <x:c r="E100" s="160" t="str"/>
      <x:c r="F100" s="160" t="str"/>
      <x:c r="G100" s="137" t="str"/>
      <x:c r="H100" s="137" t="str"/>
      <x:c r="I100" s="137" t="str"/>
      <x:c r="J100" s="161" t="str">
        <x:f>IF(OR(E100="",F100=""),"",MOD(F100-E100,1)*24)</x:f>
      </x:c>
      <x:c r="K100" s="161" t="str">
        <x:f>IF(J100="","",MAX(0,J100-(G100+H100+I100)/60))</x:f>
      </x:c>
      <x:c r="L100" s="137" t="str"/>
      <x:c r="M100" s="153" t="str"/>
      <x:c r="N100" s="137" t="str"/>
      <x:c r="O100" s="137" t="str"/>
      <x:c r="P100" s="137" t="str"/>
      <x:c r="Q100" s="137" t="str"/>
    </x:row>
    <x:row r="101">
      <x:c r="A101" s="138" t="str"/>
      <x:c r="B101" s="137" t="str"/>
      <x:c r="C101" s="137" t="str"/>
      <x:c r="D101" s="137" t="str"/>
      <x:c r="E101" s="160" t="str"/>
      <x:c r="F101" s="160" t="str"/>
      <x:c r="G101" s="137" t="str"/>
      <x:c r="H101" s="137" t="str"/>
      <x:c r="I101" s="137" t="str"/>
      <x:c r="J101" s="161" t="str">
        <x:f>IF(OR(E101="",F101=""),"",MOD(F101-E101,1)*24)</x:f>
      </x:c>
      <x:c r="K101" s="161" t="str">
        <x:f>IF(J101="","",MAX(0,J101-(G101+H101+I101)/60))</x:f>
      </x:c>
      <x:c r="L101" s="137" t="str"/>
      <x:c r="M101" s="153" t="str"/>
      <x:c r="N101" s="137" t="str"/>
      <x:c r="O101" s="137" t="str"/>
      <x:c r="P101" s="137" t="str"/>
      <x:c r="Q101" s="137" t="str"/>
    </x:row>
    <x:row r="102">
      <x:c r="A102" s="138" t="str"/>
      <x:c r="B102" s="137" t="str"/>
      <x:c r="C102" s="137" t="str"/>
      <x:c r="D102" s="137" t="str"/>
      <x:c r="E102" s="160" t="str"/>
      <x:c r="F102" s="160" t="str"/>
      <x:c r="G102" s="137" t="str"/>
      <x:c r="H102" s="137" t="str"/>
      <x:c r="I102" s="137" t="str"/>
      <x:c r="J102" s="161" t="str">
        <x:f>IF(OR(E102="",F102=""),"",MOD(F102-E102,1)*24)</x:f>
      </x:c>
      <x:c r="K102" s="161" t="str">
        <x:f>IF(J102="","",MAX(0,J102-(G102+H102+I102)/60))</x:f>
      </x:c>
      <x:c r="L102" s="137" t="str"/>
      <x:c r="M102" s="153" t="str"/>
      <x:c r="N102" s="137" t="str"/>
      <x:c r="O102" s="137" t="str"/>
      <x:c r="P102" s="137" t="str"/>
      <x:c r="Q102" s="137" t="str"/>
    </x:row>
    <x:row r="103">
      <x:c r="A103" s="138" t="str"/>
      <x:c r="B103" s="137" t="str"/>
      <x:c r="C103" s="137" t="str"/>
      <x:c r="D103" s="137" t="str"/>
      <x:c r="E103" s="160" t="str"/>
      <x:c r="F103" s="160" t="str"/>
      <x:c r="G103" s="137" t="str"/>
      <x:c r="H103" s="137" t="str"/>
      <x:c r="I103" s="137" t="str"/>
      <x:c r="J103" s="161" t="str">
        <x:f>IF(OR(E103="",F103=""),"",MOD(F103-E103,1)*24)</x:f>
      </x:c>
      <x:c r="K103" s="161" t="str">
        <x:f>IF(J103="","",MAX(0,J103-(G103+H103+I103)/60))</x:f>
      </x:c>
      <x:c r="L103" s="137" t="str"/>
      <x:c r="M103" s="153" t="str"/>
      <x:c r="N103" s="137" t="str"/>
      <x:c r="O103" s="137" t="str"/>
      <x:c r="P103" s="137" t="str"/>
      <x:c r="Q103" s="137" t="str"/>
    </x:row>
    <x:row r="104">
      <x:c r="A104" s="138" t="str"/>
      <x:c r="B104" s="137" t="str"/>
      <x:c r="C104" s="137" t="str"/>
      <x:c r="D104" s="137" t="str"/>
      <x:c r="E104" s="160" t="str"/>
      <x:c r="F104" s="160" t="str"/>
      <x:c r="G104" s="137" t="str"/>
      <x:c r="H104" s="137" t="str"/>
      <x:c r="I104" s="137" t="str"/>
      <x:c r="J104" s="161" t="str">
        <x:f>IF(OR(E104="",F104=""),"",MOD(F104-E104,1)*24)</x:f>
      </x:c>
      <x:c r="K104" s="161" t="str">
        <x:f>IF(J104="","",MAX(0,J104-(G104+H104+I104)/60))</x:f>
      </x:c>
      <x:c r="L104" s="137" t="str"/>
      <x:c r="M104" s="153" t="str"/>
      <x:c r="N104" s="137" t="str"/>
      <x:c r="O104" s="137" t="str"/>
      <x:c r="P104" s="137" t="str"/>
      <x:c r="Q104" s="137" t="str"/>
    </x:row>
    <x:row r="105">
      <x:c r="A105" s="138" t="str"/>
      <x:c r="B105" s="137" t="str"/>
      <x:c r="C105" s="137" t="str"/>
      <x:c r="D105" s="137" t="str"/>
      <x:c r="E105" s="160" t="str"/>
      <x:c r="F105" s="160" t="str"/>
      <x:c r="G105" s="137" t="str"/>
      <x:c r="H105" s="137" t="str"/>
      <x:c r="I105" s="137" t="str"/>
      <x:c r="J105" s="161" t="str">
        <x:f>IF(OR(E105="",F105=""),"",MOD(F105-E105,1)*24)</x:f>
      </x:c>
      <x:c r="K105" s="161" t="str">
        <x:f>IF(J105="","",MAX(0,J105-(G105+H105+I105)/60))</x:f>
      </x:c>
      <x:c r="L105" s="137" t="str"/>
      <x:c r="M105" s="153" t="str"/>
      <x:c r="N105" s="137" t="str"/>
      <x:c r="O105" s="137" t="str"/>
      <x:c r="P105" s="137" t="str"/>
      <x:c r="Q105" s="137" t="str"/>
    </x:row>
    <x:row r="106">
      <x:c r="A106" s="138" t="str"/>
      <x:c r="B106" s="137" t="str"/>
      <x:c r="C106" s="137" t="str"/>
      <x:c r="D106" s="137" t="str"/>
      <x:c r="E106" s="160" t="str"/>
      <x:c r="F106" s="160" t="str"/>
      <x:c r="G106" s="137" t="str"/>
      <x:c r="H106" s="137" t="str"/>
      <x:c r="I106" s="137" t="str"/>
      <x:c r="J106" s="161" t="str">
        <x:f>IF(OR(E106="",F106=""),"",MOD(F106-E106,1)*24)</x:f>
      </x:c>
      <x:c r="K106" s="161" t="str">
        <x:f>IF(J106="","",MAX(0,J106-(G106+H106+I106)/60))</x:f>
      </x:c>
      <x:c r="L106" s="137" t="str"/>
      <x:c r="M106" s="153" t="str"/>
      <x:c r="N106" s="137" t="str"/>
      <x:c r="O106" s="137" t="str"/>
      <x:c r="P106" s="137" t="str"/>
      <x:c r="Q106" s="137" t="str"/>
    </x:row>
    <x:row r="107">
      <x:c r="A107" s="138" t="str"/>
      <x:c r="B107" s="137" t="str"/>
      <x:c r="C107" s="137" t="str"/>
      <x:c r="D107" s="137" t="str"/>
      <x:c r="E107" s="160" t="str"/>
      <x:c r="F107" s="160" t="str"/>
      <x:c r="G107" s="137" t="str"/>
      <x:c r="H107" s="137" t="str"/>
      <x:c r="I107" s="137" t="str"/>
      <x:c r="J107" s="161" t="str">
        <x:f>IF(OR(E107="",F107=""),"",MOD(F107-E107,1)*24)</x:f>
      </x:c>
      <x:c r="K107" s="161" t="str">
        <x:f>IF(J107="","",MAX(0,J107-(G107+H107+I107)/60))</x:f>
      </x:c>
      <x:c r="L107" s="137" t="str"/>
      <x:c r="M107" s="153" t="str"/>
      <x:c r="N107" s="137" t="str"/>
      <x:c r="O107" s="137" t="str"/>
      <x:c r="P107" s="137" t="str"/>
      <x:c r="Q107" s="137" t="str"/>
    </x:row>
    <x:row r="108">
      <x:c r="A108" s="138" t="str"/>
      <x:c r="B108" s="137" t="str"/>
      <x:c r="C108" s="137" t="str"/>
      <x:c r="D108" s="137" t="str"/>
      <x:c r="E108" s="160" t="str"/>
      <x:c r="F108" s="160" t="str"/>
      <x:c r="G108" s="137" t="str"/>
      <x:c r="H108" s="137" t="str"/>
      <x:c r="I108" s="137" t="str"/>
      <x:c r="J108" s="161" t="str">
        <x:f>IF(OR(E108="",F108=""),"",MOD(F108-E108,1)*24)</x:f>
      </x:c>
      <x:c r="K108" s="161" t="str">
        <x:f>IF(J108="","",MAX(0,J108-(G108+H108+I108)/60))</x:f>
      </x:c>
      <x:c r="L108" s="137" t="str"/>
      <x:c r="M108" s="153" t="str"/>
      <x:c r="N108" s="137" t="str"/>
      <x:c r="O108" s="137" t="str"/>
      <x:c r="P108" s="137" t="str"/>
      <x:c r="Q108" s="137" t="str"/>
    </x:row>
    <x:row r="109">
      <x:c r="A109" s="138" t="str"/>
      <x:c r="B109" s="137" t="str"/>
      <x:c r="C109" s="137" t="str"/>
      <x:c r="D109" s="137" t="str"/>
      <x:c r="E109" s="160" t="str"/>
      <x:c r="F109" s="160" t="str"/>
      <x:c r="G109" s="137" t="str"/>
      <x:c r="H109" s="137" t="str"/>
      <x:c r="I109" s="137" t="str"/>
      <x:c r="J109" s="161" t="str">
        <x:f>IF(OR(E109="",F109=""),"",MOD(F109-E109,1)*24)</x:f>
      </x:c>
      <x:c r="K109" s="161" t="str">
        <x:f>IF(J109="","",MAX(0,J109-(G109+H109+I109)/60))</x:f>
      </x:c>
      <x:c r="L109" s="137" t="str"/>
      <x:c r="M109" s="153" t="str"/>
      <x:c r="N109" s="137" t="str"/>
      <x:c r="O109" s="137" t="str"/>
      <x:c r="P109" s="137" t="str"/>
      <x:c r="Q109" s="137" t="str"/>
    </x:row>
    <x:row r="110">
      <x:c r="A110" s="138" t="str"/>
      <x:c r="B110" s="137" t="str"/>
      <x:c r="C110" s="137" t="str"/>
      <x:c r="D110" s="137" t="str"/>
      <x:c r="E110" s="160" t="str"/>
      <x:c r="F110" s="160" t="str"/>
      <x:c r="G110" s="137" t="str"/>
      <x:c r="H110" s="137" t="str"/>
      <x:c r="I110" s="137" t="str"/>
      <x:c r="J110" s="161" t="str">
        <x:f>IF(OR(E110="",F110=""),"",MOD(F110-E110,1)*24)</x:f>
      </x:c>
      <x:c r="K110" s="161" t="str">
        <x:f>IF(J110="","",MAX(0,J110-(G110+H110+I110)/60))</x:f>
      </x:c>
      <x:c r="L110" s="137" t="str"/>
      <x:c r="M110" s="153" t="str"/>
      <x:c r="N110" s="137" t="str"/>
      <x:c r="O110" s="137" t="str"/>
      <x:c r="P110" s="137" t="str"/>
      <x:c r="Q110" s="137" t="str"/>
    </x:row>
    <x:row r="111">
      <x:c r="A111" s="138" t="str"/>
      <x:c r="B111" s="137" t="str"/>
      <x:c r="C111" s="137" t="str"/>
      <x:c r="D111" s="137" t="str"/>
      <x:c r="E111" s="160" t="str"/>
      <x:c r="F111" s="160" t="str"/>
      <x:c r="G111" s="137" t="str"/>
      <x:c r="H111" s="137" t="str"/>
      <x:c r="I111" s="137" t="str"/>
      <x:c r="J111" s="161" t="str">
        <x:f>IF(OR(E111="",F111=""),"",MOD(F111-E111,1)*24)</x:f>
      </x:c>
      <x:c r="K111" s="161" t="str">
        <x:f>IF(J111="","",MAX(0,J111-(G111+H111+I111)/60))</x:f>
      </x:c>
      <x:c r="L111" s="137" t="str"/>
      <x:c r="M111" s="153" t="str"/>
      <x:c r="N111" s="137" t="str"/>
      <x:c r="O111" s="137" t="str"/>
      <x:c r="P111" s="137" t="str"/>
      <x:c r="Q111" s="137" t="str"/>
    </x:row>
    <x:row r="112">
      <x:c r="A112" s="138" t="str"/>
      <x:c r="B112" s="137" t="str"/>
      <x:c r="C112" s="137" t="str"/>
      <x:c r="D112" s="137" t="str"/>
      <x:c r="E112" s="160" t="str"/>
      <x:c r="F112" s="160" t="str"/>
      <x:c r="G112" s="137" t="str"/>
      <x:c r="H112" s="137" t="str"/>
      <x:c r="I112" s="137" t="str"/>
      <x:c r="J112" s="161" t="str">
        <x:f>IF(OR(E112="",F112=""),"",MOD(F112-E112,1)*24)</x:f>
      </x:c>
      <x:c r="K112" s="161" t="str">
        <x:f>IF(J112="","",MAX(0,J112-(G112+H112+I112)/60))</x:f>
      </x:c>
      <x:c r="L112" s="137" t="str"/>
      <x:c r="M112" s="153" t="str"/>
      <x:c r="N112" s="137" t="str"/>
      <x:c r="O112" s="137" t="str"/>
      <x:c r="P112" s="137" t="str"/>
      <x:c r="Q112" s="137" t="str"/>
    </x:row>
    <x:row r="113">
      <x:c r="A113" s="138" t="str"/>
      <x:c r="B113" s="137" t="str"/>
      <x:c r="C113" s="137" t="str"/>
      <x:c r="D113" s="137" t="str"/>
      <x:c r="E113" s="160" t="str"/>
      <x:c r="F113" s="160" t="str"/>
      <x:c r="G113" s="137" t="str"/>
      <x:c r="H113" s="137" t="str"/>
      <x:c r="I113" s="137" t="str"/>
      <x:c r="J113" s="161" t="str">
        <x:f>IF(OR(E113="",F113=""),"",MOD(F113-E113,1)*24)</x:f>
      </x:c>
      <x:c r="K113" s="161" t="str">
        <x:f>IF(J113="","",MAX(0,J113-(G113+H113+I113)/60))</x:f>
      </x:c>
      <x:c r="L113" s="137" t="str"/>
      <x:c r="M113" s="153" t="str"/>
      <x:c r="N113" s="137" t="str"/>
      <x:c r="O113" s="137" t="str"/>
      <x:c r="P113" s="137" t="str"/>
      <x:c r="Q113" s="137" t="str"/>
    </x:row>
    <x:row r="114">
      <x:c r="A114" s="138" t="str"/>
      <x:c r="B114" s="137" t="str"/>
      <x:c r="C114" s="137" t="str"/>
      <x:c r="D114" s="137" t="str"/>
      <x:c r="E114" s="160" t="str"/>
      <x:c r="F114" s="160" t="str"/>
      <x:c r="G114" s="137" t="str"/>
      <x:c r="H114" s="137" t="str"/>
      <x:c r="I114" s="137" t="str"/>
      <x:c r="J114" s="161" t="str">
        <x:f>IF(OR(E114="",F114=""),"",MOD(F114-E114,1)*24)</x:f>
      </x:c>
      <x:c r="K114" s="161" t="str">
        <x:f>IF(J114="","",MAX(0,J114-(G114+H114+I114)/60))</x:f>
      </x:c>
      <x:c r="L114" s="137" t="str"/>
      <x:c r="M114" s="153" t="str"/>
      <x:c r="N114" s="137" t="str"/>
      <x:c r="O114" s="137" t="str"/>
      <x:c r="P114" s="137" t="str"/>
      <x:c r="Q114" s="137" t="str"/>
    </x:row>
    <x:row r="115">
      <x:c r="A115" s="138" t="str"/>
      <x:c r="B115" s="137" t="str"/>
      <x:c r="C115" s="137" t="str"/>
      <x:c r="D115" s="137" t="str"/>
      <x:c r="E115" s="160" t="str"/>
      <x:c r="F115" s="160" t="str"/>
      <x:c r="G115" s="137" t="str"/>
      <x:c r="H115" s="137" t="str"/>
      <x:c r="I115" s="137" t="str"/>
      <x:c r="J115" s="161" t="str">
        <x:f>IF(OR(E115="",F115=""),"",MOD(F115-E115,1)*24)</x:f>
      </x:c>
      <x:c r="K115" s="161" t="str">
        <x:f>IF(J115="","",MAX(0,J115-(G115+H115+I115)/60))</x:f>
      </x:c>
      <x:c r="L115" s="137" t="str"/>
      <x:c r="M115" s="153" t="str"/>
      <x:c r="N115" s="137" t="str"/>
      <x:c r="O115" s="137" t="str"/>
      <x:c r="P115" s="137" t="str"/>
      <x:c r="Q115" s="137" t="str"/>
    </x:row>
    <x:row r="116">
      <x:c r="A116" s="138" t="str"/>
      <x:c r="B116" s="137" t="str"/>
      <x:c r="C116" s="137" t="str"/>
      <x:c r="D116" s="137" t="str"/>
      <x:c r="E116" s="160" t="str"/>
      <x:c r="F116" s="160" t="str"/>
      <x:c r="G116" s="137" t="str"/>
      <x:c r="H116" s="137" t="str"/>
      <x:c r="I116" s="137" t="str"/>
      <x:c r="J116" s="161" t="str">
        <x:f>IF(OR(E116="",F116=""),"",MOD(F116-E116,1)*24)</x:f>
      </x:c>
      <x:c r="K116" s="161" t="str">
        <x:f>IF(J116="","",MAX(0,J116-(G116+H116+I116)/60))</x:f>
      </x:c>
      <x:c r="L116" s="137" t="str"/>
      <x:c r="M116" s="153" t="str"/>
      <x:c r="N116" s="137" t="str"/>
      <x:c r="O116" s="137" t="str"/>
      <x:c r="P116" s="137" t="str"/>
      <x:c r="Q116" s="137" t="str"/>
    </x:row>
    <x:row r="117">
      <x:c r="A117" s="138" t="str"/>
      <x:c r="B117" s="137" t="str"/>
      <x:c r="C117" s="137" t="str"/>
      <x:c r="D117" s="137" t="str"/>
      <x:c r="E117" s="160" t="str"/>
      <x:c r="F117" s="160" t="str"/>
      <x:c r="G117" s="137" t="str"/>
      <x:c r="H117" s="137" t="str"/>
      <x:c r="I117" s="137" t="str"/>
      <x:c r="J117" s="161" t="str">
        <x:f>IF(OR(E117="",F117=""),"",MOD(F117-E117,1)*24)</x:f>
      </x:c>
      <x:c r="K117" s="161" t="str">
        <x:f>IF(J117="","",MAX(0,J117-(G117+H117+I117)/60))</x:f>
      </x:c>
      <x:c r="L117" s="137" t="str"/>
      <x:c r="M117" s="153" t="str"/>
      <x:c r="N117" s="137" t="str"/>
      <x:c r="O117" s="137" t="str"/>
      <x:c r="P117" s="137" t="str"/>
      <x:c r="Q117" s="137" t="str"/>
    </x:row>
    <x:row r="118">
      <x:c r="A118" s="138" t="str"/>
      <x:c r="B118" s="137" t="str"/>
      <x:c r="C118" s="137" t="str"/>
      <x:c r="D118" s="137" t="str"/>
      <x:c r="E118" s="160" t="str"/>
      <x:c r="F118" s="160" t="str"/>
      <x:c r="G118" s="137" t="str"/>
      <x:c r="H118" s="137" t="str"/>
      <x:c r="I118" s="137" t="str"/>
      <x:c r="J118" s="161" t="str">
        <x:f>IF(OR(E118="",F118=""),"",MOD(F118-E118,1)*24)</x:f>
      </x:c>
      <x:c r="K118" s="161" t="str">
        <x:f>IF(J118="","",MAX(0,J118-(G118+H118+I118)/60))</x:f>
      </x:c>
      <x:c r="L118" s="137" t="str"/>
      <x:c r="M118" s="153" t="str"/>
      <x:c r="N118" s="137" t="str"/>
      <x:c r="O118" s="137" t="str"/>
      <x:c r="P118" s="137" t="str"/>
      <x:c r="Q118" s="137" t="str"/>
    </x:row>
    <x:row r="119">
      <x:c r="A119" s="138" t="str"/>
      <x:c r="B119" s="137" t="str"/>
      <x:c r="C119" s="137" t="str"/>
      <x:c r="D119" s="137" t="str"/>
      <x:c r="E119" s="160" t="str"/>
      <x:c r="F119" s="160" t="str"/>
      <x:c r="G119" s="137" t="str"/>
      <x:c r="H119" s="137" t="str"/>
      <x:c r="I119" s="137" t="str"/>
      <x:c r="J119" s="161" t="str">
        <x:f>IF(OR(E119="",F119=""),"",MOD(F119-E119,1)*24)</x:f>
      </x:c>
      <x:c r="K119" s="161" t="str">
        <x:f>IF(J119="","",MAX(0,J119-(G119+H119+I119)/60))</x:f>
      </x:c>
      <x:c r="L119" s="137" t="str"/>
      <x:c r="M119" s="153" t="str"/>
      <x:c r="N119" s="137" t="str"/>
      <x:c r="O119" s="137" t="str"/>
      <x:c r="P119" s="137" t="str"/>
      <x:c r="Q119" s="137" t="str"/>
    </x:row>
    <x:row r="120">
      <x:c r="A120" s="138" t="str"/>
      <x:c r="B120" s="137" t="str"/>
      <x:c r="C120" s="137" t="str"/>
      <x:c r="D120" s="137" t="str"/>
      <x:c r="E120" s="160" t="str"/>
      <x:c r="F120" s="160" t="str"/>
      <x:c r="G120" s="137" t="str"/>
      <x:c r="H120" s="137" t="str"/>
      <x:c r="I120" s="137" t="str"/>
      <x:c r="J120" s="161" t="str">
        <x:f>IF(OR(E120="",F120=""),"",MOD(F120-E120,1)*24)</x:f>
      </x:c>
      <x:c r="K120" s="161" t="str">
        <x:f>IF(J120="","",MAX(0,J120-(G120+H120+I120)/60))</x:f>
      </x:c>
      <x:c r="L120" s="137" t="str"/>
      <x:c r="M120" s="153" t="str"/>
      <x:c r="N120" s="137" t="str"/>
      <x:c r="O120" s="137" t="str"/>
      <x:c r="P120" s="137" t="str"/>
      <x:c r="Q120" s="137" t="str"/>
    </x:row>
    <x:row r="121">
      <x:c r="A121" s="138" t="str"/>
      <x:c r="B121" s="137" t="str"/>
      <x:c r="C121" s="137" t="str"/>
      <x:c r="D121" s="137" t="str"/>
      <x:c r="E121" s="160" t="str"/>
      <x:c r="F121" s="160" t="str"/>
      <x:c r="G121" s="137" t="str"/>
      <x:c r="H121" s="137" t="str"/>
      <x:c r="I121" s="137" t="str"/>
      <x:c r="J121" s="161" t="str">
        <x:f>IF(OR(E121="",F121=""),"",MOD(F121-E121,1)*24)</x:f>
      </x:c>
      <x:c r="K121" s="161" t="str">
        <x:f>IF(J121="","",MAX(0,J121-(G121+H121+I121)/60))</x:f>
      </x:c>
      <x:c r="L121" s="137" t="str"/>
      <x:c r="M121" s="153" t="str"/>
      <x:c r="N121" s="137" t="str"/>
      <x:c r="O121" s="137" t="str"/>
      <x:c r="P121" s="137" t="str"/>
      <x:c r="Q121" s="137" t="str"/>
    </x:row>
    <x:row r="122">
      <x:c r="A122" s="138" t="str"/>
      <x:c r="B122" s="137" t="str"/>
      <x:c r="C122" s="137" t="str"/>
      <x:c r="D122" s="137" t="str"/>
      <x:c r="E122" s="160" t="str"/>
      <x:c r="F122" s="160" t="str"/>
      <x:c r="G122" s="137" t="str"/>
      <x:c r="H122" s="137" t="str"/>
      <x:c r="I122" s="137" t="str"/>
      <x:c r="J122" s="161" t="str">
        <x:f>IF(OR(E122="",F122=""),"",MOD(F122-E122,1)*24)</x:f>
      </x:c>
      <x:c r="K122" s="161" t="str">
        <x:f>IF(J122="","",MAX(0,J122-(G122+H122+I122)/60))</x:f>
      </x:c>
      <x:c r="L122" s="137" t="str"/>
      <x:c r="M122" s="153" t="str"/>
      <x:c r="N122" s="137" t="str"/>
      <x:c r="O122" s="137" t="str"/>
      <x:c r="P122" s="137" t="str"/>
      <x:c r="Q122" s="137" t="str"/>
    </x:row>
    <x:row r="123">
      <x:c r="A123" s="138" t="str"/>
      <x:c r="B123" s="137" t="str"/>
      <x:c r="C123" s="137" t="str"/>
      <x:c r="D123" s="137" t="str"/>
      <x:c r="E123" s="160" t="str"/>
      <x:c r="F123" s="160" t="str"/>
      <x:c r="G123" s="137" t="str"/>
      <x:c r="H123" s="137" t="str"/>
      <x:c r="I123" s="137" t="str"/>
      <x:c r="J123" s="161" t="str">
        <x:f>IF(OR(E123="",F123=""),"",MOD(F123-E123,1)*24)</x:f>
      </x:c>
      <x:c r="K123" s="161" t="str">
        <x:f>IF(J123="","",MAX(0,J123-(G123+H123+I123)/60))</x:f>
      </x:c>
      <x:c r="L123" s="137" t="str"/>
      <x:c r="M123" s="153" t="str"/>
      <x:c r="N123" s="137" t="str"/>
      <x:c r="O123" s="137" t="str"/>
      <x:c r="P123" s="137" t="str"/>
      <x:c r="Q123" s="137" t="str"/>
    </x:row>
    <x:row r="124">
      <x:c r="A124" s="138" t="str"/>
      <x:c r="B124" s="137" t="str"/>
      <x:c r="C124" s="137" t="str"/>
      <x:c r="D124" s="137" t="str"/>
      <x:c r="E124" s="160" t="str"/>
      <x:c r="F124" s="160" t="str"/>
      <x:c r="G124" s="137" t="str"/>
      <x:c r="H124" s="137" t="str"/>
      <x:c r="I124" s="137" t="str"/>
      <x:c r="J124" s="161" t="str">
        <x:f>IF(OR(E124="",F124=""),"",MOD(F124-E124,1)*24)</x:f>
      </x:c>
      <x:c r="K124" s="161" t="str">
        <x:f>IF(J124="","",MAX(0,J124-(G124+H124+I124)/60))</x:f>
      </x:c>
      <x:c r="L124" s="137" t="str"/>
      <x:c r="M124" s="153" t="str"/>
      <x:c r="N124" s="137" t="str"/>
      <x:c r="O124" s="137" t="str"/>
      <x:c r="P124" s="137" t="str"/>
      <x:c r="Q124" s="137" t="str"/>
    </x:row>
    <x:row r="125">
      <x:c r="A125" s="138" t="str"/>
      <x:c r="B125" s="137" t="str"/>
      <x:c r="C125" s="137" t="str"/>
      <x:c r="D125" s="137" t="str"/>
      <x:c r="E125" s="160" t="str"/>
      <x:c r="F125" s="160" t="str"/>
      <x:c r="G125" s="137" t="str"/>
      <x:c r="H125" s="137" t="str"/>
      <x:c r="I125" s="137" t="str"/>
      <x:c r="J125" s="161" t="str">
        <x:f>IF(OR(E125="",F125=""),"",MOD(F125-E125,1)*24)</x:f>
      </x:c>
      <x:c r="K125" s="161" t="str">
        <x:f>IF(J125="","",MAX(0,J125-(G125+H125+I125)/60))</x:f>
      </x:c>
      <x:c r="L125" s="137" t="str"/>
      <x:c r="M125" s="153" t="str"/>
      <x:c r="N125" s="137" t="str"/>
      <x:c r="O125" s="137" t="str"/>
      <x:c r="P125" s="137" t="str"/>
      <x:c r="Q125" s="137" t="str"/>
    </x:row>
    <x:row r="126">
      <x:c r="A126" s="138" t="str"/>
      <x:c r="B126" s="137" t="str"/>
      <x:c r="C126" s="137" t="str"/>
      <x:c r="D126" s="137" t="str"/>
      <x:c r="E126" s="160" t="str"/>
      <x:c r="F126" s="160" t="str"/>
      <x:c r="G126" s="137" t="str"/>
      <x:c r="H126" s="137" t="str"/>
      <x:c r="I126" s="137" t="str"/>
      <x:c r="J126" s="161" t="str">
        <x:f>IF(OR(E126="",F126=""),"",MOD(F126-E126,1)*24)</x:f>
      </x:c>
      <x:c r="K126" s="161" t="str">
        <x:f>IF(J126="","",MAX(0,J126-(G126+H126+I126)/60))</x:f>
      </x:c>
      <x:c r="L126" s="137" t="str"/>
      <x:c r="M126" s="153" t="str"/>
      <x:c r="N126" s="137" t="str"/>
      <x:c r="O126" s="137" t="str"/>
      <x:c r="P126" s="137" t="str"/>
      <x:c r="Q126" s="137" t="str"/>
    </x:row>
    <x:row r="127">
      <x:c r="A127" s="138" t="str"/>
      <x:c r="B127" s="137" t="str"/>
      <x:c r="C127" s="137" t="str"/>
      <x:c r="D127" s="137" t="str"/>
      <x:c r="E127" s="160" t="str"/>
      <x:c r="F127" s="160" t="str"/>
      <x:c r="G127" s="137" t="str"/>
      <x:c r="H127" s="137" t="str"/>
      <x:c r="I127" s="137" t="str"/>
      <x:c r="J127" s="161" t="str">
        <x:f>IF(OR(E127="",F127=""),"",MOD(F127-E127,1)*24)</x:f>
      </x:c>
      <x:c r="K127" s="161" t="str">
        <x:f>IF(J127="","",MAX(0,J127-(G127+H127+I127)/60))</x:f>
      </x:c>
      <x:c r="L127" s="137" t="str"/>
      <x:c r="M127" s="153" t="str"/>
      <x:c r="N127" s="137" t="str"/>
      <x:c r="O127" s="137" t="str"/>
      <x:c r="P127" s="137" t="str"/>
      <x:c r="Q127" s="137" t="str"/>
    </x:row>
    <x:row r="128">
      <x:c r="A128" s="138" t="str"/>
      <x:c r="B128" s="137" t="str"/>
      <x:c r="C128" s="137" t="str"/>
      <x:c r="D128" s="137" t="str"/>
      <x:c r="E128" s="160" t="str"/>
      <x:c r="F128" s="160" t="str"/>
      <x:c r="G128" s="137" t="str"/>
      <x:c r="H128" s="137" t="str"/>
      <x:c r="I128" s="137" t="str"/>
      <x:c r="J128" s="161" t="str">
        <x:f>IF(OR(E128="",F128=""),"",MOD(F128-E128,1)*24)</x:f>
      </x:c>
      <x:c r="K128" s="161" t="str">
        <x:f>IF(J128="","",MAX(0,J128-(G128+H128+I128)/60))</x:f>
      </x:c>
      <x:c r="L128" s="137" t="str"/>
      <x:c r="M128" s="153" t="str"/>
      <x:c r="N128" s="137" t="str"/>
      <x:c r="O128" s="137" t="str"/>
      <x:c r="P128" s="137" t="str"/>
      <x:c r="Q128" s="137" t="str"/>
    </x:row>
    <x:row r="129">
      <x:c r="A129" s="138" t="str"/>
      <x:c r="B129" s="137" t="str"/>
      <x:c r="C129" s="137" t="str"/>
      <x:c r="D129" s="137" t="str"/>
      <x:c r="E129" s="160" t="str"/>
      <x:c r="F129" s="160" t="str"/>
      <x:c r="G129" s="137" t="str"/>
      <x:c r="H129" s="137" t="str"/>
      <x:c r="I129" s="137" t="str"/>
      <x:c r="J129" s="161" t="str">
        <x:f>IF(OR(E129="",F129=""),"",MOD(F129-E129,1)*24)</x:f>
      </x:c>
      <x:c r="K129" s="161" t="str">
        <x:f>IF(J129="","",MAX(0,J129-(G129+H129+I129)/60))</x:f>
      </x:c>
      <x:c r="L129" s="137" t="str"/>
      <x:c r="M129" s="153" t="str"/>
      <x:c r="N129" s="137" t="str"/>
      <x:c r="O129" s="137" t="str"/>
      <x:c r="P129" s="137" t="str"/>
      <x:c r="Q129" s="137" t="str"/>
    </x:row>
    <x:row r="130">
      <x:c r="A130" s="138" t="str"/>
      <x:c r="B130" s="137" t="str"/>
      <x:c r="C130" s="137" t="str"/>
      <x:c r="D130" s="137" t="str"/>
      <x:c r="E130" s="160" t="str"/>
      <x:c r="F130" s="160" t="str"/>
      <x:c r="G130" s="137" t="str"/>
      <x:c r="H130" s="137" t="str"/>
      <x:c r="I130" s="137" t="str"/>
      <x:c r="J130" s="161" t="str">
        <x:f>IF(OR(E130="",F130=""),"",MOD(F130-E130,1)*24)</x:f>
      </x:c>
      <x:c r="K130" s="161" t="str">
        <x:f>IF(J130="","",MAX(0,J130-(G130+H130+I130)/60))</x:f>
      </x:c>
      <x:c r="L130" s="137" t="str"/>
      <x:c r="M130" s="153" t="str"/>
      <x:c r="N130" s="137" t="str"/>
      <x:c r="O130" s="137" t="str"/>
      <x:c r="P130" s="137" t="str"/>
      <x:c r="Q130" s="137" t="str"/>
    </x:row>
    <x:row r="131">
      <x:c r="A131" s="138" t="str"/>
      <x:c r="B131" s="137" t="str"/>
      <x:c r="C131" s="137" t="str"/>
      <x:c r="D131" s="137" t="str"/>
      <x:c r="E131" s="160" t="str"/>
      <x:c r="F131" s="160" t="str"/>
      <x:c r="G131" s="137" t="str"/>
      <x:c r="H131" s="137" t="str"/>
      <x:c r="I131" s="137" t="str"/>
      <x:c r="J131" s="161" t="str">
        <x:f>IF(OR(E131="",F131=""),"",MOD(F131-E131,1)*24)</x:f>
      </x:c>
      <x:c r="K131" s="161" t="str">
        <x:f>IF(J131="","",MAX(0,J131-(G131+H131+I131)/60))</x:f>
      </x:c>
      <x:c r="L131" s="137" t="str"/>
      <x:c r="M131" s="153" t="str"/>
      <x:c r="N131" s="137" t="str"/>
      <x:c r="O131" s="137" t="str"/>
      <x:c r="P131" s="137" t="str"/>
      <x:c r="Q131" s="137" t="str"/>
    </x:row>
    <x:row r="132">
      <x:c r="A132" s="138" t="str"/>
      <x:c r="B132" s="137" t="str"/>
      <x:c r="C132" s="137" t="str"/>
      <x:c r="D132" s="137" t="str"/>
      <x:c r="E132" s="160" t="str"/>
      <x:c r="F132" s="160" t="str"/>
      <x:c r="G132" s="137" t="str"/>
      <x:c r="H132" s="137" t="str"/>
      <x:c r="I132" s="137" t="str"/>
      <x:c r="J132" s="161" t="str">
        <x:f>IF(OR(E132="",F132=""),"",MOD(F132-E132,1)*24)</x:f>
      </x:c>
      <x:c r="K132" s="161" t="str">
        <x:f>IF(J132="","",MAX(0,J132-(G132+H132+I132)/60))</x:f>
      </x:c>
      <x:c r="L132" s="137" t="str"/>
      <x:c r="M132" s="153" t="str"/>
      <x:c r="N132" s="137" t="str"/>
      <x:c r="O132" s="137" t="str"/>
      <x:c r="P132" s="137" t="str"/>
      <x:c r="Q132" s="137" t="str"/>
    </x:row>
    <x:row r="133">
      <x:c r="A133" s="138" t="str"/>
      <x:c r="B133" s="137" t="str"/>
      <x:c r="C133" s="137" t="str"/>
      <x:c r="D133" s="137" t="str"/>
      <x:c r="E133" s="160" t="str"/>
      <x:c r="F133" s="160" t="str"/>
      <x:c r="G133" s="137" t="str"/>
      <x:c r="H133" s="137" t="str"/>
      <x:c r="I133" s="137" t="str"/>
      <x:c r="J133" s="161" t="str">
        <x:f>IF(OR(E133="",F133=""),"",MOD(F133-E133,1)*24)</x:f>
      </x:c>
      <x:c r="K133" s="161" t="str">
        <x:f>IF(J133="","",MAX(0,J133-(G133+H133+I133)/60))</x:f>
      </x:c>
      <x:c r="L133" s="137" t="str"/>
      <x:c r="M133" s="153" t="str"/>
      <x:c r="N133" s="137" t="str"/>
      <x:c r="O133" s="137" t="str"/>
      <x:c r="P133" s="137" t="str"/>
      <x:c r="Q133" s="137" t="str"/>
    </x:row>
    <x:row r="134">
      <x:c r="A134" s="138" t="str"/>
      <x:c r="B134" s="137" t="str"/>
      <x:c r="C134" s="137" t="str"/>
      <x:c r="D134" s="137" t="str"/>
      <x:c r="E134" s="160" t="str"/>
      <x:c r="F134" s="160" t="str"/>
      <x:c r="G134" s="137" t="str"/>
      <x:c r="H134" s="137" t="str"/>
      <x:c r="I134" s="137" t="str"/>
      <x:c r="J134" s="161" t="str">
        <x:f>IF(OR(E134="",F134=""),"",MOD(F134-E134,1)*24)</x:f>
      </x:c>
      <x:c r="K134" s="161" t="str">
        <x:f>IF(J134="","",MAX(0,J134-(G134+H134+I134)/60))</x:f>
      </x:c>
      <x:c r="L134" s="137" t="str"/>
      <x:c r="M134" s="153" t="str"/>
      <x:c r="N134" s="137" t="str"/>
      <x:c r="O134" s="137" t="str"/>
      <x:c r="P134" s="137" t="str"/>
      <x:c r="Q134" s="137" t="str"/>
    </x:row>
    <x:row r="135">
      <x:c r="A135" s="138" t="str"/>
      <x:c r="B135" s="137" t="str"/>
      <x:c r="C135" s="137" t="str"/>
      <x:c r="D135" s="137" t="str"/>
      <x:c r="E135" s="160" t="str"/>
      <x:c r="F135" s="160" t="str"/>
      <x:c r="G135" s="137" t="str"/>
      <x:c r="H135" s="137" t="str"/>
      <x:c r="I135" s="137" t="str"/>
      <x:c r="J135" s="161" t="str">
        <x:f>IF(OR(E135="",F135=""),"",MOD(F135-E135,1)*24)</x:f>
      </x:c>
      <x:c r="K135" s="161" t="str">
        <x:f>IF(J135="","",MAX(0,J135-(G135+H135+I135)/60))</x:f>
      </x:c>
      <x:c r="L135" s="137" t="str"/>
      <x:c r="M135" s="153" t="str"/>
      <x:c r="N135" s="137" t="str"/>
      <x:c r="O135" s="137" t="str"/>
      <x:c r="P135" s="137" t="str"/>
      <x:c r="Q135" s="137" t="str"/>
    </x:row>
    <x:row r="136">
      <x:c r="A136" s="138" t="str"/>
      <x:c r="B136" s="137" t="str"/>
      <x:c r="C136" s="137" t="str"/>
      <x:c r="D136" s="137" t="str"/>
      <x:c r="E136" s="160" t="str"/>
      <x:c r="F136" s="160" t="str"/>
      <x:c r="G136" s="137" t="str"/>
      <x:c r="H136" s="137" t="str"/>
      <x:c r="I136" s="137" t="str"/>
      <x:c r="J136" s="161" t="str">
        <x:f>IF(OR(E136="",F136=""),"",MOD(F136-E136,1)*24)</x:f>
      </x:c>
      <x:c r="K136" s="161" t="str">
        <x:f>IF(J136="","",MAX(0,J136-(G136+H136+I136)/60))</x:f>
      </x:c>
      <x:c r="L136" s="137" t="str"/>
      <x:c r="M136" s="153" t="str"/>
      <x:c r="N136" s="137" t="str"/>
      <x:c r="O136" s="137" t="str"/>
      <x:c r="P136" s="137" t="str"/>
      <x:c r="Q136" s="137" t="str"/>
    </x:row>
    <x:row r="137">
      <x:c r="A137" s="138" t="str"/>
      <x:c r="B137" s="137" t="str"/>
      <x:c r="C137" s="137" t="str"/>
      <x:c r="D137" s="137" t="str"/>
      <x:c r="E137" s="160" t="str"/>
      <x:c r="F137" s="160" t="str"/>
      <x:c r="G137" s="137" t="str"/>
      <x:c r="H137" s="137" t="str"/>
      <x:c r="I137" s="137" t="str"/>
      <x:c r="J137" s="161" t="str">
        <x:f>IF(OR(E137="",F137=""),"",MOD(F137-E137,1)*24)</x:f>
      </x:c>
      <x:c r="K137" s="161" t="str">
        <x:f>IF(J137="","",MAX(0,J137-(G137+H137+I137)/60))</x:f>
      </x:c>
      <x:c r="L137" s="137" t="str"/>
      <x:c r="M137" s="153" t="str"/>
      <x:c r="N137" s="137" t="str"/>
      <x:c r="O137" s="137" t="str"/>
      <x:c r="P137" s="137" t="str"/>
      <x:c r="Q137" s="137" t="str"/>
    </x:row>
    <x:row r="138">
      <x:c r="A138" s="138" t="str"/>
      <x:c r="B138" s="137" t="str"/>
      <x:c r="C138" s="137" t="str"/>
      <x:c r="D138" s="137" t="str"/>
      <x:c r="E138" s="160" t="str"/>
      <x:c r="F138" s="160" t="str"/>
      <x:c r="G138" s="137" t="str"/>
      <x:c r="H138" s="137" t="str"/>
      <x:c r="I138" s="137" t="str"/>
      <x:c r="J138" s="161" t="str">
        <x:f>IF(OR(E138="",F138=""),"",MOD(F138-E138,1)*24)</x:f>
      </x:c>
      <x:c r="K138" s="161" t="str">
        <x:f>IF(J138="","",MAX(0,J138-(G138+H138+I138)/60))</x:f>
      </x:c>
      <x:c r="L138" s="137" t="str"/>
      <x:c r="M138" s="153" t="str"/>
      <x:c r="N138" s="137" t="str"/>
      <x:c r="O138" s="137" t="str"/>
      <x:c r="P138" s="137" t="str"/>
      <x:c r="Q138" s="137" t="str"/>
    </x:row>
    <x:row r="139">
      <x:c r="A139" s="138" t="str"/>
      <x:c r="B139" s="137" t="str"/>
      <x:c r="C139" s="137" t="str"/>
      <x:c r="D139" s="137" t="str"/>
      <x:c r="E139" s="160" t="str"/>
      <x:c r="F139" s="160" t="str"/>
      <x:c r="G139" s="137" t="str"/>
      <x:c r="H139" s="137" t="str"/>
      <x:c r="I139" s="137" t="str"/>
      <x:c r="J139" s="161" t="str">
        <x:f>IF(OR(E139="",F139=""),"",MOD(F139-E139,1)*24)</x:f>
      </x:c>
      <x:c r="K139" s="161" t="str">
        <x:f>IF(J139="","",MAX(0,J139-(G139+H139+I139)/60))</x:f>
      </x:c>
      <x:c r="L139" s="137" t="str"/>
      <x:c r="M139" s="153" t="str"/>
      <x:c r="N139" s="137" t="str"/>
      <x:c r="O139" s="137" t="str"/>
      <x:c r="P139" s="137" t="str"/>
      <x:c r="Q139" s="137" t="str"/>
    </x:row>
    <x:row r="140">
      <x:c r="A140" s="138" t="str"/>
      <x:c r="B140" s="137" t="str"/>
      <x:c r="C140" s="137" t="str"/>
      <x:c r="D140" s="137" t="str"/>
      <x:c r="E140" s="160" t="str"/>
      <x:c r="F140" s="160" t="str"/>
      <x:c r="G140" s="137" t="str"/>
      <x:c r="H140" s="137" t="str"/>
      <x:c r="I140" s="137" t="str"/>
      <x:c r="J140" s="161" t="str">
        <x:f>IF(OR(E140="",F140=""),"",MOD(F140-E140,1)*24)</x:f>
      </x:c>
      <x:c r="K140" s="161" t="str">
        <x:f>IF(J140="","",MAX(0,J140-(G140+H140+I140)/60))</x:f>
      </x:c>
      <x:c r="L140" s="137" t="str"/>
      <x:c r="M140" s="153" t="str"/>
      <x:c r="N140" s="137" t="str"/>
      <x:c r="O140" s="137" t="str"/>
      <x:c r="P140" s="137" t="str"/>
      <x:c r="Q140" s="137" t="str"/>
    </x:row>
    <x:row r="141">
      <x:c r="A141" s="138" t="str"/>
      <x:c r="B141" s="137" t="str"/>
      <x:c r="C141" s="137" t="str"/>
      <x:c r="D141" s="137" t="str"/>
      <x:c r="E141" s="160" t="str"/>
      <x:c r="F141" s="160" t="str"/>
      <x:c r="G141" s="137" t="str"/>
      <x:c r="H141" s="137" t="str"/>
      <x:c r="I141" s="137" t="str"/>
      <x:c r="J141" s="161" t="str">
        <x:f>IF(OR(E141="",F141=""),"",MOD(F141-E141,1)*24)</x:f>
      </x:c>
      <x:c r="K141" s="161" t="str">
        <x:f>IF(J141="","",MAX(0,J141-(G141+H141+I141)/60))</x:f>
      </x:c>
      <x:c r="L141" s="137" t="str"/>
      <x:c r="M141" s="153" t="str"/>
      <x:c r="N141" s="137" t="str"/>
      <x:c r="O141" s="137" t="str"/>
      <x:c r="P141" s="137" t="str"/>
      <x:c r="Q141" s="137" t="str"/>
    </x:row>
    <x:row r="142">
      <x:c r="A142" s="138" t="str"/>
      <x:c r="B142" s="137" t="str"/>
      <x:c r="C142" s="137" t="str"/>
      <x:c r="D142" s="137" t="str"/>
      <x:c r="E142" s="160" t="str"/>
      <x:c r="F142" s="160" t="str"/>
      <x:c r="G142" s="137" t="str"/>
      <x:c r="H142" s="137" t="str"/>
      <x:c r="I142" s="137" t="str"/>
      <x:c r="J142" s="161" t="str">
        <x:f>IF(OR(E142="",F142=""),"",MOD(F142-E142,1)*24)</x:f>
      </x:c>
      <x:c r="K142" s="161" t="str">
        <x:f>IF(J142="","",MAX(0,J142-(G142+H142+I142)/60))</x:f>
      </x:c>
      <x:c r="L142" s="137" t="str"/>
      <x:c r="M142" s="153" t="str"/>
      <x:c r="N142" s="137" t="str"/>
      <x:c r="O142" s="137" t="str"/>
      <x:c r="P142" s="137" t="str"/>
      <x:c r="Q142" s="137" t="str"/>
    </x:row>
    <x:row r="143">
      <x:c r="A143" s="138" t="str"/>
      <x:c r="B143" s="137" t="str"/>
      <x:c r="C143" s="137" t="str"/>
      <x:c r="D143" s="137" t="str"/>
      <x:c r="E143" s="160" t="str"/>
      <x:c r="F143" s="160" t="str"/>
      <x:c r="G143" s="137" t="str"/>
      <x:c r="H143" s="137" t="str"/>
      <x:c r="I143" s="137" t="str"/>
      <x:c r="J143" s="161" t="str">
        <x:f>IF(OR(E143="",F143=""),"",MOD(F143-E143,1)*24)</x:f>
      </x:c>
      <x:c r="K143" s="161" t="str">
        <x:f>IF(J143="","",MAX(0,J143-(G143+H143+I143)/60))</x:f>
      </x:c>
      <x:c r="L143" s="137" t="str"/>
      <x:c r="M143" s="153" t="str"/>
      <x:c r="N143" s="137" t="str"/>
      <x:c r="O143" s="137" t="str"/>
      <x:c r="P143" s="137" t="str"/>
      <x:c r="Q143" s="137" t="str"/>
    </x:row>
    <x:row r="144">
      <x:c r="A144" s="138" t="str"/>
      <x:c r="B144" s="137" t="str"/>
      <x:c r="C144" s="137" t="str"/>
      <x:c r="D144" s="137" t="str"/>
      <x:c r="E144" s="160" t="str"/>
      <x:c r="F144" s="160" t="str"/>
      <x:c r="G144" s="137" t="str"/>
      <x:c r="H144" s="137" t="str"/>
      <x:c r="I144" s="137" t="str"/>
      <x:c r="J144" s="161" t="str">
        <x:f>IF(OR(E144="",F144=""),"",MOD(F144-E144,1)*24)</x:f>
      </x:c>
      <x:c r="K144" s="161" t="str">
        <x:f>IF(J144="","",MAX(0,J144-(G144+H144+I144)/60))</x:f>
      </x:c>
      <x:c r="L144" s="137" t="str"/>
      <x:c r="M144" s="153" t="str"/>
      <x:c r="N144" s="137" t="str"/>
      <x:c r="O144" s="137" t="str"/>
      <x:c r="P144" s="137" t="str"/>
      <x:c r="Q144" s="137" t="str"/>
    </x:row>
    <x:row r="145">
      <x:c r="A145" s="138" t="str"/>
      <x:c r="B145" s="137" t="str"/>
      <x:c r="C145" s="137" t="str"/>
      <x:c r="D145" s="137" t="str"/>
      <x:c r="E145" s="160" t="str"/>
      <x:c r="F145" s="160" t="str"/>
      <x:c r="G145" s="137" t="str"/>
      <x:c r="H145" s="137" t="str"/>
      <x:c r="I145" s="137" t="str"/>
      <x:c r="J145" s="161" t="str">
        <x:f>IF(OR(E145="",F145=""),"",MOD(F145-E145,1)*24)</x:f>
      </x:c>
      <x:c r="K145" s="161" t="str">
        <x:f>IF(J145="","",MAX(0,J145-(G145+H145+I145)/60))</x:f>
      </x:c>
      <x:c r="L145" s="137" t="str"/>
      <x:c r="M145" s="153" t="str"/>
      <x:c r="N145" s="137" t="str"/>
      <x:c r="O145" s="137" t="str"/>
      <x:c r="P145" s="137" t="str"/>
      <x:c r="Q145" s="137" t="str"/>
    </x:row>
    <x:row r="146">
      <x:c r="A146" s="138" t="str"/>
      <x:c r="B146" s="137" t="str"/>
      <x:c r="C146" s="137" t="str"/>
      <x:c r="D146" s="137" t="str"/>
      <x:c r="E146" s="160" t="str"/>
      <x:c r="F146" s="160" t="str"/>
      <x:c r="G146" s="137" t="str"/>
      <x:c r="H146" s="137" t="str"/>
      <x:c r="I146" s="137" t="str"/>
      <x:c r="J146" s="161" t="str">
        <x:f>IF(OR(E146="",F146=""),"",MOD(F146-E146,1)*24)</x:f>
      </x:c>
      <x:c r="K146" s="161" t="str">
        <x:f>IF(J146="","",MAX(0,J146-(G146+H146+I146)/60))</x:f>
      </x:c>
      <x:c r="L146" s="137" t="str"/>
      <x:c r="M146" s="153" t="str"/>
      <x:c r="N146" s="137" t="str"/>
      <x:c r="O146" s="137" t="str"/>
      <x:c r="P146" s="137" t="str"/>
      <x:c r="Q146" s="137" t="str"/>
    </x:row>
    <x:row r="147">
      <x:c r="A147" s="138" t="str"/>
      <x:c r="B147" s="137" t="str"/>
      <x:c r="C147" s="137" t="str"/>
      <x:c r="D147" s="137" t="str"/>
      <x:c r="E147" s="160" t="str"/>
      <x:c r="F147" s="160" t="str"/>
      <x:c r="G147" s="137" t="str"/>
      <x:c r="H147" s="137" t="str"/>
      <x:c r="I147" s="137" t="str"/>
      <x:c r="J147" s="161" t="str">
        <x:f>IF(OR(E147="",F147=""),"",MOD(F147-E147,1)*24)</x:f>
      </x:c>
      <x:c r="K147" s="161" t="str">
        <x:f>IF(J147="","",MAX(0,J147-(G147+H147+I147)/60))</x:f>
      </x:c>
      <x:c r="L147" s="137" t="str"/>
      <x:c r="M147" s="153" t="str"/>
      <x:c r="N147" s="137" t="str"/>
      <x:c r="O147" s="137" t="str"/>
      <x:c r="P147" s="137" t="str"/>
      <x:c r="Q147" s="137" t="str"/>
    </x:row>
    <x:row r="148">
      <x:c r="A148" s="138" t="str"/>
      <x:c r="B148" s="137" t="str"/>
      <x:c r="C148" s="137" t="str"/>
      <x:c r="D148" s="137" t="str"/>
      <x:c r="E148" s="160" t="str"/>
      <x:c r="F148" s="160" t="str"/>
      <x:c r="G148" s="137" t="str"/>
      <x:c r="H148" s="137" t="str"/>
      <x:c r="I148" s="137" t="str"/>
      <x:c r="J148" s="161" t="str">
        <x:f>IF(OR(E148="",F148=""),"",MOD(F148-E148,1)*24)</x:f>
      </x:c>
      <x:c r="K148" s="161" t="str">
        <x:f>IF(J148="","",MAX(0,J148-(G148+H148+I148)/60))</x:f>
      </x:c>
      <x:c r="L148" s="137" t="str"/>
      <x:c r="M148" s="153" t="str"/>
      <x:c r="N148" s="137" t="str"/>
      <x:c r="O148" s="137" t="str"/>
      <x:c r="P148" s="137" t="str"/>
      <x:c r="Q148" s="137" t="str"/>
    </x:row>
    <x:row r="149">
      <x:c r="A149" s="138" t="str"/>
      <x:c r="B149" s="137" t="str"/>
      <x:c r="C149" s="137" t="str"/>
      <x:c r="D149" s="137" t="str"/>
      <x:c r="E149" s="160" t="str"/>
      <x:c r="F149" s="160" t="str"/>
      <x:c r="G149" s="137" t="str"/>
      <x:c r="H149" s="137" t="str"/>
      <x:c r="I149" s="137" t="str"/>
      <x:c r="J149" s="161" t="str">
        <x:f>IF(OR(E149="",F149=""),"",MOD(F149-E149,1)*24)</x:f>
      </x:c>
      <x:c r="K149" s="161" t="str">
        <x:f>IF(J149="","",MAX(0,J149-(G149+H149+I149)/60))</x:f>
      </x:c>
      <x:c r="L149" s="137" t="str"/>
      <x:c r="M149" s="153" t="str"/>
      <x:c r="N149" s="137" t="str"/>
      <x:c r="O149" s="137" t="str"/>
      <x:c r="P149" s="137" t="str"/>
      <x:c r="Q149" s="137" t="str"/>
    </x:row>
    <x:row r="150">
      <x:c r="A150" s="138" t="str"/>
      <x:c r="B150" s="137" t="str"/>
      <x:c r="C150" s="137" t="str"/>
      <x:c r="D150" s="137" t="str"/>
      <x:c r="E150" s="160" t="str"/>
      <x:c r="F150" s="160" t="str"/>
      <x:c r="G150" s="137" t="str"/>
      <x:c r="H150" s="137" t="str"/>
      <x:c r="I150" s="137" t="str"/>
      <x:c r="J150" s="161" t="str">
        <x:f>IF(OR(E150="",F150=""),"",MOD(F150-E150,1)*24)</x:f>
      </x:c>
      <x:c r="K150" s="161" t="str">
        <x:f>IF(J150="","",MAX(0,J150-(G150+H150+I150)/60))</x:f>
      </x:c>
      <x:c r="L150" s="137" t="str"/>
      <x:c r="M150" s="153" t="str"/>
      <x:c r="N150" s="137" t="str"/>
      <x:c r="O150" s="137" t="str"/>
      <x:c r="P150" s="137" t="str"/>
      <x:c r="Q150" s="137" t="str"/>
    </x:row>
    <x:row r="151">
      <x:c r="A151" s="138" t="str"/>
      <x:c r="B151" s="137" t="str"/>
      <x:c r="C151" s="137" t="str"/>
      <x:c r="D151" s="137" t="str"/>
      <x:c r="E151" s="160" t="str"/>
      <x:c r="F151" s="160" t="str"/>
      <x:c r="G151" s="137" t="str"/>
      <x:c r="H151" s="137" t="str"/>
      <x:c r="I151" s="137" t="str"/>
      <x:c r="J151" s="161" t="str">
        <x:f>IF(OR(E151="",F151=""),"",MOD(F151-E151,1)*24)</x:f>
      </x:c>
      <x:c r="K151" s="161" t="str">
        <x:f>IF(J151="","",MAX(0,J151-(G151+H151+I151)/60))</x:f>
      </x:c>
      <x:c r="L151" s="137" t="str"/>
      <x:c r="M151" s="153" t="str"/>
      <x:c r="N151" s="137" t="str"/>
      <x:c r="O151" s="137" t="str"/>
      <x:c r="P151" s="137" t="str"/>
      <x:c r="Q151" s="137" t="str"/>
    </x:row>
    <x:row r="152">
      <x:c r="A152" s="138" t="str"/>
      <x:c r="B152" s="137" t="str"/>
      <x:c r="C152" s="137" t="str"/>
      <x:c r="D152" s="137" t="str"/>
      <x:c r="E152" s="160" t="str"/>
      <x:c r="F152" s="160" t="str"/>
      <x:c r="G152" s="137" t="str"/>
      <x:c r="H152" s="137" t="str"/>
      <x:c r="I152" s="137" t="str"/>
      <x:c r="J152" s="161" t="str">
        <x:f>IF(OR(E152="",F152=""),"",MOD(F152-E152,1)*24)</x:f>
      </x:c>
      <x:c r="K152" s="161" t="str">
        <x:f>IF(J152="","",MAX(0,J152-(G152+H152+I152)/60))</x:f>
      </x:c>
      <x:c r="L152" s="137" t="str"/>
      <x:c r="M152" s="153" t="str"/>
      <x:c r="N152" s="137" t="str"/>
      <x:c r="O152" s="137" t="str"/>
      <x:c r="P152" s="137" t="str"/>
      <x:c r="Q152" s="137" t="str"/>
    </x:row>
    <x:row r="153">
      <x:c r="A153" s="138" t="str"/>
      <x:c r="B153" s="137" t="str"/>
      <x:c r="C153" s="137" t="str"/>
      <x:c r="D153" s="137" t="str"/>
      <x:c r="E153" s="160" t="str"/>
      <x:c r="F153" s="160" t="str"/>
      <x:c r="G153" s="137" t="str"/>
      <x:c r="H153" s="137" t="str"/>
      <x:c r="I153" s="137" t="str"/>
      <x:c r="J153" s="161" t="str">
        <x:f>IF(OR(E153="",F153=""),"",MOD(F153-E153,1)*24)</x:f>
      </x:c>
      <x:c r="K153" s="161" t="str">
        <x:f>IF(J153="","",MAX(0,J153-(G153+H153+I153)/60))</x:f>
      </x:c>
      <x:c r="L153" s="137" t="str"/>
      <x:c r="M153" s="153" t="str"/>
      <x:c r="N153" s="137" t="str"/>
      <x:c r="O153" s="137" t="str"/>
      <x:c r="P153" s="137" t="str"/>
      <x:c r="Q153" s="137" t="str"/>
    </x:row>
    <x:row r="154">
      <x:c r="A154" s="138" t="str"/>
      <x:c r="B154" s="137" t="str"/>
      <x:c r="C154" s="137" t="str"/>
      <x:c r="D154" s="137" t="str"/>
      <x:c r="E154" s="160" t="str"/>
      <x:c r="F154" s="160" t="str"/>
      <x:c r="G154" s="137" t="str"/>
      <x:c r="H154" s="137" t="str"/>
      <x:c r="I154" s="137" t="str"/>
      <x:c r="J154" s="161" t="str">
        <x:f>IF(OR(E154="",F154=""),"",MOD(F154-E154,1)*24)</x:f>
      </x:c>
      <x:c r="K154" s="161" t="str">
        <x:f>IF(J154="","",MAX(0,J154-(G154+H154+I154)/60))</x:f>
      </x:c>
      <x:c r="L154" s="137" t="str"/>
      <x:c r="M154" s="153" t="str"/>
      <x:c r="N154" s="137" t="str"/>
      <x:c r="O154" s="137" t="str"/>
      <x:c r="P154" s="137" t="str"/>
      <x:c r="Q154" s="137" t="str"/>
    </x:row>
    <x:row r="155">
      <x:c r="A155" s="138" t="str"/>
      <x:c r="B155" s="137" t="str"/>
      <x:c r="C155" s="137" t="str"/>
      <x:c r="D155" s="137" t="str"/>
      <x:c r="E155" s="160" t="str"/>
      <x:c r="F155" s="160" t="str"/>
      <x:c r="G155" s="137" t="str"/>
      <x:c r="H155" s="137" t="str"/>
      <x:c r="I155" s="137" t="str"/>
      <x:c r="J155" s="161" t="str">
        <x:f>IF(OR(E155="",F155=""),"",MOD(F155-E155,1)*24)</x:f>
      </x:c>
      <x:c r="K155" s="161" t="str">
        <x:f>IF(J155="","",MAX(0,J155-(G155+H155+I155)/60))</x:f>
      </x:c>
      <x:c r="L155" s="137" t="str"/>
      <x:c r="M155" s="153" t="str"/>
      <x:c r="N155" s="137" t="str"/>
      <x:c r="O155" s="137" t="str"/>
      <x:c r="P155" s="137" t="str"/>
      <x:c r="Q155" s="137" t="str"/>
    </x:row>
    <x:row r="156">
      <x:c r="A156" s="138" t="str"/>
      <x:c r="B156" s="137" t="str"/>
      <x:c r="C156" s="137" t="str"/>
      <x:c r="D156" s="137" t="str"/>
      <x:c r="E156" s="160" t="str"/>
      <x:c r="F156" s="160" t="str"/>
      <x:c r="G156" s="137" t="str"/>
      <x:c r="H156" s="137" t="str"/>
      <x:c r="I156" s="137" t="str"/>
      <x:c r="J156" s="161" t="str">
        <x:f>IF(OR(E156="",F156=""),"",MOD(F156-E156,1)*24)</x:f>
      </x:c>
      <x:c r="K156" s="161" t="str">
        <x:f>IF(J156="","",MAX(0,J156-(G156+H156+I156)/60))</x:f>
      </x:c>
      <x:c r="L156" s="137" t="str"/>
      <x:c r="M156" s="153" t="str"/>
      <x:c r="N156" s="137" t="str"/>
      <x:c r="O156" s="137" t="str"/>
      <x:c r="P156" s="137" t="str"/>
      <x:c r="Q156" s="137" t="str"/>
    </x:row>
    <x:row r="157">
      <x:c r="A157" s="138" t="str"/>
      <x:c r="B157" s="137" t="str"/>
      <x:c r="C157" s="137" t="str"/>
      <x:c r="D157" s="137" t="str"/>
      <x:c r="E157" s="160" t="str"/>
      <x:c r="F157" s="160" t="str"/>
      <x:c r="G157" s="137" t="str"/>
      <x:c r="H157" s="137" t="str"/>
      <x:c r="I157" s="137" t="str"/>
      <x:c r="J157" s="161" t="str">
        <x:f>IF(OR(E157="",F157=""),"",MOD(F157-E157,1)*24)</x:f>
      </x:c>
      <x:c r="K157" s="161" t="str">
        <x:f>IF(J157="","",MAX(0,J157-(G157+H157+I157)/60))</x:f>
      </x:c>
      <x:c r="L157" s="137" t="str"/>
      <x:c r="M157" s="153" t="str"/>
      <x:c r="N157" s="137" t="str"/>
      <x:c r="O157" s="137" t="str"/>
      <x:c r="P157" s="137" t="str"/>
      <x:c r="Q157" s="137" t="str"/>
    </x:row>
    <x:row r="158">
      <x:c r="A158" s="138" t="str"/>
      <x:c r="B158" s="137" t="str"/>
      <x:c r="C158" s="137" t="str"/>
      <x:c r="D158" s="137" t="str"/>
      <x:c r="E158" s="160" t="str"/>
      <x:c r="F158" s="160" t="str"/>
      <x:c r="G158" s="137" t="str"/>
      <x:c r="H158" s="137" t="str"/>
      <x:c r="I158" s="137" t="str"/>
      <x:c r="J158" s="161" t="str">
        <x:f>IF(OR(E158="",F158=""),"",MOD(F158-E158,1)*24)</x:f>
      </x:c>
      <x:c r="K158" s="161" t="str">
        <x:f>IF(J158="","",MAX(0,J158-(G158+H158+I158)/60))</x:f>
      </x:c>
      <x:c r="L158" s="137" t="str"/>
      <x:c r="M158" s="153" t="str"/>
      <x:c r="N158" s="137" t="str"/>
      <x:c r="O158" s="137" t="str"/>
      <x:c r="P158" s="137" t="str"/>
      <x:c r="Q158" s="137" t="str"/>
    </x:row>
    <x:row r="159">
      <x:c r="A159" s="138" t="str"/>
      <x:c r="B159" s="137" t="str"/>
      <x:c r="C159" s="137" t="str"/>
      <x:c r="D159" s="137" t="str"/>
      <x:c r="E159" s="160" t="str"/>
      <x:c r="F159" s="160" t="str"/>
      <x:c r="G159" s="137" t="str"/>
      <x:c r="H159" s="137" t="str"/>
      <x:c r="I159" s="137" t="str"/>
      <x:c r="J159" s="161" t="str">
        <x:f>IF(OR(E159="",F159=""),"",MOD(F159-E159,1)*24)</x:f>
      </x:c>
      <x:c r="K159" s="161" t="str">
        <x:f>IF(J159="","",MAX(0,J159-(G159+H159+I159)/60))</x:f>
      </x:c>
      <x:c r="L159" s="137" t="str"/>
      <x:c r="M159" s="153" t="str"/>
      <x:c r="N159" s="137" t="str"/>
      <x:c r="O159" s="137" t="str"/>
      <x:c r="P159" s="137" t="str"/>
      <x:c r="Q159" s="137" t="str"/>
    </x:row>
    <x:row r="160">
      <x:c r="A160" s="138" t="str"/>
      <x:c r="B160" s="137" t="str"/>
      <x:c r="C160" s="137" t="str"/>
      <x:c r="D160" s="137" t="str"/>
      <x:c r="E160" s="160" t="str"/>
      <x:c r="F160" s="160" t="str"/>
      <x:c r="G160" s="137" t="str"/>
      <x:c r="H160" s="137" t="str"/>
      <x:c r="I160" s="137" t="str"/>
      <x:c r="J160" s="161" t="str">
        <x:f>IF(OR(E160="",F160=""),"",MOD(F160-E160,1)*24)</x:f>
      </x:c>
      <x:c r="K160" s="161" t="str">
        <x:f>IF(J160="","",MAX(0,J160-(G160+H160+I160)/60))</x:f>
      </x:c>
      <x:c r="L160" s="137" t="str"/>
      <x:c r="M160" s="153" t="str"/>
      <x:c r="N160" s="137" t="str"/>
      <x:c r="O160" s="137" t="str"/>
      <x:c r="P160" s="137" t="str"/>
      <x:c r="Q160" s="137" t="str"/>
    </x:row>
    <x:row r="161">
      <x:c r="A161" s="138" t="str"/>
      <x:c r="B161" s="137" t="str"/>
      <x:c r="C161" s="137" t="str"/>
      <x:c r="D161" s="137" t="str"/>
      <x:c r="E161" s="160" t="str"/>
      <x:c r="F161" s="160" t="str"/>
      <x:c r="G161" s="137" t="str"/>
      <x:c r="H161" s="137" t="str"/>
      <x:c r="I161" s="137" t="str"/>
      <x:c r="J161" s="161" t="str">
        <x:f>IF(OR(E161="",F161=""),"",MOD(F161-E161,1)*24)</x:f>
      </x:c>
      <x:c r="K161" s="161" t="str">
        <x:f>IF(J161="","",MAX(0,J161-(G161+H161+I161)/60))</x:f>
      </x:c>
      <x:c r="L161" s="137" t="str"/>
      <x:c r="M161" s="153" t="str"/>
      <x:c r="N161" s="137" t="str"/>
      <x:c r="O161" s="137" t="str"/>
      <x:c r="P161" s="137" t="str"/>
      <x:c r="Q161" s="137" t="str"/>
    </x:row>
    <x:row r="162">
      <x:c r="A162" s="138" t="str"/>
      <x:c r="B162" s="137" t="str"/>
      <x:c r="C162" s="137" t="str"/>
      <x:c r="D162" s="137" t="str"/>
      <x:c r="E162" s="160" t="str"/>
      <x:c r="F162" s="160" t="str"/>
      <x:c r="G162" s="137" t="str"/>
      <x:c r="H162" s="137" t="str"/>
      <x:c r="I162" s="137" t="str"/>
      <x:c r="J162" s="161" t="str">
        <x:f>IF(OR(E162="",F162=""),"",MOD(F162-E162,1)*24)</x:f>
      </x:c>
      <x:c r="K162" s="161" t="str">
        <x:f>IF(J162="","",MAX(0,J162-(G162+H162+I162)/60))</x:f>
      </x:c>
      <x:c r="L162" s="137" t="str"/>
      <x:c r="M162" s="153" t="str"/>
      <x:c r="N162" s="137" t="str"/>
      <x:c r="O162" s="137" t="str"/>
      <x:c r="P162" s="137" t="str"/>
      <x:c r="Q162" s="137" t="str"/>
    </x:row>
    <x:row r="163">
      <x:c r="A163" s="138" t="str"/>
      <x:c r="B163" s="137" t="str"/>
      <x:c r="C163" s="137" t="str"/>
      <x:c r="D163" s="137" t="str"/>
      <x:c r="E163" s="160" t="str"/>
      <x:c r="F163" s="160" t="str"/>
      <x:c r="G163" s="137" t="str"/>
      <x:c r="H163" s="137" t="str"/>
      <x:c r="I163" s="137" t="str"/>
      <x:c r="J163" s="161" t="str">
        <x:f>IF(OR(E163="",F163=""),"",MOD(F163-E163,1)*24)</x:f>
      </x:c>
      <x:c r="K163" s="161" t="str">
        <x:f>IF(J163="","",MAX(0,J163-(G163+H163+I163)/60))</x:f>
      </x:c>
      <x:c r="L163" s="137" t="str"/>
      <x:c r="M163" s="153" t="str"/>
      <x:c r="N163" s="137" t="str"/>
      <x:c r="O163" s="137" t="str"/>
      <x:c r="P163" s="137" t="str"/>
      <x:c r="Q163" s="137" t="str"/>
    </x:row>
    <x:row r="164">
      <x:c r="A164" s="138" t="str"/>
      <x:c r="B164" s="137" t="str"/>
      <x:c r="C164" s="137" t="str"/>
      <x:c r="D164" s="137" t="str"/>
      <x:c r="E164" s="160" t="str"/>
      <x:c r="F164" s="160" t="str"/>
      <x:c r="G164" s="137" t="str"/>
      <x:c r="H164" s="137" t="str"/>
      <x:c r="I164" s="137" t="str"/>
      <x:c r="J164" s="161" t="str">
        <x:f>IF(OR(E164="",F164=""),"",MOD(F164-E164,1)*24)</x:f>
      </x:c>
      <x:c r="K164" s="161" t="str">
        <x:f>IF(J164="","",MAX(0,J164-(G164+H164+I164)/60))</x:f>
      </x:c>
      <x:c r="L164" s="137" t="str"/>
      <x:c r="M164" s="153" t="str"/>
      <x:c r="N164" s="137" t="str"/>
      <x:c r="O164" s="137" t="str"/>
      <x:c r="P164" s="137" t="str"/>
      <x:c r="Q164" s="137" t="str"/>
    </x:row>
    <x:row r="165">
      <x:c r="A165" s="138" t="str"/>
      <x:c r="B165" s="137" t="str"/>
      <x:c r="C165" s="137" t="str"/>
      <x:c r="D165" s="137" t="str"/>
      <x:c r="E165" s="160" t="str"/>
      <x:c r="F165" s="160" t="str"/>
      <x:c r="G165" s="137" t="str"/>
      <x:c r="H165" s="137" t="str"/>
      <x:c r="I165" s="137" t="str"/>
      <x:c r="J165" s="161" t="str">
        <x:f>IF(OR(E165="",F165=""),"",MOD(F165-E165,1)*24)</x:f>
      </x:c>
      <x:c r="K165" s="161" t="str">
        <x:f>IF(J165="","",MAX(0,J165-(G165+H165+I165)/60))</x:f>
      </x:c>
      <x:c r="L165" s="137" t="str"/>
      <x:c r="M165" s="153" t="str"/>
      <x:c r="N165" s="137" t="str"/>
      <x:c r="O165" s="137" t="str"/>
      <x:c r="P165" s="137" t="str"/>
      <x:c r="Q165" s="137" t="str"/>
    </x:row>
    <x:row r="166">
      <x:c r="A166" s="138" t="str"/>
      <x:c r="B166" s="137" t="str"/>
      <x:c r="C166" s="137" t="str"/>
      <x:c r="D166" s="137" t="str"/>
      <x:c r="E166" s="160" t="str"/>
      <x:c r="F166" s="160" t="str"/>
      <x:c r="G166" s="137" t="str"/>
      <x:c r="H166" s="137" t="str"/>
      <x:c r="I166" s="137" t="str"/>
      <x:c r="J166" s="161" t="str">
        <x:f>IF(OR(E166="",F166=""),"",MOD(F166-E166,1)*24)</x:f>
      </x:c>
      <x:c r="K166" s="161" t="str">
        <x:f>IF(J166="","",MAX(0,J166-(G166+H166+I166)/60))</x:f>
      </x:c>
      <x:c r="L166" s="137" t="str"/>
      <x:c r="M166" s="153" t="str"/>
      <x:c r="N166" s="137" t="str"/>
      <x:c r="O166" s="137" t="str"/>
      <x:c r="P166" s="137" t="str"/>
      <x:c r="Q166" s="137" t="str"/>
    </x:row>
    <x:row r="167">
      <x:c r="A167" s="138" t="str"/>
      <x:c r="B167" s="137" t="str"/>
      <x:c r="C167" s="137" t="str"/>
      <x:c r="D167" s="137" t="str"/>
      <x:c r="E167" s="160" t="str"/>
      <x:c r="F167" s="160" t="str"/>
      <x:c r="G167" s="137" t="str"/>
      <x:c r="H167" s="137" t="str"/>
      <x:c r="I167" s="137" t="str"/>
      <x:c r="J167" s="161" t="str">
        <x:f>IF(OR(E167="",F167=""),"",MOD(F167-E167,1)*24)</x:f>
      </x:c>
      <x:c r="K167" s="161" t="str">
        <x:f>IF(J167="","",MAX(0,J167-(G167+H167+I167)/60))</x:f>
      </x:c>
      <x:c r="L167" s="137" t="str"/>
      <x:c r="M167" s="153" t="str"/>
      <x:c r="N167" s="137" t="str"/>
      <x:c r="O167" s="137" t="str"/>
      <x:c r="P167" s="137" t="str"/>
      <x:c r="Q167" s="137" t="str"/>
    </x:row>
    <x:row r="168">
      <x:c r="A168" s="138" t="str"/>
      <x:c r="B168" s="137" t="str"/>
      <x:c r="C168" s="137" t="str"/>
      <x:c r="D168" s="137" t="str"/>
      <x:c r="E168" s="160" t="str"/>
      <x:c r="F168" s="160" t="str"/>
      <x:c r="G168" s="137" t="str"/>
      <x:c r="H168" s="137" t="str"/>
      <x:c r="I168" s="137" t="str"/>
      <x:c r="J168" s="161" t="str">
        <x:f>IF(OR(E168="",F168=""),"",MOD(F168-E168,1)*24)</x:f>
      </x:c>
      <x:c r="K168" s="161" t="str">
        <x:f>IF(J168="","",MAX(0,J168-(G168+H168+I168)/60))</x:f>
      </x:c>
      <x:c r="L168" s="137" t="str"/>
      <x:c r="M168" s="153" t="str"/>
      <x:c r="N168" s="137" t="str"/>
      <x:c r="O168" s="137" t="str"/>
      <x:c r="P168" s="137" t="str"/>
      <x:c r="Q168" s="137" t="str"/>
    </x:row>
    <x:row r="169">
      <x:c r="A169" s="138" t="str"/>
      <x:c r="B169" s="137" t="str"/>
      <x:c r="C169" s="137" t="str"/>
      <x:c r="D169" s="137" t="str"/>
      <x:c r="E169" s="160" t="str"/>
      <x:c r="F169" s="160" t="str"/>
      <x:c r="G169" s="137" t="str"/>
      <x:c r="H169" s="137" t="str"/>
      <x:c r="I169" s="137" t="str"/>
      <x:c r="J169" s="161" t="str">
        <x:f>IF(OR(E169="",F169=""),"",MOD(F169-E169,1)*24)</x:f>
      </x:c>
      <x:c r="K169" s="161" t="str">
        <x:f>IF(J169="","",MAX(0,J169-(G169+H169+I169)/60))</x:f>
      </x:c>
      <x:c r="L169" s="137" t="str"/>
      <x:c r="M169" s="153" t="str"/>
      <x:c r="N169" s="137" t="str"/>
      <x:c r="O169" s="137" t="str"/>
      <x:c r="P169" s="137" t="str"/>
      <x:c r="Q169" s="137" t="str"/>
    </x:row>
    <x:row r="170">
      <x:c r="A170" s="138" t="str"/>
      <x:c r="B170" s="137" t="str"/>
      <x:c r="C170" s="137" t="str"/>
      <x:c r="D170" s="137" t="str"/>
      <x:c r="E170" s="160" t="str"/>
      <x:c r="F170" s="160" t="str"/>
      <x:c r="G170" s="137" t="str"/>
      <x:c r="H170" s="137" t="str"/>
      <x:c r="I170" s="137" t="str"/>
      <x:c r="J170" s="161" t="str">
        <x:f>IF(OR(E170="",F170=""),"",MOD(F170-E170,1)*24)</x:f>
      </x:c>
      <x:c r="K170" s="161" t="str">
        <x:f>IF(J170="","",MAX(0,J170-(G170+H170+I170)/60))</x:f>
      </x:c>
      <x:c r="L170" s="137" t="str"/>
      <x:c r="M170" s="153" t="str"/>
      <x:c r="N170" s="137" t="str"/>
      <x:c r="O170" s="137" t="str"/>
      <x:c r="P170" s="137" t="str"/>
      <x:c r="Q170" s="137" t="str"/>
    </x:row>
    <x:row r="171">
      <x:c r="A171" s="138" t="str"/>
      <x:c r="B171" s="137" t="str"/>
      <x:c r="C171" s="137" t="str"/>
      <x:c r="D171" s="137" t="str"/>
      <x:c r="E171" s="160" t="str"/>
      <x:c r="F171" s="160" t="str"/>
      <x:c r="G171" s="137" t="str"/>
      <x:c r="H171" s="137" t="str"/>
      <x:c r="I171" s="137" t="str"/>
      <x:c r="J171" s="161" t="str">
        <x:f>IF(OR(E171="",F171=""),"",MOD(F171-E171,1)*24)</x:f>
      </x:c>
      <x:c r="K171" s="161" t="str">
        <x:f>IF(J171="","",MAX(0,J171-(G171+H171+I171)/60))</x:f>
      </x:c>
      <x:c r="L171" s="137" t="str"/>
      <x:c r="M171" s="153" t="str"/>
      <x:c r="N171" s="137" t="str"/>
      <x:c r="O171" s="137" t="str"/>
      <x:c r="P171" s="137" t="str"/>
      <x:c r="Q171" s="137" t="str"/>
    </x:row>
    <x:row r="172">
      <x:c r="A172" s="138" t="str"/>
      <x:c r="B172" s="137" t="str"/>
      <x:c r="C172" s="137" t="str"/>
      <x:c r="D172" s="137" t="str"/>
      <x:c r="E172" s="160" t="str"/>
      <x:c r="F172" s="160" t="str"/>
      <x:c r="G172" s="137" t="str"/>
      <x:c r="H172" s="137" t="str"/>
      <x:c r="I172" s="137" t="str"/>
      <x:c r="J172" s="161" t="str">
        <x:f>IF(OR(E172="",F172=""),"",MOD(F172-E172,1)*24)</x:f>
      </x:c>
      <x:c r="K172" s="161" t="str">
        <x:f>IF(J172="","",MAX(0,J172-(G172+H172+I172)/60))</x:f>
      </x:c>
      <x:c r="L172" s="137" t="str"/>
      <x:c r="M172" s="153" t="str"/>
      <x:c r="N172" s="137" t="str"/>
      <x:c r="O172" s="137" t="str"/>
      <x:c r="P172" s="137" t="str"/>
      <x:c r="Q172" s="137" t="str"/>
    </x:row>
    <x:row r="173">
      <x:c r="A173" s="138" t="str"/>
      <x:c r="B173" s="137" t="str"/>
      <x:c r="C173" s="137" t="str"/>
      <x:c r="D173" s="137" t="str"/>
      <x:c r="E173" s="160" t="str"/>
      <x:c r="F173" s="160" t="str"/>
      <x:c r="G173" s="137" t="str"/>
      <x:c r="H173" s="137" t="str"/>
      <x:c r="I173" s="137" t="str"/>
      <x:c r="J173" s="161" t="str">
        <x:f>IF(OR(E173="",F173=""),"",MOD(F173-E173,1)*24)</x:f>
      </x:c>
      <x:c r="K173" s="161" t="str">
        <x:f>IF(J173="","",MAX(0,J173-(G173+H173+I173)/60))</x:f>
      </x:c>
      <x:c r="L173" s="137" t="str"/>
      <x:c r="M173" s="153" t="str"/>
      <x:c r="N173" s="137" t="str"/>
      <x:c r="O173" s="137" t="str"/>
      <x:c r="P173" s="137" t="str"/>
      <x:c r="Q173" s="137" t="str"/>
    </x:row>
    <x:row r="174">
      <x:c r="A174" s="138" t="str"/>
      <x:c r="B174" s="137" t="str"/>
      <x:c r="C174" s="137" t="str"/>
      <x:c r="D174" s="137" t="str"/>
      <x:c r="E174" s="160" t="str"/>
      <x:c r="F174" s="160" t="str"/>
      <x:c r="G174" s="137" t="str"/>
      <x:c r="H174" s="137" t="str"/>
      <x:c r="I174" s="137" t="str"/>
      <x:c r="J174" s="161" t="str">
        <x:f>IF(OR(E174="",F174=""),"",MOD(F174-E174,1)*24)</x:f>
      </x:c>
      <x:c r="K174" s="161" t="str">
        <x:f>IF(J174="","",MAX(0,J174-(G174+H174+I174)/60))</x:f>
      </x:c>
      <x:c r="L174" s="137" t="str"/>
      <x:c r="M174" s="153" t="str"/>
      <x:c r="N174" s="137" t="str"/>
      <x:c r="O174" s="137" t="str"/>
      <x:c r="P174" s="137" t="str"/>
      <x:c r="Q174" s="137" t="str"/>
    </x:row>
    <x:row r="175">
      <x:c r="A175" s="138" t="str"/>
      <x:c r="B175" s="137" t="str"/>
      <x:c r="C175" s="137" t="str"/>
      <x:c r="D175" s="137" t="str"/>
      <x:c r="E175" s="160" t="str"/>
      <x:c r="F175" s="160" t="str"/>
      <x:c r="G175" s="137" t="str"/>
      <x:c r="H175" s="137" t="str"/>
      <x:c r="I175" s="137" t="str"/>
      <x:c r="J175" s="161" t="str">
        <x:f>IF(OR(E175="",F175=""),"",MOD(F175-E175,1)*24)</x:f>
      </x:c>
      <x:c r="K175" s="161" t="str">
        <x:f>IF(J175="","",MAX(0,J175-(G175+H175+I175)/60))</x:f>
      </x:c>
      <x:c r="L175" s="137" t="str"/>
      <x:c r="M175" s="153" t="str"/>
      <x:c r="N175" s="137" t="str"/>
      <x:c r="O175" s="137" t="str"/>
      <x:c r="P175" s="137" t="str"/>
      <x:c r="Q175" s="137" t="str"/>
    </x:row>
    <x:row r="176">
      <x:c r="A176" s="138" t="str"/>
      <x:c r="B176" s="137" t="str"/>
      <x:c r="C176" s="137" t="str"/>
      <x:c r="D176" s="137" t="str"/>
      <x:c r="E176" s="160" t="str"/>
      <x:c r="F176" s="160" t="str"/>
      <x:c r="G176" s="137" t="str"/>
      <x:c r="H176" s="137" t="str"/>
      <x:c r="I176" s="137" t="str"/>
      <x:c r="J176" s="161" t="str">
        <x:f>IF(OR(E176="",F176=""),"",MOD(F176-E176,1)*24)</x:f>
      </x:c>
      <x:c r="K176" s="161" t="str">
        <x:f>IF(J176="","",MAX(0,J176-(G176+H176+I176)/60))</x:f>
      </x:c>
      <x:c r="L176" s="137" t="str"/>
      <x:c r="M176" s="153" t="str"/>
      <x:c r="N176" s="137" t="str"/>
      <x:c r="O176" s="137" t="str"/>
      <x:c r="P176" s="137" t="str"/>
      <x:c r="Q176" s="137" t="str"/>
    </x:row>
    <x:row r="177">
      <x:c r="A177" s="138" t="str"/>
      <x:c r="B177" s="137" t="str"/>
      <x:c r="C177" s="137" t="str"/>
      <x:c r="D177" s="137" t="str"/>
      <x:c r="E177" s="160" t="str"/>
      <x:c r="F177" s="160" t="str"/>
      <x:c r="G177" s="137" t="str"/>
      <x:c r="H177" s="137" t="str"/>
      <x:c r="I177" s="137" t="str"/>
      <x:c r="J177" s="161" t="str">
        <x:f>IF(OR(E177="",F177=""),"",MOD(F177-E177,1)*24)</x:f>
      </x:c>
      <x:c r="K177" s="161" t="str">
        <x:f>IF(J177="","",MAX(0,J177-(G177+H177+I177)/60))</x:f>
      </x:c>
      <x:c r="L177" s="137" t="str"/>
      <x:c r="M177" s="153" t="str"/>
      <x:c r="N177" s="137" t="str"/>
      <x:c r="O177" s="137" t="str"/>
      <x:c r="P177" s="137" t="str"/>
      <x:c r="Q177" s="137" t="str"/>
    </x:row>
    <x:row r="178">
      <x:c r="A178" s="138" t="str"/>
      <x:c r="B178" s="137" t="str"/>
      <x:c r="C178" s="137" t="str"/>
      <x:c r="D178" s="137" t="str"/>
      <x:c r="E178" s="160" t="str"/>
      <x:c r="F178" s="160" t="str"/>
      <x:c r="G178" s="137" t="str"/>
      <x:c r="H178" s="137" t="str"/>
      <x:c r="I178" s="137" t="str"/>
      <x:c r="J178" s="161" t="str">
        <x:f>IF(OR(E178="",F178=""),"",MOD(F178-E178,1)*24)</x:f>
      </x:c>
      <x:c r="K178" s="161" t="str">
        <x:f>IF(J178="","",MAX(0,J178-(G178+H178+I178)/60))</x:f>
      </x:c>
      <x:c r="L178" s="137" t="str"/>
      <x:c r="M178" s="153" t="str"/>
      <x:c r="N178" s="137" t="str"/>
      <x:c r="O178" s="137" t="str"/>
      <x:c r="P178" s="137" t="str"/>
      <x:c r="Q178" s="137" t="str"/>
    </x:row>
    <x:row r="179">
      <x:c r="A179" s="138" t="str"/>
      <x:c r="B179" s="137" t="str"/>
      <x:c r="C179" s="137" t="str"/>
      <x:c r="D179" s="137" t="str"/>
      <x:c r="E179" s="160" t="str"/>
      <x:c r="F179" s="160" t="str"/>
      <x:c r="G179" s="137" t="str"/>
      <x:c r="H179" s="137" t="str"/>
      <x:c r="I179" s="137" t="str"/>
      <x:c r="J179" s="161" t="str">
        <x:f>IF(OR(E179="",F179=""),"",MOD(F179-E179,1)*24)</x:f>
      </x:c>
      <x:c r="K179" s="161" t="str">
        <x:f>IF(J179="","",MAX(0,J179-(G179+H179+I179)/60))</x:f>
      </x:c>
      <x:c r="L179" s="137" t="str"/>
      <x:c r="M179" s="153" t="str"/>
      <x:c r="N179" s="137" t="str"/>
      <x:c r="O179" s="137" t="str"/>
      <x:c r="P179" s="137" t="str"/>
      <x:c r="Q179" s="137" t="str"/>
    </x:row>
    <x:row r="180">
      <x:c r="A180" s="138" t="str"/>
      <x:c r="B180" s="137" t="str"/>
      <x:c r="C180" s="137" t="str"/>
      <x:c r="D180" s="137" t="str"/>
      <x:c r="E180" s="160" t="str"/>
      <x:c r="F180" s="160" t="str"/>
      <x:c r="G180" s="137" t="str"/>
      <x:c r="H180" s="137" t="str"/>
      <x:c r="I180" s="137" t="str"/>
      <x:c r="J180" s="161" t="str">
        <x:f>IF(OR(E180="",F180=""),"",MOD(F180-E180,1)*24)</x:f>
      </x:c>
      <x:c r="K180" s="161" t="str">
        <x:f>IF(J180="","",MAX(0,J180-(G180+H180+I180)/60))</x:f>
      </x:c>
      <x:c r="L180" s="137" t="str"/>
      <x:c r="M180" s="153" t="str"/>
      <x:c r="N180" s="137" t="str"/>
      <x:c r="O180" s="137" t="str"/>
      <x:c r="P180" s="137" t="str"/>
      <x:c r="Q180" s="137" t="str"/>
    </x:row>
    <x:row r="181">
      <x:c r="A181" s="138" t="str"/>
      <x:c r="B181" s="137" t="str"/>
      <x:c r="C181" s="137" t="str"/>
      <x:c r="D181" s="137" t="str"/>
      <x:c r="E181" s="160" t="str"/>
      <x:c r="F181" s="160" t="str"/>
      <x:c r="G181" s="137" t="str"/>
      <x:c r="H181" s="137" t="str"/>
      <x:c r="I181" s="137" t="str"/>
      <x:c r="J181" s="161" t="str">
        <x:f>IF(OR(E181="",F181=""),"",MOD(F181-E181,1)*24)</x:f>
      </x:c>
      <x:c r="K181" s="161" t="str">
        <x:f>IF(J181="","",MAX(0,J181-(G181+H181+I181)/60))</x:f>
      </x:c>
      <x:c r="L181" s="137" t="str"/>
      <x:c r="M181" s="153" t="str"/>
      <x:c r="N181" s="137" t="str"/>
      <x:c r="O181" s="137" t="str"/>
      <x:c r="P181" s="137" t="str"/>
      <x:c r="Q181" s="137" t="str"/>
    </x:row>
    <x:row r="182">
      <x:c r="A182" s="138" t="str"/>
      <x:c r="B182" s="137" t="str"/>
      <x:c r="C182" s="137" t="str"/>
      <x:c r="D182" s="137" t="str"/>
      <x:c r="E182" s="160" t="str"/>
      <x:c r="F182" s="160" t="str"/>
      <x:c r="G182" s="137" t="str"/>
      <x:c r="H182" s="137" t="str"/>
      <x:c r="I182" s="137" t="str"/>
      <x:c r="J182" s="161" t="str">
        <x:f>IF(OR(E182="",F182=""),"",MOD(F182-E182,1)*24)</x:f>
      </x:c>
      <x:c r="K182" s="161" t="str">
        <x:f>IF(J182="","",MAX(0,J182-(G182+H182+I182)/60))</x:f>
      </x:c>
      <x:c r="L182" s="137" t="str"/>
      <x:c r="M182" s="153" t="str"/>
      <x:c r="N182" s="137" t="str"/>
      <x:c r="O182" s="137" t="str"/>
      <x:c r="P182" s="137" t="str"/>
      <x:c r="Q182" s="137" t="str"/>
    </x:row>
    <x:row r="183">
      <x:c r="A183" s="138" t="str"/>
      <x:c r="B183" s="137" t="str"/>
      <x:c r="C183" s="137" t="str"/>
      <x:c r="D183" s="137" t="str"/>
      <x:c r="E183" s="160" t="str"/>
      <x:c r="F183" s="160" t="str"/>
      <x:c r="G183" s="137" t="str"/>
      <x:c r="H183" s="137" t="str"/>
      <x:c r="I183" s="137" t="str"/>
      <x:c r="J183" s="161" t="str">
        <x:f>IF(OR(E183="",F183=""),"",MOD(F183-E183,1)*24)</x:f>
      </x:c>
      <x:c r="K183" s="161" t="str">
        <x:f>IF(J183="","",MAX(0,J183-(G183+H183+I183)/60))</x:f>
      </x:c>
      <x:c r="L183" s="137" t="str"/>
      <x:c r="M183" s="153" t="str"/>
      <x:c r="N183" s="137" t="str"/>
      <x:c r="O183" s="137" t="str"/>
      <x:c r="P183" s="137" t="str"/>
      <x:c r="Q183" s="137" t="str"/>
    </x:row>
    <x:row r="184">
      <x:c r="A184" s="138" t="str"/>
      <x:c r="B184" s="137" t="str"/>
      <x:c r="C184" s="137" t="str"/>
      <x:c r="D184" s="137" t="str"/>
      <x:c r="E184" s="160" t="str"/>
      <x:c r="F184" s="160" t="str"/>
      <x:c r="G184" s="137" t="str"/>
      <x:c r="H184" s="137" t="str"/>
      <x:c r="I184" s="137" t="str"/>
      <x:c r="J184" s="161" t="str">
        <x:f>IF(OR(E184="",F184=""),"",MOD(F184-E184,1)*24)</x:f>
      </x:c>
      <x:c r="K184" s="161" t="str">
        <x:f>IF(J184="","",MAX(0,J184-(G184+H184+I184)/60))</x:f>
      </x:c>
      <x:c r="L184" s="137" t="str"/>
      <x:c r="M184" s="153" t="str"/>
      <x:c r="N184" s="137" t="str"/>
      <x:c r="O184" s="137" t="str"/>
      <x:c r="P184" s="137" t="str"/>
      <x:c r="Q184" s="137" t="str"/>
    </x:row>
    <x:row r="185">
      <x:c r="A185" s="138" t="str"/>
      <x:c r="B185" s="137" t="str"/>
      <x:c r="C185" s="137" t="str"/>
      <x:c r="D185" s="137" t="str"/>
      <x:c r="E185" s="160" t="str"/>
      <x:c r="F185" s="160" t="str"/>
      <x:c r="G185" s="137" t="str"/>
      <x:c r="H185" s="137" t="str"/>
      <x:c r="I185" s="137" t="str"/>
      <x:c r="J185" s="161" t="str">
        <x:f>IF(OR(E185="",F185=""),"",MOD(F185-E185,1)*24)</x:f>
      </x:c>
      <x:c r="K185" s="161" t="str">
        <x:f>IF(J185="","",MAX(0,J185-(G185+H185+I185)/60))</x:f>
      </x:c>
      <x:c r="L185" s="137" t="str"/>
      <x:c r="M185" s="153" t="str"/>
      <x:c r="N185" s="137" t="str"/>
      <x:c r="O185" s="137" t="str"/>
      <x:c r="P185" s="137" t="str"/>
      <x:c r="Q185" s="137" t="str"/>
    </x:row>
    <x:row r="186">
      <x:c r="A186" s="138" t="str"/>
      <x:c r="B186" s="137" t="str"/>
      <x:c r="C186" s="137" t="str"/>
      <x:c r="D186" s="137" t="str"/>
      <x:c r="E186" s="160" t="str"/>
      <x:c r="F186" s="160" t="str"/>
      <x:c r="G186" s="137" t="str"/>
      <x:c r="H186" s="137" t="str"/>
      <x:c r="I186" s="137" t="str"/>
      <x:c r="J186" s="161" t="str">
        <x:f>IF(OR(E186="",F186=""),"",MOD(F186-E186,1)*24)</x:f>
      </x:c>
      <x:c r="K186" s="161" t="str">
        <x:f>IF(J186="","",MAX(0,J186-(G186+H186+I186)/60))</x:f>
      </x:c>
      <x:c r="L186" s="137" t="str"/>
      <x:c r="M186" s="153" t="str"/>
      <x:c r="N186" s="137" t="str"/>
      <x:c r="O186" s="137" t="str"/>
      <x:c r="P186" s="137" t="str"/>
      <x:c r="Q186" s="137" t="str"/>
    </x:row>
    <x:row r="187">
      <x:c r="A187" s="138" t="str"/>
      <x:c r="B187" s="137" t="str"/>
      <x:c r="C187" s="137" t="str"/>
      <x:c r="D187" s="137" t="str"/>
      <x:c r="E187" s="160" t="str"/>
      <x:c r="F187" s="160" t="str"/>
      <x:c r="G187" s="137" t="str"/>
      <x:c r="H187" s="137" t="str"/>
      <x:c r="I187" s="137" t="str"/>
      <x:c r="J187" s="161" t="str">
        <x:f>IF(OR(E187="",F187=""),"",MOD(F187-E187,1)*24)</x:f>
      </x:c>
      <x:c r="K187" s="161" t="str">
        <x:f>IF(J187="","",MAX(0,J187-(G187+H187+I187)/60))</x:f>
      </x:c>
      <x:c r="L187" s="137" t="str"/>
      <x:c r="M187" s="153" t="str"/>
      <x:c r="N187" s="137" t="str"/>
      <x:c r="O187" s="137" t="str"/>
      <x:c r="P187" s="137" t="str"/>
      <x:c r="Q187" s="137" t="str"/>
    </x:row>
    <x:row r="188">
      <x:c r="A188" s="138" t="str"/>
      <x:c r="B188" s="137" t="str"/>
      <x:c r="C188" s="137" t="str"/>
      <x:c r="D188" s="137" t="str"/>
      <x:c r="E188" s="160" t="str"/>
      <x:c r="F188" s="160" t="str"/>
      <x:c r="G188" s="137" t="str"/>
      <x:c r="H188" s="137" t="str"/>
      <x:c r="I188" s="137" t="str"/>
      <x:c r="J188" s="161" t="str">
        <x:f>IF(OR(E188="",F188=""),"",MOD(F188-E188,1)*24)</x:f>
      </x:c>
      <x:c r="K188" s="161" t="str">
        <x:f>IF(J188="","",MAX(0,J188-(G188+H188+I188)/60))</x:f>
      </x:c>
      <x:c r="L188" s="137" t="str"/>
      <x:c r="M188" s="153" t="str"/>
      <x:c r="N188" s="137" t="str"/>
      <x:c r="O188" s="137" t="str"/>
      <x:c r="P188" s="137" t="str"/>
      <x:c r="Q188" s="137" t="str"/>
    </x:row>
    <x:row r="189">
      <x:c r="A189" s="138" t="str"/>
      <x:c r="B189" s="137" t="str"/>
      <x:c r="C189" s="137" t="str"/>
      <x:c r="D189" s="137" t="str"/>
      <x:c r="E189" s="160" t="str"/>
      <x:c r="F189" s="160" t="str"/>
      <x:c r="G189" s="137" t="str"/>
      <x:c r="H189" s="137" t="str"/>
      <x:c r="I189" s="137" t="str"/>
      <x:c r="J189" s="161" t="str">
        <x:f>IF(OR(E189="",F189=""),"",MOD(F189-E189,1)*24)</x:f>
      </x:c>
      <x:c r="K189" s="161" t="str">
        <x:f>IF(J189="","",MAX(0,J189-(G189+H189+I189)/60))</x:f>
      </x:c>
      <x:c r="L189" s="137" t="str"/>
      <x:c r="M189" s="153" t="str"/>
      <x:c r="N189" s="137" t="str"/>
      <x:c r="O189" s="137" t="str"/>
      <x:c r="P189" s="137" t="str"/>
      <x:c r="Q189" s="137" t="str"/>
    </x:row>
    <x:row r="190">
      <x:c r="A190" s="138" t="str"/>
      <x:c r="B190" s="137" t="str"/>
      <x:c r="C190" s="137" t="str"/>
      <x:c r="D190" s="137" t="str"/>
      <x:c r="E190" s="160" t="str"/>
      <x:c r="F190" s="160" t="str"/>
      <x:c r="G190" s="137" t="str"/>
      <x:c r="H190" s="137" t="str"/>
      <x:c r="I190" s="137" t="str"/>
      <x:c r="J190" s="161" t="str">
        <x:f>IF(OR(E190="",F190=""),"",MOD(F190-E190,1)*24)</x:f>
      </x:c>
      <x:c r="K190" s="161" t="str">
        <x:f>IF(J190="","",MAX(0,J190-(G190+H190+I190)/60))</x:f>
      </x:c>
      <x:c r="L190" s="137" t="str"/>
      <x:c r="M190" s="153" t="str"/>
      <x:c r="N190" s="137" t="str"/>
      <x:c r="O190" s="137" t="str"/>
      <x:c r="P190" s="137" t="str"/>
      <x:c r="Q190" s="137" t="str"/>
    </x:row>
    <x:row r="191">
      <x:c r="A191" s="138" t="str"/>
      <x:c r="B191" s="137" t="str"/>
      <x:c r="C191" s="137" t="str"/>
      <x:c r="D191" s="137" t="str"/>
      <x:c r="E191" s="160" t="str"/>
      <x:c r="F191" s="160" t="str"/>
      <x:c r="G191" s="137" t="str"/>
      <x:c r="H191" s="137" t="str"/>
      <x:c r="I191" s="137" t="str"/>
      <x:c r="J191" s="161" t="str">
        <x:f>IF(OR(E191="",F191=""),"",MOD(F191-E191,1)*24)</x:f>
      </x:c>
      <x:c r="K191" s="161" t="str">
        <x:f>IF(J191="","",MAX(0,J191-(G191+H191+I191)/60))</x:f>
      </x:c>
      <x:c r="L191" s="137" t="str"/>
      <x:c r="M191" s="153" t="str"/>
      <x:c r="N191" s="137" t="str"/>
      <x:c r="O191" s="137" t="str"/>
      <x:c r="P191" s="137" t="str"/>
      <x:c r="Q191" s="137" t="str"/>
    </x:row>
    <x:row r="192">
      <x:c r="A192" s="138" t="str"/>
      <x:c r="B192" s="137" t="str"/>
      <x:c r="C192" s="137" t="str"/>
      <x:c r="D192" s="137" t="str"/>
      <x:c r="E192" s="160" t="str"/>
      <x:c r="F192" s="160" t="str"/>
      <x:c r="G192" s="137" t="str"/>
      <x:c r="H192" s="137" t="str"/>
      <x:c r="I192" s="137" t="str"/>
      <x:c r="J192" s="161" t="str">
        <x:f>IF(OR(E192="",F192=""),"",MOD(F192-E192,1)*24)</x:f>
      </x:c>
      <x:c r="K192" s="161" t="str">
        <x:f>IF(J192="","",MAX(0,J192-(G192+H192+I192)/60))</x:f>
      </x:c>
      <x:c r="L192" s="137" t="str"/>
      <x:c r="M192" s="153" t="str"/>
      <x:c r="N192" s="137" t="str"/>
      <x:c r="O192" s="137" t="str"/>
      <x:c r="P192" s="137" t="str"/>
      <x:c r="Q192" s="137" t="str"/>
    </x:row>
    <x:row r="193">
      <x:c r="A193" s="138" t="str"/>
      <x:c r="B193" s="137" t="str"/>
      <x:c r="C193" s="137" t="str"/>
      <x:c r="D193" s="137" t="str"/>
      <x:c r="E193" s="160" t="str"/>
      <x:c r="F193" s="160" t="str"/>
      <x:c r="G193" s="137" t="str"/>
      <x:c r="H193" s="137" t="str"/>
      <x:c r="I193" s="137" t="str"/>
      <x:c r="J193" s="161" t="str">
        <x:f>IF(OR(E193="",F193=""),"",MOD(F193-E193,1)*24)</x:f>
      </x:c>
      <x:c r="K193" s="161" t="str">
        <x:f>IF(J193="","",MAX(0,J193-(G193+H193+I193)/60))</x:f>
      </x:c>
      <x:c r="L193" s="137" t="str"/>
      <x:c r="M193" s="153" t="str"/>
      <x:c r="N193" s="137" t="str"/>
      <x:c r="O193" s="137" t="str"/>
      <x:c r="P193" s="137" t="str"/>
      <x:c r="Q193" s="137" t="str"/>
    </x:row>
    <x:row r="194">
      <x:c r="A194" s="138" t="str"/>
      <x:c r="B194" s="137" t="str"/>
      <x:c r="C194" s="137" t="str"/>
      <x:c r="D194" s="137" t="str"/>
      <x:c r="E194" s="160" t="str"/>
      <x:c r="F194" s="160" t="str"/>
      <x:c r="G194" s="137" t="str"/>
      <x:c r="H194" s="137" t="str"/>
      <x:c r="I194" s="137" t="str"/>
      <x:c r="J194" s="161" t="str">
        <x:f>IF(OR(E194="",F194=""),"",MOD(F194-E194,1)*24)</x:f>
      </x:c>
      <x:c r="K194" s="161" t="str">
        <x:f>IF(J194="","",MAX(0,J194-(G194+H194+I194)/60))</x:f>
      </x:c>
      <x:c r="L194" s="137" t="str"/>
      <x:c r="M194" s="153" t="str"/>
      <x:c r="N194" s="137" t="str"/>
      <x:c r="O194" s="137" t="str"/>
      <x:c r="P194" s="137" t="str"/>
      <x:c r="Q194" s="137" t="str"/>
    </x:row>
    <x:row r="195">
      <x:c r="A195" s="138" t="str"/>
      <x:c r="B195" s="137" t="str"/>
      <x:c r="C195" s="137" t="str"/>
      <x:c r="D195" s="137" t="str"/>
      <x:c r="E195" s="160" t="str"/>
      <x:c r="F195" s="160" t="str"/>
      <x:c r="G195" s="137" t="str"/>
      <x:c r="H195" s="137" t="str"/>
      <x:c r="I195" s="137" t="str"/>
      <x:c r="J195" s="161" t="str">
        <x:f>IF(OR(E195="",F195=""),"",MOD(F195-E195,1)*24)</x:f>
      </x:c>
      <x:c r="K195" s="161" t="str">
        <x:f>IF(J195="","",MAX(0,J195-(G195+H195+I195)/60))</x:f>
      </x:c>
      <x:c r="L195" s="137" t="str"/>
      <x:c r="M195" s="153" t="str"/>
      <x:c r="N195" s="137" t="str"/>
      <x:c r="O195" s="137" t="str"/>
      <x:c r="P195" s="137" t="str"/>
      <x:c r="Q195" s="137" t="str"/>
    </x:row>
    <x:row r="196">
      <x:c r="A196" s="138" t="str"/>
      <x:c r="B196" s="137" t="str"/>
      <x:c r="C196" s="137" t="str"/>
      <x:c r="D196" s="137" t="str"/>
      <x:c r="E196" s="160" t="str"/>
      <x:c r="F196" s="160" t="str"/>
      <x:c r="G196" s="137" t="str"/>
      <x:c r="H196" s="137" t="str"/>
      <x:c r="I196" s="137" t="str"/>
      <x:c r="J196" s="161" t="str">
        <x:f>IF(OR(E196="",F196=""),"",MOD(F196-E196,1)*24)</x:f>
      </x:c>
      <x:c r="K196" s="161" t="str">
        <x:f>IF(J196="","",MAX(0,J196-(G196+H196+I196)/60))</x:f>
      </x:c>
      <x:c r="L196" s="137" t="str"/>
      <x:c r="M196" s="153" t="str"/>
      <x:c r="N196" s="137" t="str"/>
      <x:c r="O196" s="137" t="str"/>
      <x:c r="P196" s="137" t="str"/>
      <x:c r="Q196" s="137" t="str"/>
    </x:row>
    <x:row r="197">
      <x:c r="A197" s="138" t="str"/>
      <x:c r="B197" s="137" t="str"/>
      <x:c r="C197" s="137" t="str"/>
      <x:c r="D197" s="137" t="str"/>
      <x:c r="E197" s="160" t="str"/>
      <x:c r="F197" s="160" t="str"/>
      <x:c r="G197" s="137" t="str"/>
      <x:c r="H197" s="137" t="str"/>
      <x:c r="I197" s="137" t="str"/>
      <x:c r="J197" s="161" t="str">
        <x:f>IF(OR(E197="",F197=""),"",MOD(F197-E197,1)*24)</x:f>
      </x:c>
      <x:c r="K197" s="161" t="str">
        <x:f>IF(J197="","",MAX(0,J197-(G197+H197+I197)/60))</x:f>
      </x:c>
      <x:c r="L197" s="137" t="str"/>
      <x:c r="M197" s="153" t="str"/>
      <x:c r="N197" s="137" t="str"/>
      <x:c r="O197" s="137" t="str"/>
      <x:c r="P197" s="137" t="str"/>
      <x:c r="Q197" s="137" t="str"/>
    </x:row>
    <x:row r="198">
      <x:c r="A198" s="138" t="str"/>
      <x:c r="B198" s="137" t="str"/>
      <x:c r="C198" s="137" t="str"/>
      <x:c r="D198" s="137" t="str"/>
      <x:c r="E198" s="160" t="str"/>
      <x:c r="F198" s="160" t="str"/>
      <x:c r="G198" s="137" t="str"/>
      <x:c r="H198" s="137" t="str"/>
      <x:c r="I198" s="137" t="str"/>
      <x:c r="J198" s="161" t="str">
        <x:f>IF(OR(E198="",F198=""),"",MOD(F198-E198,1)*24)</x:f>
      </x:c>
      <x:c r="K198" s="161" t="str">
        <x:f>IF(J198="","",MAX(0,J198-(G198+H198+I198)/60))</x:f>
      </x:c>
      <x:c r="L198" s="137" t="str"/>
      <x:c r="M198" s="153" t="str"/>
      <x:c r="N198" s="137" t="str"/>
      <x:c r="O198" s="137" t="str"/>
      <x:c r="P198" s="137" t="str"/>
      <x:c r="Q198" s="137" t="str"/>
    </x:row>
    <x:row r="199">
      <x:c r="A199" s="138" t="str"/>
      <x:c r="B199" s="137" t="str"/>
      <x:c r="C199" s="137" t="str"/>
      <x:c r="D199" s="137" t="str"/>
      <x:c r="E199" s="160" t="str"/>
      <x:c r="F199" s="160" t="str"/>
      <x:c r="G199" s="137" t="str"/>
      <x:c r="H199" s="137" t="str"/>
      <x:c r="I199" s="137" t="str"/>
      <x:c r="J199" s="161" t="str">
        <x:f>IF(OR(E199="",F199=""),"",MOD(F199-E199,1)*24)</x:f>
      </x:c>
      <x:c r="K199" s="161" t="str">
        <x:f>IF(J199="","",MAX(0,J199-(G199+H199+I199)/60))</x:f>
      </x:c>
      <x:c r="L199" s="137" t="str"/>
      <x:c r="M199" s="153" t="str"/>
      <x:c r="N199" s="137" t="str"/>
      <x:c r="O199" s="137" t="str"/>
      <x:c r="P199" s="137" t="str"/>
      <x:c r="Q199" s="137" t="str"/>
    </x:row>
    <x:row r="200">
      <x:c r="A200" s="138" t="str"/>
      <x:c r="B200" s="137" t="str"/>
      <x:c r="C200" s="137" t="str"/>
      <x:c r="D200" s="137" t="str"/>
      <x:c r="E200" s="160" t="str"/>
      <x:c r="F200" s="160" t="str"/>
      <x:c r="G200" s="137" t="str"/>
      <x:c r="H200" s="137" t="str"/>
      <x:c r="I200" s="137" t="str"/>
      <x:c r="J200" s="161" t="str">
        <x:f>IF(OR(E200="",F200=""),"",MOD(F200-E200,1)*24)</x:f>
      </x:c>
      <x:c r="K200" s="161" t="str">
        <x:f>IF(J200="","",MAX(0,J200-(G200+H200+I200)/60))</x:f>
      </x:c>
      <x:c r="L200" s="137" t="str"/>
      <x:c r="M200" s="153" t="str"/>
      <x:c r="N200" s="137" t="str"/>
      <x:c r="O200" s="137" t="str"/>
      <x:c r="P200" s="137" t="str"/>
      <x:c r="Q200" s="137" t="str"/>
    </x:row>
    <x:row r="201">
      <x:c r="A201" s="138" t="str"/>
      <x:c r="B201" s="137" t="str"/>
      <x:c r="C201" s="137" t="str"/>
      <x:c r="D201" s="137" t="str"/>
      <x:c r="E201" s="160" t="str"/>
      <x:c r="F201" s="160" t="str"/>
      <x:c r="G201" s="137" t="str"/>
      <x:c r="H201" s="137" t="str"/>
      <x:c r="I201" s="137" t="str"/>
      <x:c r="J201" s="161" t="str">
        <x:f>IF(OR(E201="",F201=""),"",MOD(F201-E201,1)*24)</x:f>
      </x:c>
      <x:c r="K201" s="161" t="str">
        <x:f>IF(J201="","",MAX(0,J201-(G201+H201+I201)/60))</x:f>
      </x:c>
      <x:c r="L201" s="137" t="str"/>
      <x:c r="M201" s="153" t="str"/>
      <x:c r="N201" s="137" t="str"/>
      <x:c r="O201" s="137" t="str"/>
      <x:c r="P201" s="137" t="str"/>
      <x:c r="Q201" s="137" t="str"/>
    </x:row>
    <x:row r="202">
      <x:c r="A202" s="138" t="str"/>
      <x:c r="B202" s="137" t="str"/>
      <x:c r="C202" s="137" t="str"/>
      <x:c r="D202" s="137" t="str"/>
      <x:c r="E202" s="160" t="str"/>
      <x:c r="F202" s="160" t="str"/>
      <x:c r="G202" s="137" t="str"/>
      <x:c r="H202" s="137" t="str"/>
      <x:c r="I202" s="137" t="str"/>
      <x:c r="J202" s="161" t="str">
        <x:f>IF(OR(E202="",F202=""),"",MOD(F202-E202,1)*24)</x:f>
      </x:c>
      <x:c r="K202" s="161" t="str">
        <x:f>IF(J202="","",MAX(0,J202-(G202+H202+I202)/60))</x:f>
      </x:c>
      <x:c r="L202" s="137" t="str"/>
      <x:c r="M202" s="153" t="str"/>
      <x:c r="N202" s="137" t="str"/>
      <x:c r="O202" s="137" t="str"/>
      <x:c r="P202" s="137" t="str"/>
      <x:c r="Q202" s="137" t="str"/>
    </x:row>
    <x:row r="203">
      <x:c r="A203" s="138" t="str"/>
      <x:c r="B203" s="137" t="str"/>
      <x:c r="C203" s="137" t="str"/>
      <x:c r="D203" s="137" t="str"/>
      <x:c r="E203" s="160" t="str"/>
      <x:c r="F203" s="160" t="str"/>
      <x:c r="G203" s="137" t="str"/>
      <x:c r="H203" s="137" t="str"/>
      <x:c r="I203" s="137" t="str"/>
      <x:c r="J203" s="161" t="str">
        <x:f>IF(OR(E203="",F203=""),"",MOD(F203-E203,1)*24)</x:f>
      </x:c>
      <x:c r="K203" s="161" t="str">
        <x:f>IF(J203="","",MAX(0,J203-(G203+H203+I203)/60))</x:f>
      </x:c>
      <x:c r="L203" s="137" t="str"/>
      <x:c r="M203" s="153" t="str"/>
      <x:c r="N203" s="137" t="str"/>
      <x:c r="O203" s="137" t="str"/>
      <x:c r="P203" s="137" t="str"/>
      <x:c r="Q203" s="137" t="str"/>
    </x:row>
    <x:row r="204">
      <x:c r="A204" s="145" t="str"/>
      <x:c r="B204" s="139" t="str"/>
      <x:c r="C204" s="139" t="str"/>
      <x:c r="D204" s="139" t="str"/>
      <x:c r="E204" s="162" t="str"/>
      <x:c r="F204" s="162" t="str"/>
      <x:c r="G204" s="139" t="str"/>
      <x:c r="H204" s="139" t="str"/>
      <x:c r="I204" s="139" t="str"/>
      <x:c r="J204" s="163" t="str">
        <x:f>IF(OR(E204="",F204=""),"",MOD(F204-E204,1)*24)</x:f>
      </x:c>
      <x:c r="K204" s="163" t="str">
        <x:f>IF(J204="","",MAX(0,J204-(G204+H204+I204)/60))</x:f>
      </x:c>
      <x:c r="L204" s="139" t="str"/>
      <x:c r="M204" s="157" t="str"/>
      <x:c r="N204" s="139" t="str"/>
      <x:c r="O204" s="139" t="str"/>
      <x:c r="P204" s="139" t="str"/>
      <x:c r="Q204" s="139" t="str"/>
    </x:row>
  </x:sheetData>
  <x:mergeCells>
    <x:mergeCell ref="A1:Q1"/>
    <x:mergeCell ref="A2:Q2"/>
    <x:mergeCell ref="A3:Q3"/>
  </x:mergeCells>
  <x:dataValidations count="3">
    <x:dataValidation type="list" sqref="B5:B204">
      <x:formula1>"General,A,B,C"</x:formula1>
    </x:dataValidation>
    <x:dataValidation type="list" sqref="C5:C204">
      <x:formula1>'Lists - Do Not Edit'!$A$2:$A$14</x:formula1>
    </x:dataValidation>
    <x:dataValidation type="list" sqref="L5:L2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0aa38c498340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2" hidden="0" customWidth="1"/>
    <x:col min="5" max="5" width="22" hidden="0" customWidth="1"/>
    <x:col min="6" max="6" width="18" hidden="0" customWidth="1"/>
    <x:col min="7" max="7" width="22" hidden="0" customWidth="1"/>
    <x:col min="8" max="8" width="24" hidden="0" customWidth="1"/>
    <x:col min="9" max="9" width="14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0" hidden="0" customWidth="1"/>
    <x:col min="15" max="15" width="20" hidden="0" customWidth="1"/>
    <x:col min="16" max="16" width="15" hidden="0" customWidth="1"/>
    <x:col min="17" max="17" width="24" hidden="0" customWidth="1"/>
    <x:col min="18" max="18" width="20" hidden="0" customWidth="1"/>
    <x:col min="19" max="19" width="24" hidden="0" customWidth="1"/>
    <x:col min="20" max="20" width="42" hidden="0" customWidth="1"/>
    <x:col min="21" max="21" width="16" hidden="0" customWidth="1"/>
    <x:col min="22" max="22" width="18" hidden="0" customWidth="1"/>
    <x:col min="23" max="23" width="18" hidden="0" customWidth="1"/>
    <x:col min="24" max="24" width="20" hidden="0" customWidth="1"/>
    <x:col min="25" max="25" width="15" hidden="0" customWidth="1"/>
    <x:col min="26" max="26" width="36" hidden="0" customWidth="1"/>
  </x:cols>
  <x:sheetData>
    <x:row r="1" ht="30" customHeight="1">
      <x:c r="A1" s="140" t="str">
        <x:v>Article Master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  <x:c r="U1" s="122"/>
      <x:c r="V1" s="122"/>
      <x:c r="W1" s="122"/>
      <x:c r="X1" s="122"/>
      <x:c r="Y1" s="122"/>
      <x:c r="Z1" s="122"/>
    </x:row>
    <x:row r="2" ht="34" customHeight="1">
      <x:c r="A2" s="123" t="str">
        <x:v>Confirm every factory-controlled article attribute. Order-specific colours and article nature are still captured separately on each order row.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  <x:c r="W2" s="123"/>
      <x:c r="X2" s="123"/>
      <x:c r="Y2" s="123"/>
      <x:c r="Z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  <x:c r="T3" s="124"/>
      <x:c r="U3" s="124"/>
      <x:c r="V3" s="124"/>
      <x:c r="W3" s="124"/>
      <x:c r="X3" s="124"/>
      <x:c r="Y3" s="124"/>
      <x:c r="Z3" s="124"/>
    </x:row>
    <x:row r="4" ht="34" customHeight="1">
      <x:c r="A4" s="141" t="str">
        <x:v>Article Code</x:v>
      </x:c>
      <x:c r="B4" s="142" t="str">
        <x:v>Display Name</x:v>
      </x:c>
      <x:c r="C4" s="142" t="str">
        <x:v>Article Type</x:v>
      </x:c>
      <x:c r="D4" s="142" t="str">
        <x:v>Active?</x:v>
      </x:c>
      <x:c r="E4" s="142" t="str">
        <x:v>Order Nature</x:v>
      </x:c>
      <x:c r="F4" s="142" t="str">
        <x:v>Current Sole Type</x:v>
      </x:c>
      <x:c r="G4" s="142" t="str">
        <x:v>Client Confirmed Sole Type</x:v>
      </x:c>
      <x:c r="H4" s="142" t="str">
        <x:v>PVC Machine Assignment</x:v>
      </x:c>
      <x:c r="I4" s="142" t="str">
        <x:v>Stuck-on?</x:v>
      </x:c>
      <x:c r="J4" s="142" t="str">
        <x:v>Printing Default</x:v>
      </x:c>
      <x:c r="K4" s="142" t="str">
        <x:v>In-house Stitching Allowed</x:v>
      </x:c>
      <x:c r="L4" s="142" t="str">
        <x:v>Outside Stitching Allowed</x:v>
      </x:c>
      <x:c r="M4" s="142" t="str">
        <x:v>Default Stitching Source</x:v>
      </x:c>
      <x:c r="N4" s="142" t="str">
        <x:v>In-house Preparation Days</x:v>
      </x:c>
      <x:c r="O4" s="142" t="str">
        <x:v>Outside Transport Days</x:v>
      </x:c>
      <x:c r="P4" s="142" t="str">
        <x:v>Printing Days</x:v>
      </x:c>
      <x:c r="Q4" s="142" t="str">
        <x:v>Upper Colour / Material Required</x:v>
      </x:c>
      <x:c r="R4" s="142" t="str">
        <x:v>Sole Colour Required</x:v>
      </x:c>
      <x:c r="S4" s="142" t="str">
        <x:v>Lace / Velcro Colour Required</x:v>
      </x:c>
      <x:c r="T4" s="142" t="str">
        <x:v>Current Size Combos</x:v>
      </x:c>
      <x:c r="U4" s="142" t="str">
        <x:v>MRP Complete?</x:v>
      </x:c>
      <x:c r="V4" s="142" t="str">
        <x:v>Photo Available?</x:v>
      </x:c>
      <x:c r="W4" s="142" t="str">
        <x:v>Confirmation Status</x:v>
      </x:c>
      <x:c r="X4" s="142" t="str">
        <x:v>Approved By</x:v>
      </x:c>
      <x:c r="Y4" s="142" t="str">
        <x:v>Effective Date</x:v>
      </x:c>
      <x:c r="Z4" s="143" t="str">
        <x:v>Notes</x:v>
      </x:c>
    </x:row>
    <x:row r="5">
      <x:c r="A5" s="136" t="str">
        <x:v>ARMOUR (VELCRO)</x:v>
      </x:c>
      <x:c r="B5" s="136" t="str">
        <x:v>ARMOUR (VELCRO)</x:v>
      </x:c>
      <x:c r="C5" s="136" t="str">
        <x:v>VELCRO</x:v>
      </x:c>
      <x:c r="D5" s="136" t="str">
        <x:v>Yes</x:v>
      </x:c>
      <x:c r="E5" s="136" t="str"/>
      <x:c r="F5" s="127" t="str">
        <x:v>EVA</x:v>
      </x:c>
      <x:c r="G5" s="136" t="str"/>
      <x:c r="H5" s="136" t="str"/>
      <x:c r="I5" s="136" t="str">
        <x:v>No</x:v>
      </x:c>
      <x:c r="J5" s="136" t="str"/>
      <x:c r="K5" s="136" t="str"/>
      <x:c r="L5" s="136" t="str"/>
      <x:c r="M5" s="136" t="str"/>
      <x:c r="N5" s="136" t="str"/>
      <x:c r="O5" s="136" t="str"/>
      <x:c r="P5" s="136" t="str"/>
      <x:c r="Q5" s="136" t="str">
        <x:v>Yes</x:v>
      </x:c>
      <x:c r="R5" s="136" t="str">
        <x:v>Yes</x:v>
      </x:c>
      <x:c r="S5" s="136" t="str">
        <x:v>To Confirm</x:v>
      </x:c>
      <x:c r="T5" s="127" t="str">
        <x:v>8X10, 11X1, 2X5, 6X10B</x:v>
      </x:c>
      <x:c r="U5" s="136" t="str">
        <x:v>No</x:v>
      </x:c>
      <x:c r="V5" s="136" t="str"/>
      <x:c r="W5" s="136" t="str">
        <x:v>To Confirm</x:v>
      </x:c>
      <x:c r="X5" s="136" t="str"/>
      <x:c r="Y5" s="144" t="str"/>
      <x:c r="Z5" s="136" t="str"/>
    </x:row>
    <x:row r="6">
      <x:c r="A6" s="137" t="str">
        <x:v>ARMOUR (LACE)</x:v>
      </x:c>
      <x:c r="B6" s="137" t="str">
        <x:v>ARMOUR (LACE)</x:v>
      </x:c>
      <x:c r="C6" s="137" t="str">
        <x:v>LACE</x:v>
      </x:c>
      <x:c r="D6" s="137" t="str">
        <x:v>Yes</x:v>
      </x:c>
      <x:c r="E6" s="137" t="str"/>
      <x:c r="F6" s="128" t="str">
        <x:v>EVA</x:v>
      </x:c>
      <x:c r="G6" s="137" t="str"/>
      <x:c r="H6" s="137" t="str"/>
      <x:c r="I6" s="137" t="str">
        <x:v>No</x:v>
      </x:c>
      <x:c r="J6" s="137" t="str"/>
      <x:c r="K6" s="137" t="str"/>
      <x:c r="L6" s="137" t="str"/>
      <x:c r="M6" s="137" t="str"/>
      <x:c r="N6" s="137" t="str"/>
      <x:c r="O6" s="137" t="str"/>
      <x:c r="P6" s="137" t="str"/>
      <x:c r="Q6" s="137" t="str">
        <x:v>Yes</x:v>
      </x:c>
      <x:c r="R6" s="137" t="str">
        <x:v>Yes</x:v>
      </x:c>
      <x:c r="S6" s="137" t="str">
        <x:v>To Confirm</x:v>
      </x:c>
      <x:c r="T6" s="128" t="str">
        <x:v>8X10, 11X1, 2X5, 6X10B</x:v>
      </x:c>
      <x:c r="U6" s="137" t="str">
        <x:v>No</x:v>
      </x:c>
      <x:c r="V6" s="137" t="str"/>
      <x:c r="W6" s="137" t="str">
        <x:v>To Confirm</x:v>
      </x:c>
      <x:c r="X6" s="137" t="str"/>
      <x:c r="Y6" s="138" t="str"/>
      <x:c r="Z6" s="137" t="str"/>
    </x:row>
    <x:row r="7">
      <x:c r="A7" s="137" t="str">
        <x:v>REX GOLA (V)</x:v>
      </x:c>
      <x:c r="B7" s="137" t="str">
        <x:v>REX GOLA (V)</x:v>
      </x:c>
      <x:c r="C7" s="137" t="str">
        <x:v>VELCRO</x:v>
      </x:c>
      <x:c r="D7" s="137" t="str">
        <x:v>Yes</x:v>
      </x:c>
      <x:c r="E7" s="137" t="str"/>
      <x:c r="F7" s="128" t="str">
        <x:v>PVC</x:v>
      </x:c>
      <x:c r="G7" s="137" t="str"/>
      <x:c r="H7" s="137" t="str"/>
      <x:c r="I7" s="137" t="str">
        <x:v>No</x:v>
      </x:c>
      <x:c r="J7" s="137" t="str"/>
      <x:c r="K7" s="137" t="str"/>
      <x:c r="L7" s="137" t="str"/>
      <x:c r="M7" s="137" t="str"/>
      <x:c r="N7" s="137" t="str"/>
      <x:c r="O7" s="137" t="str"/>
      <x:c r="P7" s="137" t="str"/>
      <x:c r="Q7" s="137" t="str">
        <x:v>Yes</x:v>
      </x:c>
      <x:c r="R7" s="137" t="str">
        <x:v>Yes</x:v>
      </x:c>
      <x:c r="S7" s="137" t="str">
        <x:v>To Confirm</x:v>
      </x:c>
      <x:c r="T7" s="128" t="str">
        <x:v>8X10, 11X13, 1X3, 4X5, 6X7B, 8X10B</x:v>
      </x:c>
      <x:c r="U7" s="137" t="str">
        <x:v>No</x:v>
      </x:c>
      <x:c r="V7" s="137" t="str"/>
      <x:c r="W7" s="137" t="str">
        <x:v>To Confirm</x:v>
      </x:c>
      <x:c r="X7" s="137" t="str"/>
      <x:c r="Y7" s="138" t="str"/>
      <x:c r="Z7" s="137" t="str"/>
    </x:row>
    <x:row r="8">
      <x:c r="A8" s="137" t="str">
        <x:v>REX GOLA (L)</x:v>
      </x:c>
      <x:c r="B8" s="137" t="str">
        <x:v>REX GOLA (L)</x:v>
      </x:c>
      <x:c r="C8" s="137" t="str">
        <x:v>LACE</x:v>
      </x:c>
      <x:c r="D8" s="137" t="str">
        <x:v>Yes</x:v>
      </x:c>
      <x:c r="E8" s="137" t="str"/>
      <x:c r="F8" s="128" t="str">
        <x:v>PVC</x:v>
      </x:c>
      <x:c r="G8" s="137" t="str"/>
      <x:c r="H8" s="137" t="str"/>
      <x:c r="I8" s="137" t="str">
        <x:v>No</x:v>
      </x:c>
      <x:c r="J8" s="137" t="str"/>
      <x:c r="K8" s="137" t="str"/>
      <x:c r="L8" s="137" t="str"/>
      <x:c r="M8" s="137" t="str"/>
      <x:c r="N8" s="137" t="str"/>
      <x:c r="O8" s="137" t="str"/>
      <x:c r="P8" s="137" t="str"/>
      <x:c r="Q8" s="137" t="str">
        <x:v>Yes</x:v>
      </x:c>
      <x:c r="R8" s="137" t="str">
        <x:v>Yes</x:v>
      </x:c>
      <x:c r="S8" s="137" t="str">
        <x:v>To Confirm</x:v>
      </x:c>
      <x:c r="T8" s="128" t="str">
        <x:v>8X10, 11X13, 1X3, 4X5, 6X7B, 8X10B</x:v>
      </x:c>
      <x:c r="U8" s="137" t="str">
        <x:v>No</x:v>
      </x:c>
      <x:c r="V8" s="137" t="str"/>
      <x:c r="W8" s="137" t="str">
        <x:v>To Confirm</x:v>
      </x:c>
      <x:c r="X8" s="137" t="str"/>
      <x:c r="Y8" s="138" t="str"/>
      <x:c r="Z8" s="137" t="str"/>
    </x:row>
    <x:row r="9">
      <x:c r="A9" s="137" t="str">
        <x:v>SILKY BELLY BLACK</x:v>
      </x:c>
      <x:c r="B9" s="137" t="str">
        <x:v>SILKY BELLY BLACK</x:v>
      </x:c>
      <x:c r="C9" s="137" t="str">
        <x:v>TO CONFIRM</x:v>
      </x:c>
      <x:c r="D9" s="137" t="str">
        <x:v>Yes</x:v>
      </x:c>
      <x:c r="E9" s="137" t="str"/>
      <x:c r="F9" s="128" t="str">
        <x:v>PVC</x:v>
      </x:c>
      <x:c r="G9" s="137" t="str"/>
      <x:c r="H9" s="137" t="str"/>
      <x:c r="I9" s="137" t="str">
        <x:v>No</x:v>
      </x:c>
      <x:c r="J9" s="137" t="str"/>
      <x:c r="K9" s="137" t="str"/>
      <x:c r="L9" s="137" t="str"/>
      <x:c r="M9" s="137" t="str"/>
      <x:c r="N9" s="137" t="str"/>
      <x:c r="O9" s="137" t="str"/>
      <x:c r="P9" s="137" t="str"/>
      <x:c r="Q9" s="137" t="str">
        <x:v>Yes</x:v>
      </x:c>
      <x:c r="R9" s="137" t="str">
        <x:v>Yes</x:v>
      </x:c>
      <x:c r="S9" s="137" t="str">
        <x:v>To Confirm</x:v>
      </x:c>
      <x:c r="T9" s="128" t="str">
        <x:v>6X8, 9X11, 12X1, 2X5, 6X7B, 8X9B</x:v>
      </x:c>
      <x:c r="U9" s="137" t="str">
        <x:v>No</x:v>
      </x:c>
      <x:c r="V9" s="137" t="str"/>
      <x:c r="W9" s="137" t="str">
        <x:v>To Confirm</x:v>
      </x:c>
      <x:c r="X9" s="137" t="str"/>
      <x:c r="Y9" s="138" t="str"/>
      <x:c r="Z9" s="137" t="str"/>
    </x:row>
    <x:row r="10">
      <x:c r="A10" s="137" t="str">
        <x:v>SILKY BELLY WHITE</x:v>
      </x:c>
      <x:c r="B10" s="137" t="str">
        <x:v>SILKY BELLY WHITE</x:v>
      </x:c>
      <x:c r="C10" s="137" t="str">
        <x:v>TO CONFIRM</x:v>
      </x:c>
      <x:c r="D10" s="137" t="str">
        <x:v>Yes</x:v>
      </x:c>
      <x:c r="E10" s="137" t="str"/>
      <x:c r="F10" s="128" t="str">
        <x:v>PVC</x:v>
      </x:c>
      <x:c r="G10" s="137" t="str"/>
      <x:c r="H10" s="137" t="str"/>
      <x:c r="I10" s="137" t="str">
        <x:v>No</x:v>
      </x:c>
      <x:c r="J10" s="137" t="str"/>
      <x:c r="K10" s="137" t="str"/>
      <x:c r="L10" s="137" t="str"/>
      <x:c r="M10" s="137" t="str"/>
      <x:c r="N10" s="137" t="str"/>
      <x:c r="O10" s="137" t="str"/>
      <x:c r="P10" s="137" t="str"/>
      <x:c r="Q10" s="137" t="str">
        <x:v>Yes</x:v>
      </x:c>
      <x:c r="R10" s="137" t="str">
        <x:v>Yes</x:v>
      </x:c>
      <x:c r="S10" s="137" t="str">
        <x:v>To Confirm</x:v>
      </x:c>
      <x:c r="T10" s="128" t="str">
        <x:v>6X8, 9X11, 12X1, 2X5, 6X7B, 8X9B</x:v>
      </x:c>
      <x:c r="U10" s="137" t="str">
        <x:v>No</x:v>
      </x:c>
      <x:c r="V10" s="137" t="str"/>
      <x:c r="W10" s="137" t="str">
        <x:v>To Confirm</x:v>
      </x:c>
      <x:c r="X10" s="137" t="str"/>
      <x:c r="Y10" s="138" t="str"/>
      <x:c r="Z10" s="137" t="str"/>
    </x:row>
    <x:row r="11">
      <x:c r="A11" s="137" t="str">
        <x:v>SMART BOY (L) BLACK</x:v>
      </x:c>
      <x:c r="B11" s="137" t="str">
        <x:v>SMART BOY (L) BLACK</x:v>
      </x:c>
      <x:c r="C11" s="137" t="str">
        <x:v>LACE</x:v>
      </x:c>
      <x:c r="D11" s="137" t="str">
        <x:v>Yes</x:v>
      </x:c>
      <x:c r="E11" s="137" t="str"/>
      <x:c r="F11" s="128" t="str">
        <x:v>PVC</x:v>
      </x:c>
      <x:c r="G11" s="137" t="str"/>
      <x:c r="H11" s="137" t="str"/>
      <x:c r="I11" s="137" t="str">
        <x:v>No</x:v>
      </x:c>
      <x:c r="J11" s="137" t="str"/>
      <x:c r="K11" s="137" t="str"/>
      <x:c r="L11" s="137" t="str"/>
      <x:c r="M11" s="137" t="str"/>
      <x:c r="N11" s="137" t="str"/>
      <x:c r="O11" s="137" t="str"/>
      <x:c r="P11" s="137" t="str"/>
      <x:c r="Q11" s="137" t="str">
        <x:v>Yes</x:v>
      </x:c>
      <x:c r="R11" s="137" t="str">
        <x:v>Yes</x:v>
      </x:c>
      <x:c r="S11" s="137" t="str">
        <x:v>To Confirm</x:v>
      </x:c>
      <x:c r="T11" s="128" t="str">
        <x:v>6X8, 9X11, 12X1, 2X5, 6X10B</x:v>
      </x:c>
      <x:c r="U11" s="137" t="str">
        <x:v>No</x:v>
      </x:c>
      <x:c r="V11" s="137" t="str"/>
      <x:c r="W11" s="137" t="str">
        <x:v>To Confirm</x:v>
      </x:c>
      <x:c r="X11" s="137" t="str"/>
      <x:c r="Y11" s="138" t="str"/>
      <x:c r="Z11" s="137" t="str"/>
    </x:row>
    <x:row r="12">
      <x:c r="A12" s="137" t="str">
        <x:v>SMART BOY (L) WHITE</x:v>
      </x:c>
      <x:c r="B12" s="137" t="str">
        <x:v>SMART BOY (L) WHITE</x:v>
      </x:c>
      <x:c r="C12" s="137" t="str">
        <x:v>LACE</x:v>
      </x:c>
      <x:c r="D12" s="137" t="str">
        <x:v>Yes</x:v>
      </x:c>
      <x:c r="E12" s="137" t="str"/>
      <x:c r="F12" s="128" t="str">
        <x:v>PVC</x:v>
      </x:c>
      <x:c r="G12" s="137" t="str"/>
      <x:c r="H12" s="137" t="str"/>
      <x:c r="I12" s="137" t="str">
        <x:v>No</x:v>
      </x:c>
      <x:c r="J12" s="137" t="str"/>
      <x:c r="K12" s="137" t="str"/>
      <x:c r="L12" s="137" t="str"/>
      <x:c r="M12" s="137" t="str"/>
      <x:c r="N12" s="137" t="str"/>
      <x:c r="O12" s="137" t="str"/>
      <x:c r="P12" s="137" t="str"/>
      <x:c r="Q12" s="137" t="str">
        <x:v>Yes</x:v>
      </x:c>
      <x:c r="R12" s="137" t="str">
        <x:v>Yes</x:v>
      </x:c>
      <x:c r="S12" s="137" t="str">
        <x:v>To Confirm</x:v>
      </x:c>
      <x:c r="T12" s="128" t="str">
        <x:v>6X8, 9X11, 12X1, 2X5, 6X10B</x:v>
      </x:c>
      <x:c r="U12" s="137" t="str">
        <x:v>No</x:v>
      </x:c>
      <x:c r="V12" s="137" t="str"/>
      <x:c r="W12" s="137" t="str">
        <x:v>To Confirm</x:v>
      </x:c>
      <x:c r="X12" s="137" t="str"/>
      <x:c r="Y12" s="138" t="str"/>
      <x:c r="Z12" s="137" t="str"/>
    </x:row>
    <x:row r="13">
      <x:c r="A13" s="137" t="str">
        <x:v>JILL</x:v>
      </x:c>
      <x:c r="B13" s="137" t="str">
        <x:v>JILL</x:v>
      </x:c>
      <x:c r="C13" s="137" t="str">
        <x:v>PER ORDER (V/L)</x:v>
      </x:c>
      <x:c r="D13" s="137" t="str">
        <x:v>Yes</x:v>
      </x:c>
      <x:c r="E13" s="137" t="str"/>
      <x:c r="F13" s="128" t="str">
        <x:v>EVA</x:v>
      </x:c>
      <x:c r="G13" s="137" t="str"/>
      <x:c r="H13" s="137" t="str"/>
      <x:c r="I13" s="137" t="str">
        <x:v>No</x:v>
      </x:c>
      <x:c r="J13" s="137" t="str"/>
      <x:c r="K13" s="137" t="str"/>
      <x:c r="L13" s="137" t="str"/>
      <x:c r="M13" s="137" t="str"/>
      <x:c r="N13" s="137" t="str"/>
      <x:c r="O13" s="137" t="str"/>
      <x:c r="P13" s="137" t="str"/>
      <x:c r="Q13" s="137" t="str">
        <x:v>Yes</x:v>
      </x:c>
      <x:c r="R13" s="137" t="str">
        <x:v>Yes</x:v>
      </x:c>
      <x:c r="S13" s="137" t="str">
        <x:v>To Confirm</x:v>
      </x:c>
      <x:c r="T13" s="128" t="str">
        <x:v>7X10S, 11X1, 2X5, 6X8, 9X12</x:v>
      </x:c>
      <x:c r="U13" s="137" t="str">
        <x:v>No</x:v>
      </x:c>
      <x:c r="V13" s="137" t="str"/>
      <x:c r="W13" s="137" t="str">
        <x:v>To Confirm</x:v>
      </x:c>
      <x:c r="X13" s="137" t="str"/>
      <x:c r="Y13" s="138" t="str"/>
      <x:c r="Z13" s="137" t="str"/>
    </x:row>
    <x:row r="14">
      <x:c r="A14" s="137" t="str">
        <x:v>ARMOUR</x:v>
      </x:c>
      <x:c r="B14" s="137" t="str">
        <x:v>ARMOUR</x:v>
      </x:c>
      <x:c r="C14" s="137" t="str">
        <x:v>PER ORDER (V/L)</x:v>
      </x:c>
      <x:c r="D14" s="137" t="str">
        <x:v>Yes</x:v>
      </x:c>
      <x:c r="E14" s="137" t="str"/>
      <x:c r="F14" s="128" t="str">
        <x:v>EVA</x:v>
      </x:c>
      <x:c r="G14" s="137" t="str"/>
      <x:c r="H14" s="137" t="str"/>
      <x:c r="I14" s="137" t="str">
        <x:v>No</x:v>
      </x:c>
      <x:c r="J14" s="137" t="str"/>
      <x:c r="K14" s="137" t="str"/>
      <x:c r="L14" s="137" t="str"/>
      <x:c r="M14" s="137" t="str"/>
      <x:c r="N14" s="137" t="str"/>
      <x:c r="O14" s="137" t="str"/>
      <x:c r="P14" s="137" t="str"/>
      <x:c r="Q14" s="137" t="str">
        <x:v>Yes</x:v>
      </x:c>
      <x:c r="R14" s="137" t="str">
        <x:v>Yes</x:v>
      </x:c>
      <x:c r="S14" s="137" t="str">
        <x:v>To Confirm</x:v>
      </x:c>
      <x:c r="T14" s="128" t="str">
        <x:v>7X10S, 11X1, 2X5, 6X9, 9X12</x:v>
      </x:c>
      <x:c r="U14" s="137" t="str">
        <x:v>No</x:v>
      </x:c>
      <x:c r="V14" s="137" t="str"/>
      <x:c r="W14" s="137" t="str">
        <x:v>To Confirm</x:v>
      </x:c>
      <x:c r="X14" s="137" t="str"/>
      <x:c r="Y14" s="138" t="str"/>
      <x:c r="Z14" s="137" t="str"/>
    </x:row>
    <x:row r="15">
      <x:c r="A15" s="137" t="str">
        <x:v>PERCY</x:v>
      </x:c>
      <x:c r="B15" s="137" t="str">
        <x:v>PERCY</x:v>
      </x:c>
      <x:c r="C15" s="137" t="str">
        <x:v>PER ORDER (V/L)</x:v>
      </x:c>
      <x:c r="D15" s="137" t="str">
        <x:v>Yes</x:v>
      </x:c>
      <x:c r="E15" s="137" t="str"/>
      <x:c r="F15" s="128" t="str">
        <x:v>EVA</x:v>
      </x:c>
      <x:c r="G15" s="137" t="str"/>
      <x:c r="H15" s="137" t="str"/>
      <x:c r="I15" s="137" t="str">
        <x:v>No</x:v>
      </x:c>
      <x:c r="J15" s="137" t="str"/>
      <x:c r="K15" s="137" t="str"/>
      <x:c r="L15" s="137" t="str"/>
      <x:c r="M15" s="137" t="str"/>
      <x:c r="N15" s="137" t="str"/>
      <x:c r="O15" s="137" t="str"/>
      <x:c r="P15" s="137" t="str"/>
      <x:c r="Q15" s="137" t="str">
        <x:v>Yes</x:v>
      </x:c>
      <x:c r="R15" s="137" t="str">
        <x:v>Yes</x:v>
      </x:c>
      <x:c r="S15" s="137" t="str">
        <x:v>To Confirm</x:v>
      </x:c>
      <x:c r="T15" s="128" t="str">
        <x:v>7X10S, 11X1, 2X5, 6X8, 9X12</x:v>
      </x:c>
      <x:c r="U15" s="137" t="str">
        <x:v>No</x:v>
      </x:c>
      <x:c r="V15" s="137" t="str"/>
      <x:c r="W15" s="137" t="str">
        <x:v>To Confirm</x:v>
      </x:c>
      <x:c r="X15" s="137" t="str"/>
      <x:c r="Y15" s="138" t="str"/>
      <x:c r="Z15" s="137" t="str"/>
    </x:row>
    <x:row r="16">
      <x:c r="A16" s="137" t="str">
        <x:v>SPADE</x:v>
      </x:c>
      <x:c r="B16" s="137" t="str">
        <x:v>SPADE</x:v>
      </x:c>
      <x:c r="C16" s="137" t="str">
        <x:v>PER ORDER (V/L)</x:v>
      </x:c>
      <x:c r="D16" s="137" t="str">
        <x:v>Yes</x:v>
      </x:c>
      <x:c r="E16" s="137" t="str"/>
      <x:c r="F16" s="128" t="str">
        <x:v>EVA</x:v>
      </x:c>
      <x:c r="G16" s="137" t="str"/>
      <x:c r="H16" s="137" t="str"/>
      <x:c r="I16" s="137" t="str">
        <x:v>No</x:v>
      </x:c>
      <x:c r="J16" s="137" t="str"/>
      <x:c r="K16" s="137" t="str"/>
      <x:c r="L16" s="137" t="str"/>
      <x:c r="M16" s="137" t="str"/>
      <x:c r="N16" s="137" t="str"/>
      <x:c r="O16" s="137" t="str"/>
      <x:c r="P16" s="137" t="str"/>
      <x:c r="Q16" s="137" t="str">
        <x:v>Yes</x:v>
      </x:c>
      <x:c r="R16" s="137" t="str">
        <x:v>Yes</x:v>
      </x:c>
      <x:c r="S16" s="137" t="str">
        <x:v>To Confirm</x:v>
      </x:c>
      <x:c r="T16" s="128" t="str">
        <x:v>7X10S, 11X1, 2X5, 6X7, 8X12</x:v>
      </x:c>
      <x:c r="U16" s="137" t="str">
        <x:v>No</x:v>
      </x:c>
      <x:c r="V16" s="137" t="str"/>
      <x:c r="W16" s="137" t="str">
        <x:v>To Confirm</x:v>
      </x:c>
      <x:c r="X16" s="137" t="str"/>
      <x:c r="Y16" s="138" t="str"/>
      <x:c r="Z16" s="137" t="str"/>
    </x:row>
    <x:row r="17">
      <x:c r="A17" s="137" t="str">
        <x:v>SPIKE</x:v>
      </x:c>
      <x:c r="B17" s="137" t="str">
        <x:v>SPIKE</x:v>
      </x:c>
      <x:c r="C17" s="137" t="str">
        <x:v>PER ORDER (V/L)</x:v>
      </x:c>
      <x:c r="D17" s="137" t="str">
        <x:v>Yes</x:v>
      </x:c>
      <x:c r="E17" s="137" t="str"/>
      <x:c r="F17" s="128" t="str">
        <x:v>EVA</x:v>
      </x:c>
      <x:c r="G17" s="137" t="str"/>
      <x:c r="H17" s="137" t="str"/>
      <x:c r="I17" s="137" t="str">
        <x:v>No</x:v>
      </x:c>
      <x:c r="J17" s="137" t="str"/>
      <x:c r="K17" s="137" t="str"/>
      <x:c r="L17" s="137" t="str"/>
      <x:c r="M17" s="137" t="str"/>
      <x:c r="N17" s="137" t="str"/>
      <x:c r="O17" s="137" t="str"/>
      <x:c r="P17" s="137" t="str"/>
      <x:c r="Q17" s="137" t="str">
        <x:v>Yes</x:v>
      </x:c>
      <x:c r="R17" s="137" t="str">
        <x:v>Yes</x:v>
      </x:c>
      <x:c r="S17" s="137" t="str">
        <x:v>To Confirm</x:v>
      </x:c>
      <x:c r="T17" s="128" t="str">
        <x:v>7X10S, 11X1, 2X5, 6X8, 9X12</x:v>
      </x:c>
      <x:c r="U17" s="137" t="str">
        <x:v>No</x:v>
      </x:c>
      <x:c r="V17" s="137" t="str"/>
      <x:c r="W17" s="137" t="str">
        <x:v>To Confirm</x:v>
      </x:c>
      <x:c r="X17" s="137" t="str"/>
      <x:c r="Y17" s="138" t="str"/>
      <x:c r="Z17" s="137" t="str"/>
    </x:row>
    <x:row r="18">
      <x:c r="A18" s="137" t="str">
        <x:v>REX GOLA PLUS</x:v>
      </x:c>
      <x:c r="B18" s="137" t="str">
        <x:v>REX GOLA PLUS</x:v>
      </x:c>
      <x:c r="C18" s="137" t="str">
        <x:v>TO CONFIRM</x:v>
      </x:c>
      <x:c r="D18" s="137" t="str">
        <x:v>Yes</x:v>
      </x:c>
      <x:c r="E18" s="137" t="str"/>
      <x:c r="F18" s="128" t="str">
        <x:v>PVC</x:v>
      </x:c>
      <x:c r="G18" s="137" t="str"/>
      <x:c r="H18" s="137" t="str"/>
      <x:c r="I18" s="137" t="str">
        <x:v>No</x:v>
      </x:c>
      <x:c r="J18" s="137" t="str"/>
      <x:c r="K18" s="137" t="str"/>
      <x:c r="L18" s="137" t="str"/>
      <x:c r="M18" s="137" t="str"/>
      <x:c r="N18" s="137" t="str"/>
      <x:c r="O18" s="137" t="str"/>
      <x:c r="P18" s="137" t="str"/>
      <x:c r="Q18" s="137" t="str">
        <x:v>Yes</x:v>
      </x:c>
      <x:c r="R18" s="137" t="str">
        <x:v>Yes</x:v>
      </x:c>
      <x:c r="S18" s="137" t="str">
        <x:v>To Confirm</x:v>
      </x:c>
      <x:c r="T18" s="128" t="str">
        <x:v>7X10, 11X1, 2X5, 6X12B</x:v>
      </x:c>
      <x:c r="U18" s="137" t="str">
        <x:v>Yes</x:v>
      </x:c>
      <x:c r="V18" s="137" t="str"/>
      <x:c r="W18" s="137" t="str">
        <x:v>To Confirm</x:v>
      </x:c>
      <x:c r="X18" s="137" t="str"/>
      <x:c r="Y18" s="138" t="str"/>
      <x:c r="Z18" s="137" t="str"/>
    </x:row>
    <x:row r="19">
      <x:c r="A19" s="137" t="str"/>
      <x:c r="B19" s="137" t="str"/>
      <x:c r="C19" s="137" t="str"/>
      <x:c r="D19" s="137" t="str"/>
      <x:c r="E19" s="137" t="str"/>
      <x:c r="F19" s="128" t="str"/>
      <x:c r="G19" s="137" t="str"/>
      <x:c r="H19" s="137" t="str"/>
      <x:c r="I19" s="137" t="str"/>
      <x:c r="J19" s="137" t="str"/>
      <x:c r="K19" s="137" t="str"/>
      <x:c r="L19" s="137" t="str"/>
      <x:c r="M19" s="137" t="str"/>
      <x:c r="N19" s="137" t="str"/>
      <x:c r="O19" s="137" t="str"/>
      <x:c r="P19" s="137" t="str"/>
      <x:c r="Q19" s="137" t="str"/>
      <x:c r="R19" s="137" t="str"/>
      <x:c r="S19" s="137" t="str"/>
      <x:c r="T19" s="128" t="str"/>
      <x:c r="U19" s="137" t="str"/>
      <x:c r="V19" s="137" t="str"/>
      <x:c r="W19" s="137" t="str"/>
      <x:c r="X19" s="137" t="str"/>
      <x:c r="Y19" s="138" t="str"/>
      <x:c r="Z19" s="137" t="str"/>
    </x:row>
    <x:row r="20">
      <x:c r="A20" s="137" t="str"/>
      <x:c r="B20" s="137" t="str"/>
      <x:c r="C20" s="137" t="str"/>
      <x:c r="D20" s="137" t="str"/>
      <x:c r="E20" s="137" t="str"/>
      <x:c r="F20" s="128" t="str"/>
      <x:c r="G20" s="137" t="str"/>
      <x:c r="H20" s="137" t="str"/>
      <x:c r="I20" s="137" t="str"/>
      <x:c r="J20" s="137" t="str"/>
      <x:c r="K20" s="137" t="str"/>
      <x:c r="L20" s="137" t="str"/>
      <x:c r="M20" s="137" t="str"/>
      <x:c r="N20" s="137" t="str"/>
      <x:c r="O20" s="137" t="str"/>
      <x:c r="P20" s="137" t="str"/>
      <x:c r="Q20" s="137" t="str"/>
      <x:c r="R20" s="137" t="str"/>
      <x:c r="S20" s="137" t="str"/>
      <x:c r="T20" s="128" t="str"/>
      <x:c r="U20" s="137" t="str"/>
      <x:c r="V20" s="137" t="str"/>
      <x:c r="W20" s="137" t="str"/>
      <x:c r="X20" s="137" t="str"/>
      <x:c r="Y20" s="138" t="str"/>
      <x:c r="Z20" s="137" t="str"/>
    </x:row>
    <x:row r="21">
      <x:c r="A21" s="137" t="str"/>
      <x:c r="B21" s="137" t="str"/>
      <x:c r="C21" s="137" t="str"/>
      <x:c r="D21" s="137" t="str"/>
      <x:c r="E21" s="137" t="str"/>
      <x:c r="F21" s="128" t="str"/>
      <x:c r="G21" s="137" t="str"/>
      <x:c r="H21" s="137" t="str"/>
      <x:c r="I21" s="137" t="str"/>
      <x:c r="J21" s="137" t="str"/>
      <x:c r="K21" s="137" t="str"/>
      <x:c r="L21" s="137" t="str"/>
      <x:c r="M21" s="137" t="str"/>
      <x:c r="N21" s="137" t="str"/>
      <x:c r="O21" s="137" t="str"/>
      <x:c r="P21" s="137" t="str"/>
      <x:c r="Q21" s="137" t="str"/>
      <x:c r="R21" s="137" t="str"/>
      <x:c r="S21" s="137" t="str"/>
      <x:c r="T21" s="128" t="str"/>
      <x:c r="U21" s="137" t="str"/>
      <x:c r="V21" s="137" t="str"/>
      <x:c r="W21" s="137" t="str"/>
      <x:c r="X21" s="137" t="str"/>
      <x:c r="Y21" s="138" t="str"/>
      <x:c r="Z21" s="137" t="str"/>
    </x:row>
    <x:row r="22">
      <x:c r="A22" s="137" t="str"/>
      <x:c r="B22" s="137" t="str"/>
      <x:c r="C22" s="137" t="str"/>
      <x:c r="D22" s="137" t="str"/>
      <x:c r="E22" s="137" t="str"/>
      <x:c r="F22" s="128" t="str"/>
      <x:c r="G22" s="137" t="str"/>
      <x:c r="H22" s="137" t="str"/>
      <x:c r="I22" s="137" t="str"/>
      <x:c r="J22" s="137" t="str"/>
      <x:c r="K22" s="137" t="str"/>
      <x:c r="L22" s="137" t="str"/>
      <x:c r="M22" s="137" t="str"/>
      <x:c r="N22" s="137" t="str"/>
      <x:c r="O22" s="137" t="str"/>
      <x:c r="P22" s="137" t="str"/>
      <x:c r="Q22" s="137" t="str"/>
      <x:c r="R22" s="137" t="str"/>
      <x:c r="S22" s="137" t="str"/>
      <x:c r="T22" s="128" t="str"/>
      <x:c r="U22" s="137" t="str"/>
      <x:c r="V22" s="137" t="str"/>
      <x:c r="W22" s="137" t="str"/>
      <x:c r="X22" s="137" t="str"/>
      <x:c r="Y22" s="138" t="str"/>
      <x:c r="Z22" s="137" t="str"/>
    </x:row>
    <x:row r="23">
      <x:c r="A23" s="137" t="str"/>
      <x:c r="B23" s="137" t="str"/>
      <x:c r="C23" s="137" t="str"/>
      <x:c r="D23" s="137" t="str"/>
      <x:c r="E23" s="137" t="str"/>
      <x:c r="F23" s="128" t="str"/>
      <x:c r="G23" s="137" t="str"/>
      <x:c r="H23" s="137" t="str"/>
      <x:c r="I23" s="137" t="str"/>
      <x:c r="J23" s="137" t="str"/>
      <x:c r="K23" s="137" t="str"/>
      <x:c r="L23" s="137" t="str"/>
      <x:c r="M23" s="137" t="str"/>
      <x:c r="N23" s="137" t="str"/>
      <x:c r="O23" s="137" t="str"/>
      <x:c r="P23" s="137" t="str"/>
      <x:c r="Q23" s="137" t="str"/>
      <x:c r="R23" s="137" t="str"/>
      <x:c r="S23" s="137" t="str"/>
      <x:c r="T23" s="128" t="str"/>
      <x:c r="U23" s="137" t="str"/>
      <x:c r="V23" s="137" t="str"/>
      <x:c r="W23" s="137" t="str"/>
      <x:c r="X23" s="137" t="str"/>
      <x:c r="Y23" s="138" t="str"/>
      <x:c r="Z23" s="137" t="str"/>
    </x:row>
    <x:row r="24">
      <x:c r="A24" s="137" t="str"/>
      <x:c r="B24" s="137" t="str"/>
      <x:c r="C24" s="137" t="str"/>
      <x:c r="D24" s="137" t="str"/>
      <x:c r="E24" s="137" t="str"/>
      <x:c r="F24" s="128" t="str"/>
      <x:c r="G24" s="137" t="str"/>
      <x:c r="H24" s="137" t="str"/>
      <x:c r="I24" s="137" t="str"/>
      <x:c r="J24" s="137" t="str"/>
      <x:c r="K24" s="137" t="str"/>
      <x:c r="L24" s="137" t="str"/>
      <x:c r="M24" s="137" t="str"/>
      <x:c r="N24" s="137" t="str"/>
      <x:c r="O24" s="137" t="str"/>
      <x:c r="P24" s="137" t="str"/>
      <x:c r="Q24" s="137" t="str"/>
      <x:c r="R24" s="137" t="str"/>
      <x:c r="S24" s="137" t="str"/>
      <x:c r="T24" s="128" t="str"/>
      <x:c r="U24" s="137" t="str"/>
      <x:c r="V24" s="137" t="str"/>
      <x:c r="W24" s="137" t="str"/>
      <x:c r="X24" s="137" t="str"/>
      <x:c r="Y24" s="138" t="str"/>
      <x:c r="Z24" s="137" t="str"/>
    </x:row>
    <x:row r="25">
      <x:c r="A25" s="137" t="str"/>
      <x:c r="B25" s="137" t="str"/>
      <x:c r="C25" s="137" t="str"/>
      <x:c r="D25" s="137" t="str"/>
      <x:c r="E25" s="137" t="str"/>
      <x:c r="F25" s="128" t="str"/>
      <x:c r="G25" s="137" t="str"/>
      <x:c r="H25" s="137" t="str"/>
      <x:c r="I25" s="137" t="str"/>
      <x:c r="J25" s="137" t="str"/>
      <x:c r="K25" s="137" t="str"/>
      <x:c r="L25" s="137" t="str"/>
      <x:c r="M25" s="137" t="str"/>
      <x:c r="N25" s="137" t="str"/>
      <x:c r="O25" s="137" t="str"/>
      <x:c r="P25" s="137" t="str"/>
      <x:c r="Q25" s="137" t="str"/>
      <x:c r="R25" s="137" t="str"/>
      <x:c r="S25" s="137" t="str"/>
      <x:c r="T25" s="128" t="str"/>
      <x:c r="U25" s="137" t="str"/>
      <x:c r="V25" s="137" t="str"/>
      <x:c r="W25" s="137" t="str"/>
      <x:c r="X25" s="137" t="str"/>
      <x:c r="Y25" s="138" t="str"/>
      <x:c r="Z25" s="137" t="str"/>
    </x:row>
    <x:row r="26">
      <x:c r="A26" s="137" t="str"/>
      <x:c r="B26" s="137" t="str"/>
      <x:c r="C26" s="137" t="str"/>
      <x:c r="D26" s="137" t="str"/>
      <x:c r="E26" s="137" t="str"/>
      <x:c r="F26" s="128" t="str"/>
      <x:c r="G26" s="137" t="str"/>
      <x:c r="H26" s="137" t="str"/>
      <x:c r="I26" s="137" t="str"/>
      <x:c r="J26" s="137" t="str"/>
      <x:c r="K26" s="137" t="str"/>
      <x:c r="L26" s="137" t="str"/>
      <x:c r="M26" s="137" t="str"/>
      <x:c r="N26" s="137" t="str"/>
      <x:c r="O26" s="137" t="str"/>
      <x:c r="P26" s="137" t="str"/>
      <x:c r="Q26" s="137" t="str"/>
      <x:c r="R26" s="137" t="str"/>
      <x:c r="S26" s="137" t="str"/>
      <x:c r="T26" s="128" t="str"/>
      <x:c r="U26" s="137" t="str"/>
      <x:c r="V26" s="137" t="str"/>
      <x:c r="W26" s="137" t="str"/>
      <x:c r="X26" s="137" t="str"/>
      <x:c r="Y26" s="138" t="str"/>
      <x:c r="Z26" s="137" t="str"/>
    </x:row>
    <x:row r="27">
      <x:c r="A27" s="137" t="str"/>
      <x:c r="B27" s="137" t="str"/>
      <x:c r="C27" s="137" t="str"/>
      <x:c r="D27" s="137" t="str"/>
      <x:c r="E27" s="137" t="str"/>
      <x:c r="F27" s="128" t="str"/>
      <x:c r="G27" s="137" t="str"/>
      <x:c r="H27" s="137" t="str"/>
      <x:c r="I27" s="137" t="str"/>
      <x:c r="J27" s="137" t="str"/>
      <x:c r="K27" s="137" t="str"/>
      <x:c r="L27" s="137" t="str"/>
      <x:c r="M27" s="137" t="str"/>
      <x:c r="N27" s="137" t="str"/>
      <x:c r="O27" s="137" t="str"/>
      <x:c r="P27" s="137" t="str"/>
      <x:c r="Q27" s="137" t="str"/>
      <x:c r="R27" s="137" t="str"/>
      <x:c r="S27" s="137" t="str"/>
      <x:c r="T27" s="128" t="str"/>
      <x:c r="U27" s="137" t="str"/>
      <x:c r="V27" s="137" t="str"/>
      <x:c r="W27" s="137" t="str"/>
      <x:c r="X27" s="137" t="str"/>
      <x:c r="Y27" s="138" t="str"/>
      <x:c r="Z27" s="137" t="str"/>
    </x:row>
    <x:row r="28">
      <x:c r="A28" s="137" t="str"/>
      <x:c r="B28" s="137" t="str"/>
      <x:c r="C28" s="137" t="str"/>
      <x:c r="D28" s="137" t="str"/>
      <x:c r="E28" s="137" t="str"/>
      <x:c r="F28" s="128" t="str"/>
      <x:c r="G28" s="137" t="str"/>
      <x:c r="H28" s="137" t="str"/>
      <x:c r="I28" s="137" t="str"/>
      <x:c r="J28" s="137" t="str"/>
      <x:c r="K28" s="137" t="str"/>
      <x:c r="L28" s="137" t="str"/>
      <x:c r="M28" s="137" t="str"/>
      <x:c r="N28" s="137" t="str"/>
      <x:c r="O28" s="137" t="str"/>
      <x:c r="P28" s="137" t="str"/>
      <x:c r="Q28" s="137" t="str"/>
      <x:c r="R28" s="137" t="str"/>
      <x:c r="S28" s="137" t="str"/>
      <x:c r="T28" s="128" t="str"/>
      <x:c r="U28" s="137" t="str"/>
      <x:c r="V28" s="137" t="str"/>
      <x:c r="W28" s="137" t="str"/>
      <x:c r="X28" s="137" t="str"/>
      <x:c r="Y28" s="138" t="str"/>
      <x:c r="Z28" s="137" t="str"/>
    </x:row>
    <x:row r="29">
      <x:c r="A29" s="137" t="str"/>
      <x:c r="B29" s="137" t="str"/>
      <x:c r="C29" s="137" t="str"/>
      <x:c r="D29" s="137" t="str"/>
      <x:c r="E29" s="137" t="str"/>
      <x:c r="F29" s="128" t="str"/>
      <x:c r="G29" s="137" t="str"/>
      <x:c r="H29" s="137" t="str"/>
      <x:c r="I29" s="137" t="str"/>
      <x:c r="J29" s="137" t="str"/>
      <x:c r="K29" s="137" t="str"/>
      <x:c r="L29" s="137" t="str"/>
      <x:c r="M29" s="137" t="str"/>
      <x:c r="N29" s="137" t="str"/>
      <x:c r="O29" s="137" t="str"/>
      <x:c r="P29" s="137" t="str"/>
      <x:c r="Q29" s="137" t="str"/>
      <x:c r="R29" s="137" t="str"/>
      <x:c r="S29" s="137" t="str"/>
      <x:c r="T29" s="128" t="str"/>
      <x:c r="U29" s="137" t="str"/>
      <x:c r="V29" s="137" t="str"/>
      <x:c r="W29" s="137" t="str"/>
      <x:c r="X29" s="137" t="str"/>
      <x:c r="Y29" s="138" t="str"/>
      <x:c r="Z29" s="137" t="str"/>
    </x:row>
    <x:row r="30">
      <x:c r="A30" s="137" t="str"/>
      <x:c r="B30" s="137" t="str"/>
      <x:c r="C30" s="137" t="str"/>
      <x:c r="D30" s="137" t="str"/>
      <x:c r="E30" s="137" t="str"/>
      <x:c r="F30" s="128" t="str"/>
      <x:c r="G30" s="137" t="str"/>
      <x:c r="H30" s="137" t="str"/>
      <x:c r="I30" s="137" t="str"/>
      <x:c r="J30" s="137" t="str"/>
      <x:c r="K30" s="137" t="str"/>
      <x:c r="L30" s="137" t="str"/>
      <x:c r="M30" s="137" t="str"/>
      <x:c r="N30" s="137" t="str"/>
      <x:c r="O30" s="137" t="str"/>
      <x:c r="P30" s="137" t="str"/>
      <x:c r="Q30" s="137" t="str"/>
      <x:c r="R30" s="137" t="str"/>
      <x:c r="S30" s="137" t="str"/>
      <x:c r="T30" s="128" t="str"/>
      <x:c r="U30" s="137" t="str"/>
      <x:c r="V30" s="137" t="str"/>
      <x:c r="W30" s="137" t="str"/>
      <x:c r="X30" s="137" t="str"/>
      <x:c r="Y30" s="138" t="str"/>
      <x:c r="Z30" s="137" t="str"/>
    </x:row>
    <x:row r="31">
      <x:c r="A31" s="137" t="str"/>
      <x:c r="B31" s="137" t="str"/>
      <x:c r="C31" s="137" t="str"/>
      <x:c r="D31" s="137" t="str"/>
      <x:c r="E31" s="137" t="str"/>
      <x:c r="F31" s="128" t="str"/>
      <x:c r="G31" s="137" t="str"/>
      <x:c r="H31" s="137" t="str"/>
      <x:c r="I31" s="137" t="str"/>
      <x:c r="J31" s="137" t="str"/>
      <x:c r="K31" s="137" t="str"/>
      <x:c r="L31" s="137" t="str"/>
      <x:c r="M31" s="137" t="str"/>
      <x:c r="N31" s="137" t="str"/>
      <x:c r="O31" s="137" t="str"/>
      <x:c r="P31" s="137" t="str"/>
      <x:c r="Q31" s="137" t="str"/>
      <x:c r="R31" s="137" t="str"/>
      <x:c r="S31" s="137" t="str"/>
      <x:c r="T31" s="128" t="str"/>
      <x:c r="U31" s="137" t="str"/>
      <x:c r="V31" s="137" t="str"/>
      <x:c r="W31" s="137" t="str"/>
      <x:c r="X31" s="137" t="str"/>
      <x:c r="Y31" s="138" t="str"/>
      <x:c r="Z31" s="137" t="str"/>
    </x:row>
    <x:row r="32">
      <x:c r="A32" s="137" t="str"/>
      <x:c r="B32" s="137" t="str"/>
      <x:c r="C32" s="137" t="str"/>
      <x:c r="D32" s="137" t="str"/>
      <x:c r="E32" s="137" t="str"/>
      <x:c r="F32" s="128" t="str"/>
      <x:c r="G32" s="137" t="str"/>
      <x:c r="H32" s="137" t="str"/>
      <x:c r="I32" s="137" t="str"/>
      <x:c r="J32" s="137" t="str"/>
      <x:c r="K32" s="137" t="str"/>
      <x:c r="L32" s="137" t="str"/>
      <x:c r="M32" s="137" t="str"/>
      <x:c r="N32" s="137" t="str"/>
      <x:c r="O32" s="137" t="str"/>
      <x:c r="P32" s="137" t="str"/>
      <x:c r="Q32" s="137" t="str"/>
      <x:c r="R32" s="137" t="str"/>
      <x:c r="S32" s="137" t="str"/>
      <x:c r="T32" s="128" t="str"/>
      <x:c r="U32" s="137" t="str"/>
      <x:c r="V32" s="137" t="str"/>
      <x:c r="W32" s="137" t="str"/>
      <x:c r="X32" s="137" t="str"/>
      <x:c r="Y32" s="138" t="str"/>
      <x:c r="Z32" s="137" t="str"/>
    </x:row>
    <x:row r="33">
      <x:c r="A33" s="137" t="str"/>
      <x:c r="B33" s="137" t="str"/>
      <x:c r="C33" s="137" t="str"/>
      <x:c r="D33" s="137" t="str"/>
      <x:c r="E33" s="137" t="str"/>
      <x:c r="F33" s="128" t="str"/>
      <x:c r="G33" s="137" t="str"/>
      <x:c r="H33" s="137" t="str"/>
      <x:c r="I33" s="137" t="str"/>
      <x:c r="J33" s="137" t="str"/>
      <x:c r="K33" s="137" t="str"/>
      <x:c r="L33" s="137" t="str"/>
      <x:c r="M33" s="137" t="str"/>
      <x:c r="N33" s="137" t="str"/>
      <x:c r="O33" s="137" t="str"/>
      <x:c r="P33" s="137" t="str"/>
      <x:c r="Q33" s="137" t="str"/>
      <x:c r="R33" s="137" t="str"/>
      <x:c r="S33" s="137" t="str"/>
      <x:c r="T33" s="128" t="str"/>
      <x:c r="U33" s="137" t="str"/>
      <x:c r="V33" s="137" t="str"/>
      <x:c r="W33" s="137" t="str"/>
      <x:c r="X33" s="137" t="str"/>
      <x:c r="Y33" s="138" t="str"/>
      <x:c r="Z33" s="137" t="str"/>
    </x:row>
    <x:row r="34">
      <x:c r="A34" s="137" t="str"/>
      <x:c r="B34" s="137" t="str"/>
      <x:c r="C34" s="137" t="str"/>
      <x:c r="D34" s="137" t="str"/>
      <x:c r="E34" s="137" t="str"/>
      <x:c r="F34" s="128" t="str"/>
      <x:c r="G34" s="137" t="str"/>
      <x:c r="H34" s="137" t="str"/>
      <x:c r="I34" s="137" t="str"/>
      <x:c r="J34" s="137" t="str"/>
      <x:c r="K34" s="137" t="str"/>
      <x:c r="L34" s="137" t="str"/>
      <x:c r="M34" s="137" t="str"/>
      <x:c r="N34" s="137" t="str"/>
      <x:c r="O34" s="137" t="str"/>
      <x:c r="P34" s="137" t="str"/>
      <x:c r="Q34" s="137" t="str"/>
      <x:c r="R34" s="137" t="str"/>
      <x:c r="S34" s="137" t="str"/>
      <x:c r="T34" s="128" t="str"/>
      <x:c r="U34" s="137" t="str"/>
      <x:c r="V34" s="137" t="str"/>
      <x:c r="W34" s="137" t="str"/>
      <x:c r="X34" s="137" t="str"/>
      <x:c r="Y34" s="138" t="str"/>
      <x:c r="Z34" s="137" t="str"/>
    </x:row>
    <x:row r="35">
      <x:c r="A35" s="137" t="str"/>
      <x:c r="B35" s="137" t="str"/>
      <x:c r="C35" s="137" t="str"/>
      <x:c r="D35" s="137" t="str"/>
      <x:c r="E35" s="137" t="str"/>
      <x:c r="F35" s="128" t="str"/>
      <x:c r="G35" s="137" t="str"/>
      <x:c r="H35" s="137" t="str"/>
      <x:c r="I35" s="137" t="str"/>
      <x:c r="J35" s="137" t="str"/>
      <x:c r="K35" s="137" t="str"/>
      <x:c r="L35" s="137" t="str"/>
      <x:c r="M35" s="137" t="str"/>
      <x:c r="N35" s="137" t="str"/>
      <x:c r="O35" s="137" t="str"/>
      <x:c r="P35" s="137" t="str"/>
      <x:c r="Q35" s="137" t="str"/>
      <x:c r="R35" s="137" t="str"/>
      <x:c r="S35" s="137" t="str"/>
      <x:c r="T35" s="128" t="str"/>
      <x:c r="U35" s="137" t="str"/>
      <x:c r="V35" s="137" t="str"/>
      <x:c r="W35" s="137" t="str"/>
      <x:c r="X35" s="137" t="str"/>
      <x:c r="Y35" s="138" t="str"/>
      <x:c r="Z35" s="137" t="str"/>
    </x:row>
    <x:row r="36">
      <x:c r="A36" s="137" t="str"/>
      <x:c r="B36" s="137" t="str"/>
      <x:c r="C36" s="137" t="str"/>
      <x:c r="D36" s="137" t="str"/>
      <x:c r="E36" s="137" t="str"/>
      <x:c r="F36" s="128" t="str"/>
      <x:c r="G36" s="137" t="str"/>
      <x:c r="H36" s="137" t="str"/>
      <x:c r="I36" s="137" t="str"/>
      <x:c r="J36" s="137" t="str"/>
      <x:c r="K36" s="137" t="str"/>
      <x:c r="L36" s="137" t="str"/>
      <x:c r="M36" s="137" t="str"/>
      <x:c r="N36" s="137" t="str"/>
      <x:c r="O36" s="137" t="str"/>
      <x:c r="P36" s="137" t="str"/>
      <x:c r="Q36" s="137" t="str"/>
      <x:c r="R36" s="137" t="str"/>
      <x:c r="S36" s="137" t="str"/>
      <x:c r="T36" s="128" t="str"/>
      <x:c r="U36" s="137" t="str"/>
      <x:c r="V36" s="137" t="str"/>
      <x:c r="W36" s="137" t="str"/>
      <x:c r="X36" s="137" t="str"/>
      <x:c r="Y36" s="138" t="str"/>
      <x:c r="Z36" s="137" t="str"/>
    </x:row>
    <x:row r="37">
      <x:c r="A37" s="137" t="str"/>
      <x:c r="B37" s="137" t="str"/>
      <x:c r="C37" s="137" t="str"/>
      <x:c r="D37" s="137" t="str"/>
      <x:c r="E37" s="137" t="str"/>
      <x:c r="F37" s="128" t="str"/>
      <x:c r="G37" s="137" t="str"/>
      <x:c r="H37" s="137" t="str"/>
      <x:c r="I37" s="137" t="str"/>
      <x:c r="J37" s="137" t="str"/>
      <x:c r="K37" s="137" t="str"/>
      <x:c r="L37" s="137" t="str"/>
      <x:c r="M37" s="137" t="str"/>
      <x:c r="N37" s="137" t="str"/>
      <x:c r="O37" s="137" t="str"/>
      <x:c r="P37" s="137" t="str"/>
      <x:c r="Q37" s="137" t="str"/>
      <x:c r="R37" s="137" t="str"/>
      <x:c r="S37" s="137" t="str"/>
      <x:c r="T37" s="128" t="str"/>
      <x:c r="U37" s="137" t="str"/>
      <x:c r="V37" s="137" t="str"/>
      <x:c r="W37" s="137" t="str"/>
      <x:c r="X37" s="137" t="str"/>
      <x:c r="Y37" s="138" t="str"/>
      <x:c r="Z37" s="137" t="str"/>
    </x:row>
    <x:row r="38">
      <x:c r="A38" s="137" t="str"/>
      <x:c r="B38" s="137" t="str"/>
      <x:c r="C38" s="137" t="str"/>
      <x:c r="D38" s="137" t="str"/>
      <x:c r="E38" s="137" t="str"/>
      <x:c r="F38" s="128" t="str"/>
      <x:c r="G38" s="137" t="str"/>
      <x:c r="H38" s="137" t="str"/>
      <x:c r="I38" s="137" t="str"/>
      <x:c r="J38" s="137" t="str"/>
      <x:c r="K38" s="137" t="str"/>
      <x:c r="L38" s="137" t="str"/>
      <x:c r="M38" s="137" t="str"/>
      <x:c r="N38" s="137" t="str"/>
      <x:c r="O38" s="137" t="str"/>
      <x:c r="P38" s="137" t="str"/>
      <x:c r="Q38" s="137" t="str"/>
      <x:c r="R38" s="137" t="str"/>
      <x:c r="S38" s="137" t="str"/>
      <x:c r="T38" s="128" t="str"/>
      <x:c r="U38" s="137" t="str"/>
      <x:c r="V38" s="137" t="str"/>
      <x:c r="W38" s="137" t="str"/>
      <x:c r="X38" s="137" t="str"/>
      <x:c r="Y38" s="138" t="str"/>
      <x:c r="Z38" s="137" t="str"/>
    </x:row>
    <x:row r="39">
      <x:c r="A39" s="137" t="str"/>
      <x:c r="B39" s="137" t="str"/>
      <x:c r="C39" s="137" t="str"/>
      <x:c r="D39" s="137" t="str"/>
      <x:c r="E39" s="137" t="str"/>
      <x:c r="F39" s="128" t="str"/>
      <x:c r="G39" s="137" t="str"/>
      <x:c r="H39" s="137" t="str"/>
      <x:c r="I39" s="137" t="str"/>
      <x:c r="J39" s="137" t="str"/>
      <x:c r="K39" s="137" t="str"/>
      <x:c r="L39" s="137" t="str"/>
      <x:c r="M39" s="137" t="str"/>
      <x:c r="N39" s="137" t="str"/>
      <x:c r="O39" s="137" t="str"/>
      <x:c r="P39" s="137" t="str"/>
      <x:c r="Q39" s="137" t="str"/>
      <x:c r="R39" s="137" t="str"/>
      <x:c r="S39" s="137" t="str"/>
      <x:c r="T39" s="128" t="str"/>
      <x:c r="U39" s="137" t="str"/>
      <x:c r="V39" s="137" t="str"/>
      <x:c r="W39" s="137" t="str"/>
      <x:c r="X39" s="137" t="str"/>
      <x:c r="Y39" s="138" t="str"/>
      <x:c r="Z39" s="137" t="str"/>
    </x:row>
    <x:row r="40">
      <x:c r="A40" s="137" t="str"/>
      <x:c r="B40" s="137" t="str"/>
      <x:c r="C40" s="137" t="str"/>
      <x:c r="D40" s="137" t="str"/>
      <x:c r="E40" s="137" t="str"/>
      <x:c r="F40" s="128" t="str"/>
      <x:c r="G40" s="137" t="str"/>
      <x:c r="H40" s="137" t="str"/>
      <x:c r="I40" s="137" t="str"/>
      <x:c r="J40" s="137" t="str"/>
      <x:c r="K40" s="137" t="str"/>
      <x:c r="L40" s="137" t="str"/>
      <x:c r="M40" s="137" t="str"/>
      <x:c r="N40" s="137" t="str"/>
      <x:c r="O40" s="137" t="str"/>
      <x:c r="P40" s="137" t="str"/>
      <x:c r="Q40" s="137" t="str"/>
      <x:c r="R40" s="137" t="str"/>
      <x:c r="S40" s="137" t="str"/>
      <x:c r="T40" s="128" t="str"/>
      <x:c r="U40" s="137" t="str"/>
      <x:c r="V40" s="137" t="str"/>
      <x:c r="W40" s="137" t="str"/>
      <x:c r="X40" s="137" t="str"/>
      <x:c r="Y40" s="138" t="str"/>
      <x:c r="Z40" s="137" t="str"/>
    </x:row>
    <x:row r="41">
      <x:c r="A41" s="137" t="str"/>
      <x:c r="B41" s="137" t="str"/>
      <x:c r="C41" s="137" t="str"/>
      <x:c r="D41" s="137" t="str"/>
      <x:c r="E41" s="137" t="str"/>
      <x:c r="F41" s="128" t="str"/>
      <x:c r="G41" s="137" t="str"/>
      <x:c r="H41" s="137" t="str"/>
      <x:c r="I41" s="137" t="str"/>
      <x:c r="J41" s="137" t="str"/>
      <x:c r="K41" s="137" t="str"/>
      <x:c r="L41" s="137" t="str"/>
      <x:c r="M41" s="137" t="str"/>
      <x:c r="N41" s="137" t="str"/>
      <x:c r="O41" s="137" t="str"/>
      <x:c r="P41" s="137" t="str"/>
      <x:c r="Q41" s="137" t="str"/>
      <x:c r="R41" s="137" t="str"/>
      <x:c r="S41" s="137" t="str"/>
      <x:c r="T41" s="128" t="str"/>
      <x:c r="U41" s="137" t="str"/>
      <x:c r="V41" s="137" t="str"/>
      <x:c r="W41" s="137" t="str"/>
      <x:c r="X41" s="137" t="str"/>
      <x:c r="Y41" s="138" t="str"/>
      <x:c r="Z41" s="137" t="str"/>
    </x:row>
    <x:row r="42">
      <x:c r="A42" s="137" t="str"/>
      <x:c r="B42" s="137" t="str"/>
      <x:c r="C42" s="137" t="str"/>
      <x:c r="D42" s="137" t="str"/>
      <x:c r="E42" s="137" t="str"/>
      <x:c r="F42" s="128" t="str"/>
      <x:c r="G42" s="137" t="str"/>
      <x:c r="H42" s="137" t="str"/>
      <x:c r="I42" s="137" t="str"/>
      <x:c r="J42" s="137" t="str"/>
      <x:c r="K42" s="137" t="str"/>
      <x:c r="L42" s="137" t="str"/>
      <x:c r="M42" s="137" t="str"/>
      <x:c r="N42" s="137" t="str"/>
      <x:c r="O42" s="137" t="str"/>
      <x:c r="P42" s="137" t="str"/>
      <x:c r="Q42" s="137" t="str"/>
      <x:c r="R42" s="137" t="str"/>
      <x:c r="S42" s="137" t="str"/>
      <x:c r="T42" s="128" t="str"/>
      <x:c r="U42" s="137" t="str"/>
      <x:c r="V42" s="137" t="str"/>
      <x:c r="W42" s="137" t="str"/>
      <x:c r="X42" s="137" t="str"/>
      <x:c r="Y42" s="138" t="str"/>
      <x:c r="Z42" s="137" t="str"/>
    </x:row>
    <x:row r="43">
      <x:c r="A43" s="137" t="str"/>
      <x:c r="B43" s="137" t="str"/>
      <x:c r="C43" s="137" t="str"/>
      <x:c r="D43" s="137" t="str"/>
      <x:c r="E43" s="137" t="str"/>
      <x:c r="F43" s="128" t="str"/>
      <x:c r="G43" s="137" t="str"/>
      <x:c r="H43" s="137" t="str"/>
      <x:c r="I43" s="137" t="str"/>
      <x:c r="J43" s="137" t="str"/>
      <x:c r="K43" s="137" t="str"/>
      <x:c r="L43" s="137" t="str"/>
      <x:c r="M43" s="137" t="str"/>
      <x:c r="N43" s="137" t="str"/>
      <x:c r="O43" s="137" t="str"/>
      <x:c r="P43" s="137" t="str"/>
      <x:c r="Q43" s="137" t="str"/>
      <x:c r="R43" s="137" t="str"/>
      <x:c r="S43" s="137" t="str"/>
      <x:c r="T43" s="128" t="str"/>
      <x:c r="U43" s="137" t="str"/>
      <x:c r="V43" s="137" t="str"/>
      <x:c r="W43" s="137" t="str"/>
      <x:c r="X43" s="137" t="str"/>
      <x:c r="Y43" s="138" t="str"/>
      <x:c r="Z43" s="137" t="str"/>
    </x:row>
    <x:row r="44">
      <x:c r="A44" s="137" t="str"/>
      <x:c r="B44" s="137" t="str"/>
      <x:c r="C44" s="137" t="str"/>
      <x:c r="D44" s="137" t="str"/>
      <x:c r="E44" s="137" t="str"/>
      <x:c r="F44" s="128" t="str"/>
      <x:c r="G44" s="137" t="str"/>
      <x:c r="H44" s="137" t="str"/>
      <x:c r="I44" s="137" t="str"/>
      <x:c r="J44" s="137" t="str"/>
      <x:c r="K44" s="137" t="str"/>
      <x:c r="L44" s="137" t="str"/>
      <x:c r="M44" s="137" t="str"/>
      <x:c r="N44" s="137" t="str"/>
      <x:c r="O44" s="137" t="str"/>
      <x:c r="P44" s="137" t="str"/>
      <x:c r="Q44" s="137" t="str"/>
      <x:c r="R44" s="137" t="str"/>
      <x:c r="S44" s="137" t="str"/>
      <x:c r="T44" s="128" t="str"/>
      <x:c r="U44" s="137" t="str"/>
      <x:c r="V44" s="137" t="str"/>
      <x:c r="W44" s="137" t="str"/>
      <x:c r="X44" s="137" t="str"/>
      <x:c r="Y44" s="138" t="str"/>
      <x:c r="Z44" s="137" t="str"/>
    </x:row>
    <x:row r="45">
      <x:c r="A45" s="137" t="str"/>
      <x:c r="B45" s="137" t="str"/>
      <x:c r="C45" s="137" t="str"/>
      <x:c r="D45" s="137" t="str"/>
      <x:c r="E45" s="137" t="str"/>
      <x:c r="F45" s="128" t="str"/>
      <x:c r="G45" s="137" t="str"/>
      <x:c r="H45" s="137" t="str"/>
      <x:c r="I45" s="137" t="str"/>
      <x:c r="J45" s="137" t="str"/>
      <x:c r="K45" s="137" t="str"/>
      <x:c r="L45" s="137" t="str"/>
      <x:c r="M45" s="137" t="str"/>
      <x:c r="N45" s="137" t="str"/>
      <x:c r="O45" s="137" t="str"/>
      <x:c r="P45" s="137" t="str"/>
      <x:c r="Q45" s="137" t="str"/>
      <x:c r="R45" s="137" t="str"/>
      <x:c r="S45" s="137" t="str"/>
      <x:c r="T45" s="128" t="str"/>
      <x:c r="U45" s="137" t="str"/>
      <x:c r="V45" s="137" t="str"/>
      <x:c r="W45" s="137" t="str"/>
      <x:c r="X45" s="137" t="str"/>
      <x:c r="Y45" s="138" t="str"/>
      <x:c r="Z45" s="137" t="str"/>
    </x:row>
    <x:row r="46">
      <x:c r="A46" s="137" t="str"/>
      <x:c r="B46" s="137" t="str"/>
      <x:c r="C46" s="137" t="str"/>
      <x:c r="D46" s="137" t="str"/>
      <x:c r="E46" s="137" t="str"/>
      <x:c r="F46" s="128" t="str"/>
      <x:c r="G46" s="137" t="str"/>
      <x:c r="H46" s="137" t="str"/>
      <x:c r="I46" s="137" t="str"/>
      <x:c r="J46" s="137" t="str"/>
      <x:c r="K46" s="137" t="str"/>
      <x:c r="L46" s="137" t="str"/>
      <x:c r="M46" s="137" t="str"/>
      <x:c r="N46" s="137" t="str"/>
      <x:c r="O46" s="137" t="str"/>
      <x:c r="P46" s="137" t="str"/>
      <x:c r="Q46" s="137" t="str"/>
      <x:c r="R46" s="137" t="str"/>
      <x:c r="S46" s="137" t="str"/>
      <x:c r="T46" s="128" t="str"/>
      <x:c r="U46" s="137" t="str"/>
      <x:c r="V46" s="137" t="str"/>
      <x:c r="W46" s="137" t="str"/>
      <x:c r="X46" s="137" t="str"/>
      <x:c r="Y46" s="138" t="str"/>
      <x:c r="Z46" s="137" t="str"/>
    </x:row>
    <x:row r="47">
      <x:c r="A47" s="137" t="str"/>
      <x:c r="B47" s="137" t="str"/>
      <x:c r="C47" s="137" t="str"/>
      <x:c r="D47" s="137" t="str"/>
      <x:c r="E47" s="137" t="str"/>
      <x:c r="F47" s="128" t="str"/>
      <x:c r="G47" s="137" t="str"/>
      <x:c r="H47" s="137" t="str"/>
      <x:c r="I47" s="137" t="str"/>
      <x:c r="J47" s="137" t="str"/>
      <x:c r="K47" s="137" t="str"/>
      <x:c r="L47" s="137" t="str"/>
      <x:c r="M47" s="137" t="str"/>
      <x:c r="N47" s="137" t="str"/>
      <x:c r="O47" s="137" t="str"/>
      <x:c r="P47" s="137" t="str"/>
      <x:c r="Q47" s="137" t="str"/>
      <x:c r="R47" s="137" t="str"/>
      <x:c r="S47" s="137" t="str"/>
      <x:c r="T47" s="128" t="str"/>
      <x:c r="U47" s="137" t="str"/>
      <x:c r="V47" s="137" t="str"/>
      <x:c r="W47" s="137" t="str"/>
      <x:c r="X47" s="137" t="str"/>
      <x:c r="Y47" s="138" t="str"/>
      <x:c r="Z47" s="137" t="str"/>
    </x:row>
    <x:row r="48">
      <x:c r="A48" s="137" t="str"/>
      <x:c r="B48" s="137" t="str"/>
      <x:c r="C48" s="137" t="str"/>
      <x:c r="D48" s="137" t="str"/>
      <x:c r="E48" s="137" t="str"/>
      <x:c r="F48" s="128" t="str"/>
      <x:c r="G48" s="137" t="str"/>
      <x:c r="H48" s="137" t="str"/>
      <x:c r="I48" s="137" t="str"/>
      <x:c r="J48" s="137" t="str"/>
      <x:c r="K48" s="137" t="str"/>
      <x:c r="L48" s="137" t="str"/>
      <x:c r="M48" s="137" t="str"/>
      <x:c r="N48" s="137" t="str"/>
      <x:c r="O48" s="137" t="str"/>
      <x:c r="P48" s="137" t="str"/>
      <x:c r="Q48" s="137" t="str"/>
      <x:c r="R48" s="137" t="str"/>
      <x:c r="S48" s="137" t="str"/>
      <x:c r="T48" s="128" t="str"/>
      <x:c r="U48" s="137" t="str"/>
      <x:c r="V48" s="137" t="str"/>
      <x:c r="W48" s="137" t="str"/>
      <x:c r="X48" s="137" t="str"/>
      <x:c r="Y48" s="138" t="str"/>
      <x:c r="Z48" s="137" t="str"/>
    </x:row>
    <x:row r="49">
      <x:c r="A49" s="137" t="str"/>
      <x:c r="B49" s="137" t="str"/>
      <x:c r="C49" s="137" t="str"/>
      <x:c r="D49" s="137" t="str"/>
      <x:c r="E49" s="137" t="str"/>
      <x:c r="F49" s="128" t="str"/>
      <x:c r="G49" s="137" t="str"/>
      <x:c r="H49" s="137" t="str"/>
      <x:c r="I49" s="137" t="str"/>
      <x:c r="J49" s="137" t="str"/>
      <x:c r="K49" s="137" t="str"/>
      <x:c r="L49" s="137" t="str"/>
      <x:c r="M49" s="137" t="str"/>
      <x:c r="N49" s="137" t="str"/>
      <x:c r="O49" s="137" t="str"/>
      <x:c r="P49" s="137" t="str"/>
      <x:c r="Q49" s="137" t="str"/>
      <x:c r="R49" s="137" t="str"/>
      <x:c r="S49" s="137" t="str"/>
      <x:c r="T49" s="128" t="str"/>
      <x:c r="U49" s="137" t="str"/>
      <x:c r="V49" s="137" t="str"/>
      <x:c r="W49" s="137" t="str"/>
      <x:c r="X49" s="137" t="str"/>
      <x:c r="Y49" s="138" t="str"/>
      <x:c r="Z49" s="137" t="str"/>
    </x:row>
    <x:row r="50">
      <x:c r="A50" s="137" t="str"/>
      <x:c r="B50" s="137" t="str"/>
      <x:c r="C50" s="137" t="str"/>
      <x:c r="D50" s="137" t="str"/>
      <x:c r="E50" s="137" t="str"/>
      <x:c r="F50" s="128" t="str"/>
      <x:c r="G50" s="137" t="str"/>
      <x:c r="H50" s="137" t="str"/>
      <x:c r="I50" s="137" t="str"/>
      <x:c r="J50" s="137" t="str"/>
      <x:c r="K50" s="137" t="str"/>
      <x:c r="L50" s="137" t="str"/>
      <x:c r="M50" s="137" t="str"/>
      <x:c r="N50" s="137" t="str"/>
      <x:c r="O50" s="137" t="str"/>
      <x:c r="P50" s="137" t="str"/>
      <x:c r="Q50" s="137" t="str"/>
      <x:c r="R50" s="137" t="str"/>
      <x:c r="S50" s="137" t="str"/>
      <x:c r="T50" s="128" t="str"/>
      <x:c r="U50" s="137" t="str"/>
      <x:c r="V50" s="137" t="str"/>
      <x:c r="W50" s="137" t="str"/>
      <x:c r="X50" s="137" t="str"/>
      <x:c r="Y50" s="138" t="str"/>
      <x:c r="Z50" s="137" t="str"/>
    </x:row>
    <x:row r="51">
      <x:c r="A51" s="137" t="str"/>
      <x:c r="B51" s="137" t="str"/>
      <x:c r="C51" s="137" t="str"/>
      <x:c r="D51" s="137" t="str"/>
      <x:c r="E51" s="137" t="str"/>
      <x:c r="F51" s="128" t="str"/>
      <x:c r="G51" s="137" t="str"/>
      <x:c r="H51" s="137" t="str"/>
      <x:c r="I51" s="137" t="str"/>
      <x:c r="J51" s="137" t="str"/>
      <x:c r="K51" s="137" t="str"/>
      <x:c r="L51" s="137" t="str"/>
      <x:c r="M51" s="137" t="str"/>
      <x:c r="N51" s="137" t="str"/>
      <x:c r="O51" s="137" t="str"/>
      <x:c r="P51" s="137" t="str"/>
      <x:c r="Q51" s="137" t="str"/>
      <x:c r="R51" s="137" t="str"/>
      <x:c r="S51" s="137" t="str"/>
      <x:c r="T51" s="128" t="str"/>
      <x:c r="U51" s="137" t="str"/>
      <x:c r="V51" s="137" t="str"/>
      <x:c r="W51" s="137" t="str"/>
      <x:c r="X51" s="137" t="str"/>
      <x:c r="Y51" s="138" t="str"/>
      <x:c r="Z51" s="137" t="str"/>
    </x:row>
    <x:row r="52">
      <x:c r="A52" s="137" t="str"/>
      <x:c r="B52" s="137" t="str"/>
      <x:c r="C52" s="137" t="str"/>
      <x:c r="D52" s="137" t="str"/>
      <x:c r="E52" s="137" t="str"/>
      <x:c r="F52" s="128" t="str"/>
      <x:c r="G52" s="137" t="str"/>
      <x:c r="H52" s="137" t="str"/>
      <x:c r="I52" s="137" t="str"/>
      <x:c r="J52" s="137" t="str"/>
      <x:c r="K52" s="137" t="str"/>
      <x:c r="L52" s="137" t="str"/>
      <x:c r="M52" s="137" t="str"/>
      <x:c r="N52" s="137" t="str"/>
      <x:c r="O52" s="137" t="str"/>
      <x:c r="P52" s="137" t="str"/>
      <x:c r="Q52" s="137" t="str"/>
      <x:c r="R52" s="137" t="str"/>
      <x:c r="S52" s="137" t="str"/>
      <x:c r="T52" s="128" t="str"/>
      <x:c r="U52" s="137" t="str"/>
      <x:c r="V52" s="137" t="str"/>
      <x:c r="W52" s="137" t="str"/>
      <x:c r="X52" s="137" t="str"/>
      <x:c r="Y52" s="138" t="str"/>
      <x:c r="Z52" s="137" t="str"/>
    </x:row>
    <x:row r="53">
      <x:c r="A53" s="137" t="str"/>
      <x:c r="B53" s="137" t="str"/>
      <x:c r="C53" s="137" t="str"/>
      <x:c r="D53" s="137" t="str"/>
      <x:c r="E53" s="137" t="str"/>
      <x:c r="F53" s="128" t="str"/>
      <x:c r="G53" s="137" t="str"/>
      <x:c r="H53" s="137" t="str"/>
      <x:c r="I53" s="137" t="str"/>
      <x:c r="J53" s="137" t="str"/>
      <x:c r="K53" s="137" t="str"/>
      <x:c r="L53" s="137" t="str"/>
      <x:c r="M53" s="137" t="str"/>
      <x:c r="N53" s="137" t="str"/>
      <x:c r="O53" s="137" t="str"/>
      <x:c r="P53" s="137" t="str"/>
      <x:c r="Q53" s="137" t="str"/>
      <x:c r="R53" s="137" t="str"/>
      <x:c r="S53" s="137" t="str"/>
      <x:c r="T53" s="128" t="str"/>
      <x:c r="U53" s="137" t="str"/>
      <x:c r="V53" s="137" t="str"/>
      <x:c r="W53" s="137" t="str"/>
      <x:c r="X53" s="137" t="str"/>
      <x:c r="Y53" s="138" t="str"/>
      <x:c r="Z53" s="137" t="str"/>
    </x:row>
    <x:row r="54">
      <x:c r="A54" s="139" t="str"/>
      <x:c r="B54" s="139" t="str"/>
      <x:c r="C54" s="139" t="str"/>
      <x:c r="D54" s="139" t="str"/>
      <x:c r="E54" s="139" t="str"/>
      <x:c r="F54" s="129" t="str"/>
      <x:c r="G54" s="139" t="str"/>
      <x:c r="H54" s="139" t="str"/>
      <x:c r="I54" s="139" t="str"/>
      <x:c r="J54" s="139" t="str"/>
      <x:c r="K54" s="139" t="str"/>
      <x:c r="L54" s="139" t="str"/>
      <x:c r="M54" s="139" t="str"/>
      <x:c r="N54" s="139" t="str"/>
      <x:c r="O54" s="139" t="str"/>
      <x:c r="P54" s="139" t="str"/>
      <x:c r="Q54" s="139" t="str"/>
      <x:c r="R54" s="139" t="str"/>
      <x:c r="S54" s="139" t="str"/>
      <x:c r="T54" s="129" t="str"/>
      <x:c r="U54" s="139" t="str"/>
      <x:c r="V54" s="139" t="str"/>
      <x:c r="W54" s="139" t="str"/>
      <x:c r="X54" s="139" t="str"/>
      <x:c r="Y54" s="145" t="str"/>
      <x:c r="Z54" s="139" t="str"/>
    </x:row>
  </x:sheetData>
  <x:mergeCells>
    <x:mergeCell ref="A1:Z1"/>
    <x:mergeCell ref="A2:Z2"/>
    <x:mergeCell ref="A3:Z3"/>
  </x:mergeCells>
  <x:conditionalFormatting sqref="W5:W54">
    <x:cfRule type="containsText" dxfId="12" priority="1" operator="containsText" text="Approved"/>
    <x:cfRule type="containsText" dxfId="13" priority="2" operator="containsText" text="Validated"/>
    <x:cfRule type="containsText" dxfId="14" priority="3" operator="containsText" text="Confirmed"/>
    <x:cfRule type="containsText" dxfId="15" priority="4" operator="containsText" text="To Confirm"/>
    <x:cfRule type="containsText" dxfId="16" priority="5" operator="containsText" text="Rejected"/>
    <x:cfRule type="containsText" dxfId="17" priority="6" operator="containsText" text="Blocked"/>
  </x:conditionalFormatting>
  <x:dataValidations count="14">
    <x:dataValidation type="list" sqref="D5:D54">
      <x:formula1>"Yes,No"</x:formula1>
    </x:dataValidation>
    <x:dataValidation type="list" sqref="G5:G54">
      <x:formula1>'Lists - Do Not Edit'!$J$2:$J$8</x:formula1>
    </x:dataValidation>
    <x:dataValidation type="list" sqref="H5:H54">
      <x:formula1>"MOLDING_PVC_ROTARY,MOLDING_PVC_VERTICAL,Not Applicable"</x:formula1>
    </x:dataValidation>
    <x:dataValidation type="list" sqref="I5:I54">
      <x:formula1>"Yes,No,To Confirm"</x:formula1>
    </x:dataValidation>
    <x:dataValidation type="list" sqref="J5:J54">
      <x:formula1>"Yes,No,To Confirm"</x:formula1>
    </x:dataValidation>
    <x:dataValidation type="list" sqref="K5:K54">
      <x:formula1>"Yes,No,To Confirm"</x:formula1>
    </x:dataValidation>
    <x:dataValidation type="list" sqref="L5:L54">
      <x:formula1>"Yes,No,To Confirm"</x:formula1>
    </x:dataValidation>
    <x:dataValidation type="list" sqref="Q5:Q54">
      <x:formula1>"Yes,No,To Confirm"</x:formula1>
    </x:dataValidation>
    <x:dataValidation type="list" sqref="R5:R54">
      <x:formula1>"Yes,No,To Confirm"</x:formula1>
    </x:dataValidation>
    <x:dataValidation type="list" sqref="S5:S54">
      <x:formula1>"Yes,No,To Confirm"</x:formula1>
    </x:dataValidation>
    <x:dataValidation type="list" sqref="U5:U54">
      <x:formula1>"Yes,No,To Confirm"</x:formula1>
    </x:dataValidation>
    <x:dataValidation type="list" sqref="V5:V54">
      <x:formula1>"Yes,No,To Confirm"</x:formula1>
    </x:dataValidation>
    <x:dataValidation type="list" sqref="M5:M54">
      <x:formula1>"In-house,Outside"</x:formula1>
    </x:dataValidation>
    <x:dataValidation type="list" sqref="W5:W54">
      <x:formula1>"To Confirm,Confirmed,Not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d91b6a16d348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2" hidden="0" customWidth="1"/>
    <x:col min="4" max="4" width="18" hidden="0" customWidth="1"/>
    <x:col min="5" max="5" width="26" hidden="0" customWidth="1"/>
    <x:col min="6" max="6" width="28" hidden="0" customWidth="1"/>
    <x:col min="7" max="7" width="12" hidden="0" customWidth="1"/>
    <x:col min="8" max="8" width="18" hidden="0" customWidth="1"/>
    <x:col min="9" max="9" width="20" hidden="0" customWidth="1"/>
    <x:col min="10" max="10" width="22" hidden="0" customWidth="1"/>
    <x:col min="11" max="11" width="20" hidden="0" customWidth="1"/>
    <x:col min="12" max="12" width="20" hidden="0" customWidth="1"/>
    <x:col min="13" max="13" width="18" hidden="0" customWidth="1"/>
    <x:col min="14" max="14" width="15" hidden="0" customWidth="1"/>
    <x:col min="15" max="15" width="20" hidden="0" customWidth="1"/>
    <x:col min="16" max="16" width="18" hidden="0" customWidth="1"/>
    <x:col min="17" max="17" width="38" hidden="0" customWidth="1"/>
  </x:cols>
  <x:sheetData>
    <x:row r="1" ht="30" customHeight="1">
      <x:c r="A1" s="140" t="str">
        <x:v>Routing, SLA &amp; Lead-Time Rules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</x:row>
    <x:row r="2" ht="34" customHeight="1">
      <x:c r="A2" s="123" t="str">
        <x:v>Confirm the global order delays first, then approve the stage sequence and target day for every article.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</x:row>
    <x:row r="4">
      <x:c r="A4" s="164" t="str">
        <x:v>Rule Code</x:v>
      </x:c>
      <x:c r="B4" s="164" t="str">
        <x:v>Lead-Time Rule</x:v>
      </x:c>
      <x:c r="C4" s="164" t="str">
        <x:v>Current Placeholder Days</x:v>
      </x:c>
      <x:c r="D4" s="164" t="str">
        <x:v>Client Confirmed Days</x:v>
      </x:c>
      <x:c r="E4" s="164" t="str">
        <x:v>Applies When</x:v>
      </x:c>
      <x:c r="F4" s="164" t="str">
        <x:v>Effective From</x:v>
      </x:c>
      <x:c r="G4" s="164" t="str">
        <x:v>Approved By</x:v>
      </x:c>
      <x:c r="H4" s="164" t="str">
        <x:v>Confirmation Status</x:v>
      </x:c>
      <x:c r="I4" s="125"/>
      <x:c r="J4" s="125"/>
      <x:c r="K4" s="125"/>
      <x:c r="L4" s="125"/>
      <x:c r="M4" s="125"/>
      <x:c r="N4" s="125"/>
      <x:c r="O4" s="125"/>
      <x:c r="P4" s="125"/>
      <x:c r="Q4" s="125"/>
    </x:row>
    <x:row r="5">
      <x:c r="A5" s="127" t="str">
        <x:v>LT-INHOUSE-PREP</x:v>
      </x:c>
      <x:c r="B5" s="127" t="str">
        <x:v>In-house stitching preparation</x:v>
      </x:c>
      <x:c r="C5" s="127" t="n">
        <x:v>0</x:v>
      </x:c>
      <x:c r="D5" s="136" t="str"/>
      <x:c r="E5" s="136" t="str">
        <x:v>Stitching source = In-house</x:v>
      </x:c>
      <x:c r="F5" s="144" t="str"/>
      <x:c r="G5" s="136" t="str"/>
      <x:c r="H5" s="136" t="str">
        <x:v>To Confirm</x:v>
      </x:c>
      <x:c r="I5" s="125"/>
      <x:c r="J5" s="125"/>
      <x:c r="K5" s="125"/>
      <x:c r="L5" s="125"/>
      <x:c r="M5" s="125"/>
      <x:c r="N5" s="125"/>
      <x:c r="O5" s="125"/>
      <x:c r="P5" s="125"/>
      <x:c r="Q5" s="125"/>
    </x:row>
    <x:row r="6">
      <x:c r="A6" s="128" t="str">
        <x:v>LT-OUTSIDE-TRANSPORT</x:v>
      </x:c>
      <x:c r="B6" s="128" t="str">
        <x:v>Outside stitching transportation</x:v>
      </x:c>
      <x:c r="C6" s="128" t="n">
        <x:v>2</x:v>
      </x:c>
      <x:c r="D6" s="137" t="str"/>
      <x:c r="E6" s="137" t="str">
        <x:v>Stitching source = Outside</x:v>
      </x:c>
      <x:c r="F6" s="138" t="str"/>
      <x:c r="G6" s="137" t="str"/>
      <x:c r="H6" s="137" t="str">
        <x:v>To Confirm</x:v>
      </x:c>
      <x:c r="I6" s="125"/>
      <x:c r="J6" s="125"/>
      <x:c r="K6" s="125"/>
      <x:c r="L6" s="125"/>
      <x:c r="M6" s="125"/>
      <x:c r="N6" s="125"/>
      <x:c r="O6" s="125"/>
      <x:c r="P6" s="125"/>
      <x:c r="Q6" s="125"/>
    </x:row>
    <x:row r="7">
      <x:c r="A7" s="129" t="str">
        <x:v>LT-PRINTING</x:v>
      </x:c>
      <x:c r="B7" s="129" t="str">
        <x:v>Printing / cutting preparation</x:v>
      </x:c>
      <x:c r="C7" s="129" t="n">
        <x:v>1</x:v>
      </x:c>
      <x:c r="D7" s="139" t="str"/>
      <x:c r="E7" s="139" t="str">
        <x:v>Printing required = Yes</x:v>
      </x:c>
      <x:c r="F7" s="145" t="str"/>
      <x:c r="G7" s="139" t="str"/>
      <x:c r="H7" s="139" t="str">
        <x:v>To Confirm</x:v>
      </x:c>
      <x:c r="I7" s="125"/>
      <x:c r="J7" s="125"/>
      <x:c r="K7" s="125"/>
      <x:c r="L7" s="125"/>
      <x:c r="M7" s="125"/>
      <x:c r="N7" s="125"/>
      <x:c r="O7" s="125"/>
      <x:c r="P7" s="125"/>
      <x:c r="Q7" s="125"/>
    </x:row>
    <x:row r="8">
      <x:c r="A8" s="125"/>
      <x:c r="B8" s="125"/>
      <x:c r="C8" s="125"/>
      <x:c r="D8" s="125"/>
      <x:c r="E8" s="125"/>
      <x:c r="F8" s="125"/>
      <x:c r="G8" s="125"/>
      <x:c r="H8" s="125"/>
      <x:c r="I8" s="125"/>
      <x:c r="J8" s="125"/>
      <x:c r="K8" s="125"/>
      <x:c r="L8" s="125"/>
      <x:c r="M8" s="125"/>
      <x:c r="N8" s="125"/>
      <x:c r="O8" s="125"/>
      <x:c r="P8" s="125"/>
      <x:c r="Q8" s="125"/>
    </x:row>
    <x:row r="9">
      <x:c r="A9" s="125"/>
      <x:c r="B9" s="125"/>
      <x:c r="C9" s="125"/>
      <x:c r="D9" s="125"/>
      <x:c r="E9" s="125"/>
      <x:c r="F9" s="125"/>
      <x:c r="G9" s="125"/>
      <x:c r="H9" s="125"/>
      <x:c r="I9" s="125"/>
      <x:c r="J9" s="125"/>
      <x:c r="K9" s="125"/>
      <x:c r="L9" s="125"/>
      <x:c r="M9" s="125"/>
      <x:c r="N9" s="125"/>
      <x:c r="O9" s="125"/>
      <x:c r="P9" s="125"/>
      <x:c r="Q9" s="125"/>
    </x:row>
    <x:row r="10" ht="34" customHeight="1">
      <x:c r="A10" s="141" t="str">
        <x:v>Article Code</x:v>
      </x:c>
      <x:c r="B10" s="142" t="str">
        <x:v>Article Type</x:v>
      </x:c>
      <x:c r="C10" s="142" t="str">
        <x:v>Sequence</x:v>
      </x:c>
      <x:c r="D10" s="142" t="str">
        <x:v>Stage</x:v>
      </x:c>
      <x:c r="E10" s="142" t="str">
        <x:v>Current Work Centre</x:v>
      </x:c>
      <x:c r="F10" s="142" t="str">
        <x:v>Client Confirmed Work Centre</x:v>
      </x:c>
      <x:c r="G10" s="142" t="str">
        <x:v>Applies?</x:v>
      </x:c>
      <x:c r="H10" s="142" t="str">
        <x:v>Processing Mode</x:v>
      </x:c>
      <x:c r="I10" s="142" t="str">
        <x:v>Current Target Day From Order</x:v>
      </x:c>
      <x:c r="J10" s="142" t="str">
        <x:v>Client Target Day From Order</x:v>
      </x:c>
      <x:c r="K10" s="142" t="str">
        <x:v>Standard Setup Minutes</x:v>
      </x:c>
      <x:c r="L10" s="142" t="str">
        <x:v>Transfer / Queue Days</x:v>
      </x:c>
      <x:c r="M10" s="142" t="str">
        <x:v>Overlap Allowed?</x:v>
      </x:c>
      <x:c r="N10" s="142" t="str">
        <x:v>Effective From</x:v>
      </x:c>
      <x:c r="O10" s="142" t="str">
        <x:v>Approved By</x:v>
      </x:c>
      <x:c r="P10" s="142" t="str">
        <x:v>Confirmation Status</x:v>
      </x:c>
      <x:c r="Q10" s="143" t="str">
        <x:v>Notes</x:v>
      </x:c>
    </x:row>
    <x:row r="11">
      <x:c r="A11" s="127" t="str">
        <x:v>ARMOUR (VELCRO)</x:v>
      </x:c>
      <x:c r="B11" s="127" t="str">
        <x:v>VELCRO</x:v>
      </x:c>
      <x:c r="C11" s="127" t="n">
        <x:v>1</x:v>
      </x:c>
      <x:c r="D11" s="127" t="str">
        <x:v>CUTTING</x:v>
      </x:c>
      <x:c r="E11" s="127" t="str">
        <x:v>CUTTING</x:v>
      </x:c>
      <x:c r="F11" s="136" t="str"/>
      <x:c r="G11" s="136" t="str">
        <x:v>Yes</x:v>
      </x:c>
      <x:c r="H11" s="136" t="str">
        <x:v>Pooled</x:v>
      </x:c>
      <x:c r="I11" s="136" t="n">
        <x:v>8</x:v>
      </x:c>
      <x:c r="J11" s="136" t="str"/>
      <x:c r="K11" s="136" t="str"/>
      <x:c r="L11" s="136" t="str"/>
      <x:c r="M11" s="136" t="str">
        <x:v>No</x:v>
      </x:c>
      <x:c r="N11" s="144" t="str"/>
      <x:c r="O11" s="136" t="str"/>
      <x:c r="P11" s="136" t="str">
        <x:v>To Confirm</x:v>
      </x:c>
      <x:c r="Q11" s="136" t="str"/>
    </x:row>
    <x:row r="12">
      <x:c r="A12" s="128" t="str">
        <x:v>ARMOUR (VELCRO)</x:v>
      </x:c>
      <x:c r="B12" s="128" t="str">
        <x:v>VELCRO</x:v>
      </x:c>
      <x:c r="C12" s="128" t="n">
        <x:v>2</x:v>
      </x:c>
      <x:c r="D12" s="128" t="str">
        <x:v>PREPARATION</x:v>
      </x:c>
      <x:c r="E12" s="128" t="str">
        <x:v>PREPARATION</x:v>
      </x:c>
      <x:c r="F12" s="137" t="str"/>
      <x:c r="G12" s="137" t="str">
        <x:v>Yes</x:v>
      </x:c>
      <x:c r="H12" s="137" t="str">
        <x:v>Pooled</x:v>
      </x:c>
      <x:c r="I12" s="137" t="n">
        <x:v>11</x:v>
      </x:c>
      <x:c r="J12" s="137" t="str"/>
      <x:c r="K12" s="137" t="str"/>
      <x:c r="L12" s="137" t="str"/>
      <x:c r="M12" s="137" t="str">
        <x:v>No</x:v>
      </x:c>
      <x:c r="N12" s="138" t="str"/>
      <x:c r="O12" s="137" t="str"/>
      <x:c r="P12" s="137" t="str">
        <x:v>To Confirm</x:v>
      </x:c>
      <x:c r="Q12" s="137" t="str"/>
    </x:row>
    <x:row r="13">
      <x:c r="A13" s="128" t="str">
        <x:v>ARMOUR (VELCRO)</x:v>
      </x:c>
      <x:c r="B13" s="128" t="str">
        <x:v>VELCRO</x:v>
      </x:c>
      <x:c r="C13" s="128" t="n">
        <x:v>3</x:v>
      </x:c>
      <x:c r="D13" s="128" t="str">
        <x:v>STITCHING</x:v>
      </x:c>
      <x:c r="E13" s="128" t="str">
        <x:v>STITCHING</x:v>
      </x:c>
      <x:c r="F13" s="137" t="str"/>
      <x:c r="G13" s="137" t="str">
        <x:v>Yes</x:v>
      </x:c>
      <x:c r="H13" s="137" t="str">
        <x:v>Pooled</x:v>
      </x:c>
      <x:c r="I13" s="137" t="n">
        <x:v>15</x:v>
      </x:c>
      <x:c r="J13" s="137" t="str"/>
      <x:c r="K13" s="137" t="str"/>
      <x:c r="L13" s="137" t="str"/>
      <x:c r="M13" s="137" t="str">
        <x:v>No</x:v>
      </x:c>
      <x:c r="N13" s="138" t="str"/>
      <x:c r="O13" s="137" t="str"/>
      <x:c r="P13" s="137" t="str">
        <x:v>To Confirm</x:v>
      </x:c>
      <x:c r="Q13" s="137" t="str"/>
    </x:row>
    <x:row r="14">
      <x:c r="A14" s="128" t="str">
        <x:v>ARMOUR (VELCRO)</x:v>
      </x:c>
      <x:c r="B14" s="128" t="str">
        <x:v>VELCRO</x:v>
      </x:c>
      <x:c r="C14" s="128" t="n">
        <x:v>4</x:v>
      </x:c>
      <x:c r="D14" s="128" t="str">
        <x:v>UPPER_QC</x:v>
      </x:c>
      <x:c r="E14" s="128" t="str">
        <x:v>UPPER_QC</x:v>
      </x:c>
      <x:c r="F14" s="137" t="str"/>
      <x:c r="G14" s="137" t="str">
        <x:v>Yes</x:v>
      </x:c>
      <x:c r="H14" s="137" t="str">
        <x:v>Pooled</x:v>
      </x:c>
      <x:c r="I14" s="137" t="n">
        <x:v>18</x:v>
      </x:c>
      <x:c r="J14" s="137" t="str"/>
      <x:c r="K14" s="137" t="str"/>
      <x:c r="L14" s="137" t="str"/>
      <x:c r="M14" s="137" t="str">
        <x:v>No</x:v>
      </x:c>
      <x:c r="N14" s="138" t="str"/>
      <x:c r="O14" s="137" t="str"/>
      <x:c r="P14" s="137" t="str">
        <x:v>To Confirm</x:v>
      </x:c>
      <x:c r="Q14" s="137" t="str"/>
    </x:row>
    <x:row r="15">
      <x:c r="A15" s="128" t="str">
        <x:v>ARMOUR (VELCRO)</x:v>
      </x:c>
      <x:c r="B15" s="128" t="str">
        <x:v>VELCRO</x:v>
      </x:c>
      <x:c r="C15" s="128" t="n">
        <x:v>5</x:v>
      </x:c>
      <x:c r="D15" s="128" t="str">
        <x:v>MOLDING</x:v>
      </x:c>
      <x:c r="E15" s="128" t="str">
        <x:v>MOLDING_EVA</x:v>
      </x:c>
      <x:c r="F15" s="137" t="str"/>
      <x:c r="G15" s="137" t="str">
        <x:v>Yes</x:v>
      </x:c>
      <x:c r="H15" s="137" t="str">
        <x:v>Exclusive</x:v>
      </x:c>
      <x:c r="I15" s="137" t="n">
        <x:v>22</x:v>
      </x:c>
      <x:c r="J15" s="137" t="str"/>
      <x:c r="K15" s="137" t="str"/>
      <x:c r="L15" s="137" t="str"/>
      <x:c r="M15" s="137" t="str">
        <x:v>No</x:v>
      </x:c>
      <x:c r="N15" s="138" t="str"/>
      <x:c r="O15" s="137" t="str"/>
      <x:c r="P15" s="137" t="str">
        <x:v>To Confirm</x:v>
      </x:c>
      <x:c r="Q15" s="137" t="str"/>
    </x:row>
    <x:row r="16">
      <x:c r="A16" s="128" t="str">
        <x:v>ARMOUR (VELCRO)</x:v>
      </x:c>
      <x:c r="B16" s="128" t="str">
        <x:v>VELCRO</x:v>
      </x:c>
      <x:c r="C16" s="128" t="n">
        <x:v>6</x:v>
      </x:c>
      <x:c r="D16" s="128" t="str">
        <x:v>PACKING</x:v>
      </x:c>
      <x:c r="E16" s="128" t="str">
        <x:v>PACKING</x:v>
      </x:c>
      <x:c r="F16" s="137" t="str"/>
      <x:c r="G16" s="137" t="str">
        <x:v>Yes</x:v>
      </x:c>
      <x:c r="H16" s="137" t="str">
        <x:v>Pooled</x:v>
      </x:c>
      <x:c r="I16" s="137" t="n">
        <x:v>28</x:v>
      </x:c>
      <x:c r="J16" s="137" t="str"/>
      <x:c r="K16" s="137" t="str"/>
      <x:c r="L16" s="137" t="str"/>
      <x:c r="M16" s="137" t="str">
        <x:v>No</x:v>
      </x:c>
      <x:c r="N16" s="138" t="str"/>
      <x:c r="O16" s="137" t="str"/>
      <x:c r="P16" s="137" t="str">
        <x:v>To Confirm</x:v>
      </x:c>
      <x:c r="Q16" s="137" t="str"/>
    </x:row>
    <x:row r="17">
      <x:c r="A17" s="128" t="str">
        <x:v>ARMOUR (VELCRO)</x:v>
      </x:c>
      <x:c r="B17" s="128" t="str">
        <x:v>VELCRO</x:v>
      </x:c>
      <x:c r="C17" s="128" t="n">
        <x:v>7</x:v>
      </x:c>
      <x:c r="D17" s="128" t="str">
        <x:v>DISPATCH</x:v>
      </x:c>
      <x:c r="E17" s="128" t="str">
        <x:v>DISPATCH</x:v>
      </x:c>
      <x:c r="F17" s="137" t="str"/>
      <x:c r="G17" s="137" t="str">
        <x:v>Yes</x:v>
      </x:c>
      <x:c r="H17" s="137" t="str">
        <x:v>Pooled</x:v>
      </x:c>
      <x:c r="I17" s="137" t="n">
        <x:v>30</x:v>
      </x:c>
      <x:c r="J17" s="137" t="str"/>
      <x:c r="K17" s="137" t="str"/>
      <x:c r="L17" s="137" t="str"/>
      <x:c r="M17" s="137" t="str">
        <x:v>No</x:v>
      </x:c>
      <x:c r="N17" s="138" t="str"/>
      <x:c r="O17" s="137" t="str"/>
      <x:c r="P17" s="137" t="str">
        <x:v>To Confirm</x:v>
      </x:c>
      <x:c r="Q17" s="137" t="str"/>
    </x:row>
    <x:row r="18">
      <x:c r="A18" s="128" t="str">
        <x:v>ARMOUR (LACE)</x:v>
      </x:c>
      <x:c r="B18" s="128" t="str">
        <x:v>LACE</x:v>
      </x:c>
      <x:c r="C18" s="128" t="n">
        <x:v>1</x:v>
      </x:c>
      <x:c r="D18" s="128" t="str">
        <x:v>CUTTING</x:v>
      </x:c>
      <x:c r="E18" s="128" t="str">
        <x:v>CUTTING</x:v>
      </x:c>
      <x:c r="F18" s="137" t="str"/>
      <x:c r="G18" s="137" t="str">
        <x:v>Yes</x:v>
      </x:c>
      <x:c r="H18" s="137" t="str">
        <x:v>Pooled</x:v>
      </x:c>
      <x:c r="I18" s="137" t="n">
        <x:v>8</x:v>
      </x:c>
      <x:c r="J18" s="137" t="str"/>
      <x:c r="K18" s="137" t="str"/>
      <x:c r="L18" s="137" t="str"/>
      <x:c r="M18" s="137" t="str">
        <x:v>No</x:v>
      </x:c>
      <x:c r="N18" s="138" t="str"/>
      <x:c r="O18" s="137" t="str"/>
      <x:c r="P18" s="137" t="str">
        <x:v>To Confirm</x:v>
      </x:c>
      <x:c r="Q18" s="137" t="str"/>
    </x:row>
    <x:row r="19">
      <x:c r="A19" s="128" t="str">
        <x:v>ARMOUR (LACE)</x:v>
      </x:c>
      <x:c r="B19" s="128" t="str">
        <x:v>LACE</x:v>
      </x:c>
      <x:c r="C19" s="128" t="n">
        <x:v>2</x:v>
      </x:c>
      <x:c r="D19" s="128" t="str">
        <x:v>PREPARATION</x:v>
      </x:c>
      <x:c r="E19" s="128" t="str">
        <x:v>PREPARATION</x:v>
      </x:c>
      <x:c r="F19" s="137" t="str"/>
      <x:c r="G19" s="137" t="str">
        <x:v>Yes</x:v>
      </x:c>
      <x:c r="H19" s="137" t="str">
        <x:v>Pooled</x:v>
      </x:c>
      <x:c r="I19" s="137" t="n">
        <x:v>11</x:v>
      </x:c>
      <x:c r="J19" s="137" t="str"/>
      <x:c r="K19" s="137" t="str"/>
      <x:c r="L19" s="137" t="str"/>
      <x:c r="M19" s="137" t="str">
        <x:v>No</x:v>
      </x:c>
      <x:c r="N19" s="138" t="str"/>
      <x:c r="O19" s="137" t="str"/>
      <x:c r="P19" s="137" t="str">
        <x:v>To Confirm</x:v>
      </x:c>
      <x:c r="Q19" s="137" t="str"/>
    </x:row>
    <x:row r="20">
      <x:c r="A20" s="128" t="str">
        <x:v>ARMOUR (LACE)</x:v>
      </x:c>
      <x:c r="B20" s="128" t="str">
        <x:v>LACE</x:v>
      </x:c>
      <x:c r="C20" s="128" t="n">
        <x:v>3</x:v>
      </x:c>
      <x:c r="D20" s="128" t="str">
        <x:v>STITCHING</x:v>
      </x:c>
      <x:c r="E20" s="128" t="str">
        <x:v>STITCHING</x:v>
      </x:c>
      <x:c r="F20" s="137" t="str"/>
      <x:c r="G20" s="137" t="str">
        <x:v>Yes</x:v>
      </x:c>
      <x:c r="H20" s="137" t="str">
        <x:v>Pooled</x:v>
      </x:c>
      <x:c r="I20" s="137" t="n">
        <x:v>15</x:v>
      </x:c>
      <x:c r="J20" s="137" t="str"/>
      <x:c r="K20" s="137" t="str"/>
      <x:c r="L20" s="137" t="str"/>
      <x:c r="M20" s="137" t="str">
        <x:v>No</x:v>
      </x:c>
      <x:c r="N20" s="138" t="str"/>
      <x:c r="O20" s="137" t="str"/>
      <x:c r="P20" s="137" t="str">
        <x:v>To Confirm</x:v>
      </x:c>
      <x:c r="Q20" s="137" t="str"/>
    </x:row>
    <x:row r="21">
      <x:c r="A21" s="128" t="str">
        <x:v>ARMOUR (LACE)</x:v>
      </x:c>
      <x:c r="B21" s="128" t="str">
        <x:v>LACE</x:v>
      </x:c>
      <x:c r="C21" s="128" t="n">
        <x:v>4</x:v>
      </x:c>
      <x:c r="D21" s="128" t="str">
        <x:v>UPPER_QC</x:v>
      </x:c>
      <x:c r="E21" s="128" t="str">
        <x:v>UPPER_QC</x:v>
      </x:c>
      <x:c r="F21" s="137" t="str"/>
      <x:c r="G21" s="137" t="str">
        <x:v>Yes</x:v>
      </x:c>
      <x:c r="H21" s="137" t="str">
        <x:v>Pooled</x:v>
      </x:c>
      <x:c r="I21" s="137" t="n">
        <x:v>18</x:v>
      </x:c>
      <x:c r="J21" s="137" t="str"/>
      <x:c r="K21" s="137" t="str"/>
      <x:c r="L21" s="137" t="str"/>
      <x:c r="M21" s="137" t="str">
        <x:v>No</x:v>
      </x:c>
      <x:c r="N21" s="138" t="str"/>
      <x:c r="O21" s="137" t="str"/>
      <x:c r="P21" s="137" t="str">
        <x:v>To Confirm</x:v>
      </x:c>
      <x:c r="Q21" s="137" t="str"/>
    </x:row>
    <x:row r="22">
      <x:c r="A22" s="128" t="str">
        <x:v>ARMOUR (LACE)</x:v>
      </x:c>
      <x:c r="B22" s="128" t="str">
        <x:v>LACE</x:v>
      </x:c>
      <x:c r="C22" s="128" t="n">
        <x:v>5</x:v>
      </x:c>
      <x:c r="D22" s="128" t="str">
        <x:v>MOLDING</x:v>
      </x:c>
      <x:c r="E22" s="128" t="str">
        <x:v>MOLDING_EVA</x:v>
      </x:c>
      <x:c r="F22" s="137" t="str"/>
      <x:c r="G22" s="137" t="str">
        <x:v>Yes</x:v>
      </x:c>
      <x:c r="H22" s="137" t="str">
        <x:v>Exclusive</x:v>
      </x:c>
      <x:c r="I22" s="137" t="n">
        <x:v>22</x:v>
      </x:c>
      <x:c r="J22" s="137" t="str"/>
      <x:c r="K22" s="137" t="str"/>
      <x:c r="L22" s="137" t="str"/>
      <x:c r="M22" s="137" t="str">
        <x:v>No</x:v>
      </x:c>
      <x:c r="N22" s="138" t="str"/>
      <x:c r="O22" s="137" t="str"/>
      <x:c r="P22" s="137" t="str">
        <x:v>To Confirm</x:v>
      </x:c>
      <x:c r="Q22" s="137" t="str"/>
    </x:row>
    <x:row r="23">
      <x:c r="A23" s="128" t="str">
        <x:v>ARMOUR (LACE)</x:v>
      </x:c>
      <x:c r="B23" s="128" t="str">
        <x:v>LACE</x:v>
      </x:c>
      <x:c r="C23" s="128" t="n">
        <x:v>6</x:v>
      </x:c>
      <x:c r="D23" s="128" t="str">
        <x:v>PACKING</x:v>
      </x:c>
      <x:c r="E23" s="128" t="str">
        <x:v>PACKING</x:v>
      </x:c>
      <x:c r="F23" s="137" t="str"/>
      <x:c r="G23" s="137" t="str">
        <x:v>Yes</x:v>
      </x:c>
      <x:c r="H23" s="137" t="str">
        <x:v>Pooled</x:v>
      </x:c>
      <x:c r="I23" s="137" t="n">
        <x:v>28</x:v>
      </x:c>
      <x:c r="J23" s="137" t="str"/>
      <x:c r="K23" s="137" t="str"/>
      <x:c r="L23" s="137" t="str"/>
      <x:c r="M23" s="137" t="str">
        <x:v>No</x:v>
      </x:c>
      <x:c r="N23" s="138" t="str"/>
      <x:c r="O23" s="137" t="str"/>
      <x:c r="P23" s="137" t="str">
        <x:v>To Confirm</x:v>
      </x:c>
      <x:c r="Q23" s="137" t="str"/>
    </x:row>
    <x:row r="24">
      <x:c r="A24" s="128" t="str">
        <x:v>ARMOUR (LACE)</x:v>
      </x:c>
      <x:c r="B24" s="128" t="str">
        <x:v>LACE</x:v>
      </x:c>
      <x:c r="C24" s="128" t="n">
        <x:v>7</x:v>
      </x:c>
      <x:c r="D24" s="128" t="str">
        <x:v>DISPATCH</x:v>
      </x:c>
      <x:c r="E24" s="128" t="str">
        <x:v>DISPATCH</x:v>
      </x:c>
      <x:c r="F24" s="137" t="str"/>
      <x:c r="G24" s="137" t="str">
        <x:v>Yes</x:v>
      </x:c>
      <x:c r="H24" s="137" t="str">
        <x:v>Pooled</x:v>
      </x:c>
      <x:c r="I24" s="137" t="n">
        <x:v>30</x:v>
      </x:c>
      <x:c r="J24" s="137" t="str"/>
      <x:c r="K24" s="137" t="str"/>
      <x:c r="L24" s="137" t="str"/>
      <x:c r="M24" s="137" t="str">
        <x:v>No</x:v>
      </x:c>
      <x:c r="N24" s="138" t="str"/>
      <x:c r="O24" s="137" t="str"/>
      <x:c r="P24" s="137" t="str">
        <x:v>To Confirm</x:v>
      </x:c>
      <x:c r="Q24" s="137" t="str"/>
    </x:row>
    <x:row r="25">
      <x:c r="A25" s="128" t="str">
        <x:v>REX GOLA (V)</x:v>
      </x:c>
      <x:c r="B25" s="128" t="str">
        <x:v>VELCRO</x:v>
      </x:c>
      <x:c r="C25" s="128" t="n">
        <x:v>1</x:v>
      </x:c>
      <x:c r="D25" s="128" t="str">
        <x:v>CUTTING</x:v>
      </x:c>
      <x:c r="E25" s="128" t="str">
        <x:v>CUTTING</x:v>
      </x:c>
      <x:c r="F25" s="137" t="str"/>
      <x:c r="G25" s="137" t="str">
        <x:v>Yes</x:v>
      </x:c>
      <x:c r="H25" s="137" t="str">
        <x:v>Pooled</x:v>
      </x:c>
      <x:c r="I25" s="137" t="n">
        <x:v>8</x:v>
      </x:c>
      <x:c r="J25" s="137" t="str"/>
      <x:c r="K25" s="137" t="str"/>
      <x:c r="L25" s="137" t="str"/>
      <x:c r="M25" s="137" t="str">
        <x:v>No</x:v>
      </x:c>
      <x:c r="N25" s="138" t="str"/>
      <x:c r="O25" s="137" t="str"/>
      <x:c r="P25" s="137" t="str">
        <x:v>To Confirm</x:v>
      </x:c>
      <x:c r="Q25" s="137" t="str"/>
    </x:row>
    <x:row r="26">
      <x:c r="A26" s="128" t="str">
        <x:v>REX GOLA (V)</x:v>
      </x:c>
      <x:c r="B26" s="128" t="str">
        <x:v>VELCRO</x:v>
      </x:c>
      <x:c r="C26" s="128" t="n">
        <x:v>2</x:v>
      </x:c>
      <x:c r="D26" s="128" t="str">
        <x:v>PREPARATION</x:v>
      </x:c>
      <x:c r="E26" s="128" t="str">
        <x:v>PREPARATION</x:v>
      </x:c>
      <x:c r="F26" s="137" t="str"/>
      <x:c r="G26" s="137" t="str">
        <x:v>Yes</x:v>
      </x:c>
      <x:c r="H26" s="137" t="str">
        <x:v>Pooled</x:v>
      </x:c>
      <x:c r="I26" s="137" t="n">
        <x:v>11</x:v>
      </x:c>
      <x:c r="J26" s="137" t="str"/>
      <x:c r="K26" s="137" t="str"/>
      <x:c r="L26" s="137" t="str"/>
      <x:c r="M26" s="137" t="str">
        <x:v>No</x:v>
      </x:c>
      <x:c r="N26" s="138" t="str"/>
      <x:c r="O26" s="137" t="str"/>
      <x:c r="P26" s="137" t="str">
        <x:v>To Confirm</x:v>
      </x:c>
      <x:c r="Q26" s="137" t="str"/>
    </x:row>
    <x:row r="27">
      <x:c r="A27" s="128" t="str">
        <x:v>REX GOLA (V)</x:v>
      </x:c>
      <x:c r="B27" s="128" t="str">
        <x:v>VELCRO</x:v>
      </x:c>
      <x:c r="C27" s="128" t="n">
        <x:v>3</x:v>
      </x:c>
      <x:c r="D27" s="128" t="str">
        <x:v>STITCHING</x:v>
      </x:c>
      <x:c r="E27" s="128" t="str">
        <x:v>STITCHING</x:v>
      </x:c>
      <x:c r="F27" s="137" t="str"/>
      <x:c r="G27" s="137" t="str">
        <x:v>Yes</x:v>
      </x:c>
      <x:c r="H27" s="137" t="str">
        <x:v>Pooled</x:v>
      </x:c>
      <x:c r="I27" s="137" t="n">
        <x:v>15</x:v>
      </x:c>
      <x:c r="J27" s="137" t="str"/>
      <x:c r="K27" s="137" t="str"/>
      <x:c r="L27" s="137" t="str"/>
      <x:c r="M27" s="137" t="str">
        <x:v>No</x:v>
      </x:c>
      <x:c r="N27" s="138" t="str"/>
      <x:c r="O27" s="137" t="str"/>
      <x:c r="P27" s="137" t="str">
        <x:v>To Confirm</x:v>
      </x:c>
      <x:c r="Q27" s="137" t="str"/>
    </x:row>
    <x:row r="28">
      <x:c r="A28" s="128" t="str">
        <x:v>REX GOLA (V)</x:v>
      </x:c>
      <x:c r="B28" s="128" t="str">
        <x:v>VELCRO</x:v>
      </x:c>
      <x:c r="C28" s="128" t="n">
        <x:v>4</x:v>
      </x:c>
      <x:c r="D28" s="128" t="str">
        <x:v>UPPER_QC</x:v>
      </x:c>
      <x:c r="E28" s="128" t="str">
        <x:v>UPPER_QC</x:v>
      </x:c>
      <x:c r="F28" s="137" t="str"/>
      <x:c r="G28" s="137" t="str">
        <x:v>Yes</x:v>
      </x:c>
      <x:c r="H28" s="137" t="str">
        <x:v>Pooled</x:v>
      </x:c>
      <x:c r="I28" s="137" t="n">
        <x:v>18</x:v>
      </x:c>
      <x:c r="J28" s="137" t="str"/>
      <x:c r="K28" s="137" t="str"/>
      <x:c r="L28" s="137" t="str"/>
      <x:c r="M28" s="137" t="str">
        <x:v>No</x:v>
      </x:c>
      <x:c r="N28" s="138" t="str"/>
      <x:c r="O28" s="137" t="str"/>
      <x:c r="P28" s="137" t="str">
        <x:v>To Confirm</x:v>
      </x:c>
      <x:c r="Q28" s="137" t="str"/>
    </x:row>
    <x:row r="29">
      <x:c r="A29" s="128" t="str">
        <x:v>REX GOLA (V)</x:v>
      </x:c>
      <x:c r="B29" s="128" t="str">
        <x:v>VELCRO</x:v>
      </x:c>
      <x:c r="C29" s="128" t="n">
        <x:v>5</x:v>
      </x:c>
      <x:c r="D29" s="128" t="str">
        <x:v>MOLDING</x:v>
      </x:c>
      <x:c r="E29" s="128" t="str">
        <x:v>PVC MACHINE TO CONFIRM</x:v>
      </x:c>
      <x:c r="F29" s="137" t="str"/>
      <x:c r="G29" s="137" t="str">
        <x:v>Yes</x:v>
      </x:c>
      <x:c r="H29" s="137" t="str">
        <x:v>Exclusive</x:v>
      </x:c>
      <x:c r="I29" s="137" t="n">
        <x:v>22</x:v>
      </x:c>
      <x:c r="J29" s="137" t="str"/>
      <x:c r="K29" s="137" t="str"/>
      <x:c r="L29" s="137" t="str"/>
      <x:c r="M29" s="137" t="str">
        <x:v>No</x:v>
      </x:c>
      <x:c r="N29" s="138" t="str"/>
      <x:c r="O29" s="137" t="str"/>
      <x:c r="P29" s="137" t="str">
        <x:v>To Confirm</x:v>
      </x:c>
      <x:c r="Q29" s="137" t="str"/>
    </x:row>
    <x:row r="30">
      <x:c r="A30" s="128" t="str">
        <x:v>REX GOLA (V)</x:v>
      </x:c>
      <x:c r="B30" s="128" t="str">
        <x:v>VELCRO</x:v>
      </x:c>
      <x:c r="C30" s="128" t="n">
        <x:v>6</x:v>
      </x:c>
      <x:c r="D30" s="128" t="str">
        <x:v>PACKING</x:v>
      </x:c>
      <x:c r="E30" s="128" t="str">
        <x:v>PACKING</x:v>
      </x:c>
      <x:c r="F30" s="137" t="str"/>
      <x:c r="G30" s="137" t="str">
        <x:v>Yes</x:v>
      </x:c>
      <x:c r="H30" s="137" t="str">
        <x:v>Pooled</x:v>
      </x:c>
      <x:c r="I30" s="137" t="n">
        <x:v>28</x:v>
      </x:c>
      <x:c r="J30" s="137" t="str"/>
      <x:c r="K30" s="137" t="str"/>
      <x:c r="L30" s="137" t="str"/>
      <x:c r="M30" s="137" t="str">
        <x:v>No</x:v>
      </x:c>
      <x:c r="N30" s="138" t="str"/>
      <x:c r="O30" s="137" t="str"/>
      <x:c r="P30" s="137" t="str">
        <x:v>To Confirm</x:v>
      </x:c>
      <x:c r="Q30" s="137" t="str"/>
    </x:row>
    <x:row r="31">
      <x:c r="A31" s="128" t="str">
        <x:v>REX GOLA (V)</x:v>
      </x:c>
      <x:c r="B31" s="128" t="str">
        <x:v>VELCRO</x:v>
      </x:c>
      <x:c r="C31" s="128" t="n">
        <x:v>7</x:v>
      </x:c>
      <x:c r="D31" s="128" t="str">
        <x:v>DISPATCH</x:v>
      </x:c>
      <x:c r="E31" s="128" t="str">
        <x:v>DISPATCH</x:v>
      </x:c>
      <x:c r="F31" s="137" t="str"/>
      <x:c r="G31" s="137" t="str">
        <x:v>Yes</x:v>
      </x:c>
      <x:c r="H31" s="137" t="str">
        <x:v>Pooled</x:v>
      </x:c>
      <x:c r="I31" s="137" t="n">
        <x:v>30</x:v>
      </x:c>
      <x:c r="J31" s="137" t="str"/>
      <x:c r="K31" s="137" t="str"/>
      <x:c r="L31" s="137" t="str"/>
      <x:c r="M31" s="137" t="str">
        <x:v>No</x:v>
      </x:c>
      <x:c r="N31" s="138" t="str"/>
      <x:c r="O31" s="137" t="str"/>
      <x:c r="P31" s="137" t="str">
        <x:v>To Confirm</x:v>
      </x:c>
      <x:c r="Q31" s="137" t="str"/>
    </x:row>
    <x:row r="32">
      <x:c r="A32" s="128" t="str">
        <x:v>REX GOLA (L)</x:v>
      </x:c>
      <x:c r="B32" s="128" t="str">
        <x:v>LACE</x:v>
      </x:c>
      <x:c r="C32" s="128" t="n">
        <x:v>1</x:v>
      </x:c>
      <x:c r="D32" s="128" t="str">
        <x:v>CUTTING</x:v>
      </x:c>
      <x:c r="E32" s="128" t="str">
        <x:v>CUTTING</x:v>
      </x:c>
      <x:c r="F32" s="137" t="str"/>
      <x:c r="G32" s="137" t="str">
        <x:v>Yes</x:v>
      </x:c>
      <x:c r="H32" s="137" t="str">
        <x:v>Pooled</x:v>
      </x:c>
      <x:c r="I32" s="137" t="n">
        <x:v>8</x:v>
      </x:c>
      <x:c r="J32" s="137" t="str"/>
      <x:c r="K32" s="137" t="str"/>
      <x:c r="L32" s="137" t="str"/>
      <x:c r="M32" s="137" t="str">
        <x:v>No</x:v>
      </x:c>
      <x:c r="N32" s="138" t="str"/>
      <x:c r="O32" s="137" t="str"/>
      <x:c r="P32" s="137" t="str">
        <x:v>To Confirm</x:v>
      </x:c>
      <x:c r="Q32" s="137" t="str"/>
    </x:row>
    <x:row r="33">
      <x:c r="A33" s="128" t="str">
        <x:v>REX GOLA (L)</x:v>
      </x:c>
      <x:c r="B33" s="128" t="str">
        <x:v>LACE</x:v>
      </x:c>
      <x:c r="C33" s="128" t="n">
        <x:v>2</x:v>
      </x:c>
      <x:c r="D33" s="128" t="str">
        <x:v>PREPARATION</x:v>
      </x:c>
      <x:c r="E33" s="128" t="str">
        <x:v>PREPARATION</x:v>
      </x:c>
      <x:c r="F33" s="137" t="str"/>
      <x:c r="G33" s="137" t="str">
        <x:v>Yes</x:v>
      </x:c>
      <x:c r="H33" s="137" t="str">
        <x:v>Pooled</x:v>
      </x:c>
      <x:c r="I33" s="137" t="n">
        <x:v>11</x:v>
      </x:c>
      <x:c r="J33" s="137" t="str"/>
      <x:c r="K33" s="137" t="str"/>
      <x:c r="L33" s="137" t="str"/>
      <x:c r="M33" s="137" t="str">
        <x:v>No</x:v>
      </x:c>
      <x:c r="N33" s="138" t="str"/>
      <x:c r="O33" s="137" t="str"/>
      <x:c r="P33" s="137" t="str">
        <x:v>To Confirm</x:v>
      </x:c>
      <x:c r="Q33" s="137" t="str"/>
    </x:row>
    <x:row r="34">
      <x:c r="A34" s="128" t="str">
        <x:v>REX GOLA (L)</x:v>
      </x:c>
      <x:c r="B34" s="128" t="str">
        <x:v>LACE</x:v>
      </x:c>
      <x:c r="C34" s="128" t="n">
        <x:v>3</x:v>
      </x:c>
      <x:c r="D34" s="128" t="str">
        <x:v>STITCHING</x:v>
      </x:c>
      <x:c r="E34" s="128" t="str">
        <x:v>STITCHING</x:v>
      </x:c>
      <x:c r="F34" s="137" t="str"/>
      <x:c r="G34" s="137" t="str">
        <x:v>Yes</x:v>
      </x:c>
      <x:c r="H34" s="137" t="str">
        <x:v>Pooled</x:v>
      </x:c>
      <x:c r="I34" s="137" t="n">
        <x:v>15</x:v>
      </x:c>
      <x:c r="J34" s="137" t="str"/>
      <x:c r="K34" s="137" t="str"/>
      <x:c r="L34" s="137" t="str"/>
      <x:c r="M34" s="137" t="str">
        <x:v>No</x:v>
      </x:c>
      <x:c r="N34" s="138" t="str"/>
      <x:c r="O34" s="137" t="str"/>
      <x:c r="P34" s="137" t="str">
        <x:v>To Confirm</x:v>
      </x:c>
      <x:c r="Q34" s="137" t="str"/>
    </x:row>
    <x:row r="35">
      <x:c r="A35" s="128" t="str">
        <x:v>REX GOLA (L)</x:v>
      </x:c>
      <x:c r="B35" s="128" t="str">
        <x:v>LACE</x:v>
      </x:c>
      <x:c r="C35" s="128" t="n">
        <x:v>4</x:v>
      </x:c>
      <x:c r="D35" s="128" t="str">
        <x:v>UPPER_QC</x:v>
      </x:c>
      <x:c r="E35" s="128" t="str">
        <x:v>UPPER_QC</x:v>
      </x:c>
      <x:c r="F35" s="137" t="str"/>
      <x:c r="G35" s="137" t="str">
        <x:v>Yes</x:v>
      </x:c>
      <x:c r="H35" s="137" t="str">
        <x:v>Pooled</x:v>
      </x:c>
      <x:c r="I35" s="137" t="n">
        <x:v>18</x:v>
      </x:c>
      <x:c r="J35" s="137" t="str"/>
      <x:c r="K35" s="137" t="str"/>
      <x:c r="L35" s="137" t="str"/>
      <x:c r="M35" s="137" t="str">
        <x:v>No</x:v>
      </x:c>
      <x:c r="N35" s="138" t="str"/>
      <x:c r="O35" s="137" t="str"/>
      <x:c r="P35" s="137" t="str">
        <x:v>To Confirm</x:v>
      </x:c>
      <x:c r="Q35" s="137" t="str"/>
    </x:row>
    <x:row r="36">
      <x:c r="A36" s="128" t="str">
        <x:v>REX GOLA (L)</x:v>
      </x:c>
      <x:c r="B36" s="128" t="str">
        <x:v>LACE</x:v>
      </x:c>
      <x:c r="C36" s="128" t="n">
        <x:v>5</x:v>
      </x:c>
      <x:c r="D36" s="128" t="str">
        <x:v>MOLDING</x:v>
      </x:c>
      <x:c r="E36" s="128" t="str">
        <x:v>PVC MACHINE TO CONFIRM</x:v>
      </x:c>
      <x:c r="F36" s="137" t="str"/>
      <x:c r="G36" s="137" t="str">
        <x:v>Yes</x:v>
      </x:c>
      <x:c r="H36" s="137" t="str">
        <x:v>Exclusive</x:v>
      </x:c>
      <x:c r="I36" s="137" t="n">
        <x:v>22</x:v>
      </x:c>
      <x:c r="J36" s="137" t="str"/>
      <x:c r="K36" s="137" t="str"/>
      <x:c r="L36" s="137" t="str"/>
      <x:c r="M36" s="137" t="str">
        <x:v>No</x:v>
      </x:c>
      <x:c r="N36" s="138" t="str"/>
      <x:c r="O36" s="137" t="str"/>
      <x:c r="P36" s="137" t="str">
        <x:v>To Confirm</x:v>
      </x:c>
      <x:c r="Q36" s="137" t="str"/>
    </x:row>
    <x:row r="37">
      <x:c r="A37" s="128" t="str">
        <x:v>REX GOLA (L)</x:v>
      </x:c>
      <x:c r="B37" s="128" t="str">
        <x:v>LACE</x:v>
      </x:c>
      <x:c r="C37" s="128" t="n">
        <x:v>6</x:v>
      </x:c>
      <x:c r="D37" s="128" t="str">
        <x:v>PACKING</x:v>
      </x:c>
      <x:c r="E37" s="128" t="str">
        <x:v>PACKING</x:v>
      </x:c>
      <x:c r="F37" s="137" t="str"/>
      <x:c r="G37" s="137" t="str">
        <x:v>Yes</x:v>
      </x:c>
      <x:c r="H37" s="137" t="str">
        <x:v>Pooled</x:v>
      </x:c>
      <x:c r="I37" s="137" t="n">
        <x:v>28</x:v>
      </x:c>
      <x:c r="J37" s="137" t="str"/>
      <x:c r="K37" s="137" t="str"/>
      <x:c r="L37" s="137" t="str"/>
      <x:c r="M37" s="137" t="str">
        <x:v>No</x:v>
      </x:c>
      <x:c r="N37" s="138" t="str"/>
      <x:c r="O37" s="137" t="str"/>
      <x:c r="P37" s="137" t="str">
        <x:v>To Confirm</x:v>
      </x:c>
      <x:c r="Q37" s="137" t="str"/>
    </x:row>
    <x:row r="38">
      <x:c r="A38" s="128" t="str">
        <x:v>REX GOLA (L)</x:v>
      </x:c>
      <x:c r="B38" s="128" t="str">
        <x:v>LACE</x:v>
      </x:c>
      <x:c r="C38" s="128" t="n">
        <x:v>7</x:v>
      </x:c>
      <x:c r="D38" s="128" t="str">
        <x:v>DISPATCH</x:v>
      </x:c>
      <x:c r="E38" s="128" t="str">
        <x:v>DISPATCH</x:v>
      </x:c>
      <x:c r="F38" s="137" t="str"/>
      <x:c r="G38" s="137" t="str">
        <x:v>Yes</x:v>
      </x:c>
      <x:c r="H38" s="137" t="str">
        <x:v>Pooled</x:v>
      </x:c>
      <x:c r="I38" s="137" t="n">
        <x:v>30</x:v>
      </x:c>
      <x:c r="J38" s="137" t="str"/>
      <x:c r="K38" s="137" t="str"/>
      <x:c r="L38" s="137" t="str"/>
      <x:c r="M38" s="137" t="str">
        <x:v>No</x:v>
      </x:c>
      <x:c r="N38" s="138" t="str"/>
      <x:c r="O38" s="137" t="str"/>
      <x:c r="P38" s="137" t="str">
        <x:v>To Confirm</x:v>
      </x:c>
      <x:c r="Q38" s="137" t="str"/>
    </x:row>
    <x:row r="39">
      <x:c r="A39" s="128" t="str">
        <x:v>SILKY BELLY BLACK</x:v>
      </x:c>
      <x:c r="B39" s="128" t="str">
        <x:v>TO CONFIRM</x:v>
      </x:c>
      <x:c r="C39" s="128" t="n">
        <x:v>1</x:v>
      </x:c>
      <x:c r="D39" s="128" t="str">
        <x:v>CUTTING</x:v>
      </x:c>
      <x:c r="E39" s="128" t="str">
        <x:v>CUTTING</x:v>
      </x:c>
      <x:c r="F39" s="137" t="str"/>
      <x:c r="G39" s="137" t="str">
        <x:v>Yes</x:v>
      </x:c>
      <x:c r="H39" s="137" t="str">
        <x:v>Pooled</x:v>
      </x:c>
      <x:c r="I39" s="137" t="n">
        <x:v>8</x:v>
      </x:c>
      <x:c r="J39" s="137" t="str"/>
      <x:c r="K39" s="137" t="str"/>
      <x:c r="L39" s="137" t="str"/>
      <x:c r="M39" s="137" t="str">
        <x:v>No</x:v>
      </x:c>
      <x:c r="N39" s="138" t="str"/>
      <x:c r="O39" s="137" t="str"/>
      <x:c r="P39" s="137" t="str">
        <x:v>To Confirm</x:v>
      </x:c>
      <x:c r="Q39" s="137" t="str"/>
    </x:row>
    <x:row r="40">
      <x:c r="A40" s="128" t="str">
        <x:v>SILKY BELLY BLACK</x:v>
      </x:c>
      <x:c r="B40" s="128" t="str">
        <x:v>TO CONFIRM</x:v>
      </x:c>
      <x:c r="C40" s="128" t="n">
        <x:v>2</x:v>
      </x:c>
      <x:c r="D40" s="128" t="str">
        <x:v>PREPARATION</x:v>
      </x:c>
      <x:c r="E40" s="128" t="str">
        <x:v>PREPARATION</x:v>
      </x:c>
      <x:c r="F40" s="137" t="str"/>
      <x:c r="G40" s="137" t="str">
        <x:v>Yes</x:v>
      </x:c>
      <x:c r="H40" s="137" t="str">
        <x:v>Pooled</x:v>
      </x:c>
      <x:c r="I40" s="137" t="n">
        <x:v>11</x:v>
      </x:c>
      <x:c r="J40" s="137" t="str"/>
      <x:c r="K40" s="137" t="str"/>
      <x:c r="L40" s="137" t="str"/>
      <x:c r="M40" s="137" t="str">
        <x:v>No</x:v>
      </x:c>
      <x:c r="N40" s="138" t="str"/>
      <x:c r="O40" s="137" t="str"/>
      <x:c r="P40" s="137" t="str">
        <x:v>To Confirm</x:v>
      </x:c>
      <x:c r="Q40" s="137" t="str"/>
    </x:row>
    <x:row r="41">
      <x:c r="A41" s="128" t="str">
        <x:v>SILKY BELLY BLACK</x:v>
      </x:c>
      <x:c r="B41" s="128" t="str">
        <x:v>TO CONFIRM</x:v>
      </x:c>
      <x:c r="C41" s="128" t="n">
        <x:v>3</x:v>
      </x:c>
      <x:c r="D41" s="128" t="str">
        <x:v>STITCHING</x:v>
      </x:c>
      <x:c r="E41" s="128" t="str">
        <x:v>STITCHING</x:v>
      </x:c>
      <x:c r="F41" s="137" t="str"/>
      <x:c r="G41" s="137" t="str">
        <x:v>Yes</x:v>
      </x:c>
      <x:c r="H41" s="137" t="str">
        <x:v>Pooled</x:v>
      </x:c>
      <x:c r="I41" s="137" t="n">
        <x:v>15</x:v>
      </x:c>
      <x:c r="J41" s="137" t="str"/>
      <x:c r="K41" s="137" t="str"/>
      <x:c r="L41" s="137" t="str"/>
      <x:c r="M41" s="137" t="str">
        <x:v>No</x:v>
      </x:c>
      <x:c r="N41" s="138" t="str"/>
      <x:c r="O41" s="137" t="str"/>
      <x:c r="P41" s="137" t="str">
        <x:v>To Confirm</x:v>
      </x:c>
      <x:c r="Q41" s="137" t="str"/>
    </x:row>
    <x:row r="42">
      <x:c r="A42" s="128" t="str">
        <x:v>SILKY BELLY BLACK</x:v>
      </x:c>
      <x:c r="B42" s="128" t="str">
        <x:v>TO CONFIRM</x:v>
      </x:c>
      <x:c r="C42" s="128" t="n">
        <x:v>4</x:v>
      </x:c>
      <x:c r="D42" s="128" t="str">
        <x:v>UPPER_QC</x:v>
      </x:c>
      <x:c r="E42" s="128" t="str">
        <x:v>UPPER_QC</x:v>
      </x:c>
      <x:c r="F42" s="137" t="str"/>
      <x:c r="G42" s="137" t="str">
        <x:v>Yes</x:v>
      </x:c>
      <x:c r="H42" s="137" t="str">
        <x:v>Pooled</x:v>
      </x:c>
      <x:c r="I42" s="137" t="n">
        <x:v>18</x:v>
      </x:c>
      <x:c r="J42" s="137" t="str"/>
      <x:c r="K42" s="137" t="str"/>
      <x:c r="L42" s="137" t="str"/>
      <x:c r="M42" s="137" t="str">
        <x:v>No</x:v>
      </x:c>
      <x:c r="N42" s="138" t="str"/>
      <x:c r="O42" s="137" t="str"/>
      <x:c r="P42" s="137" t="str">
        <x:v>To Confirm</x:v>
      </x:c>
      <x:c r="Q42" s="137" t="str"/>
    </x:row>
    <x:row r="43">
      <x:c r="A43" s="128" t="str">
        <x:v>SILKY BELLY BLACK</x:v>
      </x:c>
      <x:c r="B43" s="128" t="str">
        <x:v>TO CONFIRM</x:v>
      </x:c>
      <x:c r="C43" s="128" t="n">
        <x:v>5</x:v>
      </x:c>
      <x:c r="D43" s="128" t="str">
        <x:v>MOLDING</x:v>
      </x:c>
      <x:c r="E43" s="128" t="str">
        <x:v>PVC MACHINE TO CONFIRM</x:v>
      </x:c>
      <x:c r="F43" s="137" t="str"/>
      <x:c r="G43" s="137" t="str">
        <x:v>Yes</x:v>
      </x:c>
      <x:c r="H43" s="137" t="str">
        <x:v>Exclusive</x:v>
      </x:c>
      <x:c r="I43" s="137" t="n">
        <x:v>22</x:v>
      </x:c>
      <x:c r="J43" s="137" t="str"/>
      <x:c r="K43" s="137" t="str"/>
      <x:c r="L43" s="137" t="str"/>
      <x:c r="M43" s="137" t="str">
        <x:v>No</x:v>
      </x:c>
      <x:c r="N43" s="138" t="str"/>
      <x:c r="O43" s="137" t="str"/>
      <x:c r="P43" s="137" t="str">
        <x:v>To Confirm</x:v>
      </x:c>
      <x:c r="Q43" s="137" t="str"/>
    </x:row>
    <x:row r="44">
      <x:c r="A44" s="128" t="str">
        <x:v>SILKY BELLY BLACK</x:v>
      </x:c>
      <x:c r="B44" s="128" t="str">
        <x:v>TO CONFIRM</x:v>
      </x:c>
      <x:c r="C44" s="128" t="n">
        <x:v>6</x:v>
      </x:c>
      <x:c r="D44" s="128" t="str">
        <x:v>PACKING</x:v>
      </x:c>
      <x:c r="E44" s="128" t="str">
        <x:v>PACKING</x:v>
      </x:c>
      <x:c r="F44" s="137" t="str"/>
      <x:c r="G44" s="137" t="str">
        <x:v>Yes</x:v>
      </x:c>
      <x:c r="H44" s="137" t="str">
        <x:v>Pooled</x:v>
      </x:c>
      <x:c r="I44" s="137" t="n">
        <x:v>28</x:v>
      </x:c>
      <x:c r="J44" s="137" t="str"/>
      <x:c r="K44" s="137" t="str"/>
      <x:c r="L44" s="137" t="str"/>
      <x:c r="M44" s="137" t="str">
        <x:v>No</x:v>
      </x:c>
      <x:c r="N44" s="138" t="str"/>
      <x:c r="O44" s="137" t="str"/>
      <x:c r="P44" s="137" t="str">
        <x:v>To Confirm</x:v>
      </x:c>
      <x:c r="Q44" s="137" t="str"/>
    </x:row>
    <x:row r="45">
      <x:c r="A45" s="128" t="str">
        <x:v>SILKY BELLY BLACK</x:v>
      </x:c>
      <x:c r="B45" s="128" t="str">
        <x:v>TO CONFIRM</x:v>
      </x:c>
      <x:c r="C45" s="128" t="n">
        <x:v>7</x:v>
      </x:c>
      <x:c r="D45" s="128" t="str">
        <x:v>DISPATCH</x:v>
      </x:c>
      <x:c r="E45" s="128" t="str">
        <x:v>DISPATCH</x:v>
      </x:c>
      <x:c r="F45" s="137" t="str"/>
      <x:c r="G45" s="137" t="str">
        <x:v>Yes</x:v>
      </x:c>
      <x:c r="H45" s="137" t="str">
        <x:v>Pooled</x:v>
      </x:c>
      <x:c r="I45" s="137" t="n">
        <x:v>30</x:v>
      </x:c>
      <x:c r="J45" s="137" t="str"/>
      <x:c r="K45" s="137" t="str"/>
      <x:c r="L45" s="137" t="str"/>
      <x:c r="M45" s="137" t="str">
        <x:v>No</x:v>
      </x:c>
      <x:c r="N45" s="138" t="str"/>
      <x:c r="O45" s="137" t="str"/>
      <x:c r="P45" s="137" t="str">
        <x:v>To Confirm</x:v>
      </x:c>
      <x:c r="Q45" s="137" t="str"/>
    </x:row>
    <x:row r="46">
      <x:c r="A46" s="128" t="str">
        <x:v>SILKY BELLY WHITE</x:v>
      </x:c>
      <x:c r="B46" s="128" t="str">
        <x:v>TO CONFIRM</x:v>
      </x:c>
      <x:c r="C46" s="128" t="n">
        <x:v>1</x:v>
      </x:c>
      <x:c r="D46" s="128" t="str">
        <x:v>CUTTING</x:v>
      </x:c>
      <x:c r="E46" s="128" t="str">
        <x:v>CUTTING</x:v>
      </x:c>
      <x:c r="F46" s="137" t="str"/>
      <x:c r="G46" s="137" t="str">
        <x:v>Yes</x:v>
      </x:c>
      <x:c r="H46" s="137" t="str">
        <x:v>Pooled</x:v>
      </x:c>
      <x:c r="I46" s="137" t="n">
        <x:v>8</x:v>
      </x:c>
      <x:c r="J46" s="137" t="str"/>
      <x:c r="K46" s="137" t="str"/>
      <x:c r="L46" s="137" t="str"/>
      <x:c r="M46" s="137" t="str">
        <x:v>No</x:v>
      </x:c>
      <x:c r="N46" s="138" t="str"/>
      <x:c r="O46" s="137" t="str"/>
      <x:c r="P46" s="137" t="str">
        <x:v>To Confirm</x:v>
      </x:c>
      <x:c r="Q46" s="137" t="str"/>
    </x:row>
    <x:row r="47">
      <x:c r="A47" s="128" t="str">
        <x:v>SILKY BELLY WHITE</x:v>
      </x:c>
      <x:c r="B47" s="128" t="str">
        <x:v>TO CONFIRM</x:v>
      </x:c>
      <x:c r="C47" s="128" t="n">
        <x:v>2</x:v>
      </x:c>
      <x:c r="D47" s="128" t="str">
        <x:v>PREPARATION</x:v>
      </x:c>
      <x:c r="E47" s="128" t="str">
        <x:v>PREPARATION</x:v>
      </x:c>
      <x:c r="F47" s="137" t="str"/>
      <x:c r="G47" s="137" t="str">
        <x:v>Yes</x:v>
      </x:c>
      <x:c r="H47" s="137" t="str">
        <x:v>Pooled</x:v>
      </x:c>
      <x:c r="I47" s="137" t="n">
        <x:v>11</x:v>
      </x:c>
      <x:c r="J47" s="137" t="str"/>
      <x:c r="K47" s="137" t="str"/>
      <x:c r="L47" s="137" t="str"/>
      <x:c r="M47" s="137" t="str">
        <x:v>No</x:v>
      </x:c>
      <x:c r="N47" s="138" t="str"/>
      <x:c r="O47" s="137" t="str"/>
      <x:c r="P47" s="137" t="str">
        <x:v>To Confirm</x:v>
      </x:c>
      <x:c r="Q47" s="137" t="str"/>
    </x:row>
    <x:row r="48">
      <x:c r="A48" s="128" t="str">
        <x:v>SILKY BELLY WHITE</x:v>
      </x:c>
      <x:c r="B48" s="128" t="str">
        <x:v>TO CONFIRM</x:v>
      </x:c>
      <x:c r="C48" s="128" t="n">
        <x:v>3</x:v>
      </x:c>
      <x:c r="D48" s="128" t="str">
        <x:v>STITCHING</x:v>
      </x:c>
      <x:c r="E48" s="128" t="str">
        <x:v>STITCHING</x:v>
      </x:c>
      <x:c r="F48" s="137" t="str"/>
      <x:c r="G48" s="137" t="str">
        <x:v>Yes</x:v>
      </x:c>
      <x:c r="H48" s="137" t="str">
        <x:v>Pooled</x:v>
      </x:c>
      <x:c r="I48" s="137" t="n">
        <x:v>15</x:v>
      </x:c>
      <x:c r="J48" s="137" t="str"/>
      <x:c r="K48" s="137" t="str"/>
      <x:c r="L48" s="137" t="str"/>
      <x:c r="M48" s="137" t="str">
        <x:v>No</x:v>
      </x:c>
      <x:c r="N48" s="138" t="str"/>
      <x:c r="O48" s="137" t="str"/>
      <x:c r="P48" s="137" t="str">
        <x:v>To Confirm</x:v>
      </x:c>
      <x:c r="Q48" s="137" t="str"/>
    </x:row>
    <x:row r="49">
      <x:c r="A49" s="128" t="str">
        <x:v>SILKY BELLY WHITE</x:v>
      </x:c>
      <x:c r="B49" s="128" t="str">
        <x:v>TO CONFIRM</x:v>
      </x:c>
      <x:c r="C49" s="128" t="n">
        <x:v>4</x:v>
      </x:c>
      <x:c r="D49" s="128" t="str">
        <x:v>UPPER_QC</x:v>
      </x:c>
      <x:c r="E49" s="128" t="str">
        <x:v>UPPER_QC</x:v>
      </x:c>
      <x:c r="F49" s="137" t="str"/>
      <x:c r="G49" s="137" t="str">
        <x:v>Yes</x:v>
      </x:c>
      <x:c r="H49" s="137" t="str">
        <x:v>Pooled</x:v>
      </x:c>
      <x:c r="I49" s="137" t="n">
        <x:v>18</x:v>
      </x:c>
      <x:c r="J49" s="137" t="str"/>
      <x:c r="K49" s="137" t="str"/>
      <x:c r="L49" s="137" t="str"/>
      <x:c r="M49" s="137" t="str">
        <x:v>No</x:v>
      </x:c>
      <x:c r="N49" s="138" t="str"/>
      <x:c r="O49" s="137" t="str"/>
      <x:c r="P49" s="137" t="str">
        <x:v>To Confirm</x:v>
      </x:c>
      <x:c r="Q49" s="137" t="str"/>
    </x:row>
    <x:row r="50">
      <x:c r="A50" s="128" t="str">
        <x:v>SILKY BELLY WHITE</x:v>
      </x:c>
      <x:c r="B50" s="128" t="str">
        <x:v>TO CONFIRM</x:v>
      </x:c>
      <x:c r="C50" s="128" t="n">
        <x:v>5</x:v>
      </x:c>
      <x:c r="D50" s="128" t="str">
        <x:v>MOLDING</x:v>
      </x:c>
      <x:c r="E50" s="128" t="str">
        <x:v>PVC MACHINE TO CONFIRM</x:v>
      </x:c>
      <x:c r="F50" s="137" t="str"/>
      <x:c r="G50" s="137" t="str">
        <x:v>Yes</x:v>
      </x:c>
      <x:c r="H50" s="137" t="str">
        <x:v>Exclusive</x:v>
      </x:c>
      <x:c r="I50" s="137" t="n">
        <x:v>22</x:v>
      </x:c>
      <x:c r="J50" s="137" t="str"/>
      <x:c r="K50" s="137" t="str"/>
      <x:c r="L50" s="137" t="str"/>
      <x:c r="M50" s="137" t="str">
        <x:v>No</x:v>
      </x:c>
      <x:c r="N50" s="138" t="str"/>
      <x:c r="O50" s="137" t="str"/>
      <x:c r="P50" s="137" t="str">
        <x:v>To Confirm</x:v>
      </x:c>
      <x:c r="Q50" s="137" t="str"/>
    </x:row>
    <x:row r="51">
      <x:c r="A51" s="128" t="str">
        <x:v>SILKY BELLY WHITE</x:v>
      </x:c>
      <x:c r="B51" s="128" t="str">
        <x:v>TO CONFIRM</x:v>
      </x:c>
      <x:c r="C51" s="128" t="n">
        <x:v>6</x:v>
      </x:c>
      <x:c r="D51" s="128" t="str">
        <x:v>PACKING</x:v>
      </x:c>
      <x:c r="E51" s="128" t="str">
        <x:v>PACKING</x:v>
      </x:c>
      <x:c r="F51" s="137" t="str"/>
      <x:c r="G51" s="137" t="str">
        <x:v>Yes</x:v>
      </x:c>
      <x:c r="H51" s="137" t="str">
        <x:v>Pooled</x:v>
      </x:c>
      <x:c r="I51" s="137" t="n">
        <x:v>28</x:v>
      </x:c>
      <x:c r="J51" s="137" t="str"/>
      <x:c r="K51" s="137" t="str"/>
      <x:c r="L51" s="137" t="str"/>
      <x:c r="M51" s="137" t="str">
        <x:v>No</x:v>
      </x:c>
      <x:c r="N51" s="138" t="str"/>
      <x:c r="O51" s="137" t="str"/>
      <x:c r="P51" s="137" t="str">
        <x:v>To Confirm</x:v>
      </x:c>
      <x:c r="Q51" s="137" t="str"/>
    </x:row>
    <x:row r="52">
      <x:c r="A52" s="128" t="str">
        <x:v>SILKY BELLY WHITE</x:v>
      </x:c>
      <x:c r="B52" s="128" t="str">
        <x:v>TO CONFIRM</x:v>
      </x:c>
      <x:c r="C52" s="128" t="n">
        <x:v>7</x:v>
      </x:c>
      <x:c r="D52" s="128" t="str">
        <x:v>DISPATCH</x:v>
      </x:c>
      <x:c r="E52" s="128" t="str">
        <x:v>DISPATCH</x:v>
      </x:c>
      <x:c r="F52" s="137" t="str"/>
      <x:c r="G52" s="137" t="str">
        <x:v>Yes</x:v>
      </x:c>
      <x:c r="H52" s="137" t="str">
        <x:v>Pooled</x:v>
      </x:c>
      <x:c r="I52" s="137" t="n">
        <x:v>30</x:v>
      </x:c>
      <x:c r="J52" s="137" t="str"/>
      <x:c r="K52" s="137" t="str"/>
      <x:c r="L52" s="137" t="str"/>
      <x:c r="M52" s="137" t="str">
        <x:v>No</x:v>
      </x:c>
      <x:c r="N52" s="138" t="str"/>
      <x:c r="O52" s="137" t="str"/>
      <x:c r="P52" s="137" t="str">
        <x:v>To Confirm</x:v>
      </x:c>
      <x:c r="Q52" s="137" t="str"/>
    </x:row>
    <x:row r="53">
      <x:c r="A53" s="128" t="str">
        <x:v>SMART BOY (L) BLACK</x:v>
      </x:c>
      <x:c r="B53" s="128" t="str">
        <x:v>LACE</x:v>
      </x:c>
      <x:c r="C53" s="128" t="n">
        <x:v>1</x:v>
      </x:c>
      <x:c r="D53" s="128" t="str">
        <x:v>CUTTING</x:v>
      </x:c>
      <x:c r="E53" s="128" t="str">
        <x:v>CUTTING</x:v>
      </x:c>
      <x:c r="F53" s="137" t="str"/>
      <x:c r="G53" s="137" t="str">
        <x:v>Yes</x:v>
      </x:c>
      <x:c r="H53" s="137" t="str">
        <x:v>Pooled</x:v>
      </x:c>
      <x:c r="I53" s="137" t="n">
        <x:v>8</x:v>
      </x:c>
      <x:c r="J53" s="137" t="str"/>
      <x:c r="K53" s="137" t="str"/>
      <x:c r="L53" s="137" t="str"/>
      <x:c r="M53" s="137" t="str">
        <x:v>No</x:v>
      </x:c>
      <x:c r="N53" s="138" t="str"/>
      <x:c r="O53" s="137" t="str"/>
      <x:c r="P53" s="137" t="str">
        <x:v>To Confirm</x:v>
      </x:c>
      <x:c r="Q53" s="137" t="str"/>
    </x:row>
    <x:row r="54">
      <x:c r="A54" s="128" t="str">
        <x:v>SMART BOY (L) BLACK</x:v>
      </x:c>
      <x:c r="B54" s="128" t="str">
        <x:v>LACE</x:v>
      </x:c>
      <x:c r="C54" s="128" t="n">
        <x:v>2</x:v>
      </x:c>
      <x:c r="D54" s="128" t="str">
        <x:v>PREPARATION</x:v>
      </x:c>
      <x:c r="E54" s="128" t="str">
        <x:v>PREPARATION</x:v>
      </x:c>
      <x:c r="F54" s="137" t="str"/>
      <x:c r="G54" s="137" t="str">
        <x:v>Yes</x:v>
      </x:c>
      <x:c r="H54" s="137" t="str">
        <x:v>Pooled</x:v>
      </x:c>
      <x:c r="I54" s="137" t="n">
        <x:v>11</x:v>
      </x:c>
      <x:c r="J54" s="137" t="str"/>
      <x:c r="K54" s="137" t="str"/>
      <x:c r="L54" s="137" t="str"/>
      <x:c r="M54" s="137" t="str">
        <x:v>No</x:v>
      </x:c>
      <x:c r="N54" s="138" t="str"/>
      <x:c r="O54" s="137" t="str"/>
      <x:c r="P54" s="137" t="str">
        <x:v>To Confirm</x:v>
      </x:c>
      <x:c r="Q54" s="137" t="str"/>
    </x:row>
    <x:row r="55">
      <x:c r="A55" s="128" t="str">
        <x:v>SMART BOY (L) BLACK</x:v>
      </x:c>
      <x:c r="B55" s="128" t="str">
        <x:v>LACE</x:v>
      </x:c>
      <x:c r="C55" s="128" t="n">
        <x:v>3</x:v>
      </x:c>
      <x:c r="D55" s="128" t="str">
        <x:v>STITCHING</x:v>
      </x:c>
      <x:c r="E55" s="128" t="str">
        <x:v>STITCHING</x:v>
      </x:c>
      <x:c r="F55" s="137" t="str"/>
      <x:c r="G55" s="137" t="str">
        <x:v>Yes</x:v>
      </x:c>
      <x:c r="H55" s="137" t="str">
        <x:v>Pooled</x:v>
      </x:c>
      <x:c r="I55" s="137" t="n">
        <x:v>15</x:v>
      </x:c>
      <x:c r="J55" s="137" t="str"/>
      <x:c r="K55" s="137" t="str"/>
      <x:c r="L55" s="137" t="str"/>
      <x:c r="M55" s="137" t="str">
        <x:v>No</x:v>
      </x:c>
      <x:c r="N55" s="138" t="str"/>
      <x:c r="O55" s="137" t="str"/>
      <x:c r="P55" s="137" t="str">
        <x:v>To Confirm</x:v>
      </x:c>
      <x:c r="Q55" s="137" t="str"/>
    </x:row>
    <x:row r="56">
      <x:c r="A56" s="128" t="str">
        <x:v>SMART BOY (L) BLACK</x:v>
      </x:c>
      <x:c r="B56" s="128" t="str">
        <x:v>LACE</x:v>
      </x:c>
      <x:c r="C56" s="128" t="n">
        <x:v>4</x:v>
      </x:c>
      <x:c r="D56" s="128" t="str">
        <x:v>UPPER_QC</x:v>
      </x:c>
      <x:c r="E56" s="128" t="str">
        <x:v>UPPER_QC</x:v>
      </x:c>
      <x:c r="F56" s="137" t="str"/>
      <x:c r="G56" s="137" t="str">
        <x:v>Yes</x:v>
      </x:c>
      <x:c r="H56" s="137" t="str">
        <x:v>Pooled</x:v>
      </x:c>
      <x:c r="I56" s="137" t="n">
        <x:v>18</x:v>
      </x:c>
      <x:c r="J56" s="137" t="str"/>
      <x:c r="K56" s="137" t="str"/>
      <x:c r="L56" s="137" t="str"/>
      <x:c r="M56" s="137" t="str">
        <x:v>No</x:v>
      </x:c>
      <x:c r="N56" s="138" t="str"/>
      <x:c r="O56" s="137" t="str"/>
      <x:c r="P56" s="137" t="str">
        <x:v>To Confirm</x:v>
      </x:c>
      <x:c r="Q56" s="137" t="str"/>
    </x:row>
    <x:row r="57">
      <x:c r="A57" s="128" t="str">
        <x:v>SMART BOY (L) BLACK</x:v>
      </x:c>
      <x:c r="B57" s="128" t="str">
        <x:v>LACE</x:v>
      </x:c>
      <x:c r="C57" s="128" t="n">
        <x:v>5</x:v>
      </x:c>
      <x:c r="D57" s="128" t="str">
        <x:v>MOLDING</x:v>
      </x:c>
      <x:c r="E57" s="128" t="str">
        <x:v>PVC MACHINE TO CONFIRM</x:v>
      </x:c>
      <x:c r="F57" s="137" t="str"/>
      <x:c r="G57" s="137" t="str">
        <x:v>Yes</x:v>
      </x:c>
      <x:c r="H57" s="137" t="str">
        <x:v>Exclusive</x:v>
      </x:c>
      <x:c r="I57" s="137" t="n">
        <x:v>22</x:v>
      </x:c>
      <x:c r="J57" s="137" t="str"/>
      <x:c r="K57" s="137" t="str"/>
      <x:c r="L57" s="137" t="str"/>
      <x:c r="M57" s="137" t="str">
        <x:v>No</x:v>
      </x:c>
      <x:c r="N57" s="138" t="str"/>
      <x:c r="O57" s="137" t="str"/>
      <x:c r="P57" s="137" t="str">
        <x:v>To Confirm</x:v>
      </x:c>
      <x:c r="Q57" s="137" t="str"/>
    </x:row>
    <x:row r="58">
      <x:c r="A58" s="128" t="str">
        <x:v>SMART BOY (L) BLACK</x:v>
      </x:c>
      <x:c r="B58" s="128" t="str">
        <x:v>LACE</x:v>
      </x:c>
      <x:c r="C58" s="128" t="n">
        <x:v>6</x:v>
      </x:c>
      <x:c r="D58" s="128" t="str">
        <x:v>PACKING</x:v>
      </x:c>
      <x:c r="E58" s="128" t="str">
        <x:v>PACKING</x:v>
      </x:c>
      <x:c r="F58" s="137" t="str"/>
      <x:c r="G58" s="137" t="str">
        <x:v>Yes</x:v>
      </x:c>
      <x:c r="H58" s="137" t="str">
        <x:v>Pooled</x:v>
      </x:c>
      <x:c r="I58" s="137" t="n">
        <x:v>28</x:v>
      </x:c>
      <x:c r="J58" s="137" t="str"/>
      <x:c r="K58" s="137" t="str"/>
      <x:c r="L58" s="137" t="str"/>
      <x:c r="M58" s="137" t="str">
        <x:v>No</x:v>
      </x:c>
      <x:c r="N58" s="138" t="str"/>
      <x:c r="O58" s="137" t="str"/>
      <x:c r="P58" s="137" t="str">
        <x:v>To Confirm</x:v>
      </x:c>
      <x:c r="Q58" s="137" t="str"/>
    </x:row>
    <x:row r="59">
      <x:c r="A59" s="128" t="str">
        <x:v>SMART BOY (L) BLACK</x:v>
      </x:c>
      <x:c r="B59" s="128" t="str">
        <x:v>LACE</x:v>
      </x:c>
      <x:c r="C59" s="128" t="n">
        <x:v>7</x:v>
      </x:c>
      <x:c r="D59" s="128" t="str">
        <x:v>DISPATCH</x:v>
      </x:c>
      <x:c r="E59" s="128" t="str">
        <x:v>DISPATCH</x:v>
      </x:c>
      <x:c r="F59" s="137" t="str"/>
      <x:c r="G59" s="137" t="str">
        <x:v>Yes</x:v>
      </x:c>
      <x:c r="H59" s="137" t="str">
        <x:v>Pooled</x:v>
      </x:c>
      <x:c r="I59" s="137" t="n">
        <x:v>30</x:v>
      </x:c>
      <x:c r="J59" s="137" t="str"/>
      <x:c r="K59" s="137" t="str"/>
      <x:c r="L59" s="137" t="str"/>
      <x:c r="M59" s="137" t="str">
        <x:v>No</x:v>
      </x:c>
      <x:c r="N59" s="138" t="str"/>
      <x:c r="O59" s="137" t="str"/>
      <x:c r="P59" s="137" t="str">
        <x:v>To Confirm</x:v>
      </x:c>
      <x:c r="Q59" s="137" t="str"/>
    </x:row>
    <x:row r="60">
      <x:c r="A60" s="128" t="str">
        <x:v>SMART BOY (L) WHITE</x:v>
      </x:c>
      <x:c r="B60" s="128" t="str">
        <x:v>LACE</x:v>
      </x:c>
      <x:c r="C60" s="128" t="n">
        <x:v>1</x:v>
      </x:c>
      <x:c r="D60" s="128" t="str">
        <x:v>CUTTING</x:v>
      </x:c>
      <x:c r="E60" s="128" t="str">
        <x:v>CUTTING</x:v>
      </x:c>
      <x:c r="F60" s="137" t="str"/>
      <x:c r="G60" s="137" t="str">
        <x:v>Yes</x:v>
      </x:c>
      <x:c r="H60" s="137" t="str">
        <x:v>Pooled</x:v>
      </x:c>
      <x:c r="I60" s="137" t="n">
        <x:v>8</x:v>
      </x:c>
      <x:c r="J60" s="137" t="str"/>
      <x:c r="K60" s="137" t="str"/>
      <x:c r="L60" s="137" t="str"/>
      <x:c r="M60" s="137" t="str">
        <x:v>No</x:v>
      </x:c>
      <x:c r="N60" s="138" t="str"/>
      <x:c r="O60" s="137" t="str"/>
      <x:c r="P60" s="137" t="str">
        <x:v>To Confirm</x:v>
      </x:c>
      <x:c r="Q60" s="137" t="str"/>
    </x:row>
    <x:row r="61">
      <x:c r="A61" s="128" t="str">
        <x:v>SMART BOY (L) WHITE</x:v>
      </x:c>
      <x:c r="B61" s="128" t="str">
        <x:v>LACE</x:v>
      </x:c>
      <x:c r="C61" s="128" t="n">
        <x:v>2</x:v>
      </x:c>
      <x:c r="D61" s="128" t="str">
        <x:v>PREPARATION</x:v>
      </x:c>
      <x:c r="E61" s="128" t="str">
        <x:v>PREPARATION</x:v>
      </x:c>
      <x:c r="F61" s="137" t="str"/>
      <x:c r="G61" s="137" t="str">
        <x:v>Yes</x:v>
      </x:c>
      <x:c r="H61" s="137" t="str">
        <x:v>Pooled</x:v>
      </x:c>
      <x:c r="I61" s="137" t="n">
        <x:v>11</x:v>
      </x:c>
      <x:c r="J61" s="137" t="str"/>
      <x:c r="K61" s="137" t="str"/>
      <x:c r="L61" s="137" t="str"/>
      <x:c r="M61" s="137" t="str">
        <x:v>No</x:v>
      </x:c>
      <x:c r="N61" s="138" t="str"/>
      <x:c r="O61" s="137" t="str"/>
      <x:c r="P61" s="137" t="str">
        <x:v>To Confirm</x:v>
      </x:c>
      <x:c r="Q61" s="137" t="str"/>
    </x:row>
    <x:row r="62">
      <x:c r="A62" s="128" t="str">
        <x:v>SMART BOY (L) WHITE</x:v>
      </x:c>
      <x:c r="B62" s="128" t="str">
        <x:v>LACE</x:v>
      </x:c>
      <x:c r="C62" s="128" t="n">
        <x:v>3</x:v>
      </x:c>
      <x:c r="D62" s="128" t="str">
        <x:v>STITCHING</x:v>
      </x:c>
      <x:c r="E62" s="128" t="str">
        <x:v>STITCHING</x:v>
      </x:c>
      <x:c r="F62" s="137" t="str"/>
      <x:c r="G62" s="137" t="str">
        <x:v>Yes</x:v>
      </x:c>
      <x:c r="H62" s="137" t="str">
        <x:v>Pooled</x:v>
      </x:c>
      <x:c r="I62" s="137" t="n">
        <x:v>15</x:v>
      </x:c>
      <x:c r="J62" s="137" t="str"/>
      <x:c r="K62" s="137" t="str"/>
      <x:c r="L62" s="137" t="str"/>
      <x:c r="M62" s="137" t="str">
        <x:v>No</x:v>
      </x:c>
      <x:c r="N62" s="138" t="str"/>
      <x:c r="O62" s="137" t="str"/>
      <x:c r="P62" s="137" t="str">
        <x:v>To Confirm</x:v>
      </x:c>
      <x:c r="Q62" s="137" t="str"/>
    </x:row>
    <x:row r="63">
      <x:c r="A63" s="128" t="str">
        <x:v>SMART BOY (L) WHITE</x:v>
      </x:c>
      <x:c r="B63" s="128" t="str">
        <x:v>LACE</x:v>
      </x:c>
      <x:c r="C63" s="128" t="n">
        <x:v>4</x:v>
      </x:c>
      <x:c r="D63" s="128" t="str">
        <x:v>UPPER_QC</x:v>
      </x:c>
      <x:c r="E63" s="128" t="str">
        <x:v>UPPER_QC</x:v>
      </x:c>
      <x:c r="F63" s="137" t="str"/>
      <x:c r="G63" s="137" t="str">
        <x:v>Yes</x:v>
      </x:c>
      <x:c r="H63" s="137" t="str">
        <x:v>Pooled</x:v>
      </x:c>
      <x:c r="I63" s="137" t="n">
        <x:v>18</x:v>
      </x:c>
      <x:c r="J63" s="137" t="str"/>
      <x:c r="K63" s="137" t="str"/>
      <x:c r="L63" s="137" t="str"/>
      <x:c r="M63" s="137" t="str">
        <x:v>No</x:v>
      </x:c>
      <x:c r="N63" s="138" t="str"/>
      <x:c r="O63" s="137" t="str"/>
      <x:c r="P63" s="137" t="str">
        <x:v>To Confirm</x:v>
      </x:c>
      <x:c r="Q63" s="137" t="str"/>
    </x:row>
    <x:row r="64">
      <x:c r="A64" s="128" t="str">
        <x:v>SMART BOY (L) WHITE</x:v>
      </x:c>
      <x:c r="B64" s="128" t="str">
        <x:v>LACE</x:v>
      </x:c>
      <x:c r="C64" s="128" t="n">
        <x:v>5</x:v>
      </x:c>
      <x:c r="D64" s="128" t="str">
        <x:v>MOLDING</x:v>
      </x:c>
      <x:c r="E64" s="128" t="str">
        <x:v>PVC MACHINE TO CONFIRM</x:v>
      </x:c>
      <x:c r="F64" s="137" t="str"/>
      <x:c r="G64" s="137" t="str">
        <x:v>Yes</x:v>
      </x:c>
      <x:c r="H64" s="137" t="str">
        <x:v>Exclusive</x:v>
      </x:c>
      <x:c r="I64" s="137" t="n">
        <x:v>22</x:v>
      </x:c>
      <x:c r="J64" s="137" t="str"/>
      <x:c r="K64" s="137" t="str"/>
      <x:c r="L64" s="137" t="str"/>
      <x:c r="M64" s="137" t="str">
        <x:v>No</x:v>
      </x:c>
      <x:c r="N64" s="138" t="str"/>
      <x:c r="O64" s="137" t="str"/>
      <x:c r="P64" s="137" t="str">
        <x:v>To Confirm</x:v>
      </x:c>
      <x:c r="Q64" s="137" t="str"/>
    </x:row>
    <x:row r="65">
      <x:c r="A65" s="128" t="str">
        <x:v>SMART BOY (L) WHITE</x:v>
      </x:c>
      <x:c r="B65" s="128" t="str">
        <x:v>LACE</x:v>
      </x:c>
      <x:c r="C65" s="128" t="n">
        <x:v>6</x:v>
      </x:c>
      <x:c r="D65" s="128" t="str">
        <x:v>PACKING</x:v>
      </x:c>
      <x:c r="E65" s="128" t="str">
        <x:v>PACKING</x:v>
      </x:c>
      <x:c r="F65" s="137" t="str"/>
      <x:c r="G65" s="137" t="str">
        <x:v>Yes</x:v>
      </x:c>
      <x:c r="H65" s="137" t="str">
        <x:v>Pooled</x:v>
      </x:c>
      <x:c r="I65" s="137" t="n">
        <x:v>28</x:v>
      </x:c>
      <x:c r="J65" s="137" t="str"/>
      <x:c r="K65" s="137" t="str"/>
      <x:c r="L65" s="137" t="str"/>
      <x:c r="M65" s="137" t="str">
        <x:v>No</x:v>
      </x:c>
      <x:c r="N65" s="138" t="str"/>
      <x:c r="O65" s="137" t="str"/>
      <x:c r="P65" s="137" t="str">
        <x:v>To Confirm</x:v>
      </x:c>
      <x:c r="Q65" s="137" t="str"/>
    </x:row>
    <x:row r="66">
      <x:c r="A66" s="128" t="str">
        <x:v>SMART BOY (L) WHITE</x:v>
      </x:c>
      <x:c r="B66" s="128" t="str">
        <x:v>LACE</x:v>
      </x:c>
      <x:c r="C66" s="128" t="n">
        <x:v>7</x:v>
      </x:c>
      <x:c r="D66" s="128" t="str">
        <x:v>DISPATCH</x:v>
      </x:c>
      <x:c r="E66" s="128" t="str">
        <x:v>DISPATCH</x:v>
      </x:c>
      <x:c r="F66" s="137" t="str"/>
      <x:c r="G66" s="137" t="str">
        <x:v>Yes</x:v>
      </x:c>
      <x:c r="H66" s="137" t="str">
        <x:v>Pooled</x:v>
      </x:c>
      <x:c r="I66" s="137" t="n">
        <x:v>30</x:v>
      </x:c>
      <x:c r="J66" s="137" t="str"/>
      <x:c r="K66" s="137" t="str"/>
      <x:c r="L66" s="137" t="str"/>
      <x:c r="M66" s="137" t="str">
        <x:v>No</x:v>
      </x:c>
      <x:c r="N66" s="138" t="str"/>
      <x:c r="O66" s="137" t="str"/>
      <x:c r="P66" s="137" t="str">
        <x:v>To Confirm</x:v>
      </x:c>
      <x:c r="Q66" s="137" t="str"/>
    </x:row>
    <x:row r="67">
      <x:c r="A67" s="128" t="str">
        <x:v>JILL</x:v>
      </x:c>
      <x:c r="B67" s="128" t="str">
        <x:v>PER ORDER (V/L)</x:v>
      </x:c>
      <x:c r="C67" s="128" t="n">
        <x:v>1</x:v>
      </x:c>
      <x:c r="D67" s="128" t="str">
        <x:v>CUTTING</x:v>
      </x:c>
      <x:c r="E67" s="128" t="str">
        <x:v>CUTTING</x:v>
      </x:c>
      <x:c r="F67" s="137" t="str"/>
      <x:c r="G67" s="137" t="str">
        <x:v>Yes</x:v>
      </x:c>
      <x:c r="H67" s="137" t="str">
        <x:v>Pooled</x:v>
      </x:c>
      <x:c r="I67" s="137" t="n">
        <x:v>8</x:v>
      </x:c>
      <x:c r="J67" s="137" t="str"/>
      <x:c r="K67" s="137" t="str"/>
      <x:c r="L67" s="137" t="str"/>
      <x:c r="M67" s="137" t="str">
        <x:v>No</x:v>
      </x:c>
      <x:c r="N67" s="138" t="str"/>
      <x:c r="O67" s="137" t="str"/>
      <x:c r="P67" s="137" t="str">
        <x:v>To Confirm</x:v>
      </x:c>
      <x:c r="Q67" s="137" t="str"/>
    </x:row>
    <x:row r="68">
      <x:c r="A68" s="128" t="str">
        <x:v>JILL</x:v>
      </x:c>
      <x:c r="B68" s="128" t="str">
        <x:v>PER ORDER (V/L)</x:v>
      </x:c>
      <x:c r="C68" s="128" t="n">
        <x:v>2</x:v>
      </x:c>
      <x:c r="D68" s="128" t="str">
        <x:v>PREPARATION</x:v>
      </x:c>
      <x:c r="E68" s="128" t="str">
        <x:v>PREPARATION</x:v>
      </x:c>
      <x:c r="F68" s="137" t="str"/>
      <x:c r="G68" s="137" t="str">
        <x:v>Yes</x:v>
      </x:c>
      <x:c r="H68" s="137" t="str">
        <x:v>Pooled</x:v>
      </x:c>
      <x:c r="I68" s="137" t="n">
        <x:v>11</x:v>
      </x:c>
      <x:c r="J68" s="137" t="str"/>
      <x:c r="K68" s="137" t="str"/>
      <x:c r="L68" s="137" t="str"/>
      <x:c r="M68" s="137" t="str">
        <x:v>No</x:v>
      </x:c>
      <x:c r="N68" s="138" t="str"/>
      <x:c r="O68" s="137" t="str"/>
      <x:c r="P68" s="137" t="str">
        <x:v>To Confirm</x:v>
      </x:c>
      <x:c r="Q68" s="137" t="str"/>
    </x:row>
    <x:row r="69">
      <x:c r="A69" s="128" t="str">
        <x:v>JILL</x:v>
      </x:c>
      <x:c r="B69" s="128" t="str">
        <x:v>PER ORDER (V/L)</x:v>
      </x:c>
      <x:c r="C69" s="128" t="n">
        <x:v>3</x:v>
      </x:c>
      <x:c r="D69" s="128" t="str">
        <x:v>STITCHING</x:v>
      </x:c>
      <x:c r="E69" s="128" t="str">
        <x:v>STITCHING</x:v>
      </x:c>
      <x:c r="F69" s="137" t="str"/>
      <x:c r="G69" s="137" t="str">
        <x:v>Yes</x:v>
      </x:c>
      <x:c r="H69" s="137" t="str">
        <x:v>Pooled</x:v>
      </x:c>
      <x:c r="I69" s="137" t="n">
        <x:v>15</x:v>
      </x:c>
      <x:c r="J69" s="137" t="str"/>
      <x:c r="K69" s="137" t="str"/>
      <x:c r="L69" s="137" t="str"/>
      <x:c r="M69" s="137" t="str">
        <x:v>No</x:v>
      </x:c>
      <x:c r="N69" s="138" t="str"/>
      <x:c r="O69" s="137" t="str"/>
      <x:c r="P69" s="137" t="str">
        <x:v>To Confirm</x:v>
      </x:c>
      <x:c r="Q69" s="137" t="str"/>
    </x:row>
    <x:row r="70">
      <x:c r="A70" s="128" t="str">
        <x:v>JILL</x:v>
      </x:c>
      <x:c r="B70" s="128" t="str">
        <x:v>PER ORDER (V/L)</x:v>
      </x:c>
      <x:c r="C70" s="128" t="n">
        <x:v>4</x:v>
      </x:c>
      <x:c r="D70" s="128" t="str">
        <x:v>UPPER_QC</x:v>
      </x:c>
      <x:c r="E70" s="128" t="str">
        <x:v>UPPER_QC</x:v>
      </x:c>
      <x:c r="F70" s="137" t="str"/>
      <x:c r="G70" s="137" t="str">
        <x:v>Yes</x:v>
      </x:c>
      <x:c r="H70" s="137" t="str">
        <x:v>Pooled</x:v>
      </x:c>
      <x:c r="I70" s="137" t="n">
        <x:v>18</x:v>
      </x:c>
      <x:c r="J70" s="137" t="str"/>
      <x:c r="K70" s="137" t="str"/>
      <x:c r="L70" s="137" t="str"/>
      <x:c r="M70" s="137" t="str">
        <x:v>No</x:v>
      </x:c>
      <x:c r="N70" s="138" t="str"/>
      <x:c r="O70" s="137" t="str"/>
      <x:c r="P70" s="137" t="str">
        <x:v>To Confirm</x:v>
      </x:c>
      <x:c r="Q70" s="137" t="str"/>
    </x:row>
    <x:row r="71">
      <x:c r="A71" s="128" t="str">
        <x:v>JILL</x:v>
      </x:c>
      <x:c r="B71" s="128" t="str">
        <x:v>PER ORDER (V/L)</x:v>
      </x:c>
      <x:c r="C71" s="128" t="n">
        <x:v>5</x:v>
      </x:c>
      <x:c r="D71" s="128" t="str">
        <x:v>MOLDING</x:v>
      </x:c>
      <x:c r="E71" s="128" t="str">
        <x:v>MOLDING_EVA</x:v>
      </x:c>
      <x:c r="F71" s="137" t="str"/>
      <x:c r="G71" s="137" t="str">
        <x:v>Yes</x:v>
      </x:c>
      <x:c r="H71" s="137" t="str">
        <x:v>Exclusive</x:v>
      </x:c>
      <x:c r="I71" s="137" t="n">
        <x:v>22</x:v>
      </x:c>
      <x:c r="J71" s="137" t="str"/>
      <x:c r="K71" s="137" t="str"/>
      <x:c r="L71" s="137" t="str"/>
      <x:c r="M71" s="137" t="str">
        <x:v>No</x:v>
      </x:c>
      <x:c r="N71" s="138" t="str"/>
      <x:c r="O71" s="137" t="str"/>
      <x:c r="P71" s="137" t="str">
        <x:v>To Confirm</x:v>
      </x:c>
      <x:c r="Q71" s="137" t="str"/>
    </x:row>
    <x:row r="72">
      <x:c r="A72" s="128" t="str">
        <x:v>JILL</x:v>
      </x:c>
      <x:c r="B72" s="128" t="str">
        <x:v>PER ORDER (V/L)</x:v>
      </x:c>
      <x:c r="C72" s="128" t="n">
        <x:v>6</x:v>
      </x:c>
      <x:c r="D72" s="128" t="str">
        <x:v>PACKING</x:v>
      </x:c>
      <x:c r="E72" s="128" t="str">
        <x:v>PACKING</x:v>
      </x:c>
      <x:c r="F72" s="137" t="str"/>
      <x:c r="G72" s="137" t="str">
        <x:v>Yes</x:v>
      </x:c>
      <x:c r="H72" s="137" t="str">
        <x:v>Pooled</x:v>
      </x:c>
      <x:c r="I72" s="137" t="n">
        <x:v>28</x:v>
      </x:c>
      <x:c r="J72" s="137" t="str"/>
      <x:c r="K72" s="137" t="str"/>
      <x:c r="L72" s="137" t="str"/>
      <x:c r="M72" s="137" t="str">
        <x:v>No</x:v>
      </x:c>
      <x:c r="N72" s="138" t="str"/>
      <x:c r="O72" s="137" t="str"/>
      <x:c r="P72" s="137" t="str">
        <x:v>To Confirm</x:v>
      </x:c>
      <x:c r="Q72" s="137" t="str"/>
    </x:row>
    <x:row r="73">
      <x:c r="A73" s="128" t="str">
        <x:v>JILL</x:v>
      </x:c>
      <x:c r="B73" s="128" t="str">
        <x:v>PER ORDER (V/L)</x:v>
      </x:c>
      <x:c r="C73" s="128" t="n">
        <x:v>7</x:v>
      </x:c>
      <x:c r="D73" s="128" t="str">
        <x:v>DISPATCH</x:v>
      </x:c>
      <x:c r="E73" s="128" t="str">
        <x:v>DISPATCH</x:v>
      </x:c>
      <x:c r="F73" s="137" t="str"/>
      <x:c r="G73" s="137" t="str">
        <x:v>Yes</x:v>
      </x:c>
      <x:c r="H73" s="137" t="str">
        <x:v>Pooled</x:v>
      </x:c>
      <x:c r="I73" s="137" t="n">
        <x:v>30</x:v>
      </x:c>
      <x:c r="J73" s="137" t="str"/>
      <x:c r="K73" s="137" t="str"/>
      <x:c r="L73" s="137" t="str"/>
      <x:c r="M73" s="137" t="str">
        <x:v>No</x:v>
      </x:c>
      <x:c r="N73" s="138" t="str"/>
      <x:c r="O73" s="137" t="str"/>
      <x:c r="P73" s="137" t="str">
        <x:v>To Confirm</x:v>
      </x:c>
      <x:c r="Q73" s="137" t="str"/>
    </x:row>
    <x:row r="74">
      <x:c r="A74" s="128" t="str">
        <x:v>ARMOUR</x:v>
      </x:c>
      <x:c r="B74" s="128" t="str">
        <x:v>PER ORDER (V/L)</x:v>
      </x:c>
      <x:c r="C74" s="128" t="n">
        <x:v>1</x:v>
      </x:c>
      <x:c r="D74" s="128" t="str">
        <x:v>CUTTING</x:v>
      </x:c>
      <x:c r="E74" s="128" t="str">
        <x:v>CUTTING</x:v>
      </x:c>
      <x:c r="F74" s="137" t="str"/>
      <x:c r="G74" s="137" t="str">
        <x:v>Yes</x:v>
      </x:c>
      <x:c r="H74" s="137" t="str">
        <x:v>Pooled</x:v>
      </x:c>
      <x:c r="I74" s="137" t="n">
        <x:v>8</x:v>
      </x:c>
      <x:c r="J74" s="137" t="str"/>
      <x:c r="K74" s="137" t="str"/>
      <x:c r="L74" s="137" t="str"/>
      <x:c r="M74" s="137" t="str">
        <x:v>No</x:v>
      </x:c>
      <x:c r="N74" s="138" t="str"/>
      <x:c r="O74" s="137" t="str"/>
      <x:c r="P74" s="137" t="str">
        <x:v>To Confirm</x:v>
      </x:c>
      <x:c r="Q74" s="137" t="str"/>
    </x:row>
    <x:row r="75">
      <x:c r="A75" s="128" t="str">
        <x:v>ARMOUR</x:v>
      </x:c>
      <x:c r="B75" s="128" t="str">
        <x:v>PER ORDER (V/L)</x:v>
      </x:c>
      <x:c r="C75" s="128" t="n">
        <x:v>2</x:v>
      </x:c>
      <x:c r="D75" s="128" t="str">
        <x:v>PREPARATION</x:v>
      </x:c>
      <x:c r="E75" s="128" t="str">
        <x:v>PREPARATION</x:v>
      </x:c>
      <x:c r="F75" s="137" t="str"/>
      <x:c r="G75" s="137" t="str">
        <x:v>Yes</x:v>
      </x:c>
      <x:c r="H75" s="137" t="str">
        <x:v>Pooled</x:v>
      </x:c>
      <x:c r="I75" s="137" t="n">
        <x:v>11</x:v>
      </x:c>
      <x:c r="J75" s="137" t="str"/>
      <x:c r="K75" s="137" t="str"/>
      <x:c r="L75" s="137" t="str"/>
      <x:c r="M75" s="137" t="str">
        <x:v>No</x:v>
      </x:c>
      <x:c r="N75" s="138" t="str"/>
      <x:c r="O75" s="137" t="str"/>
      <x:c r="P75" s="137" t="str">
        <x:v>To Confirm</x:v>
      </x:c>
      <x:c r="Q75" s="137" t="str"/>
    </x:row>
    <x:row r="76">
      <x:c r="A76" s="128" t="str">
        <x:v>ARMOUR</x:v>
      </x:c>
      <x:c r="B76" s="128" t="str">
        <x:v>PER ORDER (V/L)</x:v>
      </x:c>
      <x:c r="C76" s="128" t="n">
        <x:v>3</x:v>
      </x:c>
      <x:c r="D76" s="128" t="str">
        <x:v>STITCHING</x:v>
      </x:c>
      <x:c r="E76" s="128" t="str">
        <x:v>STITCHING</x:v>
      </x:c>
      <x:c r="F76" s="137" t="str"/>
      <x:c r="G76" s="137" t="str">
        <x:v>Yes</x:v>
      </x:c>
      <x:c r="H76" s="137" t="str">
        <x:v>Pooled</x:v>
      </x:c>
      <x:c r="I76" s="137" t="n">
        <x:v>15</x:v>
      </x:c>
      <x:c r="J76" s="137" t="str"/>
      <x:c r="K76" s="137" t="str"/>
      <x:c r="L76" s="137" t="str"/>
      <x:c r="M76" s="137" t="str">
        <x:v>No</x:v>
      </x:c>
      <x:c r="N76" s="138" t="str"/>
      <x:c r="O76" s="137" t="str"/>
      <x:c r="P76" s="137" t="str">
        <x:v>To Confirm</x:v>
      </x:c>
      <x:c r="Q76" s="137" t="str"/>
    </x:row>
    <x:row r="77">
      <x:c r="A77" s="128" t="str">
        <x:v>ARMOUR</x:v>
      </x:c>
      <x:c r="B77" s="128" t="str">
        <x:v>PER ORDER (V/L)</x:v>
      </x:c>
      <x:c r="C77" s="128" t="n">
        <x:v>4</x:v>
      </x:c>
      <x:c r="D77" s="128" t="str">
        <x:v>UPPER_QC</x:v>
      </x:c>
      <x:c r="E77" s="128" t="str">
        <x:v>UPPER_QC</x:v>
      </x:c>
      <x:c r="F77" s="137" t="str"/>
      <x:c r="G77" s="137" t="str">
        <x:v>Yes</x:v>
      </x:c>
      <x:c r="H77" s="137" t="str">
        <x:v>Pooled</x:v>
      </x:c>
      <x:c r="I77" s="137" t="n">
        <x:v>18</x:v>
      </x:c>
      <x:c r="J77" s="137" t="str"/>
      <x:c r="K77" s="137" t="str"/>
      <x:c r="L77" s="137" t="str"/>
      <x:c r="M77" s="137" t="str">
        <x:v>No</x:v>
      </x:c>
      <x:c r="N77" s="138" t="str"/>
      <x:c r="O77" s="137" t="str"/>
      <x:c r="P77" s="137" t="str">
        <x:v>To Confirm</x:v>
      </x:c>
      <x:c r="Q77" s="137" t="str"/>
    </x:row>
    <x:row r="78">
      <x:c r="A78" s="128" t="str">
        <x:v>ARMOUR</x:v>
      </x:c>
      <x:c r="B78" s="128" t="str">
        <x:v>PER ORDER (V/L)</x:v>
      </x:c>
      <x:c r="C78" s="128" t="n">
        <x:v>5</x:v>
      </x:c>
      <x:c r="D78" s="128" t="str">
        <x:v>MOLDING</x:v>
      </x:c>
      <x:c r="E78" s="128" t="str">
        <x:v>MOLDING_EVA</x:v>
      </x:c>
      <x:c r="F78" s="137" t="str"/>
      <x:c r="G78" s="137" t="str">
        <x:v>Yes</x:v>
      </x:c>
      <x:c r="H78" s="137" t="str">
        <x:v>Exclusive</x:v>
      </x:c>
      <x:c r="I78" s="137" t="n">
        <x:v>22</x:v>
      </x:c>
      <x:c r="J78" s="137" t="str"/>
      <x:c r="K78" s="137" t="str"/>
      <x:c r="L78" s="137" t="str"/>
      <x:c r="M78" s="137" t="str">
        <x:v>No</x:v>
      </x:c>
      <x:c r="N78" s="138" t="str"/>
      <x:c r="O78" s="137" t="str"/>
      <x:c r="P78" s="137" t="str">
        <x:v>To Confirm</x:v>
      </x:c>
      <x:c r="Q78" s="137" t="str"/>
    </x:row>
    <x:row r="79">
      <x:c r="A79" s="128" t="str">
        <x:v>ARMOUR</x:v>
      </x:c>
      <x:c r="B79" s="128" t="str">
        <x:v>PER ORDER (V/L)</x:v>
      </x:c>
      <x:c r="C79" s="128" t="n">
        <x:v>6</x:v>
      </x:c>
      <x:c r="D79" s="128" t="str">
        <x:v>PACKING</x:v>
      </x:c>
      <x:c r="E79" s="128" t="str">
        <x:v>PACKING</x:v>
      </x:c>
      <x:c r="F79" s="137" t="str"/>
      <x:c r="G79" s="137" t="str">
        <x:v>Yes</x:v>
      </x:c>
      <x:c r="H79" s="137" t="str">
        <x:v>Pooled</x:v>
      </x:c>
      <x:c r="I79" s="137" t="n">
        <x:v>28</x:v>
      </x:c>
      <x:c r="J79" s="137" t="str"/>
      <x:c r="K79" s="137" t="str"/>
      <x:c r="L79" s="137" t="str"/>
      <x:c r="M79" s="137" t="str">
        <x:v>No</x:v>
      </x:c>
      <x:c r="N79" s="138" t="str"/>
      <x:c r="O79" s="137" t="str"/>
      <x:c r="P79" s="137" t="str">
        <x:v>To Confirm</x:v>
      </x:c>
      <x:c r="Q79" s="137" t="str"/>
    </x:row>
    <x:row r="80">
      <x:c r="A80" s="128" t="str">
        <x:v>ARMOUR</x:v>
      </x:c>
      <x:c r="B80" s="128" t="str">
        <x:v>PER ORDER (V/L)</x:v>
      </x:c>
      <x:c r="C80" s="128" t="n">
        <x:v>7</x:v>
      </x:c>
      <x:c r="D80" s="128" t="str">
        <x:v>DISPATCH</x:v>
      </x:c>
      <x:c r="E80" s="128" t="str">
        <x:v>DISPATCH</x:v>
      </x:c>
      <x:c r="F80" s="137" t="str"/>
      <x:c r="G80" s="137" t="str">
        <x:v>Yes</x:v>
      </x:c>
      <x:c r="H80" s="137" t="str">
        <x:v>Pooled</x:v>
      </x:c>
      <x:c r="I80" s="137" t="n">
        <x:v>30</x:v>
      </x:c>
      <x:c r="J80" s="137" t="str"/>
      <x:c r="K80" s="137" t="str"/>
      <x:c r="L80" s="137" t="str"/>
      <x:c r="M80" s="137" t="str">
        <x:v>No</x:v>
      </x:c>
      <x:c r="N80" s="138" t="str"/>
      <x:c r="O80" s="137" t="str"/>
      <x:c r="P80" s="137" t="str">
        <x:v>To Confirm</x:v>
      </x:c>
      <x:c r="Q80" s="137" t="str"/>
    </x:row>
    <x:row r="81">
      <x:c r="A81" s="128" t="str">
        <x:v>PERCY</x:v>
      </x:c>
      <x:c r="B81" s="128" t="str">
        <x:v>PER ORDER (V/L)</x:v>
      </x:c>
      <x:c r="C81" s="128" t="n">
        <x:v>1</x:v>
      </x:c>
      <x:c r="D81" s="128" t="str">
        <x:v>CUTTING</x:v>
      </x:c>
      <x:c r="E81" s="128" t="str">
        <x:v>CUTTING</x:v>
      </x:c>
      <x:c r="F81" s="137" t="str"/>
      <x:c r="G81" s="137" t="str">
        <x:v>Yes</x:v>
      </x:c>
      <x:c r="H81" s="137" t="str">
        <x:v>Pooled</x:v>
      </x:c>
      <x:c r="I81" s="137" t="n">
        <x:v>8</x:v>
      </x:c>
      <x:c r="J81" s="137" t="str"/>
      <x:c r="K81" s="137" t="str"/>
      <x:c r="L81" s="137" t="str"/>
      <x:c r="M81" s="137" t="str">
        <x:v>No</x:v>
      </x:c>
      <x:c r="N81" s="138" t="str"/>
      <x:c r="O81" s="137" t="str"/>
      <x:c r="P81" s="137" t="str">
        <x:v>To Confirm</x:v>
      </x:c>
      <x:c r="Q81" s="137" t="str"/>
    </x:row>
    <x:row r="82">
      <x:c r="A82" s="128" t="str">
        <x:v>PERCY</x:v>
      </x:c>
      <x:c r="B82" s="128" t="str">
        <x:v>PER ORDER (V/L)</x:v>
      </x:c>
      <x:c r="C82" s="128" t="n">
        <x:v>2</x:v>
      </x:c>
      <x:c r="D82" s="128" t="str">
        <x:v>PREPARATION</x:v>
      </x:c>
      <x:c r="E82" s="128" t="str">
        <x:v>PREPARATION</x:v>
      </x:c>
      <x:c r="F82" s="137" t="str"/>
      <x:c r="G82" s="137" t="str">
        <x:v>Yes</x:v>
      </x:c>
      <x:c r="H82" s="137" t="str">
        <x:v>Pooled</x:v>
      </x:c>
      <x:c r="I82" s="137" t="n">
        <x:v>11</x:v>
      </x:c>
      <x:c r="J82" s="137" t="str"/>
      <x:c r="K82" s="137" t="str"/>
      <x:c r="L82" s="137" t="str"/>
      <x:c r="M82" s="137" t="str">
        <x:v>No</x:v>
      </x:c>
      <x:c r="N82" s="138" t="str"/>
      <x:c r="O82" s="137" t="str"/>
      <x:c r="P82" s="137" t="str">
        <x:v>To Confirm</x:v>
      </x:c>
      <x:c r="Q82" s="137" t="str"/>
    </x:row>
    <x:row r="83">
      <x:c r="A83" s="128" t="str">
        <x:v>PERCY</x:v>
      </x:c>
      <x:c r="B83" s="128" t="str">
        <x:v>PER ORDER (V/L)</x:v>
      </x:c>
      <x:c r="C83" s="128" t="n">
        <x:v>3</x:v>
      </x:c>
      <x:c r="D83" s="128" t="str">
        <x:v>STITCHING</x:v>
      </x:c>
      <x:c r="E83" s="128" t="str">
        <x:v>STITCHING</x:v>
      </x:c>
      <x:c r="F83" s="137" t="str"/>
      <x:c r="G83" s="137" t="str">
        <x:v>Yes</x:v>
      </x:c>
      <x:c r="H83" s="137" t="str">
        <x:v>Pooled</x:v>
      </x:c>
      <x:c r="I83" s="137" t="n">
        <x:v>15</x:v>
      </x:c>
      <x:c r="J83" s="137" t="str"/>
      <x:c r="K83" s="137" t="str"/>
      <x:c r="L83" s="137" t="str"/>
      <x:c r="M83" s="137" t="str">
        <x:v>No</x:v>
      </x:c>
      <x:c r="N83" s="138" t="str"/>
      <x:c r="O83" s="137" t="str"/>
      <x:c r="P83" s="137" t="str">
        <x:v>To Confirm</x:v>
      </x:c>
      <x:c r="Q83" s="137" t="str"/>
    </x:row>
    <x:row r="84">
      <x:c r="A84" s="128" t="str">
        <x:v>PERCY</x:v>
      </x:c>
      <x:c r="B84" s="128" t="str">
        <x:v>PER ORDER (V/L)</x:v>
      </x:c>
      <x:c r="C84" s="128" t="n">
        <x:v>4</x:v>
      </x:c>
      <x:c r="D84" s="128" t="str">
        <x:v>UPPER_QC</x:v>
      </x:c>
      <x:c r="E84" s="128" t="str">
        <x:v>UPPER_QC</x:v>
      </x:c>
      <x:c r="F84" s="137" t="str"/>
      <x:c r="G84" s="137" t="str">
        <x:v>Yes</x:v>
      </x:c>
      <x:c r="H84" s="137" t="str">
        <x:v>Pooled</x:v>
      </x:c>
      <x:c r="I84" s="137" t="n">
        <x:v>18</x:v>
      </x:c>
      <x:c r="J84" s="137" t="str"/>
      <x:c r="K84" s="137" t="str"/>
      <x:c r="L84" s="137" t="str"/>
      <x:c r="M84" s="137" t="str">
        <x:v>No</x:v>
      </x:c>
      <x:c r="N84" s="138" t="str"/>
      <x:c r="O84" s="137" t="str"/>
      <x:c r="P84" s="137" t="str">
        <x:v>To Confirm</x:v>
      </x:c>
      <x:c r="Q84" s="137" t="str"/>
    </x:row>
    <x:row r="85">
      <x:c r="A85" s="128" t="str">
        <x:v>PERCY</x:v>
      </x:c>
      <x:c r="B85" s="128" t="str">
        <x:v>PER ORDER (V/L)</x:v>
      </x:c>
      <x:c r="C85" s="128" t="n">
        <x:v>5</x:v>
      </x:c>
      <x:c r="D85" s="128" t="str">
        <x:v>MOLDING</x:v>
      </x:c>
      <x:c r="E85" s="128" t="str">
        <x:v>MOLDING_EVA</x:v>
      </x:c>
      <x:c r="F85" s="137" t="str"/>
      <x:c r="G85" s="137" t="str">
        <x:v>Yes</x:v>
      </x:c>
      <x:c r="H85" s="137" t="str">
        <x:v>Exclusive</x:v>
      </x:c>
      <x:c r="I85" s="137" t="n">
        <x:v>22</x:v>
      </x:c>
      <x:c r="J85" s="137" t="str"/>
      <x:c r="K85" s="137" t="str"/>
      <x:c r="L85" s="137" t="str"/>
      <x:c r="M85" s="137" t="str">
        <x:v>No</x:v>
      </x:c>
      <x:c r="N85" s="138" t="str"/>
      <x:c r="O85" s="137" t="str"/>
      <x:c r="P85" s="137" t="str">
        <x:v>To Confirm</x:v>
      </x:c>
      <x:c r="Q85" s="137" t="str"/>
    </x:row>
    <x:row r="86">
      <x:c r="A86" s="128" t="str">
        <x:v>PERCY</x:v>
      </x:c>
      <x:c r="B86" s="128" t="str">
        <x:v>PER ORDER (V/L)</x:v>
      </x:c>
      <x:c r="C86" s="128" t="n">
        <x:v>6</x:v>
      </x:c>
      <x:c r="D86" s="128" t="str">
        <x:v>PACKING</x:v>
      </x:c>
      <x:c r="E86" s="128" t="str">
        <x:v>PACKING</x:v>
      </x:c>
      <x:c r="F86" s="137" t="str"/>
      <x:c r="G86" s="137" t="str">
        <x:v>Yes</x:v>
      </x:c>
      <x:c r="H86" s="137" t="str">
        <x:v>Pooled</x:v>
      </x:c>
      <x:c r="I86" s="137" t="n">
        <x:v>28</x:v>
      </x:c>
      <x:c r="J86" s="137" t="str"/>
      <x:c r="K86" s="137" t="str"/>
      <x:c r="L86" s="137" t="str"/>
      <x:c r="M86" s="137" t="str">
        <x:v>No</x:v>
      </x:c>
      <x:c r="N86" s="138" t="str"/>
      <x:c r="O86" s="137" t="str"/>
      <x:c r="P86" s="137" t="str">
        <x:v>To Confirm</x:v>
      </x:c>
      <x:c r="Q86" s="137" t="str"/>
    </x:row>
    <x:row r="87">
      <x:c r="A87" s="128" t="str">
        <x:v>PERCY</x:v>
      </x:c>
      <x:c r="B87" s="128" t="str">
        <x:v>PER ORDER (V/L)</x:v>
      </x:c>
      <x:c r="C87" s="128" t="n">
        <x:v>7</x:v>
      </x:c>
      <x:c r="D87" s="128" t="str">
        <x:v>DISPATCH</x:v>
      </x:c>
      <x:c r="E87" s="128" t="str">
        <x:v>DISPATCH</x:v>
      </x:c>
      <x:c r="F87" s="137" t="str"/>
      <x:c r="G87" s="137" t="str">
        <x:v>Yes</x:v>
      </x:c>
      <x:c r="H87" s="137" t="str">
        <x:v>Pooled</x:v>
      </x:c>
      <x:c r="I87" s="137" t="n">
        <x:v>30</x:v>
      </x:c>
      <x:c r="J87" s="137" t="str"/>
      <x:c r="K87" s="137" t="str"/>
      <x:c r="L87" s="137" t="str"/>
      <x:c r="M87" s="137" t="str">
        <x:v>No</x:v>
      </x:c>
      <x:c r="N87" s="138" t="str"/>
      <x:c r="O87" s="137" t="str"/>
      <x:c r="P87" s="137" t="str">
        <x:v>To Confirm</x:v>
      </x:c>
      <x:c r="Q87" s="137" t="str"/>
    </x:row>
    <x:row r="88">
      <x:c r="A88" s="128" t="str">
        <x:v>SPADE</x:v>
      </x:c>
      <x:c r="B88" s="128" t="str">
        <x:v>PER ORDER (V/L)</x:v>
      </x:c>
      <x:c r="C88" s="128" t="n">
        <x:v>1</x:v>
      </x:c>
      <x:c r="D88" s="128" t="str">
        <x:v>CUTTING</x:v>
      </x:c>
      <x:c r="E88" s="128" t="str">
        <x:v>CUTTING</x:v>
      </x:c>
      <x:c r="F88" s="137" t="str"/>
      <x:c r="G88" s="137" t="str">
        <x:v>Yes</x:v>
      </x:c>
      <x:c r="H88" s="137" t="str">
        <x:v>Pooled</x:v>
      </x:c>
      <x:c r="I88" s="137" t="n">
        <x:v>8</x:v>
      </x:c>
      <x:c r="J88" s="137" t="str"/>
      <x:c r="K88" s="137" t="str"/>
      <x:c r="L88" s="137" t="str"/>
      <x:c r="M88" s="137" t="str">
        <x:v>No</x:v>
      </x:c>
      <x:c r="N88" s="138" t="str"/>
      <x:c r="O88" s="137" t="str"/>
      <x:c r="P88" s="137" t="str">
        <x:v>To Confirm</x:v>
      </x:c>
      <x:c r="Q88" s="137" t="str"/>
    </x:row>
    <x:row r="89">
      <x:c r="A89" s="128" t="str">
        <x:v>SPADE</x:v>
      </x:c>
      <x:c r="B89" s="128" t="str">
        <x:v>PER ORDER (V/L)</x:v>
      </x:c>
      <x:c r="C89" s="128" t="n">
        <x:v>2</x:v>
      </x:c>
      <x:c r="D89" s="128" t="str">
        <x:v>PREPARATION</x:v>
      </x:c>
      <x:c r="E89" s="128" t="str">
        <x:v>PREPARATION</x:v>
      </x:c>
      <x:c r="F89" s="137" t="str"/>
      <x:c r="G89" s="137" t="str">
        <x:v>Yes</x:v>
      </x:c>
      <x:c r="H89" s="137" t="str">
        <x:v>Pooled</x:v>
      </x:c>
      <x:c r="I89" s="137" t="n">
        <x:v>11</x:v>
      </x:c>
      <x:c r="J89" s="137" t="str"/>
      <x:c r="K89" s="137" t="str"/>
      <x:c r="L89" s="137" t="str"/>
      <x:c r="M89" s="137" t="str">
        <x:v>No</x:v>
      </x:c>
      <x:c r="N89" s="138" t="str"/>
      <x:c r="O89" s="137" t="str"/>
      <x:c r="P89" s="137" t="str">
        <x:v>To Confirm</x:v>
      </x:c>
      <x:c r="Q89" s="137" t="str"/>
    </x:row>
    <x:row r="90">
      <x:c r="A90" s="128" t="str">
        <x:v>SPADE</x:v>
      </x:c>
      <x:c r="B90" s="128" t="str">
        <x:v>PER ORDER (V/L)</x:v>
      </x:c>
      <x:c r="C90" s="128" t="n">
        <x:v>3</x:v>
      </x:c>
      <x:c r="D90" s="128" t="str">
        <x:v>STITCHING</x:v>
      </x:c>
      <x:c r="E90" s="128" t="str">
        <x:v>STITCHING</x:v>
      </x:c>
      <x:c r="F90" s="137" t="str"/>
      <x:c r="G90" s="137" t="str">
        <x:v>Yes</x:v>
      </x:c>
      <x:c r="H90" s="137" t="str">
        <x:v>Pooled</x:v>
      </x:c>
      <x:c r="I90" s="137" t="n">
        <x:v>15</x:v>
      </x:c>
      <x:c r="J90" s="137" t="str"/>
      <x:c r="K90" s="137" t="str"/>
      <x:c r="L90" s="137" t="str"/>
      <x:c r="M90" s="137" t="str">
        <x:v>No</x:v>
      </x:c>
      <x:c r="N90" s="138" t="str"/>
      <x:c r="O90" s="137" t="str"/>
      <x:c r="P90" s="137" t="str">
        <x:v>To Confirm</x:v>
      </x:c>
      <x:c r="Q90" s="137" t="str"/>
    </x:row>
    <x:row r="91">
      <x:c r="A91" s="128" t="str">
        <x:v>SPADE</x:v>
      </x:c>
      <x:c r="B91" s="128" t="str">
        <x:v>PER ORDER (V/L)</x:v>
      </x:c>
      <x:c r="C91" s="128" t="n">
        <x:v>4</x:v>
      </x:c>
      <x:c r="D91" s="128" t="str">
        <x:v>UPPER_QC</x:v>
      </x:c>
      <x:c r="E91" s="128" t="str">
        <x:v>UPPER_QC</x:v>
      </x:c>
      <x:c r="F91" s="137" t="str"/>
      <x:c r="G91" s="137" t="str">
        <x:v>Yes</x:v>
      </x:c>
      <x:c r="H91" s="137" t="str">
        <x:v>Pooled</x:v>
      </x:c>
      <x:c r="I91" s="137" t="n">
        <x:v>18</x:v>
      </x:c>
      <x:c r="J91" s="137" t="str"/>
      <x:c r="K91" s="137" t="str"/>
      <x:c r="L91" s="137" t="str"/>
      <x:c r="M91" s="137" t="str">
        <x:v>No</x:v>
      </x:c>
      <x:c r="N91" s="138" t="str"/>
      <x:c r="O91" s="137" t="str"/>
      <x:c r="P91" s="137" t="str">
        <x:v>To Confirm</x:v>
      </x:c>
      <x:c r="Q91" s="137" t="str"/>
    </x:row>
    <x:row r="92">
      <x:c r="A92" s="128" t="str">
        <x:v>SPADE</x:v>
      </x:c>
      <x:c r="B92" s="128" t="str">
        <x:v>PER ORDER (V/L)</x:v>
      </x:c>
      <x:c r="C92" s="128" t="n">
        <x:v>5</x:v>
      </x:c>
      <x:c r="D92" s="128" t="str">
        <x:v>MOLDING</x:v>
      </x:c>
      <x:c r="E92" s="128" t="str">
        <x:v>MOLDING_EVA</x:v>
      </x:c>
      <x:c r="F92" s="137" t="str"/>
      <x:c r="G92" s="137" t="str">
        <x:v>Yes</x:v>
      </x:c>
      <x:c r="H92" s="137" t="str">
        <x:v>Exclusive</x:v>
      </x:c>
      <x:c r="I92" s="137" t="n">
        <x:v>22</x:v>
      </x:c>
      <x:c r="J92" s="137" t="str"/>
      <x:c r="K92" s="137" t="str"/>
      <x:c r="L92" s="137" t="str"/>
      <x:c r="M92" s="137" t="str">
        <x:v>No</x:v>
      </x:c>
      <x:c r="N92" s="138" t="str"/>
      <x:c r="O92" s="137" t="str"/>
      <x:c r="P92" s="137" t="str">
        <x:v>To Confirm</x:v>
      </x:c>
      <x:c r="Q92" s="137" t="str"/>
    </x:row>
    <x:row r="93">
      <x:c r="A93" s="128" t="str">
        <x:v>SPADE</x:v>
      </x:c>
      <x:c r="B93" s="128" t="str">
        <x:v>PER ORDER (V/L)</x:v>
      </x:c>
      <x:c r="C93" s="128" t="n">
        <x:v>6</x:v>
      </x:c>
      <x:c r="D93" s="128" t="str">
        <x:v>PACKING</x:v>
      </x:c>
      <x:c r="E93" s="128" t="str">
        <x:v>PACKING</x:v>
      </x:c>
      <x:c r="F93" s="137" t="str"/>
      <x:c r="G93" s="137" t="str">
        <x:v>Yes</x:v>
      </x:c>
      <x:c r="H93" s="137" t="str">
        <x:v>Pooled</x:v>
      </x:c>
      <x:c r="I93" s="137" t="n">
        <x:v>28</x:v>
      </x:c>
      <x:c r="J93" s="137" t="str"/>
      <x:c r="K93" s="137" t="str"/>
      <x:c r="L93" s="137" t="str"/>
      <x:c r="M93" s="137" t="str">
        <x:v>No</x:v>
      </x:c>
      <x:c r="N93" s="138" t="str"/>
      <x:c r="O93" s="137" t="str"/>
      <x:c r="P93" s="137" t="str">
        <x:v>To Confirm</x:v>
      </x:c>
      <x:c r="Q93" s="137" t="str"/>
    </x:row>
    <x:row r="94">
      <x:c r="A94" s="128" t="str">
        <x:v>SPADE</x:v>
      </x:c>
      <x:c r="B94" s="128" t="str">
        <x:v>PER ORDER (V/L)</x:v>
      </x:c>
      <x:c r="C94" s="128" t="n">
        <x:v>7</x:v>
      </x:c>
      <x:c r="D94" s="128" t="str">
        <x:v>DISPATCH</x:v>
      </x:c>
      <x:c r="E94" s="128" t="str">
        <x:v>DISPATCH</x:v>
      </x:c>
      <x:c r="F94" s="137" t="str"/>
      <x:c r="G94" s="137" t="str">
        <x:v>Yes</x:v>
      </x:c>
      <x:c r="H94" s="137" t="str">
        <x:v>Pooled</x:v>
      </x:c>
      <x:c r="I94" s="137" t="n">
        <x:v>30</x:v>
      </x:c>
      <x:c r="J94" s="137" t="str"/>
      <x:c r="K94" s="137" t="str"/>
      <x:c r="L94" s="137" t="str"/>
      <x:c r="M94" s="137" t="str">
        <x:v>No</x:v>
      </x:c>
      <x:c r="N94" s="138" t="str"/>
      <x:c r="O94" s="137" t="str"/>
      <x:c r="P94" s="137" t="str">
        <x:v>To Confirm</x:v>
      </x:c>
      <x:c r="Q94" s="137" t="str"/>
    </x:row>
    <x:row r="95">
      <x:c r="A95" s="128" t="str">
        <x:v>SPIKE</x:v>
      </x:c>
      <x:c r="B95" s="128" t="str">
        <x:v>PER ORDER (V/L)</x:v>
      </x:c>
      <x:c r="C95" s="128" t="n">
        <x:v>1</x:v>
      </x:c>
      <x:c r="D95" s="128" t="str">
        <x:v>CUTTING</x:v>
      </x:c>
      <x:c r="E95" s="128" t="str">
        <x:v>CUTTING</x:v>
      </x:c>
      <x:c r="F95" s="137" t="str"/>
      <x:c r="G95" s="137" t="str">
        <x:v>Yes</x:v>
      </x:c>
      <x:c r="H95" s="137" t="str">
        <x:v>Pooled</x:v>
      </x:c>
      <x:c r="I95" s="137" t="n">
        <x:v>8</x:v>
      </x:c>
      <x:c r="J95" s="137" t="str"/>
      <x:c r="K95" s="137" t="str"/>
      <x:c r="L95" s="137" t="str"/>
      <x:c r="M95" s="137" t="str">
        <x:v>No</x:v>
      </x:c>
      <x:c r="N95" s="138" t="str"/>
      <x:c r="O95" s="137" t="str"/>
      <x:c r="P95" s="137" t="str">
        <x:v>To Confirm</x:v>
      </x:c>
      <x:c r="Q95" s="137" t="str"/>
    </x:row>
    <x:row r="96">
      <x:c r="A96" s="128" t="str">
        <x:v>SPIKE</x:v>
      </x:c>
      <x:c r="B96" s="128" t="str">
        <x:v>PER ORDER (V/L)</x:v>
      </x:c>
      <x:c r="C96" s="128" t="n">
        <x:v>2</x:v>
      </x:c>
      <x:c r="D96" s="128" t="str">
        <x:v>PREPARATION</x:v>
      </x:c>
      <x:c r="E96" s="128" t="str">
        <x:v>PREPARATION</x:v>
      </x:c>
      <x:c r="F96" s="137" t="str"/>
      <x:c r="G96" s="137" t="str">
        <x:v>Yes</x:v>
      </x:c>
      <x:c r="H96" s="137" t="str">
        <x:v>Pooled</x:v>
      </x:c>
      <x:c r="I96" s="137" t="n">
        <x:v>11</x:v>
      </x:c>
      <x:c r="J96" s="137" t="str"/>
      <x:c r="K96" s="137" t="str"/>
      <x:c r="L96" s="137" t="str"/>
      <x:c r="M96" s="137" t="str">
        <x:v>No</x:v>
      </x:c>
      <x:c r="N96" s="138" t="str"/>
      <x:c r="O96" s="137" t="str"/>
      <x:c r="P96" s="137" t="str">
        <x:v>To Confirm</x:v>
      </x:c>
      <x:c r="Q96" s="137" t="str"/>
    </x:row>
    <x:row r="97">
      <x:c r="A97" s="128" t="str">
        <x:v>SPIKE</x:v>
      </x:c>
      <x:c r="B97" s="128" t="str">
        <x:v>PER ORDER (V/L)</x:v>
      </x:c>
      <x:c r="C97" s="128" t="n">
        <x:v>3</x:v>
      </x:c>
      <x:c r="D97" s="128" t="str">
        <x:v>STITCHING</x:v>
      </x:c>
      <x:c r="E97" s="128" t="str">
        <x:v>STITCHING</x:v>
      </x:c>
      <x:c r="F97" s="137" t="str"/>
      <x:c r="G97" s="137" t="str">
        <x:v>Yes</x:v>
      </x:c>
      <x:c r="H97" s="137" t="str">
        <x:v>Pooled</x:v>
      </x:c>
      <x:c r="I97" s="137" t="n">
        <x:v>15</x:v>
      </x:c>
      <x:c r="J97" s="137" t="str"/>
      <x:c r="K97" s="137" t="str"/>
      <x:c r="L97" s="137" t="str"/>
      <x:c r="M97" s="137" t="str">
        <x:v>No</x:v>
      </x:c>
      <x:c r="N97" s="138" t="str"/>
      <x:c r="O97" s="137" t="str"/>
      <x:c r="P97" s="137" t="str">
        <x:v>To Confirm</x:v>
      </x:c>
      <x:c r="Q97" s="137" t="str"/>
    </x:row>
    <x:row r="98">
      <x:c r="A98" s="128" t="str">
        <x:v>SPIKE</x:v>
      </x:c>
      <x:c r="B98" s="128" t="str">
        <x:v>PER ORDER (V/L)</x:v>
      </x:c>
      <x:c r="C98" s="128" t="n">
        <x:v>4</x:v>
      </x:c>
      <x:c r="D98" s="128" t="str">
        <x:v>UPPER_QC</x:v>
      </x:c>
      <x:c r="E98" s="128" t="str">
        <x:v>UPPER_QC</x:v>
      </x:c>
      <x:c r="F98" s="137" t="str"/>
      <x:c r="G98" s="137" t="str">
        <x:v>Yes</x:v>
      </x:c>
      <x:c r="H98" s="137" t="str">
        <x:v>Pooled</x:v>
      </x:c>
      <x:c r="I98" s="137" t="n">
        <x:v>18</x:v>
      </x:c>
      <x:c r="J98" s="137" t="str"/>
      <x:c r="K98" s="137" t="str"/>
      <x:c r="L98" s="137" t="str"/>
      <x:c r="M98" s="137" t="str">
        <x:v>No</x:v>
      </x:c>
      <x:c r="N98" s="138" t="str"/>
      <x:c r="O98" s="137" t="str"/>
      <x:c r="P98" s="137" t="str">
        <x:v>To Confirm</x:v>
      </x:c>
      <x:c r="Q98" s="137" t="str"/>
    </x:row>
    <x:row r="99">
      <x:c r="A99" s="128" t="str">
        <x:v>SPIKE</x:v>
      </x:c>
      <x:c r="B99" s="128" t="str">
        <x:v>PER ORDER (V/L)</x:v>
      </x:c>
      <x:c r="C99" s="128" t="n">
        <x:v>5</x:v>
      </x:c>
      <x:c r="D99" s="128" t="str">
        <x:v>MOLDING</x:v>
      </x:c>
      <x:c r="E99" s="128" t="str">
        <x:v>MOLDING_EVA</x:v>
      </x:c>
      <x:c r="F99" s="137" t="str"/>
      <x:c r="G99" s="137" t="str">
        <x:v>Yes</x:v>
      </x:c>
      <x:c r="H99" s="137" t="str">
        <x:v>Exclusive</x:v>
      </x:c>
      <x:c r="I99" s="137" t="n">
        <x:v>22</x:v>
      </x:c>
      <x:c r="J99" s="137" t="str"/>
      <x:c r="K99" s="137" t="str"/>
      <x:c r="L99" s="137" t="str"/>
      <x:c r="M99" s="137" t="str">
        <x:v>No</x:v>
      </x:c>
      <x:c r="N99" s="138" t="str"/>
      <x:c r="O99" s="137" t="str"/>
      <x:c r="P99" s="137" t="str">
        <x:v>To Confirm</x:v>
      </x:c>
      <x:c r="Q99" s="137" t="str"/>
    </x:row>
    <x:row r="100">
      <x:c r="A100" s="128" t="str">
        <x:v>SPIKE</x:v>
      </x:c>
      <x:c r="B100" s="128" t="str">
        <x:v>PER ORDER (V/L)</x:v>
      </x:c>
      <x:c r="C100" s="128" t="n">
        <x:v>6</x:v>
      </x:c>
      <x:c r="D100" s="128" t="str">
        <x:v>PACKING</x:v>
      </x:c>
      <x:c r="E100" s="128" t="str">
        <x:v>PACKING</x:v>
      </x:c>
      <x:c r="F100" s="137" t="str"/>
      <x:c r="G100" s="137" t="str">
        <x:v>Yes</x:v>
      </x:c>
      <x:c r="H100" s="137" t="str">
        <x:v>Pooled</x:v>
      </x:c>
      <x:c r="I100" s="137" t="n">
        <x:v>28</x:v>
      </x:c>
      <x:c r="J100" s="137" t="str"/>
      <x:c r="K100" s="137" t="str"/>
      <x:c r="L100" s="137" t="str"/>
      <x:c r="M100" s="137" t="str">
        <x:v>No</x:v>
      </x:c>
      <x:c r="N100" s="138" t="str"/>
      <x:c r="O100" s="137" t="str"/>
      <x:c r="P100" s="137" t="str">
        <x:v>To Confirm</x:v>
      </x:c>
      <x:c r="Q100" s="137" t="str"/>
    </x:row>
    <x:row r="101">
      <x:c r="A101" s="128" t="str">
        <x:v>SPIKE</x:v>
      </x:c>
      <x:c r="B101" s="128" t="str">
        <x:v>PER ORDER (V/L)</x:v>
      </x:c>
      <x:c r="C101" s="128" t="n">
        <x:v>7</x:v>
      </x:c>
      <x:c r="D101" s="128" t="str">
        <x:v>DISPATCH</x:v>
      </x:c>
      <x:c r="E101" s="128" t="str">
        <x:v>DISPATCH</x:v>
      </x:c>
      <x:c r="F101" s="137" t="str"/>
      <x:c r="G101" s="137" t="str">
        <x:v>Yes</x:v>
      </x:c>
      <x:c r="H101" s="137" t="str">
        <x:v>Pooled</x:v>
      </x:c>
      <x:c r="I101" s="137" t="n">
        <x:v>30</x:v>
      </x:c>
      <x:c r="J101" s="137" t="str"/>
      <x:c r="K101" s="137" t="str"/>
      <x:c r="L101" s="137" t="str"/>
      <x:c r="M101" s="137" t="str">
        <x:v>No</x:v>
      </x:c>
      <x:c r="N101" s="138" t="str"/>
      <x:c r="O101" s="137" t="str"/>
      <x:c r="P101" s="137" t="str">
        <x:v>To Confirm</x:v>
      </x:c>
      <x:c r="Q101" s="137" t="str"/>
    </x:row>
    <x:row r="102">
      <x:c r="A102" s="128" t="str">
        <x:v>REX GOLA PLUS</x:v>
      </x:c>
      <x:c r="B102" s="128" t="str">
        <x:v>TO CONFIRM</x:v>
      </x:c>
      <x:c r="C102" s="128" t="n">
        <x:v>1</x:v>
      </x:c>
      <x:c r="D102" s="128" t="str">
        <x:v>CUTTING</x:v>
      </x:c>
      <x:c r="E102" s="128" t="str">
        <x:v>CUTTING</x:v>
      </x:c>
      <x:c r="F102" s="137" t="str"/>
      <x:c r="G102" s="137" t="str">
        <x:v>Yes</x:v>
      </x:c>
      <x:c r="H102" s="137" t="str">
        <x:v>Pooled</x:v>
      </x:c>
      <x:c r="I102" s="137" t="n">
        <x:v>8</x:v>
      </x:c>
      <x:c r="J102" s="137" t="str"/>
      <x:c r="K102" s="137" t="str"/>
      <x:c r="L102" s="137" t="str"/>
      <x:c r="M102" s="137" t="str">
        <x:v>No</x:v>
      </x:c>
      <x:c r="N102" s="138" t="str"/>
      <x:c r="O102" s="137" t="str"/>
      <x:c r="P102" s="137" t="str">
        <x:v>To Confirm</x:v>
      </x:c>
      <x:c r="Q102" s="137" t="str"/>
    </x:row>
    <x:row r="103">
      <x:c r="A103" s="128" t="str">
        <x:v>REX GOLA PLUS</x:v>
      </x:c>
      <x:c r="B103" s="128" t="str">
        <x:v>TO CONFIRM</x:v>
      </x:c>
      <x:c r="C103" s="128" t="n">
        <x:v>2</x:v>
      </x:c>
      <x:c r="D103" s="128" t="str">
        <x:v>PREPARATION</x:v>
      </x:c>
      <x:c r="E103" s="128" t="str">
        <x:v>PREPARATION</x:v>
      </x:c>
      <x:c r="F103" s="137" t="str"/>
      <x:c r="G103" s="137" t="str">
        <x:v>Yes</x:v>
      </x:c>
      <x:c r="H103" s="137" t="str">
        <x:v>Pooled</x:v>
      </x:c>
      <x:c r="I103" s="137" t="n">
        <x:v>11</x:v>
      </x:c>
      <x:c r="J103" s="137" t="str"/>
      <x:c r="K103" s="137" t="str"/>
      <x:c r="L103" s="137" t="str"/>
      <x:c r="M103" s="137" t="str">
        <x:v>No</x:v>
      </x:c>
      <x:c r="N103" s="138" t="str"/>
      <x:c r="O103" s="137" t="str"/>
      <x:c r="P103" s="137" t="str">
        <x:v>To Confirm</x:v>
      </x:c>
      <x:c r="Q103" s="137" t="str"/>
    </x:row>
    <x:row r="104">
      <x:c r="A104" s="128" t="str">
        <x:v>REX GOLA PLUS</x:v>
      </x:c>
      <x:c r="B104" s="128" t="str">
        <x:v>TO CONFIRM</x:v>
      </x:c>
      <x:c r="C104" s="128" t="n">
        <x:v>3</x:v>
      </x:c>
      <x:c r="D104" s="128" t="str">
        <x:v>STITCHING</x:v>
      </x:c>
      <x:c r="E104" s="128" t="str">
        <x:v>STITCHING</x:v>
      </x:c>
      <x:c r="F104" s="137" t="str"/>
      <x:c r="G104" s="137" t="str">
        <x:v>Yes</x:v>
      </x:c>
      <x:c r="H104" s="137" t="str">
        <x:v>Pooled</x:v>
      </x:c>
      <x:c r="I104" s="137" t="n">
        <x:v>15</x:v>
      </x:c>
      <x:c r="J104" s="137" t="str"/>
      <x:c r="K104" s="137" t="str"/>
      <x:c r="L104" s="137" t="str"/>
      <x:c r="M104" s="137" t="str">
        <x:v>No</x:v>
      </x:c>
      <x:c r="N104" s="138" t="str"/>
      <x:c r="O104" s="137" t="str"/>
      <x:c r="P104" s="137" t="str">
        <x:v>To Confirm</x:v>
      </x:c>
      <x:c r="Q104" s="137" t="str"/>
    </x:row>
    <x:row r="105">
      <x:c r="A105" s="128" t="str">
        <x:v>REX GOLA PLUS</x:v>
      </x:c>
      <x:c r="B105" s="128" t="str">
        <x:v>TO CONFIRM</x:v>
      </x:c>
      <x:c r="C105" s="128" t="n">
        <x:v>4</x:v>
      </x:c>
      <x:c r="D105" s="128" t="str">
        <x:v>UPPER_QC</x:v>
      </x:c>
      <x:c r="E105" s="128" t="str">
        <x:v>UPPER_QC</x:v>
      </x:c>
      <x:c r="F105" s="137" t="str"/>
      <x:c r="G105" s="137" t="str">
        <x:v>Yes</x:v>
      </x:c>
      <x:c r="H105" s="137" t="str">
        <x:v>Pooled</x:v>
      </x:c>
      <x:c r="I105" s="137" t="n">
        <x:v>18</x:v>
      </x:c>
      <x:c r="J105" s="137" t="str"/>
      <x:c r="K105" s="137" t="str"/>
      <x:c r="L105" s="137" t="str"/>
      <x:c r="M105" s="137" t="str">
        <x:v>No</x:v>
      </x:c>
      <x:c r="N105" s="138" t="str"/>
      <x:c r="O105" s="137" t="str"/>
      <x:c r="P105" s="137" t="str">
        <x:v>To Confirm</x:v>
      </x:c>
      <x:c r="Q105" s="137" t="str"/>
    </x:row>
    <x:row r="106">
      <x:c r="A106" s="128" t="str">
        <x:v>REX GOLA PLUS</x:v>
      </x:c>
      <x:c r="B106" s="128" t="str">
        <x:v>TO CONFIRM</x:v>
      </x:c>
      <x:c r="C106" s="128" t="n">
        <x:v>5</x:v>
      </x:c>
      <x:c r="D106" s="128" t="str">
        <x:v>MOLDING</x:v>
      </x:c>
      <x:c r="E106" s="128" t="str">
        <x:v>PVC MACHINE TO CONFIRM</x:v>
      </x:c>
      <x:c r="F106" s="137" t="str"/>
      <x:c r="G106" s="137" t="str">
        <x:v>Yes</x:v>
      </x:c>
      <x:c r="H106" s="137" t="str">
        <x:v>Exclusive</x:v>
      </x:c>
      <x:c r="I106" s="137" t="n">
        <x:v>22</x:v>
      </x:c>
      <x:c r="J106" s="137" t="str"/>
      <x:c r="K106" s="137" t="str"/>
      <x:c r="L106" s="137" t="str"/>
      <x:c r="M106" s="137" t="str">
        <x:v>No</x:v>
      </x:c>
      <x:c r="N106" s="138" t="str"/>
      <x:c r="O106" s="137" t="str"/>
      <x:c r="P106" s="137" t="str">
        <x:v>To Confirm</x:v>
      </x:c>
      <x:c r="Q106" s="137" t="str"/>
    </x:row>
    <x:row r="107">
      <x:c r="A107" s="128" t="str">
        <x:v>REX GOLA PLUS</x:v>
      </x:c>
      <x:c r="B107" s="128" t="str">
        <x:v>TO CONFIRM</x:v>
      </x:c>
      <x:c r="C107" s="128" t="n">
        <x:v>6</x:v>
      </x:c>
      <x:c r="D107" s="128" t="str">
        <x:v>PACKING</x:v>
      </x:c>
      <x:c r="E107" s="128" t="str">
        <x:v>PACKING</x:v>
      </x:c>
      <x:c r="F107" s="137" t="str"/>
      <x:c r="G107" s="137" t="str">
        <x:v>Yes</x:v>
      </x:c>
      <x:c r="H107" s="137" t="str">
        <x:v>Pooled</x:v>
      </x:c>
      <x:c r="I107" s="137" t="n">
        <x:v>28</x:v>
      </x:c>
      <x:c r="J107" s="137" t="str"/>
      <x:c r="K107" s="137" t="str"/>
      <x:c r="L107" s="137" t="str"/>
      <x:c r="M107" s="137" t="str">
        <x:v>No</x:v>
      </x:c>
      <x:c r="N107" s="138" t="str"/>
      <x:c r="O107" s="137" t="str"/>
      <x:c r="P107" s="137" t="str">
        <x:v>To Confirm</x:v>
      </x:c>
      <x:c r="Q107" s="137" t="str"/>
    </x:row>
    <x:row r="108">
      <x:c r="A108" s="129" t="str">
        <x:v>REX GOLA PLUS</x:v>
      </x:c>
      <x:c r="B108" s="129" t="str">
        <x:v>TO CONFIRM</x:v>
      </x:c>
      <x:c r="C108" s="129" t="n">
        <x:v>7</x:v>
      </x:c>
      <x:c r="D108" s="129" t="str">
        <x:v>DISPATCH</x:v>
      </x:c>
      <x:c r="E108" s="129" t="str">
        <x:v>DISPATCH</x:v>
      </x:c>
      <x:c r="F108" s="139" t="str"/>
      <x:c r="G108" s="139" t="str">
        <x:v>Yes</x:v>
      </x:c>
      <x:c r="H108" s="139" t="str">
        <x:v>Pooled</x:v>
      </x:c>
      <x:c r="I108" s="139" t="n">
        <x:v>30</x:v>
      </x:c>
      <x:c r="J108" s="139" t="str"/>
      <x:c r="K108" s="139" t="str"/>
      <x:c r="L108" s="139" t="str"/>
      <x:c r="M108" s="139" t="str">
        <x:v>No</x:v>
      </x:c>
      <x:c r="N108" s="145" t="str"/>
      <x:c r="O108" s="139" t="str"/>
      <x:c r="P108" s="139" t="str">
        <x:v>To Confirm</x:v>
      </x:c>
      <x:c r="Q108" s="139" t="str"/>
    </x:row>
  </x:sheetData>
  <x:mergeCells>
    <x:mergeCell ref="A1:Q1"/>
    <x:mergeCell ref="A2:Q2"/>
    <x:mergeCell ref="A3:Q3"/>
  </x:mergeCells>
  <x:conditionalFormatting sqref="H5:H7">
    <x:cfRule type="containsText" dxfId="18" priority="1" operator="containsText" text="Approved"/>
    <x:cfRule type="containsText" dxfId="19" priority="2" operator="containsText" text="Validated"/>
    <x:cfRule type="containsText" dxfId="20" priority="3" operator="containsText" text="Confirmed"/>
    <x:cfRule type="containsText" dxfId="21" priority="4" operator="containsText" text="To Confirm"/>
    <x:cfRule type="containsText" dxfId="22" priority="5" operator="containsText" text="Rejected"/>
    <x:cfRule type="containsText" dxfId="23" priority="6" operator="containsText" text="Blocked"/>
  </x:conditionalFormatting>
  <x:conditionalFormatting sqref="P11:P108">
    <x:cfRule type="containsText" dxfId="24" priority="7" operator="containsText" text="Approved"/>
    <x:cfRule type="containsText" dxfId="25" priority="8" operator="containsText" text="Validated"/>
    <x:cfRule type="containsText" dxfId="26" priority="9" operator="containsText" text="Confirmed"/>
    <x:cfRule type="containsText" dxfId="27" priority="10" operator="containsText" text="To Confirm"/>
    <x:cfRule type="containsText" dxfId="28" priority="11" operator="containsText" text="Rejected"/>
    <x:cfRule type="containsText" dxfId="29" priority="12" operator="containsText" text="Blocked"/>
  </x:conditionalFormatting>
  <x:dataValidations count="8">
    <x:dataValidation type="list" sqref="H5:H7">
      <x:formula1>"To Confirm,Confirmed,Not Applicable"</x:formula1>
    </x:dataValidation>
    <x:dataValidation type="list" sqref="A11:A108">
      <x:formula1>'Lists - Do Not Edit'!$S$2:$S$17</x:formula1>
    </x:dataValidation>
    <x:dataValidation type="list" sqref="D11:D108">
      <x:formula1>'Lists - Do Not Edit'!$B$2:$B$12</x:formula1>
    </x:dataValidation>
    <x:dataValidation type="list" sqref="F11:F108">
      <x:formula1>'Lists - Do Not Edit'!$A$2:$A$14</x:formula1>
    </x:dataValidation>
    <x:dataValidation type="list" sqref="G11:G108">
      <x:formula1>"Yes,No"</x:formula1>
    </x:dataValidation>
    <x:dataValidation type="list" sqref="H11:H108">
      <x:formula1>"Pooled,Exclusive,External"</x:formula1>
    </x:dataValidation>
    <x:dataValidation type="list" sqref="M11:M108">
      <x:formula1>"Yes,No"</x:formula1>
    </x:dataValidation>
    <x:dataValidation type="list" sqref="P11:P108">
      <x:formula1>"To Confirm,Confirmed,Not Applicable"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c74c63f1fd04e46"/>
    <x:tablePart xmlns:r="http://schemas.openxmlformats.org/officeDocument/2006/relationships" r:id="R9df3155fe72342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20" hidden="0" customWidth="1"/>
    <x:col min="5" max="5" width="24" hidden="0" customWidth="1"/>
    <x:col min="6" max="6" width="26" hidden="0" customWidth="1"/>
    <x:col min="7" max="7" width="22" hidden="0" customWidth="1"/>
    <x:col min="8" max="8" width="24" hidden="0" customWidth="1"/>
    <x:col min="9" max="9" width="24" hidden="0" customWidth="1"/>
    <x:col min="10" max="10" width="20" hidden="0" customWidth="1"/>
    <x:col min="11" max="11" width="14" hidden="0" customWidth="1"/>
    <x:col min="12" max="12" width="16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20" hidden="0" customWidth="1"/>
    <x:col min="19" max="19" width="18" hidden="0" customWidth="1"/>
    <x:col min="20" max="20" width="42" hidden="0" customWidth="1"/>
  </x:cols>
  <x:sheetData>
    <x:row r="1" ht="30" customHeight="1">
      <x:c r="A1" s="140" t="str">
        <x:v>Packing Rules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</x:row>
    <x:row r="2" ht="34" customHeight="1">
      <x:c r="A2" s="123" t="str">
        <x:v>Confirm every article/range separately. SPIKE is intentionally linked to ARMOUR by range position; changing ARMOUR must update SPIKE.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  <x:c r="T3" s="124"/>
    </x:row>
    <x:row r="4" ht="34" customHeight="1">
      <x:c r="A4" s="141" t="str">
        <x:v>Rule ID</x:v>
      </x:c>
      <x:c r="B4" s="142" t="str">
        <x:v>Article Code</x:v>
      </x:c>
      <x:c r="C4" s="142" t="str">
        <x:v>Article Type</x:v>
      </x:c>
      <x:c r="D4" s="142" t="str">
        <x:v>Rule Kind</x:v>
      </x:c>
      <x:c r="E4" s="142" t="str">
        <x:v>Size Range / Single Profile</x:v>
      </x:c>
      <x:c r="F4" s="142" t="str">
        <x:v>Sizes Included</x:v>
      </x:c>
      <x:c r="G4" s="142" t="str">
        <x:v>Current Effective Pairs / Carton</x:v>
      </x:c>
      <x:c r="H4" s="142" t="str">
        <x:v>Client Confirmed Pairs / Carton</x:v>
      </x:c>
      <x:c r="I4" s="142" t="str">
        <x:v>Source Packing List</x:v>
      </x:c>
      <x:c r="J4" s="142" t="str">
        <x:v>Source Size Range</x:v>
      </x:c>
      <x:c r="K4" s="142" t="str">
        <x:v>Inherited?</x:v>
      </x:c>
      <x:c r="L4" s="142" t="str">
        <x:v>Inner Pack Qty</x:v>
      </x:c>
      <x:c r="M4" s="142" t="str">
        <x:v>Carton Length</x:v>
      </x:c>
      <x:c r="N4" s="142" t="str">
        <x:v>Carton Width</x:v>
      </x:c>
      <x:c r="O4" s="142" t="str">
        <x:v>Carton Height</x:v>
      </x:c>
      <x:c r="P4" s="142" t="str">
        <x:v>Gross Weight</x:v>
      </x:c>
      <x:c r="Q4" s="142" t="str">
        <x:v>Effective From</x:v>
      </x:c>
      <x:c r="R4" s="142" t="str">
        <x:v>Approved By</x:v>
      </x:c>
      <x:c r="S4" s="142" t="str">
        <x:v>Confirmation Status</x:v>
      </x:c>
      <x:c r="T4" s="143" t="str">
        <x:v>Notes</x:v>
      </x:c>
    </x:row>
    <x:row r="5">
      <x:c r="A5" s="136" t="str">
        <x:v>PK-001</x:v>
      </x:c>
      <x:c r="B5" s="136" t="str">
        <x:v>ARMOUR (VELCRO)</x:v>
      </x:c>
      <x:c r="C5" s="136" t="str">
        <x:v>VELCRO</x:v>
      </x:c>
      <x:c r="D5" s="136" t="str">
        <x:v>Combination Pack</x:v>
      </x:c>
      <x:c r="E5" s="136" t="str">
        <x:v>8X10</x:v>
      </x:c>
      <x:c r="F5" s="136" t="str">
        <x:v>8X10</x:v>
      </x:c>
      <x:c r="G5" s="127" t="n">
        <x:v>24</x:v>
      </x:c>
      <x:c r="H5" s="136" t="str"/>
      <x:c r="I5" s="127" t="str">
        <x:v>ARMOUR (VELCRO)</x:v>
      </x:c>
      <x:c r="J5" s="127" t="str">
        <x:v>8X10</x:v>
      </x:c>
      <x:c r="K5" s="127" t="str">
        <x:v>No</x:v>
      </x:c>
      <x:c r="L5" s="136" t="str"/>
      <x:c r="M5" s="136" t="str"/>
      <x:c r="N5" s="136" t="str"/>
      <x:c r="O5" s="136" t="str"/>
      <x:c r="P5" s="136" t="str"/>
      <x:c r="Q5" s="144" t="str"/>
      <x:c r="R5" s="136" t="str"/>
      <x:c r="S5" s="136" t="str">
        <x:v>To Confirm</x:v>
      </x:c>
      <x:c r="T5" s="136" t="str"/>
    </x:row>
    <x:row r="6">
      <x:c r="A6" s="137" t="str">
        <x:v>PK-002</x:v>
      </x:c>
      <x:c r="B6" s="137" t="str">
        <x:v>ARMOUR (VELCRO)</x:v>
      </x:c>
      <x:c r="C6" s="137" t="str">
        <x:v>VELCRO</x:v>
      </x:c>
      <x:c r="D6" s="137" t="str">
        <x:v>Combination Pack</x:v>
      </x:c>
      <x:c r="E6" s="137" t="str">
        <x:v>11X1</x:v>
      </x:c>
      <x:c r="F6" s="137" t="str">
        <x:v>11X1</x:v>
      </x:c>
      <x:c r="G6" s="128" t="n">
        <x:v>24</x:v>
      </x:c>
      <x:c r="H6" s="137" t="str"/>
      <x:c r="I6" s="128" t="str">
        <x:v>ARMOUR (VELCRO)</x:v>
      </x:c>
      <x:c r="J6" s="128" t="str">
        <x:v>11X1</x:v>
      </x:c>
      <x:c r="K6" s="128" t="str">
        <x:v>No</x:v>
      </x:c>
      <x:c r="L6" s="137" t="str"/>
      <x:c r="M6" s="137" t="str"/>
      <x:c r="N6" s="137" t="str"/>
      <x:c r="O6" s="137" t="str"/>
      <x:c r="P6" s="137" t="str"/>
      <x:c r="Q6" s="138" t="str"/>
      <x:c r="R6" s="137" t="str"/>
      <x:c r="S6" s="137" t="str">
        <x:v>To Confirm</x:v>
      </x:c>
      <x:c r="T6" s="137" t="str"/>
    </x:row>
    <x:row r="7">
      <x:c r="A7" s="137" t="str">
        <x:v>PK-003</x:v>
      </x:c>
      <x:c r="B7" s="137" t="str">
        <x:v>ARMOUR (VELCRO)</x:v>
      </x:c>
      <x:c r="C7" s="137" t="str">
        <x:v>VELCRO</x:v>
      </x:c>
      <x:c r="D7" s="137" t="str">
        <x:v>Combination Pack</x:v>
      </x:c>
      <x:c r="E7" s="137" t="str">
        <x:v>2X5</x:v>
      </x:c>
      <x:c r="F7" s="137" t="str">
        <x:v>2X5</x:v>
      </x:c>
      <x:c r="G7" s="128" t="n">
        <x:v>18</x:v>
      </x:c>
      <x:c r="H7" s="137" t="str"/>
      <x:c r="I7" s="128" t="str">
        <x:v>ARMOUR (VELCRO)</x:v>
      </x:c>
      <x:c r="J7" s="128" t="str">
        <x:v>2X5</x:v>
      </x:c>
      <x:c r="K7" s="128" t="str">
        <x:v>No</x:v>
      </x:c>
      <x:c r="L7" s="137" t="str"/>
      <x:c r="M7" s="137" t="str"/>
      <x:c r="N7" s="137" t="str"/>
      <x:c r="O7" s="137" t="str"/>
      <x:c r="P7" s="137" t="str"/>
      <x:c r="Q7" s="138" t="str"/>
      <x:c r="R7" s="137" t="str"/>
      <x:c r="S7" s="137" t="str">
        <x:v>To Confirm</x:v>
      </x:c>
      <x:c r="T7" s="137" t="str"/>
    </x:row>
    <x:row r="8">
      <x:c r="A8" s="137" t="str">
        <x:v>PK-004</x:v>
      </x:c>
      <x:c r="B8" s="137" t="str">
        <x:v>ARMOUR (VELCRO)</x:v>
      </x:c>
      <x:c r="C8" s="137" t="str">
        <x:v>VELCRO</x:v>
      </x:c>
      <x:c r="D8" s="137" t="str">
        <x:v>Combination Pack</x:v>
      </x:c>
      <x:c r="E8" s="137" t="str">
        <x:v>6X10B</x:v>
      </x:c>
      <x:c r="F8" s="137" t="str">
        <x:v>6X10B</x:v>
      </x:c>
      <x:c r="G8" s="128" t="n">
        <x:v>18</x:v>
      </x:c>
      <x:c r="H8" s="137" t="str"/>
      <x:c r="I8" s="128" t="str">
        <x:v>ARMOUR (VELCRO)</x:v>
      </x:c>
      <x:c r="J8" s="128" t="str">
        <x:v>6X10B</x:v>
      </x:c>
      <x:c r="K8" s="128" t="str">
        <x:v>No</x:v>
      </x:c>
      <x:c r="L8" s="137" t="str"/>
      <x:c r="M8" s="137" t="str"/>
      <x:c r="N8" s="137" t="str"/>
      <x:c r="O8" s="137" t="str"/>
      <x:c r="P8" s="137" t="str"/>
      <x:c r="Q8" s="138" t="str"/>
      <x:c r="R8" s="137" t="str"/>
      <x:c r="S8" s="137" t="str">
        <x:v>To Confirm</x:v>
      </x:c>
      <x:c r="T8" s="137" t="str"/>
    </x:row>
    <x:row r="9">
      <x:c r="A9" s="137" t="str">
        <x:v>PK-005</x:v>
      </x:c>
      <x:c r="B9" s="137" t="str">
        <x:v>ARMOUR (LACE)</x:v>
      </x:c>
      <x:c r="C9" s="137" t="str">
        <x:v>LACE</x:v>
      </x:c>
      <x:c r="D9" s="137" t="str">
        <x:v>Combination Pack</x:v>
      </x:c>
      <x:c r="E9" s="137" t="str">
        <x:v>8X10</x:v>
      </x:c>
      <x:c r="F9" s="137" t="str">
        <x:v>8X10</x:v>
      </x:c>
      <x:c r="G9" s="128" t="n">
        <x:v>24</x:v>
      </x:c>
      <x:c r="H9" s="137" t="str"/>
      <x:c r="I9" s="128" t="str">
        <x:v>ARMOUR (LACE)</x:v>
      </x:c>
      <x:c r="J9" s="128" t="str">
        <x:v>8X10</x:v>
      </x:c>
      <x:c r="K9" s="128" t="str">
        <x:v>No</x:v>
      </x:c>
      <x:c r="L9" s="137" t="str"/>
      <x:c r="M9" s="137" t="str"/>
      <x:c r="N9" s="137" t="str"/>
      <x:c r="O9" s="137" t="str"/>
      <x:c r="P9" s="137" t="str"/>
      <x:c r="Q9" s="138" t="str"/>
      <x:c r="R9" s="137" t="str"/>
      <x:c r="S9" s="137" t="str">
        <x:v>To Confirm</x:v>
      </x:c>
      <x:c r="T9" s="137" t="str"/>
    </x:row>
    <x:row r="10">
      <x:c r="A10" s="137" t="str">
        <x:v>PK-006</x:v>
      </x:c>
      <x:c r="B10" s="137" t="str">
        <x:v>ARMOUR (LACE)</x:v>
      </x:c>
      <x:c r="C10" s="137" t="str">
        <x:v>LACE</x:v>
      </x:c>
      <x:c r="D10" s="137" t="str">
        <x:v>Combination Pack</x:v>
      </x:c>
      <x:c r="E10" s="137" t="str">
        <x:v>11X1</x:v>
      </x:c>
      <x:c r="F10" s="137" t="str">
        <x:v>11X1</x:v>
      </x:c>
      <x:c r="G10" s="128" t="n">
        <x:v>24</x:v>
      </x:c>
      <x:c r="H10" s="137" t="str"/>
      <x:c r="I10" s="128" t="str">
        <x:v>ARMOUR (LACE)</x:v>
      </x:c>
      <x:c r="J10" s="128" t="str">
        <x:v>11X1</x:v>
      </x:c>
      <x:c r="K10" s="128" t="str">
        <x:v>No</x:v>
      </x:c>
      <x:c r="L10" s="137" t="str"/>
      <x:c r="M10" s="137" t="str"/>
      <x:c r="N10" s="137" t="str"/>
      <x:c r="O10" s="137" t="str"/>
      <x:c r="P10" s="137" t="str"/>
      <x:c r="Q10" s="138" t="str"/>
      <x:c r="R10" s="137" t="str"/>
      <x:c r="S10" s="137" t="str">
        <x:v>To Confirm</x:v>
      </x:c>
      <x:c r="T10" s="137" t="str"/>
    </x:row>
    <x:row r="11">
      <x:c r="A11" s="137" t="str">
        <x:v>PK-007</x:v>
      </x:c>
      <x:c r="B11" s="137" t="str">
        <x:v>ARMOUR (LACE)</x:v>
      </x:c>
      <x:c r="C11" s="137" t="str">
        <x:v>LACE</x:v>
      </x:c>
      <x:c r="D11" s="137" t="str">
        <x:v>Combination Pack</x:v>
      </x:c>
      <x:c r="E11" s="137" t="str">
        <x:v>2X5</x:v>
      </x:c>
      <x:c r="F11" s="137" t="str">
        <x:v>2X5</x:v>
      </x:c>
      <x:c r="G11" s="128" t="n">
        <x:v>18</x:v>
      </x:c>
      <x:c r="H11" s="137" t="str"/>
      <x:c r="I11" s="128" t="str">
        <x:v>ARMOUR (LACE)</x:v>
      </x:c>
      <x:c r="J11" s="128" t="str">
        <x:v>2X5</x:v>
      </x:c>
      <x:c r="K11" s="128" t="str">
        <x:v>No</x:v>
      </x:c>
      <x:c r="L11" s="137" t="str"/>
      <x:c r="M11" s="137" t="str"/>
      <x:c r="N11" s="137" t="str"/>
      <x:c r="O11" s="137" t="str"/>
      <x:c r="P11" s="137" t="str"/>
      <x:c r="Q11" s="138" t="str"/>
      <x:c r="R11" s="137" t="str"/>
      <x:c r="S11" s="137" t="str">
        <x:v>To Confirm</x:v>
      </x:c>
      <x:c r="T11" s="137" t="str"/>
    </x:row>
    <x:row r="12">
      <x:c r="A12" s="137" t="str">
        <x:v>PK-008</x:v>
      </x:c>
      <x:c r="B12" s="137" t="str">
        <x:v>ARMOUR (LACE)</x:v>
      </x:c>
      <x:c r="C12" s="137" t="str">
        <x:v>LACE</x:v>
      </x:c>
      <x:c r="D12" s="137" t="str">
        <x:v>Combination Pack</x:v>
      </x:c>
      <x:c r="E12" s="137" t="str">
        <x:v>6X10B</x:v>
      </x:c>
      <x:c r="F12" s="137" t="str">
        <x:v>6X10B</x:v>
      </x:c>
      <x:c r="G12" s="128" t="n">
        <x:v>18</x:v>
      </x:c>
      <x:c r="H12" s="137" t="str"/>
      <x:c r="I12" s="128" t="str">
        <x:v>ARMOUR (LACE)</x:v>
      </x:c>
      <x:c r="J12" s="128" t="str">
        <x:v>6X10B</x:v>
      </x:c>
      <x:c r="K12" s="128" t="str">
        <x:v>No</x:v>
      </x:c>
      <x:c r="L12" s="137" t="str"/>
      <x:c r="M12" s="137" t="str"/>
      <x:c r="N12" s="137" t="str"/>
      <x:c r="O12" s="137" t="str"/>
      <x:c r="P12" s="137" t="str"/>
      <x:c r="Q12" s="138" t="str"/>
      <x:c r="R12" s="137" t="str"/>
      <x:c r="S12" s="137" t="str">
        <x:v>To Confirm</x:v>
      </x:c>
      <x:c r="T12" s="137" t="str"/>
    </x:row>
    <x:row r="13">
      <x:c r="A13" s="137" t="str">
        <x:v>PK-009</x:v>
      </x:c>
      <x:c r="B13" s="137" t="str">
        <x:v>REX GOLA (V)</x:v>
      </x:c>
      <x:c r="C13" s="137" t="str">
        <x:v>VELCRO</x:v>
      </x:c>
      <x:c r="D13" s="137" t="str">
        <x:v>Combination Pack</x:v>
      </x:c>
      <x:c r="E13" s="137" t="str">
        <x:v>8X10</x:v>
      </x:c>
      <x:c r="F13" s="137" t="str">
        <x:v>8X10</x:v>
      </x:c>
      <x:c r="G13" s="128" t="n">
        <x:v>18</x:v>
      </x:c>
      <x:c r="H13" s="137" t="str"/>
      <x:c r="I13" s="128" t="str">
        <x:v>REX GOLA (V)</x:v>
      </x:c>
      <x:c r="J13" s="128" t="str">
        <x:v>8X10</x:v>
      </x:c>
      <x:c r="K13" s="128" t="str">
        <x:v>No</x:v>
      </x:c>
      <x:c r="L13" s="137" t="str"/>
      <x:c r="M13" s="137" t="str"/>
      <x:c r="N13" s="137" t="str"/>
      <x:c r="O13" s="137" t="str"/>
      <x:c r="P13" s="137" t="str"/>
      <x:c r="Q13" s="138" t="str"/>
      <x:c r="R13" s="137" t="str"/>
      <x:c r="S13" s="137" t="str">
        <x:v>To Confirm</x:v>
      </x:c>
      <x:c r="T13" s="137" t="str"/>
    </x:row>
    <x:row r="14">
      <x:c r="A14" s="137" t="str">
        <x:v>PK-010</x:v>
      </x:c>
      <x:c r="B14" s="137" t="str">
        <x:v>REX GOLA (V)</x:v>
      </x:c>
      <x:c r="C14" s="137" t="str">
        <x:v>VELCRO</x:v>
      </x:c>
      <x:c r="D14" s="137" t="str">
        <x:v>Combination Pack</x:v>
      </x:c>
      <x:c r="E14" s="137" t="str">
        <x:v>11X13</x:v>
      </x:c>
      <x:c r="F14" s="137" t="str">
        <x:v>11X13</x:v>
      </x:c>
      <x:c r="G14" s="128" t="n">
        <x:v>18</x:v>
      </x:c>
      <x:c r="H14" s="137" t="str"/>
      <x:c r="I14" s="128" t="str">
        <x:v>REX GOLA (V)</x:v>
      </x:c>
      <x:c r="J14" s="128" t="str">
        <x:v>11X13</x:v>
      </x:c>
      <x:c r="K14" s="128" t="str">
        <x:v>No</x:v>
      </x:c>
      <x:c r="L14" s="137" t="str"/>
      <x:c r="M14" s="137" t="str"/>
      <x:c r="N14" s="137" t="str"/>
      <x:c r="O14" s="137" t="str"/>
      <x:c r="P14" s="137" t="str"/>
      <x:c r="Q14" s="138" t="str"/>
      <x:c r="R14" s="137" t="str"/>
      <x:c r="S14" s="137" t="str">
        <x:v>To Confirm</x:v>
      </x:c>
      <x:c r="T14" s="137" t="str"/>
    </x:row>
    <x:row r="15">
      <x:c r="A15" s="137" t="str">
        <x:v>PK-011</x:v>
      </x:c>
      <x:c r="B15" s="137" t="str">
        <x:v>REX GOLA (V)</x:v>
      </x:c>
      <x:c r="C15" s="137" t="str">
        <x:v>VELCRO</x:v>
      </x:c>
      <x:c r="D15" s="137" t="str">
        <x:v>Combination Pack</x:v>
      </x:c>
      <x:c r="E15" s="137" t="str">
        <x:v>1X3</x:v>
      </x:c>
      <x:c r="F15" s="137" t="str">
        <x:v>1X3</x:v>
      </x:c>
      <x:c r="G15" s="128" t="n">
        <x:v>18</x:v>
      </x:c>
      <x:c r="H15" s="137" t="str"/>
      <x:c r="I15" s="128" t="str">
        <x:v>REX GOLA (V)</x:v>
      </x:c>
      <x:c r="J15" s="128" t="str">
        <x:v>1X3</x:v>
      </x:c>
      <x:c r="K15" s="128" t="str">
        <x:v>No</x:v>
      </x:c>
      <x:c r="L15" s="137" t="str"/>
      <x:c r="M15" s="137" t="str"/>
      <x:c r="N15" s="137" t="str"/>
      <x:c r="O15" s="137" t="str"/>
      <x:c r="P15" s="137" t="str"/>
      <x:c r="Q15" s="138" t="str"/>
      <x:c r="R15" s="137" t="str"/>
      <x:c r="S15" s="137" t="str">
        <x:v>To Confirm</x:v>
      </x:c>
      <x:c r="T15" s="137" t="str"/>
    </x:row>
    <x:row r="16">
      <x:c r="A16" s="137" t="str">
        <x:v>PK-012</x:v>
      </x:c>
      <x:c r="B16" s="137" t="str">
        <x:v>REX GOLA (V)</x:v>
      </x:c>
      <x:c r="C16" s="137" t="str">
        <x:v>VELCRO</x:v>
      </x:c>
      <x:c r="D16" s="137" t="str">
        <x:v>Combination Pack</x:v>
      </x:c>
      <x:c r="E16" s="137" t="str">
        <x:v>4X5</x:v>
      </x:c>
      <x:c r="F16" s="137" t="str">
        <x:v>4X5</x:v>
      </x:c>
      <x:c r="G16" s="128" t="n">
        <x:v>18</x:v>
      </x:c>
      <x:c r="H16" s="137" t="str"/>
      <x:c r="I16" s="128" t="str">
        <x:v>REX GOLA (V)</x:v>
      </x:c>
      <x:c r="J16" s="128" t="str">
        <x:v>4X5</x:v>
      </x:c>
      <x:c r="K16" s="128" t="str">
        <x:v>No</x:v>
      </x:c>
      <x:c r="L16" s="137" t="str"/>
      <x:c r="M16" s="137" t="str"/>
      <x:c r="N16" s="137" t="str"/>
      <x:c r="O16" s="137" t="str"/>
      <x:c r="P16" s="137" t="str"/>
      <x:c r="Q16" s="138" t="str"/>
      <x:c r="R16" s="137" t="str"/>
      <x:c r="S16" s="137" t="str">
        <x:v>To Confirm</x:v>
      </x:c>
      <x:c r="T16" s="137" t="str"/>
    </x:row>
    <x:row r="17">
      <x:c r="A17" s="137" t="str">
        <x:v>PK-013</x:v>
      </x:c>
      <x:c r="B17" s="137" t="str">
        <x:v>REX GOLA (V)</x:v>
      </x:c>
      <x:c r="C17" s="137" t="str">
        <x:v>VELCRO</x:v>
      </x:c>
      <x:c r="D17" s="137" t="str">
        <x:v>Combination Pack</x:v>
      </x:c>
      <x:c r="E17" s="137" t="str">
        <x:v>6X7B</x:v>
      </x:c>
      <x:c r="F17" s="137" t="str">
        <x:v>6X7B</x:v>
      </x:c>
      <x:c r="G17" s="128" t="n">
        <x:v>18</x:v>
      </x:c>
      <x:c r="H17" s="137" t="str"/>
      <x:c r="I17" s="128" t="str">
        <x:v>REX GOLA (V)</x:v>
      </x:c>
      <x:c r="J17" s="128" t="str">
        <x:v>6X7B</x:v>
      </x:c>
      <x:c r="K17" s="128" t="str">
        <x:v>No</x:v>
      </x:c>
      <x:c r="L17" s="137" t="str"/>
      <x:c r="M17" s="137" t="str"/>
      <x:c r="N17" s="137" t="str"/>
      <x:c r="O17" s="137" t="str"/>
      <x:c r="P17" s="137" t="str"/>
      <x:c r="Q17" s="138" t="str"/>
      <x:c r="R17" s="137" t="str"/>
      <x:c r="S17" s="137" t="str">
        <x:v>To Confirm</x:v>
      </x:c>
      <x:c r="T17" s="137" t="str"/>
    </x:row>
    <x:row r="18">
      <x:c r="A18" s="137" t="str">
        <x:v>PK-014</x:v>
      </x:c>
      <x:c r="B18" s="137" t="str">
        <x:v>REX GOLA (V)</x:v>
      </x:c>
      <x:c r="C18" s="137" t="str">
        <x:v>VELCRO</x:v>
      </x:c>
      <x:c r="D18" s="137" t="str">
        <x:v>Combination Pack</x:v>
      </x:c>
      <x:c r="E18" s="137" t="str">
        <x:v>8X10B</x:v>
      </x:c>
      <x:c r="F18" s="137" t="str">
        <x:v>8X10B</x:v>
      </x:c>
      <x:c r="G18" s="128" t="n">
        <x:v>18</x:v>
      </x:c>
      <x:c r="H18" s="137" t="str"/>
      <x:c r="I18" s="128" t="str">
        <x:v>REX GOLA (V)</x:v>
      </x:c>
      <x:c r="J18" s="128" t="str">
        <x:v>8X10B</x:v>
      </x:c>
      <x:c r="K18" s="128" t="str">
        <x:v>No</x:v>
      </x:c>
      <x:c r="L18" s="137" t="str"/>
      <x:c r="M18" s="137" t="str"/>
      <x:c r="N18" s="137" t="str"/>
      <x:c r="O18" s="137" t="str"/>
      <x:c r="P18" s="137" t="str"/>
      <x:c r="Q18" s="138" t="str"/>
      <x:c r="R18" s="137" t="str"/>
      <x:c r="S18" s="137" t="str">
        <x:v>To Confirm</x:v>
      </x:c>
      <x:c r="T18" s="137" t="str"/>
    </x:row>
    <x:row r="19">
      <x:c r="A19" s="137" t="str">
        <x:v>PK-015</x:v>
      </x:c>
      <x:c r="B19" s="137" t="str">
        <x:v>REX GOLA (L)</x:v>
      </x:c>
      <x:c r="C19" s="137" t="str">
        <x:v>LACE</x:v>
      </x:c>
      <x:c r="D19" s="137" t="str">
        <x:v>Combination Pack</x:v>
      </x:c>
      <x:c r="E19" s="137" t="str">
        <x:v>8X10</x:v>
      </x:c>
      <x:c r="F19" s="137" t="str">
        <x:v>8X10</x:v>
      </x:c>
      <x:c r="G19" s="128" t="n">
        <x:v>18</x:v>
      </x:c>
      <x:c r="H19" s="137" t="str"/>
      <x:c r="I19" s="128" t="str">
        <x:v>REX GOLA (L)</x:v>
      </x:c>
      <x:c r="J19" s="128" t="str">
        <x:v>8X10</x:v>
      </x:c>
      <x:c r="K19" s="128" t="str">
        <x:v>No</x:v>
      </x:c>
      <x:c r="L19" s="137" t="str"/>
      <x:c r="M19" s="137" t="str"/>
      <x:c r="N19" s="137" t="str"/>
      <x:c r="O19" s="137" t="str"/>
      <x:c r="P19" s="137" t="str"/>
      <x:c r="Q19" s="138" t="str"/>
      <x:c r="R19" s="137" t="str"/>
      <x:c r="S19" s="137" t="str">
        <x:v>To Confirm</x:v>
      </x:c>
      <x:c r="T19" s="137" t="str"/>
    </x:row>
    <x:row r="20">
      <x:c r="A20" s="137" t="str">
        <x:v>PK-016</x:v>
      </x:c>
      <x:c r="B20" s="137" t="str">
        <x:v>REX GOLA (L)</x:v>
      </x:c>
      <x:c r="C20" s="137" t="str">
        <x:v>LACE</x:v>
      </x:c>
      <x:c r="D20" s="137" t="str">
        <x:v>Combination Pack</x:v>
      </x:c>
      <x:c r="E20" s="137" t="str">
        <x:v>11X13</x:v>
      </x:c>
      <x:c r="F20" s="137" t="str">
        <x:v>11X13</x:v>
      </x:c>
      <x:c r="G20" s="128" t="n">
        <x:v>18</x:v>
      </x:c>
      <x:c r="H20" s="137" t="str"/>
      <x:c r="I20" s="128" t="str">
        <x:v>REX GOLA (L)</x:v>
      </x:c>
      <x:c r="J20" s="128" t="str">
        <x:v>11X13</x:v>
      </x:c>
      <x:c r="K20" s="128" t="str">
        <x:v>No</x:v>
      </x:c>
      <x:c r="L20" s="137" t="str"/>
      <x:c r="M20" s="137" t="str"/>
      <x:c r="N20" s="137" t="str"/>
      <x:c r="O20" s="137" t="str"/>
      <x:c r="P20" s="137" t="str"/>
      <x:c r="Q20" s="138" t="str"/>
      <x:c r="R20" s="137" t="str"/>
      <x:c r="S20" s="137" t="str">
        <x:v>To Confirm</x:v>
      </x:c>
      <x:c r="T20" s="137" t="str"/>
    </x:row>
    <x:row r="21">
      <x:c r="A21" s="137" t="str">
        <x:v>PK-017</x:v>
      </x:c>
      <x:c r="B21" s="137" t="str">
        <x:v>REX GOLA (L)</x:v>
      </x:c>
      <x:c r="C21" s="137" t="str">
        <x:v>LACE</x:v>
      </x:c>
      <x:c r="D21" s="137" t="str">
        <x:v>Combination Pack</x:v>
      </x:c>
      <x:c r="E21" s="137" t="str">
        <x:v>1X3</x:v>
      </x:c>
      <x:c r="F21" s="137" t="str">
        <x:v>1X3</x:v>
      </x:c>
      <x:c r="G21" s="128" t="n">
        <x:v>18</x:v>
      </x:c>
      <x:c r="H21" s="137" t="str"/>
      <x:c r="I21" s="128" t="str">
        <x:v>REX GOLA (L)</x:v>
      </x:c>
      <x:c r="J21" s="128" t="str">
        <x:v>1X3</x:v>
      </x:c>
      <x:c r="K21" s="128" t="str">
        <x:v>No</x:v>
      </x:c>
      <x:c r="L21" s="137" t="str"/>
      <x:c r="M21" s="137" t="str"/>
      <x:c r="N21" s="137" t="str"/>
      <x:c r="O21" s="137" t="str"/>
      <x:c r="P21" s="137" t="str"/>
      <x:c r="Q21" s="138" t="str"/>
      <x:c r="R21" s="137" t="str"/>
      <x:c r="S21" s="137" t="str">
        <x:v>To Confirm</x:v>
      </x:c>
      <x:c r="T21" s="137" t="str"/>
    </x:row>
    <x:row r="22">
      <x:c r="A22" s="137" t="str">
        <x:v>PK-018</x:v>
      </x:c>
      <x:c r="B22" s="137" t="str">
        <x:v>REX GOLA (L)</x:v>
      </x:c>
      <x:c r="C22" s="137" t="str">
        <x:v>LACE</x:v>
      </x:c>
      <x:c r="D22" s="137" t="str">
        <x:v>Combination Pack</x:v>
      </x:c>
      <x:c r="E22" s="137" t="str">
        <x:v>4X5</x:v>
      </x:c>
      <x:c r="F22" s="137" t="str">
        <x:v>4X5</x:v>
      </x:c>
      <x:c r="G22" s="128" t="n">
        <x:v>18</x:v>
      </x:c>
      <x:c r="H22" s="137" t="str"/>
      <x:c r="I22" s="128" t="str">
        <x:v>REX GOLA (L)</x:v>
      </x:c>
      <x:c r="J22" s="128" t="str">
        <x:v>4X5</x:v>
      </x:c>
      <x:c r="K22" s="128" t="str">
        <x:v>No</x:v>
      </x:c>
      <x:c r="L22" s="137" t="str"/>
      <x:c r="M22" s="137" t="str"/>
      <x:c r="N22" s="137" t="str"/>
      <x:c r="O22" s="137" t="str"/>
      <x:c r="P22" s="137" t="str"/>
      <x:c r="Q22" s="138" t="str"/>
      <x:c r="R22" s="137" t="str"/>
      <x:c r="S22" s="137" t="str">
        <x:v>To Confirm</x:v>
      </x:c>
      <x:c r="T22" s="137" t="str"/>
    </x:row>
    <x:row r="23">
      <x:c r="A23" s="137" t="str">
        <x:v>PK-019</x:v>
      </x:c>
      <x:c r="B23" s="137" t="str">
        <x:v>REX GOLA (L)</x:v>
      </x:c>
      <x:c r="C23" s="137" t="str">
        <x:v>LACE</x:v>
      </x:c>
      <x:c r="D23" s="137" t="str">
        <x:v>Combination Pack</x:v>
      </x:c>
      <x:c r="E23" s="137" t="str">
        <x:v>6X7B</x:v>
      </x:c>
      <x:c r="F23" s="137" t="str">
        <x:v>6X7B</x:v>
      </x:c>
      <x:c r="G23" s="128" t="n">
        <x:v>18</x:v>
      </x:c>
      <x:c r="H23" s="137" t="str"/>
      <x:c r="I23" s="128" t="str">
        <x:v>REX GOLA (L)</x:v>
      </x:c>
      <x:c r="J23" s="128" t="str">
        <x:v>6X7B</x:v>
      </x:c>
      <x:c r="K23" s="128" t="str">
        <x:v>No</x:v>
      </x:c>
      <x:c r="L23" s="137" t="str"/>
      <x:c r="M23" s="137" t="str"/>
      <x:c r="N23" s="137" t="str"/>
      <x:c r="O23" s="137" t="str"/>
      <x:c r="P23" s="137" t="str"/>
      <x:c r="Q23" s="138" t="str"/>
      <x:c r="R23" s="137" t="str"/>
      <x:c r="S23" s="137" t="str">
        <x:v>To Confirm</x:v>
      </x:c>
      <x:c r="T23" s="137" t="str"/>
    </x:row>
    <x:row r="24">
      <x:c r="A24" s="137" t="str">
        <x:v>PK-020</x:v>
      </x:c>
      <x:c r="B24" s="137" t="str">
        <x:v>REX GOLA (L)</x:v>
      </x:c>
      <x:c r="C24" s="137" t="str">
        <x:v>LACE</x:v>
      </x:c>
      <x:c r="D24" s="137" t="str">
        <x:v>Combination Pack</x:v>
      </x:c>
      <x:c r="E24" s="137" t="str">
        <x:v>8X10B</x:v>
      </x:c>
      <x:c r="F24" s="137" t="str">
        <x:v>8X10B</x:v>
      </x:c>
      <x:c r="G24" s="128" t="n">
        <x:v>18</x:v>
      </x:c>
      <x:c r="H24" s="137" t="str"/>
      <x:c r="I24" s="128" t="str">
        <x:v>REX GOLA (L)</x:v>
      </x:c>
      <x:c r="J24" s="128" t="str">
        <x:v>8X10B</x:v>
      </x:c>
      <x:c r="K24" s="128" t="str">
        <x:v>No</x:v>
      </x:c>
      <x:c r="L24" s="137" t="str"/>
      <x:c r="M24" s="137" t="str"/>
      <x:c r="N24" s="137" t="str"/>
      <x:c r="O24" s="137" t="str"/>
      <x:c r="P24" s="137" t="str"/>
      <x:c r="Q24" s="138" t="str"/>
      <x:c r="R24" s="137" t="str"/>
      <x:c r="S24" s="137" t="str">
        <x:v>To Confirm</x:v>
      </x:c>
      <x:c r="T24" s="137" t="str"/>
    </x:row>
    <x:row r="25">
      <x:c r="A25" s="137" t="str">
        <x:v>PK-021</x:v>
      </x:c>
      <x:c r="B25" s="137" t="str">
        <x:v>SILKY BELLY BLACK</x:v>
      </x:c>
      <x:c r="C25" s="137" t="str">
        <x:v>TO CONFIRM</x:v>
      </x:c>
      <x:c r="D25" s="137" t="str">
        <x:v>Combination Pack</x:v>
      </x:c>
      <x:c r="E25" s="137" t="str">
        <x:v>6X8</x:v>
      </x:c>
      <x:c r="F25" s="137" t="str">
        <x:v>6X8</x:v>
      </x:c>
      <x:c r="G25" s="128" t="n">
        <x:v>48</x:v>
      </x:c>
      <x:c r="H25" s="137" t="str"/>
      <x:c r="I25" s="128" t="str">
        <x:v>SILKY BELLY BLACK</x:v>
      </x:c>
      <x:c r="J25" s="128" t="str">
        <x:v>6X8</x:v>
      </x:c>
      <x:c r="K25" s="128" t="str">
        <x:v>No</x:v>
      </x:c>
      <x:c r="L25" s="137" t="str"/>
      <x:c r="M25" s="137" t="str"/>
      <x:c r="N25" s="137" t="str"/>
      <x:c r="O25" s="137" t="str"/>
      <x:c r="P25" s="137" t="str"/>
      <x:c r="Q25" s="138" t="str"/>
      <x:c r="R25" s="137" t="str"/>
      <x:c r="S25" s="137" t="str">
        <x:v>To Confirm</x:v>
      </x:c>
      <x:c r="T25" s="137" t="str"/>
    </x:row>
    <x:row r="26">
      <x:c r="A26" s="137" t="str">
        <x:v>PK-022</x:v>
      </x:c>
      <x:c r="B26" s="137" t="str">
        <x:v>SILKY BELLY BLACK</x:v>
      </x:c>
      <x:c r="C26" s="137" t="str">
        <x:v>TO CONFIRM</x:v>
      </x:c>
      <x:c r="D26" s="137" t="str">
        <x:v>Combination Pack</x:v>
      </x:c>
      <x:c r="E26" s="137" t="str">
        <x:v>9X11</x:v>
      </x:c>
      <x:c r="F26" s="137" t="str">
        <x:v>9X11</x:v>
      </x:c>
      <x:c r="G26" s="128" t="n">
        <x:v>36</x:v>
      </x:c>
      <x:c r="H26" s="137" t="str"/>
      <x:c r="I26" s="128" t="str">
        <x:v>SILKY BELLY BLACK</x:v>
      </x:c>
      <x:c r="J26" s="128" t="str">
        <x:v>9X11</x:v>
      </x:c>
      <x:c r="K26" s="128" t="str">
        <x:v>No</x:v>
      </x:c>
      <x:c r="L26" s="137" t="str"/>
      <x:c r="M26" s="137" t="str"/>
      <x:c r="N26" s="137" t="str"/>
      <x:c r="O26" s="137" t="str"/>
      <x:c r="P26" s="137" t="str"/>
      <x:c r="Q26" s="138" t="str"/>
      <x:c r="R26" s="137" t="str"/>
      <x:c r="S26" s="137" t="str">
        <x:v>To Confirm</x:v>
      </x:c>
      <x:c r="T26" s="137" t="str"/>
    </x:row>
    <x:row r="27">
      <x:c r="A27" s="137" t="str">
        <x:v>PK-023</x:v>
      </x:c>
      <x:c r="B27" s="137" t="str">
        <x:v>SILKY BELLY BLACK</x:v>
      </x:c>
      <x:c r="C27" s="137" t="str">
        <x:v>TO CONFIRM</x:v>
      </x:c>
      <x:c r="D27" s="137" t="str">
        <x:v>Combination Pack</x:v>
      </x:c>
      <x:c r="E27" s="137" t="str">
        <x:v>12X1</x:v>
      </x:c>
      <x:c r="F27" s="137" t="str">
        <x:v>12X1</x:v>
      </x:c>
      <x:c r="G27" s="128" t="n">
        <x:v>36</x:v>
      </x:c>
      <x:c r="H27" s="137" t="str"/>
      <x:c r="I27" s="128" t="str">
        <x:v>SILKY BELLY BLACK</x:v>
      </x:c>
      <x:c r="J27" s="128" t="str">
        <x:v>12X1</x:v>
      </x:c>
      <x:c r="K27" s="128" t="str">
        <x:v>No</x:v>
      </x:c>
      <x:c r="L27" s="137" t="str"/>
      <x:c r="M27" s="137" t="str"/>
      <x:c r="N27" s="137" t="str"/>
      <x:c r="O27" s="137" t="str"/>
      <x:c r="P27" s="137" t="str"/>
      <x:c r="Q27" s="138" t="str"/>
      <x:c r="R27" s="137" t="str"/>
      <x:c r="S27" s="137" t="str">
        <x:v>To Confirm</x:v>
      </x:c>
      <x:c r="T27" s="137" t="str"/>
    </x:row>
    <x:row r="28">
      <x:c r="A28" s="137" t="str">
        <x:v>PK-024</x:v>
      </x:c>
      <x:c r="B28" s="137" t="str">
        <x:v>SILKY BELLY BLACK</x:v>
      </x:c>
      <x:c r="C28" s="137" t="str">
        <x:v>TO CONFIRM</x:v>
      </x:c>
      <x:c r="D28" s="137" t="str">
        <x:v>Combination Pack</x:v>
      </x:c>
      <x:c r="E28" s="137" t="str">
        <x:v>2X5</x:v>
      </x:c>
      <x:c r="F28" s="137" t="str">
        <x:v>2X5</x:v>
      </x:c>
      <x:c r="G28" s="128" t="n">
        <x:v>24</x:v>
      </x:c>
      <x:c r="H28" s="137" t="str"/>
      <x:c r="I28" s="128" t="str">
        <x:v>SILKY BELLY BLACK</x:v>
      </x:c>
      <x:c r="J28" s="128" t="str">
        <x:v>2X5</x:v>
      </x:c>
      <x:c r="K28" s="128" t="str">
        <x:v>No</x:v>
      </x:c>
      <x:c r="L28" s="137" t="str"/>
      <x:c r="M28" s="137" t="str"/>
      <x:c r="N28" s="137" t="str"/>
      <x:c r="O28" s="137" t="str"/>
      <x:c r="P28" s="137" t="str"/>
      <x:c r="Q28" s="138" t="str"/>
      <x:c r="R28" s="137" t="str"/>
      <x:c r="S28" s="137" t="str">
        <x:v>To Confirm</x:v>
      </x:c>
      <x:c r="T28" s="137" t="str"/>
    </x:row>
    <x:row r="29">
      <x:c r="A29" s="137" t="str">
        <x:v>PK-025</x:v>
      </x:c>
      <x:c r="B29" s="137" t="str">
        <x:v>SILKY BELLY BLACK</x:v>
      </x:c>
      <x:c r="C29" s="137" t="str">
        <x:v>TO CONFIRM</x:v>
      </x:c>
      <x:c r="D29" s="137" t="str">
        <x:v>Combination Pack</x:v>
      </x:c>
      <x:c r="E29" s="137" t="str">
        <x:v>6X7B</x:v>
      </x:c>
      <x:c r="F29" s="137" t="str">
        <x:v>6X7B</x:v>
      </x:c>
      <x:c r="G29" s="128" t="n">
        <x:v>24</x:v>
      </x:c>
      <x:c r="H29" s="137" t="str"/>
      <x:c r="I29" s="128" t="str">
        <x:v>SILKY BELLY BLACK</x:v>
      </x:c>
      <x:c r="J29" s="128" t="str">
        <x:v>6X7B</x:v>
      </x:c>
      <x:c r="K29" s="128" t="str">
        <x:v>No</x:v>
      </x:c>
      <x:c r="L29" s="137" t="str"/>
      <x:c r="M29" s="137" t="str"/>
      <x:c r="N29" s="137" t="str"/>
      <x:c r="O29" s="137" t="str"/>
      <x:c r="P29" s="137" t="str"/>
      <x:c r="Q29" s="138" t="str"/>
      <x:c r="R29" s="137" t="str"/>
      <x:c r="S29" s="137" t="str">
        <x:v>To Confirm</x:v>
      </x:c>
      <x:c r="T29" s="137" t="str"/>
    </x:row>
    <x:row r="30">
      <x:c r="A30" s="137" t="str">
        <x:v>PK-026</x:v>
      </x:c>
      <x:c r="B30" s="137" t="str">
        <x:v>SILKY BELLY BLACK</x:v>
      </x:c>
      <x:c r="C30" s="137" t="str">
        <x:v>TO CONFIRM</x:v>
      </x:c>
      <x:c r="D30" s="137" t="str">
        <x:v>Combination Pack</x:v>
      </x:c>
      <x:c r="E30" s="137" t="str">
        <x:v>8X9B</x:v>
      </x:c>
      <x:c r="F30" s="137" t="str">
        <x:v>8X9B</x:v>
      </x:c>
      <x:c r="G30" s="128" t="n">
        <x:v>24</x:v>
      </x:c>
      <x:c r="H30" s="137" t="str"/>
      <x:c r="I30" s="128" t="str">
        <x:v>SILKY BELLY BLACK</x:v>
      </x:c>
      <x:c r="J30" s="128" t="str">
        <x:v>8X9B</x:v>
      </x:c>
      <x:c r="K30" s="128" t="str">
        <x:v>No</x:v>
      </x:c>
      <x:c r="L30" s="137" t="str"/>
      <x:c r="M30" s="137" t="str"/>
      <x:c r="N30" s="137" t="str"/>
      <x:c r="O30" s="137" t="str"/>
      <x:c r="P30" s="137" t="str"/>
      <x:c r="Q30" s="138" t="str"/>
      <x:c r="R30" s="137" t="str"/>
      <x:c r="S30" s="137" t="str">
        <x:v>To Confirm</x:v>
      </x:c>
      <x:c r="T30" s="137" t="str"/>
    </x:row>
    <x:row r="31">
      <x:c r="A31" s="137" t="str">
        <x:v>PK-027</x:v>
      </x:c>
      <x:c r="B31" s="137" t="str">
        <x:v>SILKY BELLY WHITE</x:v>
      </x:c>
      <x:c r="C31" s="137" t="str">
        <x:v>TO CONFIRM</x:v>
      </x:c>
      <x:c r="D31" s="137" t="str">
        <x:v>Combination Pack</x:v>
      </x:c>
      <x:c r="E31" s="137" t="str">
        <x:v>6X8</x:v>
      </x:c>
      <x:c r="F31" s="137" t="str">
        <x:v>6X8</x:v>
      </x:c>
      <x:c r="G31" s="128" t="n">
        <x:v>48</x:v>
      </x:c>
      <x:c r="H31" s="137" t="str"/>
      <x:c r="I31" s="128" t="str">
        <x:v>SILKY BELLY WHITE</x:v>
      </x:c>
      <x:c r="J31" s="128" t="str">
        <x:v>6X8</x:v>
      </x:c>
      <x:c r="K31" s="128" t="str">
        <x:v>No</x:v>
      </x:c>
      <x:c r="L31" s="137" t="str"/>
      <x:c r="M31" s="137" t="str"/>
      <x:c r="N31" s="137" t="str"/>
      <x:c r="O31" s="137" t="str"/>
      <x:c r="P31" s="137" t="str"/>
      <x:c r="Q31" s="138" t="str"/>
      <x:c r="R31" s="137" t="str"/>
      <x:c r="S31" s="137" t="str">
        <x:v>To Confirm</x:v>
      </x:c>
      <x:c r="T31" s="137" t="str"/>
    </x:row>
    <x:row r="32">
      <x:c r="A32" s="137" t="str">
        <x:v>PK-028</x:v>
      </x:c>
      <x:c r="B32" s="137" t="str">
        <x:v>SILKY BELLY WHITE</x:v>
      </x:c>
      <x:c r="C32" s="137" t="str">
        <x:v>TO CONFIRM</x:v>
      </x:c>
      <x:c r="D32" s="137" t="str">
        <x:v>Combination Pack</x:v>
      </x:c>
      <x:c r="E32" s="137" t="str">
        <x:v>9X11</x:v>
      </x:c>
      <x:c r="F32" s="137" t="str">
        <x:v>9X11</x:v>
      </x:c>
      <x:c r="G32" s="128" t="n">
        <x:v>36</x:v>
      </x:c>
      <x:c r="H32" s="137" t="str"/>
      <x:c r="I32" s="128" t="str">
        <x:v>SILKY BELLY WHITE</x:v>
      </x:c>
      <x:c r="J32" s="128" t="str">
        <x:v>9X11</x:v>
      </x:c>
      <x:c r="K32" s="128" t="str">
        <x:v>No</x:v>
      </x:c>
      <x:c r="L32" s="137" t="str"/>
      <x:c r="M32" s="137" t="str"/>
      <x:c r="N32" s="137" t="str"/>
      <x:c r="O32" s="137" t="str"/>
      <x:c r="P32" s="137" t="str"/>
      <x:c r="Q32" s="138" t="str"/>
      <x:c r="R32" s="137" t="str"/>
      <x:c r="S32" s="137" t="str">
        <x:v>To Confirm</x:v>
      </x:c>
      <x:c r="T32" s="137" t="str"/>
    </x:row>
    <x:row r="33">
      <x:c r="A33" s="137" t="str">
        <x:v>PK-029</x:v>
      </x:c>
      <x:c r="B33" s="137" t="str">
        <x:v>SILKY BELLY WHITE</x:v>
      </x:c>
      <x:c r="C33" s="137" t="str">
        <x:v>TO CONFIRM</x:v>
      </x:c>
      <x:c r="D33" s="137" t="str">
        <x:v>Combination Pack</x:v>
      </x:c>
      <x:c r="E33" s="137" t="str">
        <x:v>12X1</x:v>
      </x:c>
      <x:c r="F33" s="137" t="str">
        <x:v>12X1</x:v>
      </x:c>
      <x:c r="G33" s="128" t="n">
        <x:v>36</x:v>
      </x:c>
      <x:c r="H33" s="137" t="str"/>
      <x:c r="I33" s="128" t="str">
        <x:v>SILKY BELLY WHITE</x:v>
      </x:c>
      <x:c r="J33" s="128" t="str">
        <x:v>12X1</x:v>
      </x:c>
      <x:c r="K33" s="128" t="str">
        <x:v>No</x:v>
      </x:c>
      <x:c r="L33" s="137" t="str"/>
      <x:c r="M33" s="137" t="str"/>
      <x:c r="N33" s="137" t="str"/>
      <x:c r="O33" s="137" t="str"/>
      <x:c r="P33" s="137" t="str"/>
      <x:c r="Q33" s="138" t="str"/>
      <x:c r="R33" s="137" t="str"/>
      <x:c r="S33" s="137" t="str">
        <x:v>To Confirm</x:v>
      </x:c>
      <x:c r="T33" s="137" t="str"/>
    </x:row>
    <x:row r="34">
      <x:c r="A34" s="137" t="str">
        <x:v>PK-030</x:v>
      </x:c>
      <x:c r="B34" s="137" t="str">
        <x:v>SILKY BELLY WHITE</x:v>
      </x:c>
      <x:c r="C34" s="137" t="str">
        <x:v>TO CONFIRM</x:v>
      </x:c>
      <x:c r="D34" s="137" t="str">
        <x:v>Combination Pack</x:v>
      </x:c>
      <x:c r="E34" s="137" t="str">
        <x:v>2X5</x:v>
      </x:c>
      <x:c r="F34" s="137" t="str">
        <x:v>2X5</x:v>
      </x:c>
      <x:c r="G34" s="128" t="n">
        <x:v>24</x:v>
      </x:c>
      <x:c r="H34" s="137" t="str"/>
      <x:c r="I34" s="128" t="str">
        <x:v>SILKY BELLY WHITE</x:v>
      </x:c>
      <x:c r="J34" s="128" t="str">
        <x:v>2X5</x:v>
      </x:c>
      <x:c r="K34" s="128" t="str">
        <x:v>No</x:v>
      </x:c>
      <x:c r="L34" s="137" t="str"/>
      <x:c r="M34" s="137" t="str"/>
      <x:c r="N34" s="137" t="str"/>
      <x:c r="O34" s="137" t="str"/>
      <x:c r="P34" s="137" t="str"/>
      <x:c r="Q34" s="138" t="str"/>
      <x:c r="R34" s="137" t="str"/>
      <x:c r="S34" s="137" t="str">
        <x:v>To Confirm</x:v>
      </x:c>
      <x:c r="T34" s="137" t="str"/>
    </x:row>
    <x:row r="35">
      <x:c r="A35" s="137" t="str">
        <x:v>PK-031</x:v>
      </x:c>
      <x:c r="B35" s="137" t="str">
        <x:v>SILKY BELLY WHITE</x:v>
      </x:c>
      <x:c r="C35" s="137" t="str">
        <x:v>TO CONFIRM</x:v>
      </x:c>
      <x:c r="D35" s="137" t="str">
        <x:v>Combination Pack</x:v>
      </x:c>
      <x:c r="E35" s="137" t="str">
        <x:v>6X7B</x:v>
      </x:c>
      <x:c r="F35" s="137" t="str">
        <x:v>6X7B</x:v>
      </x:c>
      <x:c r="G35" s="128" t="n">
        <x:v>24</x:v>
      </x:c>
      <x:c r="H35" s="137" t="str"/>
      <x:c r="I35" s="128" t="str">
        <x:v>SILKY BELLY WHITE</x:v>
      </x:c>
      <x:c r="J35" s="128" t="str">
        <x:v>6X7B</x:v>
      </x:c>
      <x:c r="K35" s="128" t="str">
        <x:v>No</x:v>
      </x:c>
      <x:c r="L35" s="137" t="str"/>
      <x:c r="M35" s="137" t="str"/>
      <x:c r="N35" s="137" t="str"/>
      <x:c r="O35" s="137" t="str"/>
      <x:c r="P35" s="137" t="str"/>
      <x:c r="Q35" s="138" t="str"/>
      <x:c r="R35" s="137" t="str"/>
      <x:c r="S35" s="137" t="str">
        <x:v>To Confirm</x:v>
      </x:c>
      <x:c r="T35" s="137" t="str"/>
    </x:row>
    <x:row r="36">
      <x:c r="A36" s="137" t="str">
        <x:v>PK-032</x:v>
      </x:c>
      <x:c r="B36" s="137" t="str">
        <x:v>SILKY BELLY WHITE</x:v>
      </x:c>
      <x:c r="C36" s="137" t="str">
        <x:v>TO CONFIRM</x:v>
      </x:c>
      <x:c r="D36" s="137" t="str">
        <x:v>Combination Pack</x:v>
      </x:c>
      <x:c r="E36" s="137" t="str">
        <x:v>8X9B</x:v>
      </x:c>
      <x:c r="F36" s="137" t="str">
        <x:v>8X9B</x:v>
      </x:c>
      <x:c r="G36" s="128" t="n">
        <x:v>24</x:v>
      </x:c>
      <x:c r="H36" s="137" t="str"/>
      <x:c r="I36" s="128" t="str">
        <x:v>SILKY BELLY WHITE</x:v>
      </x:c>
      <x:c r="J36" s="128" t="str">
        <x:v>8X9B</x:v>
      </x:c>
      <x:c r="K36" s="128" t="str">
        <x:v>No</x:v>
      </x:c>
      <x:c r="L36" s="137" t="str"/>
      <x:c r="M36" s="137" t="str"/>
      <x:c r="N36" s="137" t="str"/>
      <x:c r="O36" s="137" t="str"/>
      <x:c r="P36" s="137" t="str"/>
      <x:c r="Q36" s="138" t="str"/>
      <x:c r="R36" s="137" t="str"/>
      <x:c r="S36" s="137" t="str">
        <x:v>To Confirm</x:v>
      </x:c>
      <x:c r="T36" s="137" t="str"/>
    </x:row>
    <x:row r="37">
      <x:c r="A37" s="137" t="str">
        <x:v>PK-033</x:v>
      </x:c>
      <x:c r="B37" s="137" t="str">
        <x:v>SMART BOY (L) BLACK</x:v>
      </x:c>
      <x:c r="C37" s="137" t="str">
        <x:v>LACE</x:v>
      </x:c>
      <x:c r="D37" s="137" t="str">
        <x:v>Combination Pack</x:v>
      </x:c>
      <x:c r="E37" s="137" t="str">
        <x:v>6X8</x:v>
      </x:c>
      <x:c r="F37" s="137" t="str">
        <x:v>6X8</x:v>
      </x:c>
      <x:c r="G37" s="128" t="n">
        <x:v>48</x:v>
      </x:c>
      <x:c r="H37" s="137" t="str"/>
      <x:c r="I37" s="128" t="str">
        <x:v>SMART BOY (L) BLACK</x:v>
      </x:c>
      <x:c r="J37" s="128" t="str">
        <x:v>6X8</x:v>
      </x:c>
      <x:c r="K37" s="128" t="str">
        <x:v>No</x:v>
      </x:c>
      <x:c r="L37" s="137" t="str"/>
      <x:c r="M37" s="137" t="str"/>
      <x:c r="N37" s="137" t="str"/>
      <x:c r="O37" s="137" t="str"/>
      <x:c r="P37" s="137" t="str"/>
      <x:c r="Q37" s="138" t="str"/>
      <x:c r="R37" s="137" t="str"/>
      <x:c r="S37" s="137" t="str">
        <x:v>To Confirm</x:v>
      </x:c>
      <x:c r="T37" s="137" t="str"/>
    </x:row>
    <x:row r="38">
      <x:c r="A38" s="137" t="str">
        <x:v>PK-034</x:v>
      </x:c>
      <x:c r="B38" s="137" t="str">
        <x:v>SMART BOY (L) BLACK</x:v>
      </x:c>
      <x:c r="C38" s="137" t="str">
        <x:v>LACE</x:v>
      </x:c>
      <x:c r="D38" s="137" t="str">
        <x:v>Combination Pack</x:v>
      </x:c>
      <x:c r="E38" s="137" t="str">
        <x:v>9X11</x:v>
      </x:c>
      <x:c r="F38" s="137" t="str">
        <x:v>9X11</x:v>
      </x:c>
      <x:c r="G38" s="128" t="n">
        <x:v>36</x:v>
      </x:c>
      <x:c r="H38" s="137" t="str"/>
      <x:c r="I38" s="128" t="str">
        <x:v>SMART BOY (L) BLACK</x:v>
      </x:c>
      <x:c r="J38" s="128" t="str">
        <x:v>9X11</x:v>
      </x:c>
      <x:c r="K38" s="128" t="str">
        <x:v>No</x:v>
      </x:c>
      <x:c r="L38" s="137" t="str"/>
      <x:c r="M38" s="137" t="str"/>
      <x:c r="N38" s="137" t="str"/>
      <x:c r="O38" s="137" t="str"/>
      <x:c r="P38" s="137" t="str"/>
      <x:c r="Q38" s="138" t="str"/>
      <x:c r="R38" s="137" t="str"/>
      <x:c r="S38" s="137" t="str">
        <x:v>To Confirm</x:v>
      </x:c>
      <x:c r="T38" s="137" t="str"/>
    </x:row>
    <x:row r="39">
      <x:c r="A39" s="137" t="str">
        <x:v>PK-035</x:v>
      </x:c>
      <x:c r="B39" s="137" t="str">
        <x:v>SMART BOY (L) BLACK</x:v>
      </x:c>
      <x:c r="C39" s="137" t="str">
        <x:v>LACE</x:v>
      </x:c>
      <x:c r="D39" s="137" t="str">
        <x:v>Combination Pack</x:v>
      </x:c>
      <x:c r="E39" s="137" t="str">
        <x:v>12X1</x:v>
      </x:c>
      <x:c r="F39" s="137" t="str">
        <x:v>12X1</x:v>
      </x:c>
      <x:c r="G39" s="128" t="n">
        <x:v>36</x:v>
      </x:c>
      <x:c r="H39" s="137" t="str"/>
      <x:c r="I39" s="128" t="str">
        <x:v>SMART BOY (L) BLACK</x:v>
      </x:c>
      <x:c r="J39" s="128" t="str">
        <x:v>12X1</x:v>
      </x:c>
      <x:c r="K39" s="128" t="str">
        <x:v>No</x:v>
      </x:c>
      <x:c r="L39" s="137" t="str"/>
      <x:c r="M39" s="137" t="str"/>
      <x:c r="N39" s="137" t="str"/>
      <x:c r="O39" s="137" t="str"/>
      <x:c r="P39" s="137" t="str"/>
      <x:c r="Q39" s="138" t="str"/>
      <x:c r="R39" s="137" t="str"/>
      <x:c r="S39" s="137" t="str">
        <x:v>To Confirm</x:v>
      </x:c>
      <x:c r="T39" s="137" t="str"/>
    </x:row>
    <x:row r="40">
      <x:c r="A40" s="137" t="str">
        <x:v>PK-036</x:v>
      </x:c>
      <x:c r="B40" s="137" t="str">
        <x:v>SMART BOY (L) BLACK</x:v>
      </x:c>
      <x:c r="C40" s="137" t="str">
        <x:v>LACE</x:v>
      </x:c>
      <x:c r="D40" s="137" t="str">
        <x:v>Combination Pack</x:v>
      </x:c>
      <x:c r="E40" s="137" t="str">
        <x:v>2X5</x:v>
      </x:c>
      <x:c r="F40" s="137" t="str">
        <x:v>2X5</x:v>
      </x:c>
      <x:c r="G40" s="128" t="n">
        <x:v>24</x:v>
      </x:c>
      <x:c r="H40" s="137" t="str"/>
      <x:c r="I40" s="128" t="str">
        <x:v>SMART BOY (L) BLACK</x:v>
      </x:c>
      <x:c r="J40" s="128" t="str">
        <x:v>2X5</x:v>
      </x:c>
      <x:c r="K40" s="128" t="str">
        <x:v>No</x:v>
      </x:c>
      <x:c r="L40" s="137" t="str"/>
      <x:c r="M40" s="137" t="str"/>
      <x:c r="N40" s="137" t="str"/>
      <x:c r="O40" s="137" t="str"/>
      <x:c r="P40" s="137" t="str"/>
      <x:c r="Q40" s="138" t="str"/>
      <x:c r="R40" s="137" t="str"/>
      <x:c r="S40" s="137" t="str">
        <x:v>To Confirm</x:v>
      </x:c>
      <x:c r="T40" s="137" t="str"/>
    </x:row>
    <x:row r="41">
      <x:c r="A41" s="137" t="str">
        <x:v>PK-037</x:v>
      </x:c>
      <x:c r="B41" s="137" t="str">
        <x:v>SMART BOY (L) BLACK</x:v>
      </x:c>
      <x:c r="C41" s="137" t="str">
        <x:v>LACE</x:v>
      </x:c>
      <x:c r="D41" s="137" t="str">
        <x:v>Combination Pack</x:v>
      </x:c>
      <x:c r="E41" s="137" t="str">
        <x:v>6X10B</x:v>
      </x:c>
      <x:c r="F41" s="137" t="str">
        <x:v>6X10B</x:v>
      </x:c>
      <x:c r="G41" s="128" t="n">
        <x:v>18</x:v>
      </x:c>
      <x:c r="H41" s="137" t="str"/>
      <x:c r="I41" s="128" t="str">
        <x:v>SMART BOY (L) BLACK</x:v>
      </x:c>
      <x:c r="J41" s="128" t="str">
        <x:v>6X10B</x:v>
      </x:c>
      <x:c r="K41" s="128" t="str">
        <x:v>No</x:v>
      </x:c>
      <x:c r="L41" s="137" t="str"/>
      <x:c r="M41" s="137" t="str"/>
      <x:c r="N41" s="137" t="str"/>
      <x:c r="O41" s="137" t="str"/>
      <x:c r="P41" s="137" t="str"/>
      <x:c r="Q41" s="138" t="str"/>
      <x:c r="R41" s="137" t="str"/>
      <x:c r="S41" s="137" t="str">
        <x:v>To Confirm</x:v>
      </x:c>
      <x:c r="T41" s="137" t="str"/>
    </x:row>
    <x:row r="42">
      <x:c r="A42" s="137" t="str">
        <x:v>PK-038</x:v>
      </x:c>
      <x:c r="B42" s="137" t="str">
        <x:v>SMART BOY (L) WHITE</x:v>
      </x:c>
      <x:c r="C42" s="137" t="str">
        <x:v>LACE</x:v>
      </x:c>
      <x:c r="D42" s="137" t="str">
        <x:v>Combination Pack</x:v>
      </x:c>
      <x:c r="E42" s="137" t="str">
        <x:v>6X8</x:v>
      </x:c>
      <x:c r="F42" s="137" t="str">
        <x:v>6X8</x:v>
      </x:c>
      <x:c r="G42" s="128" t="n">
        <x:v>48</x:v>
      </x:c>
      <x:c r="H42" s="137" t="str"/>
      <x:c r="I42" s="128" t="str">
        <x:v>SMART BOY (L) WHITE</x:v>
      </x:c>
      <x:c r="J42" s="128" t="str">
        <x:v>6X8</x:v>
      </x:c>
      <x:c r="K42" s="128" t="str">
        <x:v>No</x:v>
      </x:c>
      <x:c r="L42" s="137" t="str"/>
      <x:c r="M42" s="137" t="str"/>
      <x:c r="N42" s="137" t="str"/>
      <x:c r="O42" s="137" t="str"/>
      <x:c r="P42" s="137" t="str"/>
      <x:c r="Q42" s="138" t="str"/>
      <x:c r="R42" s="137" t="str"/>
      <x:c r="S42" s="137" t="str">
        <x:v>To Confirm</x:v>
      </x:c>
      <x:c r="T42" s="137" t="str"/>
    </x:row>
    <x:row r="43">
      <x:c r="A43" s="137" t="str">
        <x:v>PK-039</x:v>
      </x:c>
      <x:c r="B43" s="137" t="str">
        <x:v>SMART BOY (L) WHITE</x:v>
      </x:c>
      <x:c r="C43" s="137" t="str">
        <x:v>LACE</x:v>
      </x:c>
      <x:c r="D43" s="137" t="str">
        <x:v>Combination Pack</x:v>
      </x:c>
      <x:c r="E43" s="137" t="str">
        <x:v>9X11</x:v>
      </x:c>
      <x:c r="F43" s="137" t="str">
        <x:v>9X11</x:v>
      </x:c>
      <x:c r="G43" s="128" t="n">
        <x:v>36</x:v>
      </x:c>
      <x:c r="H43" s="137" t="str"/>
      <x:c r="I43" s="128" t="str">
        <x:v>SMART BOY (L) WHITE</x:v>
      </x:c>
      <x:c r="J43" s="128" t="str">
        <x:v>9X11</x:v>
      </x:c>
      <x:c r="K43" s="128" t="str">
        <x:v>No</x:v>
      </x:c>
      <x:c r="L43" s="137" t="str"/>
      <x:c r="M43" s="137" t="str"/>
      <x:c r="N43" s="137" t="str"/>
      <x:c r="O43" s="137" t="str"/>
      <x:c r="P43" s="137" t="str"/>
      <x:c r="Q43" s="138" t="str"/>
      <x:c r="R43" s="137" t="str"/>
      <x:c r="S43" s="137" t="str">
        <x:v>To Confirm</x:v>
      </x:c>
      <x:c r="T43" s="137" t="str"/>
    </x:row>
    <x:row r="44">
      <x:c r="A44" s="137" t="str">
        <x:v>PK-040</x:v>
      </x:c>
      <x:c r="B44" s="137" t="str">
        <x:v>SMART BOY (L) WHITE</x:v>
      </x:c>
      <x:c r="C44" s="137" t="str">
        <x:v>LACE</x:v>
      </x:c>
      <x:c r="D44" s="137" t="str">
        <x:v>Combination Pack</x:v>
      </x:c>
      <x:c r="E44" s="137" t="str">
        <x:v>12X1</x:v>
      </x:c>
      <x:c r="F44" s="137" t="str">
        <x:v>12X1</x:v>
      </x:c>
      <x:c r="G44" s="128" t="n">
        <x:v>36</x:v>
      </x:c>
      <x:c r="H44" s="137" t="str"/>
      <x:c r="I44" s="128" t="str">
        <x:v>SMART BOY (L) WHITE</x:v>
      </x:c>
      <x:c r="J44" s="128" t="str">
        <x:v>12X1</x:v>
      </x:c>
      <x:c r="K44" s="128" t="str">
        <x:v>No</x:v>
      </x:c>
      <x:c r="L44" s="137" t="str"/>
      <x:c r="M44" s="137" t="str"/>
      <x:c r="N44" s="137" t="str"/>
      <x:c r="O44" s="137" t="str"/>
      <x:c r="P44" s="137" t="str"/>
      <x:c r="Q44" s="138" t="str"/>
      <x:c r="R44" s="137" t="str"/>
      <x:c r="S44" s="137" t="str">
        <x:v>To Confirm</x:v>
      </x:c>
      <x:c r="T44" s="137" t="str"/>
    </x:row>
    <x:row r="45">
      <x:c r="A45" s="137" t="str">
        <x:v>PK-041</x:v>
      </x:c>
      <x:c r="B45" s="137" t="str">
        <x:v>SMART BOY (L) WHITE</x:v>
      </x:c>
      <x:c r="C45" s="137" t="str">
        <x:v>LACE</x:v>
      </x:c>
      <x:c r="D45" s="137" t="str">
        <x:v>Combination Pack</x:v>
      </x:c>
      <x:c r="E45" s="137" t="str">
        <x:v>2X5</x:v>
      </x:c>
      <x:c r="F45" s="137" t="str">
        <x:v>2X5</x:v>
      </x:c>
      <x:c r="G45" s="128" t="n">
        <x:v>24</x:v>
      </x:c>
      <x:c r="H45" s="137" t="str"/>
      <x:c r="I45" s="128" t="str">
        <x:v>SMART BOY (L) WHITE</x:v>
      </x:c>
      <x:c r="J45" s="128" t="str">
        <x:v>2X5</x:v>
      </x:c>
      <x:c r="K45" s="128" t="str">
        <x:v>No</x:v>
      </x:c>
      <x:c r="L45" s="137" t="str"/>
      <x:c r="M45" s="137" t="str"/>
      <x:c r="N45" s="137" t="str"/>
      <x:c r="O45" s="137" t="str"/>
      <x:c r="P45" s="137" t="str"/>
      <x:c r="Q45" s="138" t="str"/>
      <x:c r="R45" s="137" t="str"/>
      <x:c r="S45" s="137" t="str">
        <x:v>To Confirm</x:v>
      </x:c>
      <x:c r="T45" s="137" t="str"/>
    </x:row>
    <x:row r="46">
      <x:c r="A46" s="137" t="str">
        <x:v>PK-042</x:v>
      </x:c>
      <x:c r="B46" s="137" t="str">
        <x:v>SMART BOY (L) WHITE</x:v>
      </x:c>
      <x:c r="C46" s="137" t="str">
        <x:v>LACE</x:v>
      </x:c>
      <x:c r="D46" s="137" t="str">
        <x:v>Combination Pack</x:v>
      </x:c>
      <x:c r="E46" s="137" t="str">
        <x:v>6X10B</x:v>
      </x:c>
      <x:c r="F46" s="137" t="str">
        <x:v>6X10B</x:v>
      </x:c>
      <x:c r="G46" s="128" t="n">
        <x:v>18</x:v>
      </x:c>
      <x:c r="H46" s="137" t="str"/>
      <x:c r="I46" s="128" t="str">
        <x:v>SMART BOY (L) WHITE</x:v>
      </x:c>
      <x:c r="J46" s="128" t="str">
        <x:v>6X10B</x:v>
      </x:c>
      <x:c r="K46" s="128" t="str">
        <x:v>No</x:v>
      </x:c>
      <x:c r="L46" s="137" t="str"/>
      <x:c r="M46" s="137" t="str"/>
      <x:c r="N46" s="137" t="str"/>
      <x:c r="O46" s="137" t="str"/>
      <x:c r="P46" s="137" t="str"/>
      <x:c r="Q46" s="138" t="str"/>
      <x:c r="R46" s="137" t="str"/>
      <x:c r="S46" s="137" t="str">
        <x:v>To Confirm</x:v>
      </x:c>
      <x:c r="T46" s="137" t="str"/>
    </x:row>
    <x:row r="47">
      <x:c r="A47" s="137" t="str">
        <x:v>PK-043</x:v>
      </x:c>
      <x:c r="B47" s="137" t="str">
        <x:v>JILL</x:v>
      </x:c>
      <x:c r="C47" s="137" t="str">
        <x:v>PER ORDER (V/L)</x:v>
      </x:c>
      <x:c r="D47" s="137" t="str">
        <x:v>Combination Pack</x:v>
      </x:c>
      <x:c r="E47" s="137" t="str">
        <x:v>7X10S</x:v>
      </x:c>
      <x:c r="F47" s="137" t="str">
        <x:v>7X10S</x:v>
      </x:c>
      <x:c r="G47" s="128" t="n">
        <x:v>24</x:v>
      </x:c>
      <x:c r="H47" s="137" t="str"/>
      <x:c r="I47" s="128" t="str">
        <x:v>JILL</x:v>
      </x:c>
      <x:c r="J47" s="128" t="str">
        <x:v>7X10S</x:v>
      </x:c>
      <x:c r="K47" s="128" t="str">
        <x:v>No</x:v>
      </x:c>
      <x:c r="L47" s="137" t="str"/>
      <x:c r="M47" s="137" t="str"/>
      <x:c r="N47" s="137" t="str"/>
      <x:c r="O47" s="137" t="str"/>
      <x:c r="P47" s="137" t="str"/>
      <x:c r="Q47" s="138" t="str"/>
      <x:c r="R47" s="137" t="str"/>
      <x:c r="S47" s="137" t="str">
        <x:v>To Confirm</x:v>
      </x:c>
      <x:c r="T47" s="137" t="str"/>
    </x:row>
    <x:row r="48">
      <x:c r="A48" s="137" t="str">
        <x:v>PK-044</x:v>
      </x:c>
      <x:c r="B48" s="137" t="str">
        <x:v>JILL</x:v>
      </x:c>
      <x:c r="C48" s="137" t="str">
        <x:v>PER ORDER (V/L)</x:v>
      </x:c>
      <x:c r="D48" s="137" t="str">
        <x:v>Combination Pack</x:v>
      </x:c>
      <x:c r="E48" s="137" t="str">
        <x:v>11X1</x:v>
      </x:c>
      <x:c r="F48" s="137" t="str">
        <x:v>11X1</x:v>
      </x:c>
      <x:c r="G48" s="128" t="n">
        <x:v>24</x:v>
      </x:c>
      <x:c r="H48" s="137" t="str"/>
      <x:c r="I48" s="128" t="str">
        <x:v>JILL</x:v>
      </x:c>
      <x:c r="J48" s="128" t="str">
        <x:v>11X1</x:v>
      </x:c>
      <x:c r="K48" s="128" t="str">
        <x:v>No</x:v>
      </x:c>
      <x:c r="L48" s="137" t="str"/>
      <x:c r="M48" s="137" t="str"/>
      <x:c r="N48" s="137" t="str"/>
      <x:c r="O48" s="137" t="str"/>
      <x:c r="P48" s="137" t="str"/>
      <x:c r="Q48" s="138" t="str"/>
      <x:c r="R48" s="137" t="str"/>
      <x:c r="S48" s="137" t="str">
        <x:v>To Confirm</x:v>
      </x:c>
      <x:c r="T48" s="137" t="str"/>
    </x:row>
    <x:row r="49">
      <x:c r="A49" s="137" t="str">
        <x:v>PK-045</x:v>
      </x:c>
      <x:c r="B49" s="137" t="str">
        <x:v>JILL</x:v>
      </x:c>
      <x:c r="C49" s="137" t="str">
        <x:v>PER ORDER (V/L)</x:v>
      </x:c>
      <x:c r="D49" s="137" t="str">
        <x:v>Combination Pack</x:v>
      </x:c>
      <x:c r="E49" s="137" t="str">
        <x:v>2X5</x:v>
      </x:c>
      <x:c r="F49" s="137" t="str">
        <x:v>2X5</x:v>
      </x:c>
      <x:c r="G49" s="128" t="n">
        <x:v>18</x:v>
      </x:c>
      <x:c r="H49" s="137" t="str"/>
      <x:c r="I49" s="128" t="str">
        <x:v>JILL</x:v>
      </x:c>
      <x:c r="J49" s="128" t="str">
        <x:v>2X5</x:v>
      </x:c>
      <x:c r="K49" s="128" t="str">
        <x:v>No</x:v>
      </x:c>
      <x:c r="L49" s="137" t="str"/>
      <x:c r="M49" s="137" t="str"/>
      <x:c r="N49" s="137" t="str"/>
      <x:c r="O49" s="137" t="str"/>
      <x:c r="P49" s="137" t="str"/>
      <x:c r="Q49" s="138" t="str"/>
      <x:c r="R49" s="137" t="str"/>
      <x:c r="S49" s="137" t="str">
        <x:v>To Confirm</x:v>
      </x:c>
      <x:c r="T49" s="137" t="str"/>
    </x:row>
    <x:row r="50">
      <x:c r="A50" s="137" t="str">
        <x:v>PK-046</x:v>
      </x:c>
      <x:c r="B50" s="137" t="str">
        <x:v>JILL</x:v>
      </x:c>
      <x:c r="C50" s="137" t="str">
        <x:v>PER ORDER (V/L)</x:v>
      </x:c>
      <x:c r="D50" s="137" t="str">
        <x:v>Combination Pack</x:v>
      </x:c>
      <x:c r="E50" s="137" t="str">
        <x:v>6X8</x:v>
      </x:c>
      <x:c r="F50" s="137" t="str">
        <x:v>6X8</x:v>
      </x:c>
      <x:c r="G50" s="128" t="n">
        <x:v>18</x:v>
      </x:c>
      <x:c r="H50" s="137" t="str"/>
      <x:c r="I50" s="128" t="str">
        <x:v>JILL</x:v>
      </x:c>
      <x:c r="J50" s="128" t="str">
        <x:v>6X8</x:v>
      </x:c>
      <x:c r="K50" s="128" t="str">
        <x:v>No</x:v>
      </x:c>
      <x:c r="L50" s="137" t="str"/>
      <x:c r="M50" s="137" t="str"/>
      <x:c r="N50" s="137" t="str"/>
      <x:c r="O50" s="137" t="str"/>
      <x:c r="P50" s="137" t="str"/>
      <x:c r="Q50" s="138" t="str"/>
      <x:c r="R50" s="137" t="str"/>
      <x:c r="S50" s="137" t="str">
        <x:v>To Confirm</x:v>
      </x:c>
      <x:c r="T50" s="137" t="str"/>
    </x:row>
    <x:row r="51">
      <x:c r="A51" s="137" t="str">
        <x:v>PK-047</x:v>
      </x:c>
      <x:c r="B51" s="137" t="str">
        <x:v>JILL</x:v>
      </x:c>
      <x:c r="C51" s="137" t="str">
        <x:v>PER ORDER (V/L)</x:v>
      </x:c>
      <x:c r="D51" s="137" t="str">
        <x:v>Combination Pack</x:v>
      </x:c>
      <x:c r="E51" s="137" t="str">
        <x:v>9X12</x:v>
      </x:c>
      <x:c r="F51" s="137" t="str">
        <x:v>9X12</x:v>
      </x:c>
      <x:c r="G51" s="128" t="n">
        <x:v>18</x:v>
      </x:c>
      <x:c r="H51" s="137" t="str"/>
      <x:c r="I51" s="128" t="str">
        <x:v>JILL</x:v>
      </x:c>
      <x:c r="J51" s="128" t="str">
        <x:v>9X12</x:v>
      </x:c>
      <x:c r="K51" s="128" t="str">
        <x:v>No</x:v>
      </x:c>
      <x:c r="L51" s="137" t="str"/>
      <x:c r="M51" s="137" t="str"/>
      <x:c r="N51" s="137" t="str"/>
      <x:c r="O51" s="137" t="str"/>
      <x:c r="P51" s="137" t="str"/>
      <x:c r="Q51" s="138" t="str"/>
      <x:c r="R51" s="137" t="str"/>
      <x:c r="S51" s="137" t="str">
        <x:v>To Confirm</x:v>
      </x:c>
      <x:c r="T51" s="137" t="str"/>
    </x:row>
    <x:row r="52">
      <x:c r="A52" s="137" t="str">
        <x:v>PK-048</x:v>
      </x:c>
      <x:c r="B52" s="137" t="str">
        <x:v>ARMOUR</x:v>
      </x:c>
      <x:c r="C52" s="137" t="str">
        <x:v>PER ORDER (V/L)</x:v>
      </x:c>
      <x:c r="D52" s="137" t="str">
        <x:v>Combination Pack</x:v>
      </x:c>
      <x:c r="E52" s="137" t="str">
        <x:v>7X10S</x:v>
      </x:c>
      <x:c r="F52" s="137" t="str">
        <x:v>7X10S</x:v>
      </x:c>
      <x:c r="G52" s="128" t="n">
        <x:v>24</x:v>
      </x:c>
      <x:c r="H52" s="137" t="str"/>
      <x:c r="I52" s="128" t="str">
        <x:v>ARMOUR</x:v>
      </x:c>
      <x:c r="J52" s="128" t="str">
        <x:v>7X10S</x:v>
      </x:c>
      <x:c r="K52" s="128" t="str">
        <x:v>No</x:v>
      </x:c>
      <x:c r="L52" s="137" t="str"/>
      <x:c r="M52" s="137" t="str"/>
      <x:c r="N52" s="137" t="str"/>
      <x:c r="O52" s="137" t="str"/>
      <x:c r="P52" s="137" t="str"/>
      <x:c r="Q52" s="138" t="str"/>
      <x:c r="R52" s="137" t="str"/>
      <x:c r="S52" s="137" t="str">
        <x:v>To Confirm</x:v>
      </x:c>
      <x:c r="T52" s="137" t="str"/>
    </x:row>
    <x:row r="53">
      <x:c r="A53" s="137" t="str">
        <x:v>PK-049</x:v>
      </x:c>
      <x:c r="B53" s="137" t="str">
        <x:v>ARMOUR</x:v>
      </x:c>
      <x:c r="C53" s="137" t="str">
        <x:v>PER ORDER (V/L)</x:v>
      </x:c>
      <x:c r="D53" s="137" t="str">
        <x:v>Combination Pack</x:v>
      </x:c>
      <x:c r="E53" s="137" t="str">
        <x:v>11X1</x:v>
      </x:c>
      <x:c r="F53" s="137" t="str">
        <x:v>11X1</x:v>
      </x:c>
      <x:c r="G53" s="128" t="n">
        <x:v>24</x:v>
      </x:c>
      <x:c r="H53" s="137" t="str"/>
      <x:c r="I53" s="128" t="str">
        <x:v>ARMOUR</x:v>
      </x:c>
      <x:c r="J53" s="128" t="str">
        <x:v>11X1</x:v>
      </x:c>
      <x:c r="K53" s="128" t="str">
        <x:v>No</x:v>
      </x:c>
      <x:c r="L53" s="137" t="str"/>
      <x:c r="M53" s="137" t="str"/>
      <x:c r="N53" s="137" t="str"/>
      <x:c r="O53" s="137" t="str"/>
      <x:c r="P53" s="137" t="str"/>
      <x:c r="Q53" s="138" t="str"/>
      <x:c r="R53" s="137" t="str"/>
      <x:c r="S53" s="137" t="str">
        <x:v>To Confirm</x:v>
      </x:c>
      <x:c r="T53" s="137" t="str"/>
    </x:row>
    <x:row r="54">
      <x:c r="A54" s="137" t="str">
        <x:v>PK-050</x:v>
      </x:c>
      <x:c r="B54" s="137" t="str">
        <x:v>ARMOUR</x:v>
      </x:c>
      <x:c r="C54" s="137" t="str">
        <x:v>PER ORDER (V/L)</x:v>
      </x:c>
      <x:c r="D54" s="137" t="str">
        <x:v>Combination Pack</x:v>
      </x:c>
      <x:c r="E54" s="137" t="str">
        <x:v>2X5</x:v>
      </x:c>
      <x:c r="F54" s="137" t="str">
        <x:v>2X5</x:v>
      </x:c>
      <x:c r="G54" s="128" t="n">
        <x:v>18</x:v>
      </x:c>
      <x:c r="H54" s="137" t="str"/>
      <x:c r="I54" s="128" t="str">
        <x:v>ARMOUR</x:v>
      </x:c>
      <x:c r="J54" s="128" t="str">
        <x:v>2X5</x:v>
      </x:c>
      <x:c r="K54" s="128" t="str">
        <x:v>No</x:v>
      </x:c>
      <x:c r="L54" s="137" t="str"/>
      <x:c r="M54" s="137" t="str"/>
      <x:c r="N54" s="137" t="str"/>
      <x:c r="O54" s="137" t="str"/>
      <x:c r="P54" s="137" t="str"/>
      <x:c r="Q54" s="138" t="str"/>
      <x:c r="R54" s="137" t="str"/>
      <x:c r="S54" s="137" t="str">
        <x:v>To Confirm</x:v>
      </x:c>
      <x:c r="T54" s="137" t="str"/>
    </x:row>
    <x:row r="55">
      <x:c r="A55" s="137" t="str">
        <x:v>PK-051</x:v>
      </x:c>
      <x:c r="B55" s="137" t="str">
        <x:v>ARMOUR</x:v>
      </x:c>
      <x:c r="C55" s="137" t="str">
        <x:v>PER ORDER (V/L)</x:v>
      </x:c>
      <x:c r="D55" s="137" t="str">
        <x:v>Combination Pack</x:v>
      </x:c>
      <x:c r="E55" s="137" t="str">
        <x:v>6X9</x:v>
      </x:c>
      <x:c r="F55" s="137" t="str">
        <x:v>6X9</x:v>
      </x:c>
      <x:c r="G55" s="128" t="n">
        <x:v>18</x:v>
      </x:c>
      <x:c r="H55" s="137" t="str"/>
      <x:c r="I55" s="128" t="str">
        <x:v>ARMOUR</x:v>
      </x:c>
      <x:c r="J55" s="128" t="str">
        <x:v>6X9</x:v>
      </x:c>
      <x:c r="K55" s="128" t="str">
        <x:v>No</x:v>
      </x:c>
      <x:c r="L55" s="137" t="str"/>
      <x:c r="M55" s="137" t="str"/>
      <x:c r="N55" s="137" t="str"/>
      <x:c r="O55" s="137" t="str"/>
      <x:c r="P55" s="137" t="str"/>
      <x:c r="Q55" s="138" t="str"/>
      <x:c r="R55" s="137" t="str"/>
      <x:c r="S55" s="137" t="str">
        <x:v>To Confirm</x:v>
      </x:c>
      <x:c r="T55" s="137" t="str"/>
    </x:row>
    <x:row r="56">
      <x:c r="A56" s="137" t="str">
        <x:v>PK-052</x:v>
      </x:c>
      <x:c r="B56" s="137" t="str">
        <x:v>ARMOUR</x:v>
      </x:c>
      <x:c r="C56" s="137" t="str">
        <x:v>PER ORDER (V/L)</x:v>
      </x:c>
      <x:c r="D56" s="137" t="str">
        <x:v>Combination Pack</x:v>
      </x:c>
      <x:c r="E56" s="137" t="str">
        <x:v>9X12</x:v>
      </x:c>
      <x:c r="F56" s="137" t="str">
        <x:v>9X12</x:v>
      </x:c>
      <x:c r="G56" s="128" t="n">
        <x:v>18</x:v>
      </x:c>
      <x:c r="H56" s="137" t="str"/>
      <x:c r="I56" s="128" t="str">
        <x:v>ARMOUR</x:v>
      </x:c>
      <x:c r="J56" s="128" t="str">
        <x:v>9X12</x:v>
      </x:c>
      <x:c r="K56" s="128" t="str">
        <x:v>No</x:v>
      </x:c>
      <x:c r="L56" s="137" t="str"/>
      <x:c r="M56" s="137" t="str"/>
      <x:c r="N56" s="137" t="str"/>
      <x:c r="O56" s="137" t="str"/>
      <x:c r="P56" s="137" t="str"/>
      <x:c r="Q56" s="138" t="str"/>
      <x:c r="R56" s="137" t="str"/>
      <x:c r="S56" s="137" t="str">
        <x:v>To Confirm</x:v>
      </x:c>
      <x:c r="T56" s="137" t="str"/>
    </x:row>
    <x:row r="57">
      <x:c r="A57" s="137" t="str">
        <x:v>PK-053</x:v>
      </x:c>
      <x:c r="B57" s="137" t="str">
        <x:v>PERCY</x:v>
      </x:c>
      <x:c r="C57" s="137" t="str">
        <x:v>PER ORDER (V/L)</x:v>
      </x:c>
      <x:c r="D57" s="137" t="str">
        <x:v>Combination Pack</x:v>
      </x:c>
      <x:c r="E57" s="137" t="str">
        <x:v>7X10S</x:v>
      </x:c>
      <x:c r="F57" s="137" t="str">
        <x:v>7X10S</x:v>
      </x:c>
      <x:c r="G57" s="128" t="n">
        <x:v>24</x:v>
      </x:c>
      <x:c r="H57" s="137" t="str"/>
      <x:c r="I57" s="128" t="str">
        <x:v>PERCY</x:v>
      </x:c>
      <x:c r="J57" s="128" t="str">
        <x:v>7X10S</x:v>
      </x:c>
      <x:c r="K57" s="128" t="str">
        <x:v>No</x:v>
      </x:c>
      <x:c r="L57" s="137" t="str"/>
      <x:c r="M57" s="137" t="str"/>
      <x:c r="N57" s="137" t="str"/>
      <x:c r="O57" s="137" t="str"/>
      <x:c r="P57" s="137" t="str"/>
      <x:c r="Q57" s="138" t="str"/>
      <x:c r="R57" s="137" t="str"/>
      <x:c r="S57" s="137" t="str">
        <x:v>To Confirm</x:v>
      </x:c>
      <x:c r="T57" s="137" t="str"/>
    </x:row>
    <x:row r="58">
      <x:c r="A58" s="137" t="str">
        <x:v>PK-054</x:v>
      </x:c>
      <x:c r="B58" s="137" t="str">
        <x:v>PERCY</x:v>
      </x:c>
      <x:c r="C58" s="137" t="str">
        <x:v>PER ORDER (V/L)</x:v>
      </x:c>
      <x:c r="D58" s="137" t="str">
        <x:v>Combination Pack</x:v>
      </x:c>
      <x:c r="E58" s="137" t="str">
        <x:v>11X1</x:v>
      </x:c>
      <x:c r="F58" s="137" t="str">
        <x:v>11X1</x:v>
      </x:c>
      <x:c r="G58" s="128" t="n">
        <x:v>24</x:v>
      </x:c>
      <x:c r="H58" s="137" t="str"/>
      <x:c r="I58" s="128" t="str">
        <x:v>PERCY</x:v>
      </x:c>
      <x:c r="J58" s="128" t="str">
        <x:v>11X1</x:v>
      </x:c>
      <x:c r="K58" s="128" t="str">
        <x:v>No</x:v>
      </x:c>
      <x:c r="L58" s="137" t="str"/>
      <x:c r="M58" s="137" t="str"/>
      <x:c r="N58" s="137" t="str"/>
      <x:c r="O58" s="137" t="str"/>
      <x:c r="P58" s="137" t="str"/>
      <x:c r="Q58" s="138" t="str"/>
      <x:c r="R58" s="137" t="str"/>
      <x:c r="S58" s="137" t="str">
        <x:v>To Confirm</x:v>
      </x:c>
      <x:c r="T58" s="137" t="str"/>
    </x:row>
    <x:row r="59">
      <x:c r="A59" s="137" t="str">
        <x:v>PK-055</x:v>
      </x:c>
      <x:c r="B59" s="137" t="str">
        <x:v>PERCY</x:v>
      </x:c>
      <x:c r="C59" s="137" t="str">
        <x:v>PER ORDER (V/L)</x:v>
      </x:c>
      <x:c r="D59" s="137" t="str">
        <x:v>Combination Pack</x:v>
      </x:c>
      <x:c r="E59" s="137" t="str">
        <x:v>2X5</x:v>
      </x:c>
      <x:c r="F59" s="137" t="str">
        <x:v>2X5</x:v>
      </x:c>
      <x:c r="G59" s="128" t="n">
        <x:v>18</x:v>
      </x:c>
      <x:c r="H59" s="137" t="str"/>
      <x:c r="I59" s="128" t="str">
        <x:v>PERCY</x:v>
      </x:c>
      <x:c r="J59" s="128" t="str">
        <x:v>2X5</x:v>
      </x:c>
      <x:c r="K59" s="128" t="str">
        <x:v>No</x:v>
      </x:c>
      <x:c r="L59" s="137" t="str"/>
      <x:c r="M59" s="137" t="str"/>
      <x:c r="N59" s="137" t="str"/>
      <x:c r="O59" s="137" t="str"/>
      <x:c r="P59" s="137" t="str"/>
      <x:c r="Q59" s="138" t="str"/>
      <x:c r="R59" s="137" t="str"/>
      <x:c r="S59" s="137" t="str">
        <x:v>To Confirm</x:v>
      </x:c>
      <x:c r="T59" s="137" t="str"/>
    </x:row>
    <x:row r="60">
      <x:c r="A60" s="137" t="str">
        <x:v>PK-056</x:v>
      </x:c>
      <x:c r="B60" s="137" t="str">
        <x:v>PERCY</x:v>
      </x:c>
      <x:c r="C60" s="137" t="str">
        <x:v>PER ORDER (V/L)</x:v>
      </x:c>
      <x:c r="D60" s="137" t="str">
        <x:v>Combination Pack</x:v>
      </x:c>
      <x:c r="E60" s="137" t="str">
        <x:v>6X8</x:v>
      </x:c>
      <x:c r="F60" s="137" t="str">
        <x:v>6X8</x:v>
      </x:c>
      <x:c r="G60" s="128" t="n">
        <x:v>18</x:v>
      </x:c>
      <x:c r="H60" s="137" t="str"/>
      <x:c r="I60" s="128" t="str">
        <x:v>PERCY</x:v>
      </x:c>
      <x:c r="J60" s="128" t="str">
        <x:v>6X8</x:v>
      </x:c>
      <x:c r="K60" s="128" t="str">
        <x:v>No</x:v>
      </x:c>
      <x:c r="L60" s="137" t="str"/>
      <x:c r="M60" s="137" t="str"/>
      <x:c r="N60" s="137" t="str"/>
      <x:c r="O60" s="137" t="str"/>
      <x:c r="P60" s="137" t="str"/>
      <x:c r="Q60" s="138" t="str"/>
      <x:c r="R60" s="137" t="str"/>
      <x:c r="S60" s="137" t="str">
        <x:v>To Confirm</x:v>
      </x:c>
      <x:c r="T60" s="137" t="str"/>
    </x:row>
    <x:row r="61">
      <x:c r="A61" s="137" t="str">
        <x:v>PK-057</x:v>
      </x:c>
      <x:c r="B61" s="137" t="str">
        <x:v>PERCY</x:v>
      </x:c>
      <x:c r="C61" s="137" t="str">
        <x:v>PER ORDER (V/L)</x:v>
      </x:c>
      <x:c r="D61" s="137" t="str">
        <x:v>Combination Pack</x:v>
      </x:c>
      <x:c r="E61" s="137" t="str">
        <x:v>9X12</x:v>
      </x:c>
      <x:c r="F61" s="137" t="str">
        <x:v>9X12</x:v>
      </x:c>
      <x:c r="G61" s="128" t="n">
        <x:v>18</x:v>
      </x:c>
      <x:c r="H61" s="137" t="str"/>
      <x:c r="I61" s="128" t="str">
        <x:v>PERCY</x:v>
      </x:c>
      <x:c r="J61" s="128" t="str">
        <x:v>9X12</x:v>
      </x:c>
      <x:c r="K61" s="128" t="str">
        <x:v>No</x:v>
      </x:c>
      <x:c r="L61" s="137" t="str"/>
      <x:c r="M61" s="137" t="str"/>
      <x:c r="N61" s="137" t="str"/>
      <x:c r="O61" s="137" t="str"/>
      <x:c r="P61" s="137" t="str"/>
      <x:c r="Q61" s="138" t="str"/>
      <x:c r="R61" s="137" t="str"/>
      <x:c r="S61" s="137" t="str">
        <x:v>To Confirm</x:v>
      </x:c>
      <x:c r="T61" s="137" t="str"/>
    </x:row>
    <x:row r="62">
      <x:c r="A62" s="137" t="str">
        <x:v>PK-058</x:v>
      </x:c>
      <x:c r="B62" s="137" t="str">
        <x:v>SPADE</x:v>
      </x:c>
      <x:c r="C62" s="137" t="str">
        <x:v>PER ORDER (V/L)</x:v>
      </x:c>
      <x:c r="D62" s="137" t="str">
        <x:v>Combination Pack</x:v>
      </x:c>
      <x:c r="E62" s="137" t="str">
        <x:v>7X10S</x:v>
      </x:c>
      <x:c r="F62" s="137" t="str">
        <x:v>7X10S</x:v>
      </x:c>
      <x:c r="G62" s="128" t="n">
        <x:v>24</x:v>
      </x:c>
      <x:c r="H62" s="137" t="str"/>
      <x:c r="I62" s="128" t="str">
        <x:v>SPADE</x:v>
      </x:c>
      <x:c r="J62" s="128" t="str">
        <x:v>7X10S</x:v>
      </x:c>
      <x:c r="K62" s="128" t="str">
        <x:v>No</x:v>
      </x:c>
      <x:c r="L62" s="137" t="str"/>
      <x:c r="M62" s="137" t="str"/>
      <x:c r="N62" s="137" t="str"/>
      <x:c r="O62" s="137" t="str"/>
      <x:c r="P62" s="137" t="str"/>
      <x:c r="Q62" s="138" t="str"/>
      <x:c r="R62" s="137" t="str"/>
      <x:c r="S62" s="137" t="str">
        <x:v>To Confirm</x:v>
      </x:c>
      <x:c r="T62" s="137" t="str"/>
    </x:row>
    <x:row r="63">
      <x:c r="A63" s="137" t="str">
        <x:v>PK-059</x:v>
      </x:c>
      <x:c r="B63" s="137" t="str">
        <x:v>SPADE</x:v>
      </x:c>
      <x:c r="C63" s="137" t="str">
        <x:v>PER ORDER (V/L)</x:v>
      </x:c>
      <x:c r="D63" s="137" t="str">
        <x:v>Combination Pack</x:v>
      </x:c>
      <x:c r="E63" s="137" t="str">
        <x:v>11X1</x:v>
      </x:c>
      <x:c r="F63" s="137" t="str">
        <x:v>11X1</x:v>
      </x:c>
      <x:c r="G63" s="128" t="n">
        <x:v>24</x:v>
      </x:c>
      <x:c r="H63" s="137" t="str"/>
      <x:c r="I63" s="128" t="str">
        <x:v>SPADE</x:v>
      </x:c>
      <x:c r="J63" s="128" t="str">
        <x:v>11X1</x:v>
      </x:c>
      <x:c r="K63" s="128" t="str">
        <x:v>No</x:v>
      </x:c>
      <x:c r="L63" s="137" t="str"/>
      <x:c r="M63" s="137" t="str"/>
      <x:c r="N63" s="137" t="str"/>
      <x:c r="O63" s="137" t="str"/>
      <x:c r="P63" s="137" t="str"/>
      <x:c r="Q63" s="138" t="str"/>
      <x:c r="R63" s="137" t="str"/>
      <x:c r="S63" s="137" t="str">
        <x:v>To Confirm</x:v>
      </x:c>
      <x:c r="T63" s="137" t="str"/>
    </x:row>
    <x:row r="64">
      <x:c r="A64" s="137" t="str">
        <x:v>PK-060</x:v>
      </x:c>
      <x:c r="B64" s="137" t="str">
        <x:v>SPADE</x:v>
      </x:c>
      <x:c r="C64" s="137" t="str">
        <x:v>PER ORDER (V/L)</x:v>
      </x:c>
      <x:c r="D64" s="137" t="str">
        <x:v>Combination Pack</x:v>
      </x:c>
      <x:c r="E64" s="137" t="str">
        <x:v>2X5</x:v>
      </x:c>
      <x:c r="F64" s="137" t="str">
        <x:v>2X5</x:v>
      </x:c>
      <x:c r="G64" s="128" t="n">
        <x:v>18</x:v>
      </x:c>
      <x:c r="H64" s="137" t="str"/>
      <x:c r="I64" s="128" t="str">
        <x:v>SPADE</x:v>
      </x:c>
      <x:c r="J64" s="128" t="str">
        <x:v>2X5</x:v>
      </x:c>
      <x:c r="K64" s="128" t="str">
        <x:v>No</x:v>
      </x:c>
      <x:c r="L64" s="137" t="str"/>
      <x:c r="M64" s="137" t="str"/>
      <x:c r="N64" s="137" t="str"/>
      <x:c r="O64" s="137" t="str"/>
      <x:c r="P64" s="137" t="str"/>
      <x:c r="Q64" s="138" t="str"/>
      <x:c r="R64" s="137" t="str"/>
      <x:c r="S64" s="137" t="str">
        <x:v>To Confirm</x:v>
      </x:c>
      <x:c r="T64" s="137" t="str"/>
    </x:row>
    <x:row r="65">
      <x:c r="A65" s="137" t="str">
        <x:v>PK-061</x:v>
      </x:c>
      <x:c r="B65" s="137" t="str">
        <x:v>SPADE</x:v>
      </x:c>
      <x:c r="C65" s="137" t="str">
        <x:v>PER ORDER (V/L)</x:v>
      </x:c>
      <x:c r="D65" s="137" t="str">
        <x:v>Combination Pack</x:v>
      </x:c>
      <x:c r="E65" s="137" t="str">
        <x:v>6X7</x:v>
      </x:c>
      <x:c r="F65" s="137" t="str">
        <x:v>6X7</x:v>
      </x:c>
      <x:c r="G65" s="128" t="n">
        <x:v>18</x:v>
      </x:c>
      <x:c r="H65" s="137" t="str"/>
      <x:c r="I65" s="128" t="str">
        <x:v>SPADE</x:v>
      </x:c>
      <x:c r="J65" s="128" t="str">
        <x:v>6X7</x:v>
      </x:c>
      <x:c r="K65" s="128" t="str">
        <x:v>No</x:v>
      </x:c>
      <x:c r="L65" s="137" t="str"/>
      <x:c r="M65" s="137" t="str"/>
      <x:c r="N65" s="137" t="str"/>
      <x:c r="O65" s="137" t="str"/>
      <x:c r="P65" s="137" t="str"/>
      <x:c r="Q65" s="138" t="str"/>
      <x:c r="R65" s="137" t="str"/>
      <x:c r="S65" s="137" t="str">
        <x:v>To Confirm</x:v>
      </x:c>
      <x:c r="T65" s="137" t="str"/>
    </x:row>
    <x:row r="66">
      <x:c r="A66" s="137" t="str">
        <x:v>PK-062</x:v>
      </x:c>
      <x:c r="B66" s="137" t="str">
        <x:v>SPADE</x:v>
      </x:c>
      <x:c r="C66" s="137" t="str">
        <x:v>PER ORDER (V/L)</x:v>
      </x:c>
      <x:c r="D66" s="137" t="str">
        <x:v>Combination Pack</x:v>
      </x:c>
      <x:c r="E66" s="137" t="str">
        <x:v>8X12</x:v>
      </x:c>
      <x:c r="F66" s="137" t="str">
        <x:v>8X12</x:v>
      </x:c>
      <x:c r="G66" s="128" t="n">
        <x:v>18</x:v>
      </x:c>
      <x:c r="H66" s="137" t="str"/>
      <x:c r="I66" s="128" t="str">
        <x:v>SPADE</x:v>
      </x:c>
      <x:c r="J66" s="128" t="str">
        <x:v>8X12</x:v>
      </x:c>
      <x:c r="K66" s="128" t="str">
        <x:v>No</x:v>
      </x:c>
      <x:c r="L66" s="137" t="str"/>
      <x:c r="M66" s="137" t="str"/>
      <x:c r="N66" s="137" t="str"/>
      <x:c r="O66" s="137" t="str"/>
      <x:c r="P66" s="137" t="str"/>
      <x:c r="Q66" s="138" t="str"/>
      <x:c r="R66" s="137" t="str"/>
      <x:c r="S66" s="137" t="str">
        <x:v>To Confirm</x:v>
      </x:c>
      <x:c r="T66" s="137" t="str"/>
    </x:row>
    <x:row r="67">
      <x:c r="A67" s="137" t="str">
        <x:v>PK-063</x:v>
      </x:c>
      <x:c r="B67" s="137" t="str">
        <x:v>SPIKE</x:v>
      </x:c>
      <x:c r="C67" s="137" t="str">
        <x:v>PER ORDER (V/L)</x:v>
      </x:c>
      <x:c r="D67" s="137" t="str">
        <x:v>Combination Pack</x:v>
      </x:c>
      <x:c r="E67" s="137" t="str">
        <x:v>7X10S</x:v>
      </x:c>
      <x:c r="F67" s="137" t="str">
        <x:v>7X10S</x:v>
      </x:c>
      <x:c r="G67" s="128" t="n">
        <x:v>24</x:v>
      </x:c>
      <x:c r="H67" s="137" t="str"/>
      <x:c r="I67" s="128" t="str">
        <x:v>ARMOUR</x:v>
      </x:c>
      <x:c r="J67" s="128" t="str">
        <x:v>7X10S</x:v>
      </x:c>
      <x:c r="K67" s="128" t="str">
        <x:v>Yes</x:v>
      </x:c>
      <x:c r="L67" s="137" t="str"/>
      <x:c r="M67" s="137" t="str"/>
      <x:c r="N67" s="137" t="str"/>
      <x:c r="O67" s="137" t="str"/>
      <x:c r="P67" s="137" t="str"/>
      <x:c r="Q67" s="138" t="str"/>
      <x:c r="R67" s="137" t="str"/>
      <x:c r="S67" s="137" t="str">
        <x:v>To Confirm</x:v>
      </x:c>
      <x:c r="T67" s="137" t="str">
        <x:v>Linked rule: approve the source list, not a copied SPIKE value.</x:v>
      </x:c>
    </x:row>
    <x:row r="68">
      <x:c r="A68" s="137" t="str">
        <x:v>PK-064</x:v>
      </x:c>
      <x:c r="B68" s="137" t="str">
        <x:v>SPIKE</x:v>
      </x:c>
      <x:c r="C68" s="137" t="str">
        <x:v>PER ORDER (V/L)</x:v>
      </x:c>
      <x:c r="D68" s="137" t="str">
        <x:v>Combination Pack</x:v>
      </x:c>
      <x:c r="E68" s="137" t="str">
        <x:v>11X1</x:v>
      </x:c>
      <x:c r="F68" s="137" t="str">
        <x:v>11X1</x:v>
      </x:c>
      <x:c r="G68" s="128" t="n">
        <x:v>24</x:v>
      </x:c>
      <x:c r="H68" s="137" t="str"/>
      <x:c r="I68" s="128" t="str">
        <x:v>ARMOUR</x:v>
      </x:c>
      <x:c r="J68" s="128" t="str">
        <x:v>11X1</x:v>
      </x:c>
      <x:c r="K68" s="128" t="str">
        <x:v>Yes</x:v>
      </x:c>
      <x:c r="L68" s="137" t="str"/>
      <x:c r="M68" s="137" t="str"/>
      <x:c r="N68" s="137" t="str"/>
      <x:c r="O68" s="137" t="str"/>
      <x:c r="P68" s="137" t="str"/>
      <x:c r="Q68" s="138" t="str"/>
      <x:c r="R68" s="137" t="str"/>
      <x:c r="S68" s="137" t="str">
        <x:v>To Confirm</x:v>
      </x:c>
      <x:c r="T68" s="137" t="str">
        <x:v>Linked rule: approve the source list, not a copied SPIKE value.</x:v>
      </x:c>
    </x:row>
    <x:row r="69">
      <x:c r="A69" s="137" t="str">
        <x:v>PK-065</x:v>
      </x:c>
      <x:c r="B69" s="137" t="str">
        <x:v>SPIKE</x:v>
      </x:c>
      <x:c r="C69" s="137" t="str">
        <x:v>PER ORDER (V/L)</x:v>
      </x:c>
      <x:c r="D69" s="137" t="str">
        <x:v>Combination Pack</x:v>
      </x:c>
      <x:c r="E69" s="137" t="str">
        <x:v>2X5</x:v>
      </x:c>
      <x:c r="F69" s="137" t="str">
        <x:v>2X5</x:v>
      </x:c>
      <x:c r="G69" s="128" t="n">
        <x:v>18</x:v>
      </x:c>
      <x:c r="H69" s="137" t="str"/>
      <x:c r="I69" s="128" t="str">
        <x:v>ARMOUR</x:v>
      </x:c>
      <x:c r="J69" s="128" t="str">
        <x:v>2X5</x:v>
      </x:c>
      <x:c r="K69" s="128" t="str">
        <x:v>Yes</x:v>
      </x:c>
      <x:c r="L69" s="137" t="str"/>
      <x:c r="M69" s="137" t="str"/>
      <x:c r="N69" s="137" t="str"/>
      <x:c r="O69" s="137" t="str"/>
      <x:c r="P69" s="137" t="str"/>
      <x:c r="Q69" s="138" t="str"/>
      <x:c r="R69" s="137" t="str"/>
      <x:c r="S69" s="137" t="str">
        <x:v>To Confirm</x:v>
      </x:c>
      <x:c r="T69" s="137" t="str">
        <x:v>Linked rule: approve the source list, not a copied SPIKE value.</x:v>
      </x:c>
    </x:row>
    <x:row r="70">
      <x:c r="A70" s="137" t="str">
        <x:v>PK-066</x:v>
      </x:c>
      <x:c r="B70" s="137" t="str">
        <x:v>SPIKE</x:v>
      </x:c>
      <x:c r="C70" s="137" t="str">
        <x:v>PER ORDER (V/L)</x:v>
      </x:c>
      <x:c r="D70" s="137" t="str">
        <x:v>Combination Pack</x:v>
      </x:c>
      <x:c r="E70" s="137" t="str">
        <x:v>6X8</x:v>
      </x:c>
      <x:c r="F70" s="137" t="str">
        <x:v>6X8</x:v>
      </x:c>
      <x:c r="G70" s="128" t="n">
        <x:v>18</x:v>
      </x:c>
      <x:c r="H70" s="137" t="str"/>
      <x:c r="I70" s="128" t="str">
        <x:v>ARMOUR</x:v>
      </x:c>
      <x:c r="J70" s="128" t="str">
        <x:v>6X9</x:v>
      </x:c>
      <x:c r="K70" s="128" t="str">
        <x:v>Yes</x:v>
      </x:c>
      <x:c r="L70" s="137" t="str"/>
      <x:c r="M70" s="137" t="str"/>
      <x:c r="N70" s="137" t="str"/>
      <x:c r="O70" s="137" t="str"/>
      <x:c r="P70" s="137" t="str"/>
      <x:c r="Q70" s="138" t="str"/>
      <x:c r="R70" s="137" t="str"/>
      <x:c r="S70" s="137" t="str">
        <x:v>To Confirm</x:v>
      </x:c>
      <x:c r="T70" s="137" t="str">
        <x:v>Linked rule: approve the source list, not a copied SPIKE value.</x:v>
      </x:c>
    </x:row>
    <x:row r="71">
      <x:c r="A71" s="137" t="str">
        <x:v>PK-067</x:v>
      </x:c>
      <x:c r="B71" s="137" t="str">
        <x:v>SPIKE</x:v>
      </x:c>
      <x:c r="C71" s="137" t="str">
        <x:v>PER ORDER (V/L)</x:v>
      </x:c>
      <x:c r="D71" s="137" t="str">
        <x:v>Combination Pack</x:v>
      </x:c>
      <x:c r="E71" s="137" t="str">
        <x:v>9X12</x:v>
      </x:c>
      <x:c r="F71" s="137" t="str">
        <x:v>9X12</x:v>
      </x:c>
      <x:c r="G71" s="128" t="n">
        <x:v>18</x:v>
      </x:c>
      <x:c r="H71" s="137" t="str"/>
      <x:c r="I71" s="128" t="str">
        <x:v>ARMOUR</x:v>
      </x:c>
      <x:c r="J71" s="128" t="str">
        <x:v>9X12</x:v>
      </x:c>
      <x:c r="K71" s="128" t="str">
        <x:v>Yes</x:v>
      </x:c>
      <x:c r="L71" s="137" t="str"/>
      <x:c r="M71" s="137" t="str"/>
      <x:c r="N71" s="137" t="str"/>
      <x:c r="O71" s="137" t="str"/>
      <x:c r="P71" s="137" t="str"/>
      <x:c r="Q71" s="138" t="str"/>
      <x:c r="R71" s="137" t="str"/>
      <x:c r="S71" s="137" t="str">
        <x:v>To Confirm</x:v>
      </x:c>
      <x:c r="T71" s="137" t="str">
        <x:v>Linked rule: approve the source list, not a copied SPIKE value.</x:v>
      </x:c>
    </x:row>
    <x:row r="72">
      <x:c r="A72" s="137" t="str">
        <x:v>PK-068</x:v>
      </x:c>
      <x:c r="B72" s="137" t="str">
        <x:v>REX GOLA PLUS</x:v>
      </x:c>
      <x:c r="C72" s="137" t="str">
        <x:v>TO CONFIRM</x:v>
      </x:c>
      <x:c r="D72" s="137" t="str">
        <x:v>Combination Pack</x:v>
      </x:c>
      <x:c r="E72" s="137" t="str">
        <x:v>7X10</x:v>
      </x:c>
      <x:c r="F72" s="137" t="str">
        <x:v>7X10</x:v>
      </x:c>
      <x:c r="G72" s="128" t="n">
        <x:v>24</x:v>
      </x:c>
      <x:c r="H72" s="137" t="str"/>
      <x:c r="I72" s="128" t="str">
        <x:v>REX GOLA PLUS</x:v>
      </x:c>
      <x:c r="J72" s="128" t="str">
        <x:v>7X10</x:v>
      </x:c>
      <x:c r="K72" s="128" t="str">
        <x:v>No</x:v>
      </x:c>
      <x:c r="L72" s="137" t="str"/>
      <x:c r="M72" s="137" t="str"/>
      <x:c r="N72" s="137" t="str"/>
      <x:c r="O72" s="137" t="str"/>
      <x:c r="P72" s="137" t="str"/>
      <x:c r="Q72" s="138" t="str"/>
      <x:c r="R72" s="137" t="str"/>
      <x:c r="S72" s="137" t="str">
        <x:v>To Confirm</x:v>
      </x:c>
      <x:c r="T72" s="137" t="str"/>
    </x:row>
    <x:row r="73">
      <x:c r="A73" s="137" t="str">
        <x:v>PK-069</x:v>
      </x:c>
      <x:c r="B73" s="137" t="str">
        <x:v>REX GOLA PLUS</x:v>
      </x:c>
      <x:c r="C73" s="137" t="str">
        <x:v>TO CONFIRM</x:v>
      </x:c>
      <x:c r="D73" s="137" t="str">
        <x:v>Combination Pack</x:v>
      </x:c>
      <x:c r="E73" s="137" t="str">
        <x:v>11X1</x:v>
      </x:c>
      <x:c r="F73" s="137" t="str">
        <x:v>11X1</x:v>
      </x:c>
      <x:c r="G73" s="128" t="n">
        <x:v>18</x:v>
      </x:c>
      <x:c r="H73" s="137" t="str"/>
      <x:c r="I73" s="128" t="str">
        <x:v>REX GOLA PLUS</x:v>
      </x:c>
      <x:c r="J73" s="128" t="str">
        <x:v>11X1</x:v>
      </x:c>
      <x:c r="K73" s="128" t="str">
        <x:v>No</x:v>
      </x:c>
      <x:c r="L73" s="137" t="str"/>
      <x:c r="M73" s="137" t="str"/>
      <x:c r="N73" s="137" t="str"/>
      <x:c r="O73" s="137" t="str"/>
      <x:c r="P73" s="137" t="str"/>
      <x:c r="Q73" s="138" t="str"/>
      <x:c r="R73" s="137" t="str"/>
      <x:c r="S73" s="137" t="str">
        <x:v>To Confirm</x:v>
      </x:c>
      <x:c r="T73" s="137" t="str"/>
    </x:row>
    <x:row r="74">
      <x:c r="A74" s="137" t="str">
        <x:v>PK-070</x:v>
      </x:c>
      <x:c r="B74" s="137" t="str">
        <x:v>REX GOLA PLUS</x:v>
      </x:c>
      <x:c r="C74" s="137" t="str">
        <x:v>TO CONFIRM</x:v>
      </x:c>
      <x:c r="D74" s="137" t="str">
        <x:v>Combination Pack</x:v>
      </x:c>
      <x:c r="E74" s="137" t="str">
        <x:v>2X5</x:v>
      </x:c>
      <x:c r="F74" s="137" t="str">
        <x:v>2X5</x:v>
      </x:c>
      <x:c r="G74" s="128" t="n">
        <x:v>18</x:v>
      </x:c>
      <x:c r="H74" s="137" t="str"/>
      <x:c r="I74" s="128" t="str">
        <x:v>REX GOLA PLUS</x:v>
      </x:c>
      <x:c r="J74" s="128" t="str">
        <x:v>2X5</x:v>
      </x:c>
      <x:c r="K74" s="128" t="str">
        <x:v>No</x:v>
      </x:c>
      <x:c r="L74" s="137" t="str"/>
      <x:c r="M74" s="137" t="str"/>
      <x:c r="N74" s="137" t="str"/>
      <x:c r="O74" s="137" t="str"/>
      <x:c r="P74" s="137" t="str"/>
      <x:c r="Q74" s="138" t="str"/>
      <x:c r="R74" s="137" t="str"/>
      <x:c r="S74" s="137" t="str">
        <x:v>To Confirm</x:v>
      </x:c>
      <x:c r="T74" s="137" t="str"/>
    </x:row>
    <x:row r="75">
      <x:c r="A75" s="137" t="str">
        <x:v>PK-071</x:v>
      </x:c>
      <x:c r="B75" s="137" t="str">
        <x:v>REX GOLA PLUS</x:v>
      </x:c>
      <x:c r="C75" s="137" t="str">
        <x:v>TO CONFIRM</x:v>
      </x:c>
      <x:c r="D75" s="137" t="str">
        <x:v>Combination Pack</x:v>
      </x:c>
      <x:c r="E75" s="137" t="str">
        <x:v>6X12B</x:v>
      </x:c>
      <x:c r="F75" s="137" t="str">
        <x:v>6X12B</x:v>
      </x:c>
      <x:c r="G75" s="128" t="n">
        <x:v>18</x:v>
      </x:c>
      <x:c r="H75" s="137" t="str"/>
      <x:c r="I75" s="128" t="str">
        <x:v>REX GOLA PLUS</x:v>
      </x:c>
      <x:c r="J75" s="128" t="str">
        <x:v>6X12B</x:v>
      </x:c>
      <x:c r="K75" s="128" t="str">
        <x:v>No</x:v>
      </x:c>
      <x:c r="L75" s="137" t="str"/>
      <x:c r="M75" s="137" t="str"/>
      <x:c r="N75" s="137" t="str"/>
      <x:c r="O75" s="137" t="str"/>
      <x:c r="P75" s="137" t="str"/>
      <x:c r="Q75" s="138" t="str"/>
      <x:c r="R75" s="137" t="str"/>
      <x:c r="S75" s="137" t="str">
        <x:v>To Confirm</x:v>
      </x:c>
      <x:c r="T75" s="137" t="str"/>
    </x:row>
    <x:row r="76">
      <x:c r="A76" s="137" t="str">
        <x:v>PK-072</x:v>
      </x:c>
      <x:c r="B76" s="137" t="str">
        <x:v>REX GOLA (V)</x:v>
      </x:c>
      <x:c r="C76" s="137" t="str">
        <x:v>VELCRO</x:v>
      </x:c>
      <x:c r="D76" s="137" t="str">
        <x:v>Single Size</x:v>
      </x:c>
      <x:c r="E76" s="137" t="str">
        <x:v>kids</x:v>
      </x:c>
      <x:c r="F76" s="137" t="str">
        <x:v>kids</x:v>
      </x:c>
      <x:c r="G76" s="128" t="n">
        <x:v>24</x:v>
      </x:c>
      <x:c r="H76" s="137" t="str"/>
      <x:c r="I76" s="128" t="str">
        <x:v>GOLA</x:v>
      </x:c>
      <x:c r="J76" s="128" t="str">
        <x:v>kids</x:v>
      </x:c>
      <x:c r="K76" s="128" t="str">
        <x:v>Yes</x:v>
      </x:c>
      <x:c r="L76" s="137" t="str"/>
      <x:c r="M76" s="137" t="str"/>
      <x:c r="N76" s="137" t="str"/>
      <x:c r="O76" s="137" t="str"/>
      <x:c r="P76" s="137" t="str"/>
      <x:c r="Q76" s="138" t="str"/>
      <x:c r="R76" s="137" t="str"/>
      <x:c r="S76" s="137" t="str">
        <x:v>To Confirm</x:v>
      </x:c>
      <x:c r="T76" s="137" t="str">
        <x:v>Single-size packing profile; do not treat as a combination pack.</x:v>
      </x:c>
    </x:row>
    <x:row r="77">
      <x:c r="A77" s="137" t="str">
        <x:v>PK-073</x:v>
      </x:c>
      <x:c r="B77" s="137" t="str">
        <x:v>REX GOLA (V)</x:v>
      </x:c>
      <x:c r="C77" s="137" t="str">
        <x:v>VELCRO</x:v>
      </x:c>
      <x:c r="D77" s="137" t="str">
        <x:v>Single Size</x:v>
      </x:c>
      <x:c r="E77" s="137" t="str">
        <x:v>adult</x:v>
      </x:c>
      <x:c r="F77" s="137" t="str">
        <x:v>adult</x:v>
      </x:c>
      <x:c r="G77" s="128" t="n">
        <x:v>18</x:v>
      </x:c>
      <x:c r="H77" s="137" t="str"/>
      <x:c r="I77" s="128" t="str">
        <x:v>GOLA</x:v>
      </x:c>
      <x:c r="J77" s="128" t="str">
        <x:v>adult</x:v>
      </x:c>
      <x:c r="K77" s="128" t="str">
        <x:v>Yes</x:v>
      </x:c>
      <x:c r="L77" s="137" t="str"/>
      <x:c r="M77" s="137" t="str"/>
      <x:c r="N77" s="137" t="str"/>
      <x:c r="O77" s="137" t="str"/>
      <x:c r="P77" s="137" t="str"/>
      <x:c r="Q77" s="138" t="str"/>
      <x:c r="R77" s="137" t="str"/>
      <x:c r="S77" s="137" t="str">
        <x:v>To Confirm</x:v>
      </x:c>
      <x:c r="T77" s="137" t="str">
        <x:v>Single-size packing profile; do not treat as a combination pack.</x:v>
      </x:c>
    </x:row>
    <x:row r="78">
      <x:c r="A78" s="137" t="str">
        <x:v>PK-074</x:v>
      </x:c>
      <x:c r="B78" s="137" t="str">
        <x:v>REX GOLA (L)</x:v>
      </x:c>
      <x:c r="C78" s="137" t="str">
        <x:v>LACE</x:v>
      </x:c>
      <x:c r="D78" s="137" t="str">
        <x:v>Single Size</x:v>
      </x:c>
      <x:c r="E78" s="137" t="str">
        <x:v>kids</x:v>
      </x:c>
      <x:c r="F78" s="137" t="str">
        <x:v>kids</x:v>
      </x:c>
      <x:c r="G78" s="128" t="n">
        <x:v>24</x:v>
      </x:c>
      <x:c r="H78" s="137" t="str"/>
      <x:c r="I78" s="128" t="str">
        <x:v>GOLA</x:v>
      </x:c>
      <x:c r="J78" s="128" t="str">
        <x:v>kids</x:v>
      </x:c>
      <x:c r="K78" s="128" t="str">
        <x:v>Yes</x:v>
      </x:c>
      <x:c r="L78" s="137" t="str"/>
      <x:c r="M78" s="137" t="str"/>
      <x:c r="N78" s="137" t="str"/>
      <x:c r="O78" s="137" t="str"/>
      <x:c r="P78" s="137" t="str"/>
      <x:c r="Q78" s="138" t="str"/>
      <x:c r="R78" s="137" t="str"/>
      <x:c r="S78" s="137" t="str">
        <x:v>To Confirm</x:v>
      </x:c>
      <x:c r="T78" s="137" t="str">
        <x:v>Single-size packing profile; do not treat as a combination pack.</x:v>
      </x:c>
    </x:row>
    <x:row r="79">
      <x:c r="A79" s="137" t="str">
        <x:v>PK-075</x:v>
      </x:c>
      <x:c r="B79" s="137" t="str">
        <x:v>REX GOLA (L)</x:v>
      </x:c>
      <x:c r="C79" s="137" t="str">
        <x:v>LACE</x:v>
      </x:c>
      <x:c r="D79" s="137" t="str">
        <x:v>Single Size</x:v>
      </x:c>
      <x:c r="E79" s="137" t="str">
        <x:v>adult</x:v>
      </x:c>
      <x:c r="F79" s="137" t="str">
        <x:v>adult</x:v>
      </x:c>
      <x:c r="G79" s="128" t="n">
        <x:v>18</x:v>
      </x:c>
      <x:c r="H79" s="137" t="str"/>
      <x:c r="I79" s="128" t="str">
        <x:v>GOLA</x:v>
      </x:c>
      <x:c r="J79" s="128" t="str">
        <x:v>adult</x:v>
      </x:c>
      <x:c r="K79" s="128" t="str">
        <x:v>Yes</x:v>
      </x:c>
      <x:c r="L79" s="137" t="str"/>
      <x:c r="M79" s="137" t="str"/>
      <x:c r="N79" s="137" t="str"/>
      <x:c r="O79" s="137" t="str"/>
      <x:c r="P79" s="137" t="str"/>
      <x:c r="Q79" s="138" t="str"/>
      <x:c r="R79" s="137" t="str"/>
      <x:c r="S79" s="137" t="str">
        <x:v>To Confirm</x:v>
      </x:c>
      <x:c r="T79" s="137" t="str">
        <x:v>Single-size packing profile; do not treat as a combination pack.</x:v>
      </x:c>
    </x:row>
    <x:row r="80">
      <x:c r="A80" s="137" t="str">
        <x:v>PK-076</x:v>
      </x:c>
      <x:c r="B80" s="137" t="str">
        <x:v>REX GOLA PLUS</x:v>
      </x:c>
      <x:c r="C80" s="137" t="str">
        <x:v>TO CONFIRM</x:v>
      </x:c>
      <x:c r="D80" s="137" t="str">
        <x:v>Single Size</x:v>
      </x:c>
      <x:c r="E80" s="137" t="str">
        <x:v>kids</x:v>
      </x:c>
      <x:c r="F80" s="137" t="str">
        <x:v>kids</x:v>
      </x:c>
      <x:c r="G80" s="128" t="n">
        <x:v>24</x:v>
      </x:c>
      <x:c r="H80" s="137" t="str"/>
      <x:c r="I80" s="128" t="str">
        <x:v>GOLA</x:v>
      </x:c>
      <x:c r="J80" s="128" t="str">
        <x:v>kids</x:v>
      </x:c>
      <x:c r="K80" s="128" t="str">
        <x:v>Yes</x:v>
      </x:c>
      <x:c r="L80" s="137" t="str"/>
      <x:c r="M80" s="137" t="str"/>
      <x:c r="N80" s="137" t="str"/>
      <x:c r="O80" s="137" t="str"/>
      <x:c r="P80" s="137" t="str"/>
      <x:c r="Q80" s="138" t="str"/>
      <x:c r="R80" s="137" t="str"/>
      <x:c r="S80" s="137" t="str">
        <x:v>To Confirm</x:v>
      </x:c>
      <x:c r="T80" s="137" t="str">
        <x:v>Single-size packing profile; do not treat as a combination pack.</x:v>
      </x:c>
    </x:row>
    <x:row r="81">
      <x:c r="A81" s="137" t="str">
        <x:v>PK-077</x:v>
      </x:c>
      <x:c r="B81" s="137" t="str">
        <x:v>REX GOLA PLUS</x:v>
      </x:c>
      <x:c r="C81" s="137" t="str">
        <x:v>TO CONFIRM</x:v>
      </x:c>
      <x:c r="D81" s="137" t="str">
        <x:v>Single Size</x:v>
      </x:c>
      <x:c r="E81" s="137" t="str">
        <x:v>adult</x:v>
      </x:c>
      <x:c r="F81" s="137" t="str">
        <x:v>adult</x:v>
      </x:c>
      <x:c r="G81" s="128" t="n">
        <x:v>18</x:v>
      </x:c>
      <x:c r="H81" s="137" t="str"/>
      <x:c r="I81" s="128" t="str">
        <x:v>GOLA</x:v>
      </x:c>
      <x:c r="J81" s="128" t="str">
        <x:v>adult</x:v>
      </x:c>
      <x:c r="K81" s="128" t="str">
        <x:v>Yes</x:v>
      </x:c>
      <x:c r="L81" s="137" t="str"/>
      <x:c r="M81" s="137" t="str"/>
      <x:c r="N81" s="137" t="str"/>
      <x:c r="O81" s="137" t="str"/>
      <x:c r="P81" s="137" t="str"/>
      <x:c r="Q81" s="138" t="str"/>
      <x:c r="R81" s="137" t="str"/>
      <x:c r="S81" s="137" t="str">
        <x:v>To Confirm</x:v>
      </x:c>
      <x:c r="T81" s="137" t="str">
        <x:v>Single-size packing profile; do not treat as a combination pack.</x:v>
      </x:c>
    </x:row>
    <x:row r="82">
      <x:c r="A82" s="137" t="str">
        <x:v>PK-078</x:v>
      </x:c>
      <x:c r="B82" s="137" t="str">
        <x:v>SMART BOY (L) BLACK</x:v>
      </x:c>
      <x:c r="C82" s="137" t="str">
        <x:v>LACE</x:v>
      </x:c>
      <x:c r="D82" s="137" t="str">
        <x:v>Single Size</x:v>
      </x:c>
      <x:c r="E82" s="137" t="str">
        <x:v>6-13</x:v>
      </x:c>
      <x:c r="F82" s="137" t="str">
        <x:v>6-13</x:v>
      </x:c>
      <x:c r="G82" s="128" t="n">
        <x:v>48</x:v>
      </x:c>
      <x:c r="H82" s="137" t="str"/>
      <x:c r="I82" s="128" t="str">
        <x:v>SMART BOY</x:v>
      </x:c>
      <x:c r="J82" s="128" t="str">
        <x:v>6-13</x:v>
      </x:c>
      <x:c r="K82" s="128" t="str">
        <x:v>Yes</x:v>
      </x:c>
      <x:c r="L82" s="137" t="str"/>
      <x:c r="M82" s="137" t="str"/>
      <x:c r="N82" s="137" t="str"/>
      <x:c r="O82" s="137" t="str"/>
      <x:c r="P82" s="137" t="str"/>
      <x:c r="Q82" s="138" t="str"/>
      <x:c r="R82" s="137" t="str"/>
      <x:c r="S82" s="137" t="str">
        <x:v>To Confirm</x:v>
      </x:c>
      <x:c r="T82" s="137" t="str">
        <x:v>Single-size packing profile; do not treat as a combination pack.</x:v>
      </x:c>
    </x:row>
    <x:row r="83">
      <x:c r="A83" s="137" t="str">
        <x:v>PK-079</x:v>
      </x:c>
      <x:c r="B83" s="137" t="str">
        <x:v>SMART BOY (L) BLACK</x:v>
      </x:c>
      <x:c r="C83" s="137" t="str">
        <x:v>LACE</x:v>
      </x:c>
      <x:c r="D83" s="137" t="str">
        <x:v>Single Size</x:v>
      </x:c>
      <x:c r="E83" s="137" t="str">
        <x:v>1-5</x:v>
      </x:c>
      <x:c r="F83" s="137" t="str">
        <x:v>1-5</x:v>
      </x:c>
      <x:c r="G83" s="128" t="n">
        <x:v>36</x:v>
      </x:c>
      <x:c r="H83" s="137" t="str"/>
      <x:c r="I83" s="128" t="str">
        <x:v>SMART BOY</x:v>
      </x:c>
      <x:c r="J83" s="128" t="str">
        <x:v>1-5</x:v>
      </x:c>
      <x:c r="K83" s="128" t="str">
        <x:v>Yes</x:v>
      </x:c>
      <x:c r="L83" s="137" t="str"/>
      <x:c r="M83" s="137" t="str"/>
      <x:c r="N83" s="137" t="str"/>
      <x:c r="O83" s="137" t="str"/>
      <x:c r="P83" s="137" t="str"/>
      <x:c r="Q83" s="138" t="str"/>
      <x:c r="R83" s="137" t="str"/>
      <x:c r="S83" s="137" t="str">
        <x:v>To Confirm</x:v>
      </x:c>
      <x:c r="T83" s="137" t="str">
        <x:v>Single-size packing profile; do not treat as a combination pack.</x:v>
      </x:c>
    </x:row>
    <x:row r="84">
      <x:c r="A84" s="137" t="str">
        <x:v>PK-080</x:v>
      </x:c>
      <x:c r="B84" s="137" t="str">
        <x:v>SMART BOY (L) BLACK</x:v>
      </x:c>
      <x:c r="C84" s="137" t="str">
        <x:v>LACE</x:v>
      </x:c>
      <x:c r="D84" s="137" t="str">
        <x:v>Single Size</x:v>
      </x:c>
      <x:c r="E84" s="137" t="str">
        <x:v>5.5</x:v>
      </x:c>
      <x:c r="F84" s="137" t="str">
        <x:v>5.5</x:v>
      </x:c>
      <x:c r="G84" s="128" t="n">
        <x:v>24</x:v>
      </x:c>
      <x:c r="H84" s="137" t="str"/>
      <x:c r="I84" s="128" t="str">
        <x:v>SMART BOY</x:v>
      </x:c>
      <x:c r="J84" s="128" t="str">
        <x:v>5.5</x:v>
      </x:c>
      <x:c r="K84" s="128" t="str">
        <x:v>Yes</x:v>
      </x:c>
      <x:c r="L84" s="137" t="str"/>
      <x:c r="M84" s="137" t="str"/>
      <x:c r="N84" s="137" t="str"/>
      <x:c r="O84" s="137" t="str"/>
      <x:c r="P84" s="137" t="str"/>
      <x:c r="Q84" s="138" t="str"/>
      <x:c r="R84" s="137" t="str"/>
      <x:c r="S84" s="137" t="str">
        <x:v>To Confirm</x:v>
      </x:c>
      <x:c r="T84" s="137" t="str">
        <x:v>Single-size packing profile; do not treat as a combination pack.</x:v>
      </x:c>
    </x:row>
    <x:row r="85">
      <x:c r="A85" s="137" t="str">
        <x:v>PK-081</x:v>
      </x:c>
      <x:c r="B85" s="137" t="str">
        <x:v>SMART BOY (L) BLACK</x:v>
      </x:c>
      <x:c r="C85" s="137" t="str">
        <x:v>LACE</x:v>
      </x:c>
      <x:c r="D85" s="137" t="str">
        <x:v>Single Size</x:v>
      </x:c>
      <x:c r="E85" s="137" t="str">
        <x:v>6-12</x:v>
      </x:c>
      <x:c r="F85" s="137" t="str">
        <x:v>6-12</x:v>
      </x:c>
      <x:c r="G85" s="128" t="n">
        <x:v>18</x:v>
      </x:c>
      <x:c r="H85" s="137" t="str"/>
      <x:c r="I85" s="128" t="str">
        <x:v>SMART BOY</x:v>
      </x:c>
      <x:c r="J85" s="128" t="str">
        <x:v>6-12</x:v>
      </x:c>
      <x:c r="K85" s="128" t="str">
        <x:v>Yes</x:v>
      </x:c>
      <x:c r="L85" s="137" t="str"/>
      <x:c r="M85" s="137" t="str"/>
      <x:c r="N85" s="137" t="str"/>
      <x:c r="O85" s="137" t="str"/>
      <x:c r="P85" s="137" t="str"/>
      <x:c r="Q85" s="138" t="str"/>
      <x:c r="R85" s="137" t="str"/>
      <x:c r="S85" s="137" t="str">
        <x:v>To Confirm</x:v>
      </x:c>
      <x:c r="T85" s="137" t="str">
        <x:v>Single-size packing profile; do not treat as a combination pack.</x:v>
      </x:c>
    </x:row>
    <x:row r="86">
      <x:c r="A86" s="137" t="str">
        <x:v>PK-082</x:v>
      </x:c>
      <x:c r="B86" s="137" t="str">
        <x:v>SMART BOY (L) WHITE</x:v>
      </x:c>
      <x:c r="C86" s="137" t="str">
        <x:v>LACE</x:v>
      </x:c>
      <x:c r="D86" s="137" t="str">
        <x:v>Single Size</x:v>
      </x:c>
      <x:c r="E86" s="137" t="str">
        <x:v>6-13</x:v>
      </x:c>
      <x:c r="F86" s="137" t="str">
        <x:v>6-13</x:v>
      </x:c>
      <x:c r="G86" s="128" t="n">
        <x:v>48</x:v>
      </x:c>
      <x:c r="H86" s="137" t="str"/>
      <x:c r="I86" s="128" t="str">
        <x:v>SMART BOY</x:v>
      </x:c>
      <x:c r="J86" s="128" t="str">
        <x:v>6-13</x:v>
      </x:c>
      <x:c r="K86" s="128" t="str">
        <x:v>Yes</x:v>
      </x:c>
      <x:c r="L86" s="137" t="str"/>
      <x:c r="M86" s="137" t="str"/>
      <x:c r="N86" s="137" t="str"/>
      <x:c r="O86" s="137" t="str"/>
      <x:c r="P86" s="137" t="str"/>
      <x:c r="Q86" s="138" t="str"/>
      <x:c r="R86" s="137" t="str"/>
      <x:c r="S86" s="137" t="str">
        <x:v>To Confirm</x:v>
      </x:c>
      <x:c r="T86" s="137" t="str">
        <x:v>Single-size packing profile; do not treat as a combination pack.</x:v>
      </x:c>
    </x:row>
    <x:row r="87">
      <x:c r="A87" s="137" t="str">
        <x:v>PK-083</x:v>
      </x:c>
      <x:c r="B87" s="137" t="str">
        <x:v>SMART BOY (L) WHITE</x:v>
      </x:c>
      <x:c r="C87" s="137" t="str">
        <x:v>LACE</x:v>
      </x:c>
      <x:c r="D87" s="137" t="str">
        <x:v>Single Size</x:v>
      </x:c>
      <x:c r="E87" s="137" t="str">
        <x:v>1-5</x:v>
      </x:c>
      <x:c r="F87" s="137" t="str">
        <x:v>1-5</x:v>
      </x:c>
      <x:c r="G87" s="128" t="n">
        <x:v>36</x:v>
      </x:c>
      <x:c r="H87" s="137" t="str"/>
      <x:c r="I87" s="128" t="str">
        <x:v>SMART BOY</x:v>
      </x:c>
      <x:c r="J87" s="128" t="str">
        <x:v>1-5</x:v>
      </x:c>
      <x:c r="K87" s="128" t="str">
        <x:v>Yes</x:v>
      </x:c>
      <x:c r="L87" s="137" t="str"/>
      <x:c r="M87" s="137" t="str"/>
      <x:c r="N87" s="137" t="str"/>
      <x:c r="O87" s="137" t="str"/>
      <x:c r="P87" s="137" t="str"/>
      <x:c r="Q87" s="138" t="str"/>
      <x:c r="R87" s="137" t="str"/>
      <x:c r="S87" s="137" t="str">
        <x:v>To Confirm</x:v>
      </x:c>
      <x:c r="T87" s="137" t="str">
        <x:v>Single-size packing profile; do not treat as a combination pack.</x:v>
      </x:c>
    </x:row>
    <x:row r="88">
      <x:c r="A88" s="137" t="str">
        <x:v>PK-084</x:v>
      </x:c>
      <x:c r="B88" s="137" t="str">
        <x:v>SMART BOY (L) WHITE</x:v>
      </x:c>
      <x:c r="C88" s="137" t="str">
        <x:v>LACE</x:v>
      </x:c>
      <x:c r="D88" s="137" t="str">
        <x:v>Single Size</x:v>
      </x:c>
      <x:c r="E88" s="137" t="str">
        <x:v>5.5</x:v>
      </x:c>
      <x:c r="F88" s="137" t="str">
        <x:v>5.5</x:v>
      </x:c>
      <x:c r="G88" s="128" t="n">
        <x:v>24</x:v>
      </x:c>
      <x:c r="H88" s="137" t="str"/>
      <x:c r="I88" s="128" t="str">
        <x:v>SMART BOY</x:v>
      </x:c>
      <x:c r="J88" s="128" t="str">
        <x:v>5.5</x:v>
      </x:c>
      <x:c r="K88" s="128" t="str">
        <x:v>Yes</x:v>
      </x:c>
      <x:c r="L88" s="137" t="str"/>
      <x:c r="M88" s="137" t="str"/>
      <x:c r="N88" s="137" t="str"/>
      <x:c r="O88" s="137" t="str"/>
      <x:c r="P88" s="137" t="str"/>
      <x:c r="Q88" s="138" t="str"/>
      <x:c r="R88" s="137" t="str"/>
      <x:c r="S88" s="137" t="str">
        <x:v>To Confirm</x:v>
      </x:c>
      <x:c r="T88" s="137" t="str">
        <x:v>Single-size packing profile; do not treat as a combination pack.</x:v>
      </x:c>
    </x:row>
    <x:row r="89">
      <x:c r="A89" s="137" t="str">
        <x:v>PK-085</x:v>
      </x:c>
      <x:c r="B89" s="137" t="str">
        <x:v>SMART BOY (L) WHITE</x:v>
      </x:c>
      <x:c r="C89" s="137" t="str">
        <x:v>LACE</x:v>
      </x:c>
      <x:c r="D89" s="137" t="str">
        <x:v>Single Size</x:v>
      </x:c>
      <x:c r="E89" s="137" t="str">
        <x:v>6-12</x:v>
      </x:c>
      <x:c r="F89" s="137" t="str">
        <x:v>6-12</x:v>
      </x:c>
      <x:c r="G89" s="128" t="n">
        <x:v>18</x:v>
      </x:c>
      <x:c r="H89" s="137" t="str"/>
      <x:c r="I89" s="128" t="str">
        <x:v>SMART BOY</x:v>
      </x:c>
      <x:c r="J89" s="128" t="str">
        <x:v>6-12</x:v>
      </x:c>
      <x:c r="K89" s="128" t="str">
        <x:v>Yes</x:v>
      </x:c>
      <x:c r="L89" s="137" t="str"/>
      <x:c r="M89" s="137" t="str"/>
      <x:c r="N89" s="137" t="str"/>
      <x:c r="O89" s="137" t="str"/>
      <x:c r="P89" s="137" t="str"/>
      <x:c r="Q89" s="138" t="str"/>
      <x:c r="R89" s="137" t="str"/>
      <x:c r="S89" s="137" t="str">
        <x:v>To Confirm</x:v>
      </x:c>
      <x:c r="T89" s="137" t="str">
        <x:v>Single-size packing profile; do not treat as a combination pack.</x:v>
      </x:c>
    </x:row>
    <x:row r="90">
      <x:c r="A90" s="137" t="str">
        <x:v>PK-086</x:v>
      </x:c>
      <x:c r="B90" s="137" t="str">
        <x:v>SILKY BELLY BLACK</x:v>
      </x:c>
      <x:c r="C90" s="137" t="str">
        <x:v>TO CONFIRM</x:v>
      </x:c>
      <x:c r="D90" s="137" t="str">
        <x:v>Single Size</x:v>
      </x:c>
      <x:c r="E90" s="137" t="str">
        <x:v>6-13</x:v>
      </x:c>
      <x:c r="F90" s="137" t="str">
        <x:v>6-13</x:v>
      </x:c>
      <x:c r="G90" s="128" t="n">
        <x:v>48</x:v>
      </x:c>
      <x:c r="H90" s="137" t="str"/>
      <x:c r="I90" s="128" t="str">
        <x:v>SILKY BLY</x:v>
      </x:c>
      <x:c r="J90" s="128" t="str">
        <x:v>6-13</x:v>
      </x:c>
      <x:c r="K90" s="128" t="str">
        <x:v>Yes</x:v>
      </x:c>
      <x:c r="L90" s="137" t="str"/>
      <x:c r="M90" s="137" t="str"/>
      <x:c r="N90" s="137" t="str"/>
      <x:c r="O90" s="137" t="str"/>
      <x:c r="P90" s="137" t="str"/>
      <x:c r="Q90" s="138" t="str"/>
      <x:c r="R90" s="137" t="str"/>
      <x:c r="S90" s="137" t="str">
        <x:v>To Confirm</x:v>
      </x:c>
      <x:c r="T90" s="137" t="str">
        <x:v>Single-size packing profile; do not treat as a combination pack.</x:v>
      </x:c>
    </x:row>
    <x:row r="91">
      <x:c r="A91" s="137" t="str">
        <x:v>PK-087</x:v>
      </x:c>
      <x:c r="B91" s="137" t="str">
        <x:v>SILKY BELLY BLACK</x:v>
      </x:c>
      <x:c r="C91" s="137" t="str">
        <x:v>TO CONFIRM</x:v>
      </x:c>
      <x:c r="D91" s="137" t="str">
        <x:v>Single Size</x:v>
      </x:c>
      <x:c r="E91" s="137" t="str">
        <x:v>1-5</x:v>
      </x:c>
      <x:c r="F91" s="137" t="str">
        <x:v>1-5</x:v>
      </x:c>
      <x:c r="G91" s="128" t="n">
        <x:v>36</x:v>
      </x:c>
      <x:c r="H91" s="137" t="str"/>
      <x:c r="I91" s="128" t="str">
        <x:v>SILKY BLY</x:v>
      </x:c>
      <x:c r="J91" s="128" t="str">
        <x:v>1-5</x:v>
      </x:c>
      <x:c r="K91" s="128" t="str">
        <x:v>Yes</x:v>
      </x:c>
      <x:c r="L91" s="137" t="str"/>
      <x:c r="M91" s="137" t="str"/>
      <x:c r="N91" s="137" t="str"/>
      <x:c r="O91" s="137" t="str"/>
      <x:c r="P91" s="137" t="str"/>
      <x:c r="Q91" s="138" t="str"/>
      <x:c r="R91" s="137" t="str"/>
      <x:c r="S91" s="137" t="str">
        <x:v>To Confirm</x:v>
      </x:c>
      <x:c r="T91" s="137" t="str">
        <x:v>Single-size packing profile; do not treat as a combination pack.</x:v>
      </x:c>
    </x:row>
    <x:row r="92">
      <x:c r="A92" s="137" t="str">
        <x:v>PK-088</x:v>
      </x:c>
      <x:c r="B92" s="137" t="str">
        <x:v>SILKY BELLY BLACK</x:v>
      </x:c>
      <x:c r="C92" s="137" t="str">
        <x:v>TO CONFIRM</x:v>
      </x:c>
      <x:c r="D92" s="137" t="str">
        <x:v>Single Size</x:v>
      </x:c>
      <x:c r="E92" s="137" t="str">
        <x:v>5.5-12</x:v>
      </x:c>
      <x:c r="F92" s="137" t="str">
        <x:v>5.5-12</x:v>
      </x:c>
      <x:c r="G92" s="128" t="n">
        <x:v>24</x:v>
      </x:c>
      <x:c r="H92" s="137" t="str"/>
      <x:c r="I92" s="128" t="str">
        <x:v>SILKY BLY</x:v>
      </x:c>
      <x:c r="J92" s="128" t="str">
        <x:v>5.5-12</x:v>
      </x:c>
      <x:c r="K92" s="128" t="str">
        <x:v>Yes</x:v>
      </x:c>
      <x:c r="L92" s="137" t="str"/>
      <x:c r="M92" s="137" t="str"/>
      <x:c r="N92" s="137" t="str"/>
      <x:c r="O92" s="137" t="str"/>
      <x:c r="P92" s="137" t="str"/>
      <x:c r="Q92" s="138" t="str"/>
      <x:c r="R92" s="137" t="str"/>
      <x:c r="S92" s="137" t="str">
        <x:v>To Confirm</x:v>
      </x:c>
      <x:c r="T92" s="137" t="str">
        <x:v>Single-size packing profile; do not treat as a combination pack.</x:v>
      </x:c>
    </x:row>
    <x:row r="93">
      <x:c r="A93" s="137" t="str">
        <x:v>PK-089</x:v>
      </x:c>
      <x:c r="B93" s="137" t="str">
        <x:v>SILKY BELLY WHITE</x:v>
      </x:c>
      <x:c r="C93" s="137" t="str">
        <x:v>TO CONFIRM</x:v>
      </x:c>
      <x:c r="D93" s="137" t="str">
        <x:v>Single Size</x:v>
      </x:c>
      <x:c r="E93" s="137" t="str">
        <x:v>6-13</x:v>
      </x:c>
      <x:c r="F93" s="137" t="str">
        <x:v>6-13</x:v>
      </x:c>
      <x:c r="G93" s="128" t="n">
        <x:v>48</x:v>
      </x:c>
      <x:c r="H93" s="137" t="str"/>
      <x:c r="I93" s="128" t="str">
        <x:v>SILKY BLY</x:v>
      </x:c>
      <x:c r="J93" s="128" t="str">
        <x:v>6-13</x:v>
      </x:c>
      <x:c r="K93" s="128" t="str">
        <x:v>Yes</x:v>
      </x:c>
      <x:c r="L93" s="137" t="str"/>
      <x:c r="M93" s="137" t="str"/>
      <x:c r="N93" s="137" t="str"/>
      <x:c r="O93" s="137" t="str"/>
      <x:c r="P93" s="137" t="str"/>
      <x:c r="Q93" s="138" t="str"/>
      <x:c r="R93" s="137" t="str"/>
      <x:c r="S93" s="137" t="str">
        <x:v>To Confirm</x:v>
      </x:c>
      <x:c r="T93" s="137" t="str">
        <x:v>Single-size packing profile; do not treat as a combination pack.</x:v>
      </x:c>
    </x:row>
    <x:row r="94">
      <x:c r="A94" s="137" t="str">
        <x:v>PK-090</x:v>
      </x:c>
      <x:c r="B94" s="137" t="str">
        <x:v>SILKY BELLY WHITE</x:v>
      </x:c>
      <x:c r="C94" s="137" t="str">
        <x:v>TO CONFIRM</x:v>
      </x:c>
      <x:c r="D94" s="137" t="str">
        <x:v>Single Size</x:v>
      </x:c>
      <x:c r="E94" s="137" t="str">
        <x:v>1-5</x:v>
      </x:c>
      <x:c r="F94" s="137" t="str">
        <x:v>1-5</x:v>
      </x:c>
      <x:c r="G94" s="128" t="n">
        <x:v>36</x:v>
      </x:c>
      <x:c r="H94" s="137" t="str"/>
      <x:c r="I94" s="128" t="str">
        <x:v>SILKY BLY</x:v>
      </x:c>
      <x:c r="J94" s="128" t="str">
        <x:v>1-5</x:v>
      </x:c>
      <x:c r="K94" s="128" t="str">
        <x:v>Yes</x:v>
      </x:c>
      <x:c r="L94" s="137" t="str"/>
      <x:c r="M94" s="137" t="str"/>
      <x:c r="N94" s="137" t="str"/>
      <x:c r="O94" s="137" t="str"/>
      <x:c r="P94" s="137" t="str"/>
      <x:c r="Q94" s="138" t="str"/>
      <x:c r="R94" s="137" t="str"/>
      <x:c r="S94" s="137" t="str">
        <x:v>To Confirm</x:v>
      </x:c>
      <x:c r="T94" s="137" t="str">
        <x:v>Single-size packing profile; do not treat as a combination pack.</x:v>
      </x:c>
    </x:row>
    <x:row r="95">
      <x:c r="A95" s="137" t="str">
        <x:v>PK-091</x:v>
      </x:c>
      <x:c r="B95" s="137" t="str">
        <x:v>SILKY BELLY WHITE</x:v>
      </x:c>
      <x:c r="C95" s="137" t="str">
        <x:v>TO CONFIRM</x:v>
      </x:c>
      <x:c r="D95" s="137" t="str">
        <x:v>Single Size</x:v>
      </x:c>
      <x:c r="E95" s="137" t="str">
        <x:v>5.5-12</x:v>
      </x:c>
      <x:c r="F95" s="137" t="str">
        <x:v>5.5-12</x:v>
      </x:c>
      <x:c r="G95" s="128" t="n">
        <x:v>24</x:v>
      </x:c>
      <x:c r="H95" s="137" t="str"/>
      <x:c r="I95" s="128" t="str">
        <x:v>SILKY BLY</x:v>
      </x:c>
      <x:c r="J95" s="128" t="str">
        <x:v>5.5-12</x:v>
      </x:c>
      <x:c r="K95" s="128" t="str">
        <x:v>Yes</x:v>
      </x:c>
      <x:c r="L95" s="137" t="str"/>
      <x:c r="M95" s="137" t="str"/>
      <x:c r="N95" s="137" t="str"/>
      <x:c r="O95" s="137" t="str"/>
      <x:c r="P95" s="137" t="str"/>
      <x:c r="Q95" s="138" t="str"/>
      <x:c r="R95" s="137" t="str"/>
      <x:c r="S95" s="137" t="str">
        <x:v>To Confirm</x:v>
      </x:c>
      <x:c r="T95" s="137" t="str">
        <x:v>Single-size packing profile; do not treat as a combination pack.</x:v>
      </x:c>
    </x:row>
    <x:row r="96">
      <x:c r="A96" s="137" t="str">
        <x:v>PK-092</x:v>
      </x:c>
      <x:c r="B96" s="137" t="str">
        <x:v>JILL</x:v>
      </x:c>
      <x:c r="C96" s="137" t="str">
        <x:v>PER ORDER (V/L)</x:v>
      </x:c>
      <x:c r="D96" s="137" t="str">
        <x:v>Single Size</x:v>
      </x:c>
      <x:c r="E96" s="137" t="str">
        <x:v>kids</x:v>
      </x:c>
      <x:c r="F96" s="137" t="str">
        <x:v>kids</x:v>
      </x:c>
      <x:c r="G96" s="128" t="n">
        <x:v>24</x:v>
      </x:c>
      <x:c r="H96" s="137" t="str"/>
      <x:c r="I96" s="128" t="str">
        <x:v>ARMOUR</x:v>
      </x:c>
      <x:c r="J96" s="128" t="str">
        <x:v>kids</x:v>
      </x:c>
      <x:c r="K96" s="128" t="str">
        <x:v>Yes</x:v>
      </x:c>
      <x:c r="L96" s="137" t="str"/>
      <x:c r="M96" s="137" t="str"/>
      <x:c r="N96" s="137" t="str"/>
      <x:c r="O96" s="137" t="str"/>
      <x:c r="P96" s="137" t="str"/>
      <x:c r="Q96" s="138" t="str"/>
      <x:c r="R96" s="137" t="str"/>
      <x:c r="S96" s="137" t="str">
        <x:v>To Confirm</x:v>
      </x:c>
      <x:c r="T96" s="137" t="str">
        <x:v>Single-size packing profile; do not treat as a combination pack.</x:v>
      </x:c>
    </x:row>
    <x:row r="97">
      <x:c r="A97" s="137" t="str">
        <x:v>PK-093</x:v>
      </x:c>
      <x:c r="B97" s="137" t="str">
        <x:v>JILL</x:v>
      </x:c>
      <x:c r="C97" s="137" t="str">
        <x:v>PER ORDER (V/L)</x:v>
      </x:c>
      <x:c r="D97" s="137" t="str">
        <x:v>Single Size</x:v>
      </x:c>
      <x:c r="E97" s="137" t="str">
        <x:v>adult</x:v>
      </x:c>
      <x:c r="F97" s="137" t="str">
        <x:v>adult</x:v>
      </x:c>
      <x:c r="G97" s="128" t="n">
        <x:v>18</x:v>
      </x:c>
      <x:c r="H97" s="137" t="str"/>
      <x:c r="I97" s="128" t="str">
        <x:v>ARMOUR</x:v>
      </x:c>
      <x:c r="J97" s="128" t="str">
        <x:v>adult</x:v>
      </x:c>
      <x:c r="K97" s="128" t="str">
        <x:v>Yes</x:v>
      </x:c>
      <x:c r="L97" s="137" t="str"/>
      <x:c r="M97" s="137" t="str"/>
      <x:c r="N97" s="137" t="str"/>
      <x:c r="O97" s="137" t="str"/>
      <x:c r="P97" s="137" t="str"/>
      <x:c r="Q97" s="138" t="str"/>
      <x:c r="R97" s="137" t="str"/>
      <x:c r="S97" s="137" t="str">
        <x:v>To Confirm</x:v>
      </x:c>
      <x:c r="T97" s="137" t="str">
        <x:v>Single-size packing profile; do not treat as a combination pack.</x:v>
      </x:c>
    </x:row>
    <x:row r="98">
      <x:c r="A98" s="137" t="str">
        <x:v>PK-094</x:v>
      </x:c>
      <x:c r="B98" s="137" t="str">
        <x:v>ARMOUR</x:v>
      </x:c>
      <x:c r="C98" s="137" t="str">
        <x:v>PER ORDER (V/L)</x:v>
      </x:c>
      <x:c r="D98" s="137" t="str">
        <x:v>Single Size</x:v>
      </x:c>
      <x:c r="E98" s="137" t="str">
        <x:v>kids</x:v>
      </x:c>
      <x:c r="F98" s="137" t="str">
        <x:v>kids</x:v>
      </x:c>
      <x:c r="G98" s="128" t="n">
        <x:v>24</x:v>
      </x:c>
      <x:c r="H98" s="137" t="str"/>
      <x:c r="I98" s="128" t="str">
        <x:v>ARMOUR</x:v>
      </x:c>
      <x:c r="J98" s="128" t="str">
        <x:v>kids</x:v>
      </x:c>
      <x:c r="K98" s="128" t="str">
        <x:v>Yes</x:v>
      </x:c>
      <x:c r="L98" s="137" t="str"/>
      <x:c r="M98" s="137" t="str"/>
      <x:c r="N98" s="137" t="str"/>
      <x:c r="O98" s="137" t="str"/>
      <x:c r="P98" s="137" t="str"/>
      <x:c r="Q98" s="138" t="str"/>
      <x:c r="R98" s="137" t="str"/>
      <x:c r="S98" s="137" t="str">
        <x:v>To Confirm</x:v>
      </x:c>
      <x:c r="T98" s="137" t="str">
        <x:v>Single-size packing profile; do not treat as a combination pack.</x:v>
      </x:c>
    </x:row>
    <x:row r="99">
      <x:c r="A99" s="137" t="str">
        <x:v>PK-095</x:v>
      </x:c>
      <x:c r="B99" s="137" t="str">
        <x:v>ARMOUR</x:v>
      </x:c>
      <x:c r="C99" s="137" t="str">
        <x:v>PER ORDER (V/L)</x:v>
      </x:c>
      <x:c r="D99" s="137" t="str">
        <x:v>Single Size</x:v>
      </x:c>
      <x:c r="E99" s="137" t="str">
        <x:v>adult</x:v>
      </x:c>
      <x:c r="F99" s="137" t="str">
        <x:v>adult</x:v>
      </x:c>
      <x:c r="G99" s="128" t="n">
        <x:v>18</x:v>
      </x:c>
      <x:c r="H99" s="137" t="str"/>
      <x:c r="I99" s="128" t="str">
        <x:v>ARMOUR</x:v>
      </x:c>
      <x:c r="J99" s="128" t="str">
        <x:v>adult</x:v>
      </x:c>
      <x:c r="K99" s="128" t="str">
        <x:v>Yes</x:v>
      </x:c>
      <x:c r="L99" s="137" t="str"/>
      <x:c r="M99" s="137" t="str"/>
      <x:c r="N99" s="137" t="str"/>
      <x:c r="O99" s="137" t="str"/>
      <x:c r="P99" s="137" t="str"/>
      <x:c r="Q99" s="138" t="str"/>
      <x:c r="R99" s="137" t="str"/>
      <x:c r="S99" s="137" t="str">
        <x:v>To Confirm</x:v>
      </x:c>
      <x:c r="T99" s="137" t="str">
        <x:v>Single-size packing profile; do not treat as a combination pack.</x:v>
      </x:c>
    </x:row>
    <x:row r="100">
      <x:c r="A100" s="137" t="str">
        <x:v>PK-096</x:v>
      </x:c>
      <x:c r="B100" s="137" t="str">
        <x:v>PERCY</x:v>
      </x:c>
      <x:c r="C100" s="137" t="str">
        <x:v>PER ORDER (V/L)</x:v>
      </x:c>
      <x:c r="D100" s="137" t="str">
        <x:v>Single Size</x:v>
      </x:c>
      <x:c r="E100" s="137" t="str">
        <x:v>kids</x:v>
      </x:c>
      <x:c r="F100" s="137" t="str">
        <x:v>kids</x:v>
      </x:c>
      <x:c r="G100" s="128" t="n">
        <x:v>24</x:v>
      </x:c>
      <x:c r="H100" s="137" t="str"/>
      <x:c r="I100" s="128" t="str">
        <x:v>ARMOUR</x:v>
      </x:c>
      <x:c r="J100" s="128" t="str">
        <x:v>kids</x:v>
      </x:c>
      <x:c r="K100" s="128" t="str">
        <x:v>Yes</x:v>
      </x:c>
      <x:c r="L100" s="137" t="str"/>
      <x:c r="M100" s="137" t="str"/>
      <x:c r="N100" s="137" t="str"/>
      <x:c r="O100" s="137" t="str"/>
      <x:c r="P100" s="137" t="str"/>
      <x:c r="Q100" s="138" t="str"/>
      <x:c r="R100" s="137" t="str"/>
      <x:c r="S100" s="137" t="str">
        <x:v>To Confirm</x:v>
      </x:c>
      <x:c r="T100" s="137" t="str">
        <x:v>Single-size packing profile; do not treat as a combination pack.</x:v>
      </x:c>
    </x:row>
    <x:row r="101">
      <x:c r="A101" s="137" t="str">
        <x:v>PK-097</x:v>
      </x:c>
      <x:c r="B101" s="137" t="str">
        <x:v>PERCY</x:v>
      </x:c>
      <x:c r="C101" s="137" t="str">
        <x:v>PER ORDER (V/L)</x:v>
      </x:c>
      <x:c r="D101" s="137" t="str">
        <x:v>Single Size</x:v>
      </x:c>
      <x:c r="E101" s="137" t="str">
        <x:v>adult</x:v>
      </x:c>
      <x:c r="F101" s="137" t="str">
        <x:v>adult</x:v>
      </x:c>
      <x:c r="G101" s="128" t="n">
        <x:v>18</x:v>
      </x:c>
      <x:c r="H101" s="137" t="str"/>
      <x:c r="I101" s="128" t="str">
        <x:v>ARMOUR</x:v>
      </x:c>
      <x:c r="J101" s="128" t="str">
        <x:v>adult</x:v>
      </x:c>
      <x:c r="K101" s="128" t="str">
        <x:v>Yes</x:v>
      </x:c>
      <x:c r="L101" s="137" t="str"/>
      <x:c r="M101" s="137" t="str"/>
      <x:c r="N101" s="137" t="str"/>
      <x:c r="O101" s="137" t="str"/>
      <x:c r="P101" s="137" t="str"/>
      <x:c r="Q101" s="138" t="str"/>
      <x:c r="R101" s="137" t="str"/>
      <x:c r="S101" s="137" t="str">
        <x:v>To Confirm</x:v>
      </x:c>
      <x:c r="T101" s="137" t="str">
        <x:v>Single-size packing profile; do not treat as a combination pack.</x:v>
      </x:c>
    </x:row>
    <x:row r="102">
      <x:c r="A102" s="137" t="str">
        <x:v>PK-098</x:v>
      </x:c>
      <x:c r="B102" s="137" t="str">
        <x:v>SPADE</x:v>
      </x:c>
      <x:c r="C102" s="137" t="str">
        <x:v>PER ORDER (V/L)</x:v>
      </x:c>
      <x:c r="D102" s="137" t="str">
        <x:v>Single Size</x:v>
      </x:c>
      <x:c r="E102" s="137" t="str">
        <x:v>kids</x:v>
      </x:c>
      <x:c r="F102" s="137" t="str">
        <x:v>kids</x:v>
      </x:c>
      <x:c r="G102" s="128" t="n">
        <x:v>24</x:v>
      </x:c>
      <x:c r="H102" s="137" t="str"/>
      <x:c r="I102" s="128" t="str">
        <x:v>ARMOUR</x:v>
      </x:c>
      <x:c r="J102" s="128" t="str">
        <x:v>kids</x:v>
      </x:c>
      <x:c r="K102" s="128" t="str">
        <x:v>Yes</x:v>
      </x:c>
      <x:c r="L102" s="137" t="str"/>
      <x:c r="M102" s="137" t="str"/>
      <x:c r="N102" s="137" t="str"/>
      <x:c r="O102" s="137" t="str"/>
      <x:c r="P102" s="137" t="str"/>
      <x:c r="Q102" s="138" t="str"/>
      <x:c r="R102" s="137" t="str"/>
      <x:c r="S102" s="137" t="str">
        <x:v>To Confirm</x:v>
      </x:c>
      <x:c r="T102" s="137" t="str">
        <x:v>Single-size packing profile; do not treat as a combination pack.</x:v>
      </x:c>
    </x:row>
    <x:row r="103">
      <x:c r="A103" s="137" t="str">
        <x:v>PK-099</x:v>
      </x:c>
      <x:c r="B103" s="137" t="str">
        <x:v>SPADE</x:v>
      </x:c>
      <x:c r="C103" s="137" t="str">
        <x:v>PER ORDER (V/L)</x:v>
      </x:c>
      <x:c r="D103" s="137" t="str">
        <x:v>Single Size</x:v>
      </x:c>
      <x:c r="E103" s="137" t="str">
        <x:v>adult</x:v>
      </x:c>
      <x:c r="F103" s="137" t="str">
        <x:v>adult</x:v>
      </x:c>
      <x:c r="G103" s="128" t="n">
        <x:v>18</x:v>
      </x:c>
      <x:c r="H103" s="137" t="str"/>
      <x:c r="I103" s="128" t="str">
        <x:v>ARMOUR</x:v>
      </x:c>
      <x:c r="J103" s="128" t="str">
        <x:v>adult</x:v>
      </x:c>
      <x:c r="K103" s="128" t="str">
        <x:v>Yes</x:v>
      </x:c>
      <x:c r="L103" s="137" t="str"/>
      <x:c r="M103" s="137" t="str"/>
      <x:c r="N103" s="137" t="str"/>
      <x:c r="O103" s="137" t="str"/>
      <x:c r="P103" s="137" t="str"/>
      <x:c r="Q103" s="138" t="str"/>
      <x:c r="R103" s="137" t="str"/>
      <x:c r="S103" s="137" t="str">
        <x:v>To Confirm</x:v>
      </x:c>
      <x:c r="T103" s="137" t="str">
        <x:v>Single-size packing profile; do not treat as a combination pack.</x:v>
      </x:c>
    </x:row>
    <x:row r="104">
      <x:c r="A104" s="137" t="str">
        <x:v>PK-100</x:v>
      </x:c>
      <x:c r="B104" s="137" t="str">
        <x:v>SPIKE</x:v>
      </x:c>
      <x:c r="C104" s="137" t="str">
        <x:v>PER ORDER (V/L)</x:v>
      </x:c>
      <x:c r="D104" s="137" t="str">
        <x:v>Single Size</x:v>
      </x:c>
      <x:c r="E104" s="137" t="str">
        <x:v>kids</x:v>
      </x:c>
      <x:c r="F104" s="137" t="str">
        <x:v>kids</x:v>
      </x:c>
      <x:c r="G104" s="128" t="n">
        <x:v>24</x:v>
      </x:c>
      <x:c r="H104" s="137" t="str"/>
      <x:c r="I104" s="128" t="str">
        <x:v>ARMOUR</x:v>
      </x:c>
      <x:c r="J104" s="128" t="str">
        <x:v>kids</x:v>
      </x:c>
      <x:c r="K104" s="128" t="str">
        <x:v>Yes</x:v>
      </x:c>
      <x:c r="L104" s="137" t="str"/>
      <x:c r="M104" s="137" t="str"/>
      <x:c r="N104" s="137" t="str"/>
      <x:c r="O104" s="137" t="str"/>
      <x:c r="P104" s="137" t="str"/>
      <x:c r="Q104" s="138" t="str"/>
      <x:c r="R104" s="137" t="str"/>
      <x:c r="S104" s="137" t="str">
        <x:v>To Confirm</x:v>
      </x:c>
      <x:c r="T104" s="137" t="str">
        <x:v>Single-size packing profile; do not treat as a combination pack.</x:v>
      </x:c>
    </x:row>
    <x:row r="105">
      <x:c r="A105" s="137" t="str">
        <x:v>PK-101</x:v>
      </x:c>
      <x:c r="B105" s="137" t="str">
        <x:v>SPIKE</x:v>
      </x:c>
      <x:c r="C105" s="137" t="str">
        <x:v>PER ORDER (V/L)</x:v>
      </x:c>
      <x:c r="D105" s="137" t="str">
        <x:v>Single Size</x:v>
      </x:c>
      <x:c r="E105" s="137" t="str">
        <x:v>adult</x:v>
      </x:c>
      <x:c r="F105" s="137" t="str">
        <x:v>adult</x:v>
      </x:c>
      <x:c r="G105" s="128" t="n">
        <x:v>18</x:v>
      </x:c>
      <x:c r="H105" s="137" t="str"/>
      <x:c r="I105" s="128" t="str">
        <x:v>ARMOUR</x:v>
      </x:c>
      <x:c r="J105" s="128" t="str">
        <x:v>adult</x:v>
      </x:c>
      <x:c r="K105" s="128" t="str">
        <x:v>Yes</x:v>
      </x:c>
      <x:c r="L105" s="137" t="str"/>
      <x:c r="M105" s="137" t="str"/>
      <x:c r="N105" s="137" t="str"/>
      <x:c r="O105" s="137" t="str"/>
      <x:c r="P105" s="137" t="str"/>
      <x:c r="Q105" s="138" t="str"/>
      <x:c r="R105" s="137" t="str"/>
      <x:c r="S105" s="137" t="str">
        <x:v>To Confirm</x:v>
      </x:c>
      <x:c r="T105" s="137" t="str">
        <x:v>Single-size packing profile; do not treat as a combination pack.</x:v>
      </x:c>
    </x:row>
    <x:row r="106">
      <x:c r="A106" s="137" t="str">
        <x:v>PK-102</x:v>
      </x:c>
      <x:c r="B106" s="137" t="str">
        <x:v>ARMOUR (VELCRO)</x:v>
      </x:c>
      <x:c r="C106" s="137" t="str">
        <x:v>VELCRO</x:v>
      </x:c>
      <x:c r="D106" s="137" t="str">
        <x:v>Single Size</x:v>
      </x:c>
      <x:c r="E106" s="137" t="str">
        <x:v>kids</x:v>
      </x:c>
      <x:c r="F106" s="137" t="str">
        <x:v>kids</x:v>
      </x:c>
      <x:c r="G106" s="128" t="n">
        <x:v>24</x:v>
      </x:c>
      <x:c r="H106" s="137" t="str"/>
      <x:c r="I106" s="128" t="str">
        <x:v>ARMOUR</x:v>
      </x:c>
      <x:c r="J106" s="128" t="str">
        <x:v>kids</x:v>
      </x:c>
      <x:c r="K106" s="128" t="str">
        <x:v>Yes</x:v>
      </x:c>
      <x:c r="L106" s="137" t="str"/>
      <x:c r="M106" s="137" t="str"/>
      <x:c r="N106" s="137" t="str"/>
      <x:c r="O106" s="137" t="str"/>
      <x:c r="P106" s="137" t="str"/>
      <x:c r="Q106" s="138" t="str"/>
      <x:c r="R106" s="137" t="str"/>
      <x:c r="S106" s="137" t="str">
        <x:v>To Confirm</x:v>
      </x:c>
      <x:c r="T106" s="137" t="str">
        <x:v>Single-size packing profile; do not treat as a combination pack.</x:v>
      </x:c>
    </x:row>
    <x:row r="107">
      <x:c r="A107" s="137" t="str">
        <x:v>PK-103</x:v>
      </x:c>
      <x:c r="B107" s="137" t="str">
        <x:v>ARMOUR (VELCRO)</x:v>
      </x:c>
      <x:c r="C107" s="137" t="str">
        <x:v>VELCRO</x:v>
      </x:c>
      <x:c r="D107" s="137" t="str">
        <x:v>Single Size</x:v>
      </x:c>
      <x:c r="E107" s="137" t="str">
        <x:v>adult</x:v>
      </x:c>
      <x:c r="F107" s="137" t="str">
        <x:v>adult</x:v>
      </x:c>
      <x:c r="G107" s="128" t="n">
        <x:v>18</x:v>
      </x:c>
      <x:c r="H107" s="137" t="str"/>
      <x:c r="I107" s="128" t="str">
        <x:v>ARMOUR</x:v>
      </x:c>
      <x:c r="J107" s="128" t="str">
        <x:v>adult</x:v>
      </x:c>
      <x:c r="K107" s="128" t="str">
        <x:v>Yes</x:v>
      </x:c>
      <x:c r="L107" s="137" t="str"/>
      <x:c r="M107" s="137" t="str"/>
      <x:c r="N107" s="137" t="str"/>
      <x:c r="O107" s="137" t="str"/>
      <x:c r="P107" s="137" t="str"/>
      <x:c r="Q107" s="138" t="str"/>
      <x:c r="R107" s="137" t="str"/>
      <x:c r="S107" s="137" t="str">
        <x:v>To Confirm</x:v>
      </x:c>
      <x:c r="T107" s="137" t="str">
        <x:v>Single-size packing profile; do not treat as a combination pack.</x:v>
      </x:c>
    </x:row>
    <x:row r="108">
      <x:c r="A108" s="137" t="str">
        <x:v>PK-104</x:v>
      </x:c>
      <x:c r="B108" s="137" t="str">
        <x:v>ARMOUR (LACE)</x:v>
      </x:c>
      <x:c r="C108" s="137" t="str">
        <x:v>LACE</x:v>
      </x:c>
      <x:c r="D108" s="137" t="str">
        <x:v>Single Size</x:v>
      </x:c>
      <x:c r="E108" s="137" t="str">
        <x:v>kids</x:v>
      </x:c>
      <x:c r="F108" s="137" t="str">
        <x:v>kids</x:v>
      </x:c>
      <x:c r="G108" s="128" t="n">
        <x:v>24</x:v>
      </x:c>
      <x:c r="H108" s="137" t="str"/>
      <x:c r="I108" s="128" t="str">
        <x:v>ARMOUR</x:v>
      </x:c>
      <x:c r="J108" s="128" t="str">
        <x:v>kids</x:v>
      </x:c>
      <x:c r="K108" s="128" t="str">
        <x:v>Yes</x:v>
      </x:c>
      <x:c r="L108" s="137" t="str"/>
      <x:c r="M108" s="137" t="str"/>
      <x:c r="N108" s="137" t="str"/>
      <x:c r="O108" s="137" t="str"/>
      <x:c r="P108" s="137" t="str"/>
      <x:c r="Q108" s="138" t="str"/>
      <x:c r="R108" s="137" t="str"/>
      <x:c r="S108" s="137" t="str">
        <x:v>To Confirm</x:v>
      </x:c>
      <x:c r="T108" s="137" t="str">
        <x:v>Single-size packing profile; do not treat as a combination pack.</x:v>
      </x:c>
    </x:row>
    <x:row r="109">
      <x:c r="A109" s="137" t="str">
        <x:v>PK-105</x:v>
      </x:c>
      <x:c r="B109" s="137" t="str">
        <x:v>ARMOUR (LACE)</x:v>
      </x:c>
      <x:c r="C109" s="137" t="str">
        <x:v>LACE</x:v>
      </x:c>
      <x:c r="D109" s="137" t="str">
        <x:v>Single Size</x:v>
      </x:c>
      <x:c r="E109" s="137" t="str">
        <x:v>adult</x:v>
      </x:c>
      <x:c r="F109" s="137" t="str">
        <x:v>adult</x:v>
      </x:c>
      <x:c r="G109" s="128" t="n">
        <x:v>18</x:v>
      </x:c>
      <x:c r="H109" s="137" t="str"/>
      <x:c r="I109" s="128" t="str">
        <x:v>ARMOUR</x:v>
      </x:c>
      <x:c r="J109" s="128" t="str">
        <x:v>adult</x:v>
      </x:c>
      <x:c r="K109" s="128" t="str">
        <x:v>Yes</x:v>
      </x:c>
      <x:c r="L109" s="137" t="str"/>
      <x:c r="M109" s="137" t="str"/>
      <x:c r="N109" s="137" t="str"/>
      <x:c r="O109" s="137" t="str"/>
      <x:c r="P109" s="137" t="str"/>
      <x:c r="Q109" s="138" t="str"/>
      <x:c r="R109" s="137" t="str"/>
      <x:c r="S109" s="137" t="str">
        <x:v>To Confirm</x:v>
      </x:c>
      <x:c r="T109" s="137" t="str">
        <x:v>Single-size packing profile; do not treat as a combination pack.</x:v>
      </x:c>
    </x:row>
    <x:row r="110">
      <x:c r="A110" s="137" t="str"/>
      <x:c r="B110" s="137" t="str"/>
      <x:c r="C110" s="137" t="str"/>
      <x:c r="D110" s="137" t="str"/>
      <x:c r="E110" s="137" t="str"/>
      <x:c r="F110" s="137" t="str"/>
      <x:c r="G110" s="128" t="str"/>
      <x:c r="H110" s="137" t="str"/>
      <x:c r="I110" s="128" t="str"/>
      <x:c r="J110" s="128" t="str"/>
      <x:c r="K110" s="128" t="str"/>
      <x:c r="L110" s="137" t="str"/>
      <x:c r="M110" s="137" t="str"/>
      <x:c r="N110" s="137" t="str"/>
      <x:c r="O110" s="137" t="str"/>
      <x:c r="P110" s="137" t="str"/>
      <x:c r="Q110" s="138" t="str"/>
      <x:c r="R110" s="137" t="str"/>
      <x:c r="S110" s="137" t="str"/>
      <x:c r="T110" s="137" t="str"/>
    </x:row>
    <x:row r="111">
      <x:c r="A111" s="137" t="str"/>
      <x:c r="B111" s="137" t="str"/>
      <x:c r="C111" s="137" t="str"/>
      <x:c r="D111" s="137" t="str"/>
      <x:c r="E111" s="137" t="str"/>
      <x:c r="F111" s="137" t="str"/>
      <x:c r="G111" s="128" t="str"/>
      <x:c r="H111" s="137" t="str"/>
      <x:c r="I111" s="128" t="str"/>
      <x:c r="J111" s="128" t="str"/>
      <x:c r="K111" s="128" t="str"/>
      <x:c r="L111" s="137" t="str"/>
      <x:c r="M111" s="137" t="str"/>
      <x:c r="N111" s="137" t="str"/>
      <x:c r="O111" s="137" t="str"/>
      <x:c r="P111" s="137" t="str"/>
      <x:c r="Q111" s="138" t="str"/>
      <x:c r="R111" s="137" t="str"/>
      <x:c r="S111" s="137" t="str"/>
      <x:c r="T111" s="137" t="str"/>
    </x:row>
    <x:row r="112">
      <x:c r="A112" s="137" t="str"/>
      <x:c r="B112" s="137" t="str"/>
      <x:c r="C112" s="137" t="str"/>
      <x:c r="D112" s="137" t="str"/>
      <x:c r="E112" s="137" t="str"/>
      <x:c r="F112" s="137" t="str"/>
      <x:c r="G112" s="128" t="str"/>
      <x:c r="H112" s="137" t="str"/>
      <x:c r="I112" s="128" t="str"/>
      <x:c r="J112" s="128" t="str"/>
      <x:c r="K112" s="128" t="str"/>
      <x:c r="L112" s="137" t="str"/>
      <x:c r="M112" s="137" t="str"/>
      <x:c r="N112" s="137" t="str"/>
      <x:c r="O112" s="137" t="str"/>
      <x:c r="P112" s="137" t="str"/>
      <x:c r="Q112" s="138" t="str"/>
      <x:c r="R112" s="137" t="str"/>
      <x:c r="S112" s="137" t="str"/>
      <x:c r="T112" s="137" t="str"/>
    </x:row>
    <x:row r="113">
      <x:c r="A113" s="137" t="str"/>
      <x:c r="B113" s="137" t="str"/>
      <x:c r="C113" s="137" t="str"/>
      <x:c r="D113" s="137" t="str"/>
      <x:c r="E113" s="137" t="str"/>
      <x:c r="F113" s="137" t="str"/>
      <x:c r="G113" s="128" t="str"/>
      <x:c r="H113" s="137" t="str"/>
      <x:c r="I113" s="128" t="str"/>
      <x:c r="J113" s="128" t="str"/>
      <x:c r="K113" s="128" t="str"/>
      <x:c r="L113" s="137" t="str"/>
      <x:c r="M113" s="137" t="str"/>
      <x:c r="N113" s="137" t="str"/>
      <x:c r="O113" s="137" t="str"/>
      <x:c r="P113" s="137" t="str"/>
      <x:c r="Q113" s="138" t="str"/>
      <x:c r="R113" s="137" t="str"/>
      <x:c r="S113" s="137" t="str"/>
      <x:c r="T113" s="137" t="str"/>
    </x:row>
    <x:row r="114">
      <x:c r="A114" s="137" t="str"/>
      <x:c r="B114" s="137" t="str"/>
      <x:c r="C114" s="137" t="str"/>
      <x:c r="D114" s="137" t="str"/>
      <x:c r="E114" s="137" t="str"/>
      <x:c r="F114" s="137" t="str"/>
      <x:c r="G114" s="128" t="str"/>
      <x:c r="H114" s="137" t="str"/>
      <x:c r="I114" s="128" t="str"/>
      <x:c r="J114" s="128" t="str"/>
      <x:c r="K114" s="128" t="str"/>
      <x:c r="L114" s="137" t="str"/>
      <x:c r="M114" s="137" t="str"/>
      <x:c r="N114" s="137" t="str"/>
      <x:c r="O114" s="137" t="str"/>
      <x:c r="P114" s="137" t="str"/>
      <x:c r="Q114" s="138" t="str"/>
      <x:c r="R114" s="137" t="str"/>
      <x:c r="S114" s="137" t="str"/>
      <x:c r="T114" s="137" t="str"/>
    </x:row>
    <x:row r="115">
      <x:c r="A115" s="137" t="str"/>
      <x:c r="B115" s="137" t="str"/>
      <x:c r="C115" s="137" t="str"/>
      <x:c r="D115" s="137" t="str"/>
      <x:c r="E115" s="137" t="str"/>
      <x:c r="F115" s="137" t="str"/>
      <x:c r="G115" s="128" t="str"/>
      <x:c r="H115" s="137" t="str"/>
      <x:c r="I115" s="128" t="str"/>
      <x:c r="J115" s="128" t="str"/>
      <x:c r="K115" s="128" t="str"/>
      <x:c r="L115" s="137" t="str"/>
      <x:c r="M115" s="137" t="str"/>
      <x:c r="N115" s="137" t="str"/>
      <x:c r="O115" s="137" t="str"/>
      <x:c r="P115" s="137" t="str"/>
      <x:c r="Q115" s="138" t="str"/>
      <x:c r="R115" s="137" t="str"/>
      <x:c r="S115" s="137" t="str"/>
      <x:c r="T115" s="137" t="str"/>
    </x:row>
    <x:row r="116">
      <x:c r="A116" s="137" t="str"/>
      <x:c r="B116" s="137" t="str"/>
      <x:c r="C116" s="137" t="str"/>
      <x:c r="D116" s="137" t="str"/>
      <x:c r="E116" s="137" t="str"/>
      <x:c r="F116" s="137" t="str"/>
      <x:c r="G116" s="128" t="str"/>
      <x:c r="H116" s="137" t="str"/>
      <x:c r="I116" s="128" t="str"/>
      <x:c r="J116" s="128" t="str"/>
      <x:c r="K116" s="128" t="str"/>
      <x:c r="L116" s="137" t="str"/>
      <x:c r="M116" s="137" t="str"/>
      <x:c r="N116" s="137" t="str"/>
      <x:c r="O116" s="137" t="str"/>
      <x:c r="P116" s="137" t="str"/>
      <x:c r="Q116" s="138" t="str"/>
      <x:c r="R116" s="137" t="str"/>
      <x:c r="S116" s="137" t="str"/>
      <x:c r="T116" s="137" t="str"/>
    </x:row>
    <x:row r="117">
      <x:c r="A117" s="137" t="str"/>
      <x:c r="B117" s="137" t="str"/>
      <x:c r="C117" s="137" t="str"/>
      <x:c r="D117" s="137" t="str"/>
      <x:c r="E117" s="137" t="str"/>
      <x:c r="F117" s="137" t="str"/>
      <x:c r="G117" s="128" t="str"/>
      <x:c r="H117" s="137" t="str"/>
      <x:c r="I117" s="128" t="str"/>
      <x:c r="J117" s="128" t="str"/>
      <x:c r="K117" s="128" t="str"/>
      <x:c r="L117" s="137" t="str"/>
      <x:c r="M117" s="137" t="str"/>
      <x:c r="N117" s="137" t="str"/>
      <x:c r="O117" s="137" t="str"/>
      <x:c r="P117" s="137" t="str"/>
      <x:c r="Q117" s="138" t="str"/>
      <x:c r="R117" s="137" t="str"/>
      <x:c r="S117" s="137" t="str"/>
      <x:c r="T117" s="137" t="str"/>
    </x:row>
    <x:row r="118">
      <x:c r="A118" s="137" t="str"/>
      <x:c r="B118" s="137" t="str"/>
      <x:c r="C118" s="137" t="str"/>
      <x:c r="D118" s="137" t="str"/>
      <x:c r="E118" s="137" t="str"/>
      <x:c r="F118" s="137" t="str"/>
      <x:c r="G118" s="128" t="str"/>
      <x:c r="H118" s="137" t="str"/>
      <x:c r="I118" s="128" t="str"/>
      <x:c r="J118" s="128" t="str"/>
      <x:c r="K118" s="128" t="str"/>
      <x:c r="L118" s="137" t="str"/>
      <x:c r="M118" s="137" t="str"/>
      <x:c r="N118" s="137" t="str"/>
      <x:c r="O118" s="137" t="str"/>
      <x:c r="P118" s="137" t="str"/>
      <x:c r="Q118" s="138" t="str"/>
      <x:c r="R118" s="137" t="str"/>
      <x:c r="S118" s="137" t="str"/>
      <x:c r="T118" s="137" t="str"/>
    </x:row>
    <x:row r="119">
      <x:c r="A119" s="137" t="str"/>
      <x:c r="B119" s="137" t="str"/>
      <x:c r="C119" s="137" t="str"/>
      <x:c r="D119" s="137" t="str"/>
      <x:c r="E119" s="137" t="str"/>
      <x:c r="F119" s="137" t="str"/>
      <x:c r="G119" s="128" t="str"/>
      <x:c r="H119" s="137" t="str"/>
      <x:c r="I119" s="128" t="str"/>
      <x:c r="J119" s="128" t="str"/>
      <x:c r="K119" s="128" t="str"/>
      <x:c r="L119" s="137" t="str"/>
      <x:c r="M119" s="137" t="str"/>
      <x:c r="N119" s="137" t="str"/>
      <x:c r="O119" s="137" t="str"/>
      <x:c r="P119" s="137" t="str"/>
      <x:c r="Q119" s="138" t="str"/>
      <x:c r="R119" s="137" t="str"/>
      <x:c r="S119" s="137" t="str"/>
      <x:c r="T119" s="137" t="str"/>
    </x:row>
    <x:row r="120">
      <x:c r="A120" s="137" t="str"/>
      <x:c r="B120" s="137" t="str"/>
      <x:c r="C120" s="137" t="str"/>
      <x:c r="D120" s="137" t="str"/>
      <x:c r="E120" s="137" t="str"/>
      <x:c r="F120" s="137" t="str"/>
      <x:c r="G120" s="128" t="str"/>
      <x:c r="H120" s="137" t="str"/>
      <x:c r="I120" s="128" t="str"/>
      <x:c r="J120" s="128" t="str"/>
      <x:c r="K120" s="128" t="str"/>
      <x:c r="L120" s="137" t="str"/>
      <x:c r="M120" s="137" t="str"/>
      <x:c r="N120" s="137" t="str"/>
      <x:c r="O120" s="137" t="str"/>
      <x:c r="P120" s="137" t="str"/>
      <x:c r="Q120" s="138" t="str"/>
      <x:c r="R120" s="137" t="str"/>
      <x:c r="S120" s="137" t="str"/>
      <x:c r="T120" s="137" t="str"/>
    </x:row>
    <x:row r="121">
      <x:c r="A121" s="137" t="str"/>
      <x:c r="B121" s="137" t="str"/>
      <x:c r="C121" s="137" t="str"/>
      <x:c r="D121" s="137" t="str"/>
      <x:c r="E121" s="137" t="str"/>
      <x:c r="F121" s="137" t="str"/>
      <x:c r="G121" s="128" t="str"/>
      <x:c r="H121" s="137" t="str"/>
      <x:c r="I121" s="128" t="str"/>
      <x:c r="J121" s="128" t="str"/>
      <x:c r="K121" s="128" t="str"/>
      <x:c r="L121" s="137" t="str"/>
      <x:c r="M121" s="137" t="str"/>
      <x:c r="N121" s="137" t="str"/>
      <x:c r="O121" s="137" t="str"/>
      <x:c r="P121" s="137" t="str"/>
      <x:c r="Q121" s="138" t="str"/>
      <x:c r="R121" s="137" t="str"/>
      <x:c r="S121" s="137" t="str"/>
      <x:c r="T121" s="137" t="str"/>
    </x:row>
    <x:row r="122">
      <x:c r="A122" s="137" t="str"/>
      <x:c r="B122" s="137" t="str"/>
      <x:c r="C122" s="137" t="str"/>
      <x:c r="D122" s="137" t="str"/>
      <x:c r="E122" s="137" t="str"/>
      <x:c r="F122" s="137" t="str"/>
      <x:c r="G122" s="128" t="str"/>
      <x:c r="H122" s="137" t="str"/>
      <x:c r="I122" s="128" t="str"/>
      <x:c r="J122" s="128" t="str"/>
      <x:c r="K122" s="128" t="str"/>
      <x:c r="L122" s="137" t="str"/>
      <x:c r="M122" s="137" t="str"/>
      <x:c r="N122" s="137" t="str"/>
      <x:c r="O122" s="137" t="str"/>
      <x:c r="P122" s="137" t="str"/>
      <x:c r="Q122" s="138" t="str"/>
      <x:c r="R122" s="137" t="str"/>
      <x:c r="S122" s="137" t="str"/>
      <x:c r="T122" s="137" t="str"/>
    </x:row>
    <x:row r="123">
      <x:c r="A123" s="137" t="str"/>
      <x:c r="B123" s="137" t="str"/>
      <x:c r="C123" s="137" t="str"/>
      <x:c r="D123" s="137" t="str"/>
      <x:c r="E123" s="137" t="str"/>
      <x:c r="F123" s="137" t="str"/>
      <x:c r="G123" s="128" t="str"/>
      <x:c r="H123" s="137" t="str"/>
      <x:c r="I123" s="128" t="str"/>
      <x:c r="J123" s="128" t="str"/>
      <x:c r="K123" s="128" t="str"/>
      <x:c r="L123" s="137" t="str"/>
      <x:c r="M123" s="137" t="str"/>
      <x:c r="N123" s="137" t="str"/>
      <x:c r="O123" s="137" t="str"/>
      <x:c r="P123" s="137" t="str"/>
      <x:c r="Q123" s="138" t="str"/>
      <x:c r="R123" s="137" t="str"/>
      <x:c r="S123" s="137" t="str"/>
      <x:c r="T123" s="137" t="str"/>
    </x:row>
    <x:row r="124">
      <x:c r="A124" s="137" t="str"/>
      <x:c r="B124" s="137" t="str"/>
      <x:c r="C124" s="137" t="str"/>
      <x:c r="D124" s="137" t="str"/>
      <x:c r="E124" s="137" t="str"/>
      <x:c r="F124" s="137" t="str"/>
      <x:c r="G124" s="128" t="str"/>
      <x:c r="H124" s="137" t="str"/>
      <x:c r="I124" s="128" t="str"/>
      <x:c r="J124" s="128" t="str"/>
      <x:c r="K124" s="128" t="str"/>
      <x:c r="L124" s="137" t="str"/>
      <x:c r="M124" s="137" t="str"/>
      <x:c r="N124" s="137" t="str"/>
      <x:c r="O124" s="137" t="str"/>
      <x:c r="P124" s="137" t="str"/>
      <x:c r="Q124" s="138" t="str"/>
      <x:c r="R124" s="137" t="str"/>
      <x:c r="S124" s="137" t="str"/>
      <x:c r="T124" s="137" t="str"/>
    </x:row>
    <x:row r="125">
      <x:c r="A125" s="137" t="str"/>
      <x:c r="B125" s="137" t="str"/>
      <x:c r="C125" s="137" t="str"/>
      <x:c r="D125" s="137" t="str"/>
      <x:c r="E125" s="137" t="str"/>
      <x:c r="F125" s="137" t="str"/>
      <x:c r="G125" s="128" t="str"/>
      <x:c r="H125" s="137" t="str"/>
      <x:c r="I125" s="128" t="str"/>
      <x:c r="J125" s="128" t="str"/>
      <x:c r="K125" s="128" t="str"/>
      <x:c r="L125" s="137" t="str"/>
      <x:c r="M125" s="137" t="str"/>
      <x:c r="N125" s="137" t="str"/>
      <x:c r="O125" s="137" t="str"/>
      <x:c r="P125" s="137" t="str"/>
      <x:c r="Q125" s="138" t="str"/>
      <x:c r="R125" s="137" t="str"/>
      <x:c r="S125" s="137" t="str"/>
      <x:c r="T125" s="137" t="str"/>
    </x:row>
    <x:row r="126">
      <x:c r="A126" s="137" t="str"/>
      <x:c r="B126" s="137" t="str"/>
      <x:c r="C126" s="137" t="str"/>
      <x:c r="D126" s="137" t="str"/>
      <x:c r="E126" s="137" t="str"/>
      <x:c r="F126" s="137" t="str"/>
      <x:c r="G126" s="128" t="str"/>
      <x:c r="H126" s="137" t="str"/>
      <x:c r="I126" s="128" t="str"/>
      <x:c r="J126" s="128" t="str"/>
      <x:c r="K126" s="128" t="str"/>
      <x:c r="L126" s="137" t="str"/>
      <x:c r="M126" s="137" t="str"/>
      <x:c r="N126" s="137" t="str"/>
      <x:c r="O126" s="137" t="str"/>
      <x:c r="P126" s="137" t="str"/>
      <x:c r="Q126" s="138" t="str"/>
      <x:c r="R126" s="137" t="str"/>
      <x:c r="S126" s="137" t="str"/>
      <x:c r="T126" s="137" t="str"/>
    </x:row>
    <x:row r="127">
      <x:c r="A127" s="137" t="str"/>
      <x:c r="B127" s="137" t="str"/>
      <x:c r="C127" s="137" t="str"/>
      <x:c r="D127" s="137" t="str"/>
      <x:c r="E127" s="137" t="str"/>
      <x:c r="F127" s="137" t="str"/>
      <x:c r="G127" s="128" t="str"/>
      <x:c r="H127" s="137" t="str"/>
      <x:c r="I127" s="128" t="str"/>
      <x:c r="J127" s="128" t="str"/>
      <x:c r="K127" s="128" t="str"/>
      <x:c r="L127" s="137" t="str"/>
      <x:c r="M127" s="137" t="str"/>
      <x:c r="N127" s="137" t="str"/>
      <x:c r="O127" s="137" t="str"/>
      <x:c r="P127" s="137" t="str"/>
      <x:c r="Q127" s="138" t="str"/>
      <x:c r="R127" s="137" t="str"/>
      <x:c r="S127" s="137" t="str"/>
      <x:c r="T127" s="137" t="str"/>
    </x:row>
    <x:row r="128">
      <x:c r="A128" s="137" t="str"/>
      <x:c r="B128" s="137" t="str"/>
      <x:c r="C128" s="137" t="str"/>
      <x:c r="D128" s="137" t="str"/>
      <x:c r="E128" s="137" t="str"/>
      <x:c r="F128" s="137" t="str"/>
      <x:c r="G128" s="128" t="str"/>
      <x:c r="H128" s="137" t="str"/>
      <x:c r="I128" s="128" t="str"/>
      <x:c r="J128" s="128" t="str"/>
      <x:c r="K128" s="128" t="str"/>
      <x:c r="L128" s="137" t="str"/>
      <x:c r="M128" s="137" t="str"/>
      <x:c r="N128" s="137" t="str"/>
      <x:c r="O128" s="137" t="str"/>
      <x:c r="P128" s="137" t="str"/>
      <x:c r="Q128" s="138" t="str"/>
      <x:c r="R128" s="137" t="str"/>
      <x:c r="S128" s="137" t="str"/>
      <x:c r="T128" s="137" t="str"/>
    </x:row>
    <x:row r="129">
      <x:c r="A129" s="137" t="str"/>
      <x:c r="B129" s="137" t="str"/>
      <x:c r="C129" s="137" t="str"/>
      <x:c r="D129" s="137" t="str"/>
      <x:c r="E129" s="137" t="str"/>
      <x:c r="F129" s="137" t="str"/>
      <x:c r="G129" s="128" t="str"/>
      <x:c r="H129" s="137" t="str"/>
      <x:c r="I129" s="128" t="str"/>
      <x:c r="J129" s="128" t="str"/>
      <x:c r="K129" s="128" t="str"/>
      <x:c r="L129" s="137" t="str"/>
      <x:c r="M129" s="137" t="str"/>
      <x:c r="N129" s="137" t="str"/>
      <x:c r="O129" s="137" t="str"/>
      <x:c r="P129" s="137" t="str"/>
      <x:c r="Q129" s="138" t="str"/>
      <x:c r="R129" s="137" t="str"/>
      <x:c r="S129" s="137" t="str"/>
      <x:c r="T129" s="137" t="str"/>
    </x:row>
    <x:row r="130">
      <x:c r="A130" s="137" t="str"/>
      <x:c r="B130" s="137" t="str"/>
      <x:c r="C130" s="137" t="str"/>
      <x:c r="D130" s="137" t="str"/>
      <x:c r="E130" s="137" t="str"/>
      <x:c r="F130" s="137" t="str"/>
      <x:c r="G130" s="128" t="str"/>
      <x:c r="H130" s="137" t="str"/>
      <x:c r="I130" s="128" t="str"/>
      <x:c r="J130" s="128" t="str"/>
      <x:c r="K130" s="128" t="str"/>
      <x:c r="L130" s="137" t="str"/>
      <x:c r="M130" s="137" t="str"/>
      <x:c r="N130" s="137" t="str"/>
      <x:c r="O130" s="137" t="str"/>
      <x:c r="P130" s="137" t="str"/>
      <x:c r="Q130" s="138" t="str"/>
      <x:c r="R130" s="137" t="str"/>
      <x:c r="S130" s="137" t="str"/>
      <x:c r="T130" s="137" t="str"/>
    </x:row>
    <x:row r="131">
      <x:c r="A131" s="137" t="str"/>
      <x:c r="B131" s="137" t="str"/>
      <x:c r="C131" s="137" t="str"/>
      <x:c r="D131" s="137" t="str"/>
      <x:c r="E131" s="137" t="str"/>
      <x:c r="F131" s="137" t="str"/>
      <x:c r="G131" s="128" t="str"/>
      <x:c r="H131" s="137" t="str"/>
      <x:c r="I131" s="128" t="str"/>
      <x:c r="J131" s="128" t="str"/>
      <x:c r="K131" s="128" t="str"/>
      <x:c r="L131" s="137" t="str"/>
      <x:c r="M131" s="137" t="str"/>
      <x:c r="N131" s="137" t="str"/>
      <x:c r="O131" s="137" t="str"/>
      <x:c r="P131" s="137" t="str"/>
      <x:c r="Q131" s="138" t="str"/>
      <x:c r="R131" s="137" t="str"/>
      <x:c r="S131" s="137" t="str"/>
      <x:c r="T131" s="137" t="str"/>
    </x:row>
    <x:row r="132">
      <x:c r="A132" s="137" t="str"/>
      <x:c r="B132" s="137" t="str"/>
      <x:c r="C132" s="137" t="str"/>
      <x:c r="D132" s="137" t="str"/>
      <x:c r="E132" s="137" t="str"/>
      <x:c r="F132" s="137" t="str"/>
      <x:c r="G132" s="128" t="str"/>
      <x:c r="H132" s="137" t="str"/>
      <x:c r="I132" s="128" t="str"/>
      <x:c r="J132" s="128" t="str"/>
      <x:c r="K132" s="128" t="str"/>
      <x:c r="L132" s="137" t="str"/>
      <x:c r="M132" s="137" t="str"/>
      <x:c r="N132" s="137" t="str"/>
      <x:c r="O132" s="137" t="str"/>
      <x:c r="P132" s="137" t="str"/>
      <x:c r="Q132" s="138" t="str"/>
      <x:c r="R132" s="137" t="str"/>
      <x:c r="S132" s="137" t="str"/>
      <x:c r="T132" s="137" t="str"/>
    </x:row>
    <x:row r="133">
      <x:c r="A133" s="137" t="str"/>
      <x:c r="B133" s="137" t="str"/>
      <x:c r="C133" s="137" t="str"/>
      <x:c r="D133" s="137" t="str"/>
      <x:c r="E133" s="137" t="str"/>
      <x:c r="F133" s="137" t="str"/>
      <x:c r="G133" s="128" t="str"/>
      <x:c r="H133" s="137" t="str"/>
      <x:c r="I133" s="128" t="str"/>
      <x:c r="J133" s="128" t="str"/>
      <x:c r="K133" s="128" t="str"/>
      <x:c r="L133" s="137" t="str"/>
      <x:c r="M133" s="137" t="str"/>
      <x:c r="N133" s="137" t="str"/>
      <x:c r="O133" s="137" t="str"/>
      <x:c r="P133" s="137" t="str"/>
      <x:c r="Q133" s="138" t="str"/>
      <x:c r="R133" s="137" t="str"/>
      <x:c r="S133" s="137" t="str"/>
      <x:c r="T133" s="137" t="str"/>
    </x:row>
    <x:row r="134">
      <x:c r="A134" s="137" t="str"/>
      <x:c r="B134" s="137" t="str"/>
      <x:c r="C134" s="137" t="str"/>
      <x:c r="D134" s="137" t="str"/>
      <x:c r="E134" s="137" t="str"/>
      <x:c r="F134" s="137" t="str"/>
      <x:c r="G134" s="128" t="str"/>
      <x:c r="H134" s="137" t="str"/>
      <x:c r="I134" s="128" t="str"/>
      <x:c r="J134" s="128" t="str"/>
      <x:c r="K134" s="128" t="str"/>
      <x:c r="L134" s="137" t="str"/>
      <x:c r="M134" s="137" t="str"/>
      <x:c r="N134" s="137" t="str"/>
      <x:c r="O134" s="137" t="str"/>
      <x:c r="P134" s="137" t="str"/>
      <x:c r="Q134" s="138" t="str"/>
      <x:c r="R134" s="137" t="str"/>
      <x:c r="S134" s="137" t="str"/>
      <x:c r="T134" s="137" t="str"/>
    </x:row>
    <x:row r="135">
      <x:c r="A135" s="137" t="str"/>
      <x:c r="B135" s="137" t="str"/>
      <x:c r="C135" s="137" t="str"/>
      <x:c r="D135" s="137" t="str"/>
      <x:c r="E135" s="137" t="str"/>
      <x:c r="F135" s="137" t="str"/>
      <x:c r="G135" s="128" t="str"/>
      <x:c r="H135" s="137" t="str"/>
      <x:c r="I135" s="128" t="str"/>
      <x:c r="J135" s="128" t="str"/>
      <x:c r="K135" s="128" t="str"/>
      <x:c r="L135" s="137" t="str"/>
      <x:c r="M135" s="137" t="str"/>
      <x:c r="N135" s="137" t="str"/>
      <x:c r="O135" s="137" t="str"/>
      <x:c r="P135" s="137" t="str"/>
      <x:c r="Q135" s="138" t="str"/>
      <x:c r="R135" s="137" t="str"/>
      <x:c r="S135" s="137" t="str"/>
      <x:c r="T135" s="137" t="str"/>
    </x:row>
    <x:row r="136">
      <x:c r="A136" s="137" t="str"/>
      <x:c r="B136" s="137" t="str"/>
      <x:c r="C136" s="137" t="str"/>
      <x:c r="D136" s="137" t="str"/>
      <x:c r="E136" s="137" t="str"/>
      <x:c r="F136" s="137" t="str"/>
      <x:c r="G136" s="128" t="str"/>
      <x:c r="H136" s="137" t="str"/>
      <x:c r="I136" s="128" t="str"/>
      <x:c r="J136" s="128" t="str"/>
      <x:c r="K136" s="128" t="str"/>
      <x:c r="L136" s="137" t="str"/>
      <x:c r="M136" s="137" t="str"/>
      <x:c r="N136" s="137" t="str"/>
      <x:c r="O136" s="137" t="str"/>
      <x:c r="P136" s="137" t="str"/>
      <x:c r="Q136" s="138" t="str"/>
      <x:c r="R136" s="137" t="str"/>
      <x:c r="S136" s="137" t="str"/>
      <x:c r="T136" s="137" t="str"/>
    </x:row>
    <x:row r="137">
      <x:c r="A137" s="137" t="str"/>
      <x:c r="B137" s="137" t="str"/>
      <x:c r="C137" s="137" t="str"/>
      <x:c r="D137" s="137" t="str"/>
      <x:c r="E137" s="137" t="str"/>
      <x:c r="F137" s="137" t="str"/>
      <x:c r="G137" s="128" t="str"/>
      <x:c r="H137" s="137" t="str"/>
      <x:c r="I137" s="128" t="str"/>
      <x:c r="J137" s="128" t="str"/>
      <x:c r="K137" s="128" t="str"/>
      <x:c r="L137" s="137" t="str"/>
      <x:c r="M137" s="137" t="str"/>
      <x:c r="N137" s="137" t="str"/>
      <x:c r="O137" s="137" t="str"/>
      <x:c r="P137" s="137" t="str"/>
      <x:c r="Q137" s="138" t="str"/>
      <x:c r="R137" s="137" t="str"/>
      <x:c r="S137" s="137" t="str"/>
      <x:c r="T137" s="137" t="str"/>
    </x:row>
    <x:row r="138">
      <x:c r="A138" s="137" t="str"/>
      <x:c r="B138" s="137" t="str"/>
      <x:c r="C138" s="137" t="str"/>
      <x:c r="D138" s="137" t="str"/>
      <x:c r="E138" s="137" t="str"/>
      <x:c r="F138" s="137" t="str"/>
      <x:c r="G138" s="128" t="str"/>
      <x:c r="H138" s="137" t="str"/>
      <x:c r="I138" s="128" t="str"/>
      <x:c r="J138" s="128" t="str"/>
      <x:c r="K138" s="128" t="str"/>
      <x:c r="L138" s="137" t="str"/>
      <x:c r="M138" s="137" t="str"/>
      <x:c r="N138" s="137" t="str"/>
      <x:c r="O138" s="137" t="str"/>
      <x:c r="P138" s="137" t="str"/>
      <x:c r="Q138" s="138" t="str"/>
      <x:c r="R138" s="137" t="str"/>
      <x:c r="S138" s="137" t="str"/>
      <x:c r="T138" s="137" t="str"/>
    </x:row>
    <x:row r="139">
      <x:c r="A139" s="139" t="str"/>
      <x:c r="B139" s="139" t="str"/>
      <x:c r="C139" s="139" t="str"/>
      <x:c r="D139" s="139" t="str"/>
      <x:c r="E139" s="139" t="str"/>
      <x:c r="F139" s="139" t="str"/>
      <x:c r="G139" s="129" t="str"/>
      <x:c r="H139" s="139" t="str"/>
      <x:c r="I139" s="129" t="str"/>
      <x:c r="J139" s="129" t="str"/>
      <x:c r="K139" s="129" t="str"/>
      <x:c r="L139" s="139" t="str"/>
      <x:c r="M139" s="139" t="str"/>
      <x:c r="N139" s="139" t="str"/>
      <x:c r="O139" s="139" t="str"/>
      <x:c r="P139" s="139" t="str"/>
      <x:c r="Q139" s="145" t="str"/>
      <x:c r="R139" s="139" t="str"/>
      <x:c r="S139" s="139" t="str"/>
      <x:c r="T139" s="139" t="str"/>
    </x:row>
  </x:sheetData>
  <x:mergeCells>
    <x:mergeCell ref="A1:T1"/>
    <x:mergeCell ref="A2:T2"/>
    <x:mergeCell ref="A3:T3"/>
  </x:mergeCells>
  <x:conditionalFormatting sqref="S5:S139">
    <x:cfRule type="containsText" dxfId="30" priority="1" operator="containsText" text="Approved"/>
    <x:cfRule type="containsText" dxfId="31" priority="2" operator="containsText" text="Validated"/>
    <x:cfRule type="containsText" dxfId="32" priority="3" operator="containsText" text="Confirmed"/>
    <x:cfRule type="containsText" dxfId="33" priority="4" operator="containsText" text="To Confirm"/>
    <x:cfRule type="containsText" dxfId="34" priority="5" operator="containsText" text="Rejected"/>
    <x:cfRule type="containsText" dxfId="35" priority="6" operator="containsText" text="Blocked"/>
  </x:conditionalFormatting>
  <x:dataValidations count="4">
    <x:dataValidation type="list" sqref="B5:B139">
      <x:formula1>'Lists - Do Not Edit'!$S$2:$S$17</x:formula1>
    </x:dataValidation>
    <x:dataValidation type="list" sqref="D5:D139">
      <x:formula1>"Combination Pack,Single Size"</x:formula1>
    </x:dataValidation>
    <x:dataValidation type="list" sqref="K5:K139">
      <x:formula1>"Yes,No"</x:formula1>
    </x:dataValidation>
    <x:dataValidation type="list" sqref="S5:S139">
      <x:formula1>"To Confirm,Confirmed,Not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74244940324d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2" hidden="0" customWidth="1"/>
    <x:col min="7" max="7" width="20" hidden="0" customWidth="1"/>
    <x:col min="8" max="8" width="30" hidden="0" customWidth="1"/>
    <x:col min="9" max="9" width="34" hidden="0" customWidth="1"/>
    <x:col min="10" max="10" width="28" hidden="0" customWidth="1"/>
    <x:col min="11" max="11" width="30" hidden="0" customWidth="1"/>
    <x:col min="12" max="12" width="42" hidden="0" customWidth="1"/>
    <x:col min="13" max="13" width="15" hidden="0" customWidth="1"/>
    <x:col min="14" max="14" width="20" hidden="0" customWidth="1"/>
    <x:col min="15" max="15" width="18" hidden="0" customWidth="1"/>
    <x:col min="16" max="16" width="36" hidden="0" customWidth="1"/>
  </x:cols>
  <x:sheetData>
    <x:row r="1" ht="30" customHeight="1">
      <x:c r="A1" s="140" t="str">
        <x:v>Catalogue, MRP &amp; Product Details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</x:row>
    <x:row r="2" ht="34" customHeight="1">
      <x:c r="A2" s="123" t="str">
        <x:v>Supply an approved MRP and product record for every article and size range. Photos should use stable file links rather than pasted full-resolution phone images.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</x:row>
    <x:row r="4" ht="34" customHeight="1">
      <x:c r="A4" s="141" t="str">
        <x:v>Article Code</x:v>
      </x:c>
      <x:c r="B4" s="142" t="str">
        <x:v>Article Type</x:v>
      </x:c>
      <x:c r="C4" s="142" t="str">
        <x:v>Size Range</x:v>
      </x:c>
      <x:c r="D4" s="142" t="str">
        <x:v>Current Model MRP</x:v>
      </x:c>
      <x:c r="E4" s="142" t="str">
        <x:v>Client Confirmed MRP</x:v>
      </x:c>
      <x:c r="F4" s="142" t="str">
        <x:v>Currency</x:v>
      </x:c>
      <x:c r="G4" s="142" t="str">
        <x:v>Sole Type Confirmed</x:v>
      </x:c>
      <x:c r="H4" s="142" t="str">
        <x:v>Sole Description</x:v>
      </x:c>
      <x:c r="I4" s="142" t="str">
        <x:v>Upper Description</x:v>
      </x:c>
      <x:c r="J4" s="142" t="str">
        <x:v>Standard Colours</x:v>
      </x:c>
      <x:c r="K4" s="142" t="str">
        <x:v>Photo File / Link</x:v>
      </x:c>
      <x:c r="L4" s="142" t="str">
        <x:v>Catalogue Description</x:v>
      </x:c>
      <x:c r="M4" s="142" t="str">
        <x:v>Effective From</x:v>
      </x:c>
      <x:c r="N4" s="142" t="str">
        <x:v>Approved By</x:v>
      </x:c>
      <x:c r="O4" s="142" t="str">
        <x:v>Confirmation Status</x:v>
      </x:c>
      <x:c r="P4" s="143" t="str">
        <x:v>Notes</x:v>
      </x:c>
    </x:row>
    <x:row r="5">
      <x:c r="A5" s="136" t="str">
        <x:v>ARMOUR (VELCRO)</x:v>
      </x:c>
      <x:c r="B5" s="136" t="str">
        <x:v>VELCRO</x:v>
      </x:c>
      <x:c r="C5" s="136" t="str">
        <x:v>8X10</x:v>
      </x:c>
      <x:c r="D5" s="165" t="str"/>
      <x:c r="E5" s="166" t="str"/>
      <x:c r="F5" s="136" t="str">
        <x:v>INR</x:v>
      </x:c>
      <x:c r="G5" s="136" t="str"/>
      <x:c r="H5" s="136" t="str"/>
      <x:c r="I5" s="136" t="str"/>
      <x:c r="J5" s="136" t="str"/>
      <x:c r="K5" s="136" t="str"/>
      <x:c r="L5" s="136" t="str"/>
      <x:c r="M5" s="144" t="str"/>
      <x:c r="N5" s="136" t="str"/>
      <x:c r="O5" s="136" t="str">
        <x:v>To Confirm</x:v>
      </x:c>
      <x:c r="P5" s="136" t="str"/>
    </x:row>
    <x:row r="6">
      <x:c r="A6" s="137" t="str">
        <x:v>ARMOUR (VELCRO)</x:v>
      </x:c>
      <x:c r="B6" s="137" t="str">
        <x:v>VELCRO</x:v>
      </x:c>
      <x:c r="C6" s="137" t="str">
        <x:v>11X1</x:v>
      </x:c>
      <x:c r="D6" s="167" t="str"/>
      <x:c r="E6" s="168" t="str"/>
      <x:c r="F6" s="137" t="str">
        <x:v>INR</x:v>
      </x:c>
      <x:c r="G6" s="137" t="str"/>
      <x:c r="H6" s="137" t="str"/>
      <x:c r="I6" s="137" t="str"/>
      <x:c r="J6" s="137" t="str"/>
      <x:c r="K6" s="137" t="str"/>
      <x:c r="L6" s="137" t="str"/>
      <x:c r="M6" s="138" t="str"/>
      <x:c r="N6" s="137" t="str"/>
      <x:c r="O6" s="137" t="str">
        <x:v>To Confirm</x:v>
      </x:c>
      <x:c r="P6" s="137" t="str"/>
    </x:row>
    <x:row r="7">
      <x:c r="A7" s="137" t="str">
        <x:v>ARMOUR (VELCRO)</x:v>
      </x:c>
      <x:c r="B7" s="137" t="str">
        <x:v>VELCRO</x:v>
      </x:c>
      <x:c r="C7" s="137" t="str">
        <x:v>2X5</x:v>
      </x:c>
      <x:c r="D7" s="167" t="str"/>
      <x:c r="E7" s="168" t="str"/>
      <x:c r="F7" s="137" t="str">
        <x:v>INR</x:v>
      </x:c>
      <x:c r="G7" s="137" t="str"/>
      <x:c r="H7" s="137" t="str"/>
      <x:c r="I7" s="137" t="str"/>
      <x:c r="J7" s="137" t="str"/>
      <x:c r="K7" s="137" t="str"/>
      <x:c r="L7" s="137" t="str"/>
      <x:c r="M7" s="138" t="str"/>
      <x:c r="N7" s="137" t="str"/>
      <x:c r="O7" s="137" t="str">
        <x:v>To Confirm</x:v>
      </x:c>
      <x:c r="P7" s="137" t="str"/>
    </x:row>
    <x:row r="8">
      <x:c r="A8" s="137" t="str">
        <x:v>ARMOUR (VELCRO)</x:v>
      </x:c>
      <x:c r="B8" s="137" t="str">
        <x:v>VELCRO</x:v>
      </x:c>
      <x:c r="C8" s="137" t="str">
        <x:v>6X10B</x:v>
      </x:c>
      <x:c r="D8" s="167" t="str"/>
      <x:c r="E8" s="168" t="str"/>
      <x:c r="F8" s="137" t="str">
        <x:v>INR</x:v>
      </x:c>
      <x:c r="G8" s="137" t="str"/>
      <x:c r="H8" s="137" t="str"/>
      <x:c r="I8" s="137" t="str"/>
      <x:c r="J8" s="137" t="str"/>
      <x:c r="K8" s="137" t="str"/>
      <x:c r="L8" s="137" t="str"/>
      <x:c r="M8" s="138" t="str"/>
      <x:c r="N8" s="137" t="str"/>
      <x:c r="O8" s="137" t="str">
        <x:v>To Confirm</x:v>
      </x:c>
      <x:c r="P8" s="137" t="str"/>
    </x:row>
    <x:row r="9">
      <x:c r="A9" s="137" t="str">
        <x:v>ARMOUR (LACE)</x:v>
      </x:c>
      <x:c r="B9" s="137" t="str">
        <x:v>LACE</x:v>
      </x:c>
      <x:c r="C9" s="137" t="str">
        <x:v>8X10</x:v>
      </x:c>
      <x:c r="D9" s="167" t="str"/>
      <x:c r="E9" s="168" t="str"/>
      <x:c r="F9" s="137" t="str">
        <x:v>INR</x:v>
      </x:c>
      <x:c r="G9" s="137" t="str"/>
      <x:c r="H9" s="137" t="str"/>
      <x:c r="I9" s="137" t="str"/>
      <x:c r="J9" s="137" t="str"/>
      <x:c r="K9" s="137" t="str"/>
      <x:c r="L9" s="137" t="str"/>
      <x:c r="M9" s="138" t="str"/>
      <x:c r="N9" s="137" t="str"/>
      <x:c r="O9" s="137" t="str">
        <x:v>To Confirm</x:v>
      </x:c>
      <x:c r="P9" s="137" t="str"/>
    </x:row>
    <x:row r="10">
      <x:c r="A10" s="137" t="str">
        <x:v>ARMOUR (LACE)</x:v>
      </x:c>
      <x:c r="B10" s="137" t="str">
        <x:v>LACE</x:v>
      </x:c>
      <x:c r="C10" s="137" t="str">
        <x:v>11X1</x:v>
      </x:c>
      <x:c r="D10" s="167" t="str"/>
      <x:c r="E10" s="168" t="str"/>
      <x:c r="F10" s="137" t="str">
        <x:v>INR</x:v>
      </x:c>
      <x:c r="G10" s="137" t="str"/>
      <x:c r="H10" s="137" t="str"/>
      <x:c r="I10" s="137" t="str"/>
      <x:c r="J10" s="137" t="str"/>
      <x:c r="K10" s="137" t="str"/>
      <x:c r="L10" s="137" t="str"/>
      <x:c r="M10" s="138" t="str"/>
      <x:c r="N10" s="137" t="str"/>
      <x:c r="O10" s="137" t="str">
        <x:v>To Confirm</x:v>
      </x:c>
      <x:c r="P10" s="137" t="str"/>
    </x:row>
    <x:row r="11">
      <x:c r="A11" s="137" t="str">
        <x:v>ARMOUR (LACE)</x:v>
      </x:c>
      <x:c r="B11" s="137" t="str">
        <x:v>LACE</x:v>
      </x:c>
      <x:c r="C11" s="137" t="str">
        <x:v>2X5</x:v>
      </x:c>
      <x:c r="D11" s="167" t="str"/>
      <x:c r="E11" s="168" t="str"/>
      <x:c r="F11" s="137" t="str">
        <x:v>INR</x:v>
      </x:c>
      <x:c r="G11" s="137" t="str"/>
      <x:c r="H11" s="137" t="str"/>
      <x:c r="I11" s="137" t="str"/>
      <x:c r="J11" s="137" t="str"/>
      <x:c r="K11" s="137" t="str"/>
      <x:c r="L11" s="137" t="str"/>
      <x:c r="M11" s="138" t="str"/>
      <x:c r="N11" s="137" t="str"/>
      <x:c r="O11" s="137" t="str">
        <x:v>To Confirm</x:v>
      </x:c>
      <x:c r="P11" s="137" t="str"/>
    </x:row>
    <x:row r="12">
      <x:c r="A12" s="137" t="str">
        <x:v>ARMOUR (LACE)</x:v>
      </x:c>
      <x:c r="B12" s="137" t="str">
        <x:v>LACE</x:v>
      </x:c>
      <x:c r="C12" s="137" t="str">
        <x:v>6X10B</x:v>
      </x:c>
      <x:c r="D12" s="167" t="str"/>
      <x:c r="E12" s="168" t="str"/>
      <x:c r="F12" s="137" t="str">
        <x:v>INR</x:v>
      </x:c>
      <x:c r="G12" s="137" t="str"/>
      <x:c r="H12" s="137" t="str"/>
      <x:c r="I12" s="137" t="str"/>
      <x:c r="J12" s="137" t="str"/>
      <x:c r="K12" s="137" t="str"/>
      <x:c r="L12" s="137" t="str"/>
      <x:c r="M12" s="138" t="str"/>
      <x:c r="N12" s="137" t="str"/>
      <x:c r="O12" s="137" t="str">
        <x:v>To Confirm</x:v>
      </x:c>
      <x:c r="P12" s="137" t="str"/>
    </x:row>
    <x:row r="13">
      <x:c r="A13" s="137" t="str">
        <x:v>REX GOLA (V)</x:v>
      </x:c>
      <x:c r="B13" s="137" t="str">
        <x:v>VELCRO</x:v>
      </x:c>
      <x:c r="C13" s="137" t="str">
        <x:v>8X10</x:v>
      </x:c>
      <x:c r="D13" s="167" t="str"/>
      <x:c r="E13" s="168" t="str"/>
      <x:c r="F13" s="137" t="str">
        <x:v>INR</x:v>
      </x:c>
      <x:c r="G13" s="137" t="str"/>
      <x:c r="H13" s="137" t="str"/>
      <x:c r="I13" s="137" t="str"/>
      <x:c r="J13" s="137" t="str"/>
      <x:c r="K13" s="137" t="str"/>
      <x:c r="L13" s="137" t="str"/>
      <x:c r="M13" s="138" t="str"/>
      <x:c r="N13" s="137" t="str"/>
      <x:c r="O13" s="137" t="str">
        <x:v>To Confirm</x:v>
      </x:c>
      <x:c r="P13" s="137" t="str"/>
    </x:row>
    <x:row r="14">
      <x:c r="A14" s="137" t="str">
        <x:v>REX GOLA (V)</x:v>
      </x:c>
      <x:c r="B14" s="137" t="str">
        <x:v>VELCRO</x:v>
      </x:c>
      <x:c r="C14" s="137" t="str">
        <x:v>11X13</x:v>
      </x:c>
      <x:c r="D14" s="167" t="str"/>
      <x:c r="E14" s="168" t="str"/>
      <x:c r="F14" s="137" t="str">
        <x:v>INR</x:v>
      </x:c>
      <x:c r="G14" s="137" t="str"/>
      <x:c r="H14" s="137" t="str"/>
      <x:c r="I14" s="137" t="str"/>
      <x:c r="J14" s="137" t="str"/>
      <x:c r="K14" s="137" t="str"/>
      <x:c r="L14" s="137" t="str"/>
      <x:c r="M14" s="138" t="str"/>
      <x:c r="N14" s="137" t="str"/>
      <x:c r="O14" s="137" t="str">
        <x:v>To Confirm</x:v>
      </x:c>
      <x:c r="P14" s="137" t="str"/>
    </x:row>
    <x:row r="15">
      <x:c r="A15" s="137" t="str">
        <x:v>REX GOLA (V)</x:v>
      </x:c>
      <x:c r="B15" s="137" t="str">
        <x:v>VELCRO</x:v>
      </x:c>
      <x:c r="C15" s="137" t="str">
        <x:v>1X3</x:v>
      </x:c>
      <x:c r="D15" s="167" t="str"/>
      <x:c r="E15" s="168" t="str"/>
      <x:c r="F15" s="137" t="str">
        <x:v>INR</x:v>
      </x:c>
      <x:c r="G15" s="137" t="str"/>
      <x:c r="H15" s="137" t="str"/>
      <x:c r="I15" s="137" t="str"/>
      <x:c r="J15" s="137" t="str"/>
      <x:c r="K15" s="137" t="str"/>
      <x:c r="L15" s="137" t="str"/>
      <x:c r="M15" s="138" t="str"/>
      <x:c r="N15" s="137" t="str"/>
      <x:c r="O15" s="137" t="str">
        <x:v>To Confirm</x:v>
      </x:c>
      <x:c r="P15" s="137" t="str"/>
    </x:row>
    <x:row r="16">
      <x:c r="A16" s="137" t="str">
        <x:v>REX GOLA (V)</x:v>
      </x:c>
      <x:c r="B16" s="137" t="str">
        <x:v>VELCRO</x:v>
      </x:c>
      <x:c r="C16" s="137" t="str">
        <x:v>4X5</x:v>
      </x:c>
      <x:c r="D16" s="167" t="str"/>
      <x:c r="E16" s="168" t="str"/>
      <x:c r="F16" s="137" t="str">
        <x:v>INR</x:v>
      </x:c>
      <x:c r="G16" s="137" t="str"/>
      <x:c r="H16" s="137" t="str"/>
      <x:c r="I16" s="137" t="str"/>
      <x:c r="J16" s="137" t="str"/>
      <x:c r="K16" s="137" t="str"/>
      <x:c r="L16" s="137" t="str"/>
      <x:c r="M16" s="138" t="str"/>
      <x:c r="N16" s="137" t="str"/>
      <x:c r="O16" s="137" t="str">
        <x:v>To Confirm</x:v>
      </x:c>
      <x:c r="P16" s="137" t="str"/>
    </x:row>
    <x:row r="17">
      <x:c r="A17" s="137" t="str">
        <x:v>REX GOLA (V)</x:v>
      </x:c>
      <x:c r="B17" s="137" t="str">
        <x:v>VELCRO</x:v>
      </x:c>
      <x:c r="C17" s="137" t="str">
        <x:v>6X7B</x:v>
      </x:c>
      <x:c r="D17" s="167" t="str"/>
      <x:c r="E17" s="168" t="str"/>
      <x:c r="F17" s="137" t="str">
        <x:v>INR</x:v>
      </x:c>
      <x:c r="G17" s="137" t="str"/>
      <x:c r="H17" s="137" t="str"/>
      <x:c r="I17" s="137" t="str"/>
      <x:c r="J17" s="137" t="str"/>
      <x:c r="K17" s="137" t="str"/>
      <x:c r="L17" s="137" t="str"/>
      <x:c r="M17" s="138" t="str"/>
      <x:c r="N17" s="137" t="str"/>
      <x:c r="O17" s="137" t="str">
        <x:v>To Confirm</x:v>
      </x:c>
      <x:c r="P17" s="137" t="str"/>
    </x:row>
    <x:row r="18">
      <x:c r="A18" s="137" t="str">
        <x:v>REX GOLA (V)</x:v>
      </x:c>
      <x:c r="B18" s="137" t="str">
        <x:v>VELCRO</x:v>
      </x:c>
      <x:c r="C18" s="137" t="str">
        <x:v>8X10B</x:v>
      </x:c>
      <x:c r="D18" s="167" t="str"/>
      <x:c r="E18" s="168" t="str"/>
      <x:c r="F18" s="137" t="str">
        <x:v>INR</x:v>
      </x:c>
      <x:c r="G18" s="137" t="str"/>
      <x:c r="H18" s="137" t="str"/>
      <x:c r="I18" s="137" t="str"/>
      <x:c r="J18" s="137" t="str"/>
      <x:c r="K18" s="137" t="str"/>
      <x:c r="L18" s="137" t="str"/>
      <x:c r="M18" s="138" t="str"/>
      <x:c r="N18" s="137" t="str"/>
      <x:c r="O18" s="137" t="str">
        <x:v>To Confirm</x:v>
      </x:c>
      <x:c r="P18" s="137" t="str"/>
    </x:row>
    <x:row r="19">
      <x:c r="A19" s="137" t="str">
        <x:v>REX GOLA (L)</x:v>
      </x:c>
      <x:c r="B19" s="137" t="str">
        <x:v>LACE</x:v>
      </x:c>
      <x:c r="C19" s="137" t="str">
        <x:v>8X10</x:v>
      </x:c>
      <x:c r="D19" s="167" t="str"/>
      <x:c r="E19" s="168" t="str"/>
      <x:c r="F19" s="137" t="str">
        <x:v>INR</x:v>
      </x:c>
      <x:c r="G19" s="137" t="str"/>
      <x:c r="H19" s="137" t="str"/>
      <x:c r="I19" s="137" t="str"/>
      <x:c r="J19" s="137" t="str"/>
      <x:c r="K19" s="137" t="str"/>
      <x:c r="L19" s="137" t="str"/>
      <x:c r="M19" s="138" t="str"/>
      <x:c r="N19" s="137" t="str"/>
      <x:c r="O19" s="137" t="str">
        <x:v>To Confirm</x:v>
      </x:c>
      <x:c r="P19" s="137" t="str"/>
    </x:row>
    <x:row r="20">
      <x:c r="A20" s="137" t="str">
        <x:v>REX GOLA (L)</x:v>
      </x:c>
      <x:c r="B20" s="137" t="str">
        <x:v>LACE</x:v>
      </x:c>
      <x:c r="C20" s="137" t="str">
        <x:v>11X13</x:v>
      </x:c>
      <x:c r="D20" s="167" t="str"/>
      <x:c r="E20" s="168" t="str"/>
      <x:c r="F20" s="137" t="str">
        <x:v>INR</x:v>
      </x:c>
      <x:c r="G20" s="137" t="str"/>
      <x:c r="H20" s="137" t="str"/>
      <x:c r="I20" s="137" t="str"/>
      <x:c r="J20" s="137" t="str"/>
      <x:c r="K20" s="137" t="str"/>
      <x:c r="L20" s="137" t="str"/>
      <x:c r="M20" s="138" t="str"/>
      <x:c r="N20" s="137" t="str"/>
      <x:c r="O20" s="137" t="str">
        <x:v>To Confirm</x:v>
      </x:c>
      <x:c r="P20" s="137" t="str"/>
    </x:row>
    <x:row r="21">
      <x:c r="A21" s="137" t="str">
        <x:v>REX GOLA (L)</x:v>
      </x:c>
      <x:c r="B21" s="137" t="str">
        <x:v>LACE</x:v>
      </x:c>
      <x:c r="C21" s="137" t="str">
        <x:v>1X3</x:v>
      </x:c>
      <x:c r="D21" s="167" t="str"/>
      <x:c r="E21" s="168" t="str"/>
      <x:c r="F21" s="137" t="str">
        <x:v>INR</x:v>
      </x:c>
      <x:c r="G21" s="137" t="str"/>
      <x:c r="H21" s="137" t="str"/>
      <x:c r="I21" s="137" t="str"/>
      <x:c r="J21" s="137" t="str"/>
      <x:c r="K21" s="137" t="str"/>
      <x:c r="L21" s="137" t="str"/>
      <x:c r="M21" s="138" t="str"/>
      <x:c r="N21" s="137" t="str"/>
      <x:c r="O21" s="137" t="str">
        <x:v>To Confirm</x:v>
      </x:c>
      <x:c r="P21" s="137" t="str"/>
    </x:row>
    <x:row r="22">
      <x:c r="A22" s="137" t="str">
        <x:v>REX GOLA (L)</x:v>
      </x:c>
      <x:c r="B22" s="137" t="str">
        <x:v>LACE</x:v>
      </x:c>
      <x:c r="C22" s="137" t="str">
        <x:v>4X5</x:v>
      </x:c>
      <x:c r="D22" s="167" t="str"/>
      <x:c r="E22" s="168" t="str"/>
      <x:c r="F22" s="137" t="str">
        <x:v>INR</x:v>
      </x:c>
      <x:c r="G22" s="137" t="str"/>
      <x:c r="H22" s="137" t="str"/>
      <x:c r="I22" s="137" t="str"/>
      <x:c r="J22" s="137" t="str"/>
      <x:c r="K22" s="137" t="str"/>
      <x:c r="L22" s="137" t="str"/>
      <x:c r="M22" s="138" t="str"/>
      <x:c r="N22" s="137" t="str"/>
      <x:c r="O22" s="137" t="str">
        <x:v>To Confirm</x:v>
      </x:c>
      <x:c r="P22" s="137" t="str"/>
    </x:row>
    <x:row r="23">
      <x:c r="A23" s="137" t="str">
        <x:v>REX GOLA (L)</x:v>
      </x:c>
      <x:c r="B23" s="137" t="str">
        <x:v>LACE</x:v>
      </x:c>
      <x:c r="C23" s="137" t="str">
        <x:v>6X7B</x:v>
      </x:c>
      <x:c r="D23" s="167" t="str"/>
      <x:c r="E23" s="168" t="str"/>
      <x:c r="F23" s="137" t="str">
        <x:v>INR</x:v>
      </x:c>
      <x:c r="G23" s="137" t="str"/>
      <x:c r="H23" s="137" t="str"/>
      <x:c r="I23" s="137" t="str"/>
      <x:c r="J23" s="137" t="str"/>
      <x:c r="K23" s="137" t="str"/>
      <x:c r="L23" s="137" t="str"/>
      <x:c r="M23" s="138" t="str"/>
      <x:c r="N23" s="137" t="str"/>
      <x:c r="O23" s="137" t="str">
        <x:v>To Confirm</x:v>
      </x:c>
      <x:c r="P23" s="137" t="str"/>
    </x:row>
    <x:row r="24">
      <x:c r="A24" s="137" t="str">
        <x:v>REX GOLA (L)</x:v>
      </x:c>
      <x:c r="B24" s="137" t="str">
        <x:v>LACE</x:v>
      </x:c>
      <x:c r="C24" s="137" t="str">
        <x:v>8X10B</x:v>
      </x:c>
      <x:c r="D24" s="167" t="str"/>
      <x:c r="E24" s="168" t="str"/>
      <x:c r="F24" s="137" t="str">
        <x:v>INR</x:v>
      </x:c>
      <x:c r="G24" s="137" t="str"/>
      <x:c r="H24" s="137" t="str"/>
      <x:c r="I24" s="137" t="str"/>
      <x:c r="J24" s="137" t="str"/>
      <x:c r="K24" s="137" t="str"/>
      <x:c r="L24" s="137" t="str"/>
      <x:c r="M24" s="138" t="str"/>
      <x:c r="N24" s="137" t="str"/>
      <x:c r="O24" s="137" t="str">
        <x:v>To Confirm</x:v>
      </x:c>
      <x:c r="P24" s="137" t="str"/>
    </x:row>
    <x:row r="25">
      <x:c r="A25" s="137" t="str">
        <x:v>SILKY BELLY BLACK</x:v>
      </x:c>
      <x:c r="B25" s="137" t="str">
        <x:v>TO CONFIRM</x:v>
      </x:c>
      <x:c r="C25" s="137" t="str">
        <x:v>6X8</x:v>
      </x:c>
      <x:c r="D25" s="167" t="str"/>
      <x:c r="E25" s="168" t="str"/>
      <x:c r="F25" s="137" t="str">
        <x:v>INR</x:v>
      </x:c>
      <x:c r="G25" s="137" t="str"/>
      <x:c r="H25" s="137" t="str"/>
      <x:c r="I25" s="137" t="str"/>
      <x:c r="J25" s="137" t="str"/>
      <x:c r="K25" s="137" t="str"/>
      <x:c r="L25" s="137" t="str"/>
      <x:c r="M25" s="138" t="str"/>
      <x:c r="N25" s="137" t="str"/>
      <x:c r="O25" s="137" t="str">
        <x:v>To Confirm</x:v>
      </x:c>
      <x:c r="P25" s="137" t="str"/>
    </x:row>
    <x:row r="26">
      <x:c r="A26" s="137" t="str">
        <x:v>SILKY BELLY BLACK</x:v>
      </x:c>
      <x:c r="B26" s="137" t="str">
        <x:v>TO CONFIRM</x:v>
      </x:c>
      <x:c r="C26" s="137" t="str">
        <x:v>9X11</x:v>
      </x:c>
      <x:c r="D26" s="167" t="str"/>
      <x:c r="E26" s="168" t="str"/>
      <x:c r="F26" s="137" t="str">
        <x:v>INR</x:v>
      </x:c>
      <x:c r="G26" s="137" t="str"/>
      <x:c r="H26" s="137" t="str"/>
      <x:c r="I26" s="137" t="str"/>
      <x:c r="J26" s="137" t="str"/>
      <x:c r="K26" s="137" t="str"/>
      <x:c r="L26" s="137" t="str"/>
      <x:c r="M26" s="138" t="str"/>
      <x:c r="N26" s="137" t="str"/>
      <x:c r="O26" s="137" t="str">
        <x:v>To Confirm</x:v>
      </x:c>
      <x:c r="P26" s="137" t="str"/>
    </x:row>
    <x:row r="27">
      <x:c r="A27" s="137" t="str">
        <x:v>SILKY BELLY BLACK</x:v>
      </x:c>
      <x:c r="B27" s="137" t="str">
        <x:v>TO CONFIRM</x:v>
      </x:c>
      <x:c r="C27" s="137" t="str">
        <x:v>12X1</x:v>
      </x:c>
      <x:c r="D27" s="167" t="str"/>
      <x:c r="E27" s="168" t="str"/>
      <x:c r="F27" s="137" t="str">
        <x:v>INR</x:v>
      </x:c>
      <x:c r="G27" s="137" t="str"/>
      <x:c r="H27" s="137" t="str"/>
      <x:c r="I27" s="137" t="str"/>
      <x:c r="J27" s="137" t="str"/>
      <x:c r="K27" s="137" t="str"/>
      <x:c r="L27" s="137" t="str"/>
      <x:c r="M27" s="138" t="str"/>
      <x:c r="N27" s="137" t="str"/>
      <x:c r="O27" s="137" t="str">
        <x:v>To Confirm</x:v>
      </x:c>
      <x:c r="P27" s="137" t="str"/>
    </x:row>
    <x:row r="28">
      <x:c r="A28" s="137" t="str">
        <x:v>SILKY BELLY BLACK</x:v>
      </x:c>
      <x:c r="B28" s="137" t="str">
        <x:v>TO CONFIRM</x:v>
      </x:c>
      <x:c r="C28" s="137" t="str">
        <x:v>2X5</x:v>
      </x:c>
      <x:c r="D28" s="167" t="str"/>
      <x:c r="E28" s="168" t="str"/>
      <x:c r="F28" s="137" t="str">
        <x:v>INR</x:v>
      </x:c>
      <x:c r="G28" s="137" t="str"/>
      <x:c r="H28" s="137" t="str"/>
      <x:c r="I28" s="137" t="str"/>
      <x:c r="J28" s="137" t="str"/>
      <x:c r="K28" s="137" t="str"/>
      <x:c r="L28" s="137" t="str"/>
      <x:c r="M28" s="138" t="str"/>
      <x:c r="N28" s="137" t="str"/>
      <x:c r="O28" s="137" t="str">
        <x:v>To Confirm</x:v>
      </x:c>
      <x:c r="P28" s="137" t="str"/>
    </x:row>
    <x:row r="29">
      <x:c r="A29" s="137" t="str">
        <x:v>SILKY BELLY BLACK</x:v>
      </x:c>
      <x:c r="B29" s="137" t="str">
        <x:v>TO CONFIRM</x:v>
      </x:c>
      <x:c r="C29" s="137" t="str">
        <x:v>6X7B</x:v>
      </x:c>
      <x:c r="D29" s="167" t="str"/>
      <x:c r="E29" s="168" t="str"/>
      <x:c r="F29" s="137" t="str">
        <x:v>INR</x:v>
      </x:c>
      <x:c r="G29" s="137" t="str"/>
      <x:c r="H29" s="137" t="str"/>
      <x:c r="I29" s="137" t="str"/>
      <x:c r="J29" s="137" t="str"/>
      <x:c r="K29" s="137" t="str"/>
      <x:c r="L29" s="137" t="str"/>
      <x:c r="M29" s="138" t="str"/>
      <x:c r="N29" s="137" t="str"/>
      <x:c r="O29" s="137" t="str">
        <x:v>To Confirm</x:v>
      </x:c>
      <x:c r="P29" s="137" t="str"/>
    </x:row>
    <x:row r="30">
      <x:c r="A30" s="137" t="str">
        <x:v>SILKY BELLY BLACK</x:v>
      </x:c>
      <x:c r="B30" s="137" t="str">
        <x:v>TO CONFIRM</x:v>
      </x:c>
      <x:c r="C30" s="137" t="str">
        <x:v>8X9B</x:v>
      </x:c>
      <x:c r="D30" s="167" t="str"/>
      <x:c r="E30" s="168" t="str"/>
      <x:c r="F30" s="137" t="str">
        <x:v>INR</x:v>
      </x:c>
      <x:c r="G30" s="137" t="str"/>
      <x:c r="H30" s="137" t="str"/>
      <x:c r="I30" s="137" t="str"/>
      <x:c r="J30" s="137" t="str"/>
      <x:c r="K30" s="137" t="str"/>
      <x:c r="L30" s="137" t="str"/>
      <x:c r="M30" s="138" t="str"/>
      <x:c r="N30" s="137" t="str"/>
      <x:c r="O30" s="137" t="str">
        <x:v>To Confirm</x:v>
      </x:c>
      <x:c r="P30" s="137" t="str"/>
    </x:row>
    <x:row r="31">
      <x:c r="A31" s="137" t="str">
        <x:v>SILKY BELLY WHITE</x:v>
      </x:c>
      <x:c r="B31" s="137" t="str">
        <x:v>TO CONFIRM</x:v>
      </x:c>
      <x:c r="C31" s="137" t="str">
        <x:v>6X8</x:v>
      </x:c>
      <x:c r="D31" s="167" t="str"/>
      <x:c r="E31" s="168" t="str"/>
      <x:c r="F31" s="137" t="str">
        <x:v>INR</x:v>
      </x:c>
      <x:c r="G31" s="137" t="str"/>
      <x:c r="H31" s="137" t="str"/>
      <x:c r="I31" s="137" t="str"/>
      <x:c r="J31" s="137" t="str"/>
      <x:c r="K31" s="137" t="str"/>
      <x:c r="L31" s="137" t="str"/>
      <x:c r="M31" s="138" t="str"/>
      <x:c r="N31" s="137" t="str"/>
      <x:c r="O31" s="137" t="str">
        <x:v>To Confirm</x:v>
      </x:c>
      <x:c r="P31" s="137" t="str"/>
    </x:row>
    <x:row r="32">
      <x:c r="A32" s="137" t="str">
        <x:v>SILKY BELLY WHITE</x:v>
      </x:c>
      <x:c r="B32" s="137" t="str">
        <x:v>TO CONFIRM</x:v>
      </x:c>
      <x:c r="C32" s="137" t="str">
        <x:v>9X11</x:v>
      </x:c>
      <x:c r="D32" s="167" t="str"/>
      <x:c r="E32" s="168" t="str"/>
      <x:c r="F32" s="137" t="str">
        <x:v>INR</x:v>
      </x:c>
      <x:c r="G32" s="137" t="str"/>
      <x:c r="H32" s="137" t="str"/>
      <x:c r="I32" s="137" t="str"/>
      <x:c r="J32" s="137" t="str"/>
      <x:c r="K32" s="137" t="str"/>
      <x:c r="L32" s="137" t="str"/>
      <x:c r="M32" s="138" t="str"/>
      <x:c r="N32" s="137" t="str"/>
      <x:c r="O32" s="137" t="str">
        <x:v>To Confirm</x:v>
      </x:c>
      <x:c r="P32" s="137" t="str"/>
    </x:row>
    <x:row r="33">
      <x:c r="A33" s="137" t="str">
        <x:v>SILKY BELLY WHITE</x:v>
      </x:c>
      <x:c r="B33" s="137" t="str">
        <x:v>TO CONFIRM</x:v>
      </x:c>
      <x:c r="C33" s="137" t="str">
        <x:v>12X1</x:v>
      </x:c>
      <x:c r="D33" s="167" t="str"/>
      <x:c r="E33" s="168" t="str"/>
      <x:c r="F33" s="137" t="str">
        <x:v>INR</x:v>
      </x:c>
      <x:c r="G33" s="137" t="str"/>
      <x:c r="H33" s="137" t="str"/>
      <x:c r="I33" s="137" t="str"/>
      <x:c r="J33" s="137" t="str"/>
      <x:c r="K33" s="137" t="str"/>
      <x:c r="L33" s="137" t="str"/>
      <x:c r="M33" s="138" t="str"/>
      <x:c r="N33" s="137" t="str"/>
      <x:c r="O33" s="137" t="str">
        <x:v>To Confirm</x:v>
      </x:c>
      <x:c r="P33" s="137" t="str"/>
    </x:row>
    <x:row r="34">
      <x:c r="A34" s="137" t="str">
        <x:v>SILKY BELLY WHITE</x:v>
      </x:c>
      <x:c r="B34" s="137" t="str">
        <x:v>TO CONFIRM</x:v>
      </x:c>
      <x:c r="C34" s="137" t="str">
        <x:v>2X5</x:v>
      </x:c>
      <x:c r="D34" s="167" t="str"/>
      <x:c r="E34" s="168" t="str"/>
      <x:c r="F34" s="137" t="str">
        <x:v>INR</x:v>
      </x:c>
      <x:c r="G34" s="137" t="str"/>
      <x:c r="H34" s="137" t="str"/>
      <x:c r="I34" s="137" t="str"/>
      <x:c r="J34" s="137" t="str"/>
      <x:c r="K34" s="137" t="str"/>
      <x:c r="L34" s="137" t="str"/>
      <x:c r="M34" s="138" t="str"/>
      <x:c r="N34" s="137" t="str"/>
      <x:c r="O34" s="137" t="str">
        <x:v>To Confirm</x:v>
      </x:c>
      <x:c r="P34" s="137" t="str"/>
    </x:row>
    <x:row r="35">
      <x:c r="A35" s="137" t="str">
        <x:v>SILKY BELLY WHITE</x:v>
      </x:c>
      <x:c r="B35" s="137" t="str">
        <x:v>TO CONFIRM</x:v>
      </x:c>
      <x:c r="C35" s="137" t="str">
        <x:v>6X7B</x:v>
      </x:c>
      <x:c r="D35" s="167" t="str"/>
      <x:c r="E35" s="168" t="str"/>
      <x:c r="F35" s="137" t="str">
        <x:v>INR</x:v>
      </x:c>
      <x:c r="G35" s="137" t="str"/>
      <x:c r="H35" s="137" t="str"/>
      <x:c r="I35" s="137" t="str"/>
      <x:c r="J35" s="137" t="str"/>
      <x:c r="K35" s="137" t="str"/>
      <x:c r="L35" s="137" t="str"/>
      <x:c r="M35" s="138" t="str"/>
      <x:c r="N35" s="137" t="str"/>
      <x:c r="O35" s="137" t="str">
        <x:v>To Confirm</x:v>
      </x:c>
      <x:c r="P35" s="137" t="str"/>
    </x:row>
    <x:row r="36">
      <x:c r="A36" s="137" t="str">
        <x:v>SILKY BELLY WHITE</x:v>
      </x:c>
      <x:c r="B36" s="137" t="str">
        <x:v>TO CONFIRM</x:v>
      </x:c>
      <x:c r="C36" s="137" t="str">
        <x:v>8X9B</x:v>
      </x:c>
      <x:c r="D36" s="167" t="str"/>
      <x:c r="E36" s="168" t="str"/>
      <x:c r="F36" s="137" t="str">
        <x:v>INR</x:v>
      </x:c>
      <x:c r="G36" s="137" t="str"/>
      <x:c r="H36" s="137" t="str"/>
      <x:c r="I36" s="137" t="str"/>
      <x:c r="J36" s="137" t="str"/>
      <x:c r="K36" s="137" t="str"/>
      <x:c r="L36" s="137" t="str"/>
      <x:c r="M36" s="138" t="str"/>
      <x:c r="N36" s="137" t="str"/>
      <x:c r="O36" s="137" t="str">
        <x:v>To Confirm</x:v>
      </x:c>
      <x:c r="P36" s="137" t="str"/>
    </x:row>
    <x:row r="37">
      <x:c r="A37" s="137" t="str">
        <x:v>SMART BOY (L) BLACK</x:v>
      </x:c>
      <x:c r="B37" s="137" t="str">
        <x:v>LACE</x:v>
      </x:c>
      <x:c r="C37" s="137" t="str">
        <x:v>6X8</x:v>
      </x:c>
      <x:c r="D37" s="167" t="str"/>
      <x:c r="E37" s="168" t="str"/>
      <x:c r="F37" s="137" t="str">
        <x:v>INR</x:v>
      </x:c>
      <x:c r="G37" s="137" t="str"/>
      <x:c r="H37" s="137" t="str"/>
      <x:c r="I37" s="137" t="str"/>
      <x:c r="J37" s="137" t="str"/>
      <x:c r="K37" s="137" t="str"/>
      <x:c r="L37" s="137" t="str"/>
      <x:c r="M37" s="138" t="str"/>
      <x:c r="N37" s="137" t="str"/>
      <x:c r="O37" s="137" t="str">
        <x:v>To Confirm</x:v>
      </x:c>
      <x:c r="P37" s="137" t="str"/>
    </x:row>
    <x:row r="38">
      <x:c r="A38" s="137" t="str">
        <x:v>SMART BOY (L) BLACK</x:v>
      </x:c>
      <x:c r="B38" s="137" t="str">
        <x:v>LACE</x:v>
      </x:c>
      <x:c r="C38" s="137" t="str">
        <x:v>9X11</x:v>
      </x:c>
      <x:c r="D38" s="167" t="str"/>
      <x:c r="E38" s="168" t="str"/>
      <x:c r="F38" s="137" t="str">
        <x:v>INR</x:v>
      </x:c>
      <x:c r="G38" s="137" t="str"/>
      <x:c r="H38" s="137" t="str"/>
      <x:c r="I38" s="137" t="str"/>
      <x:c r="J38" s="137" t="str"/>
      <x:c r="K38" s="137" t="str"/>
      <x:c r="L38" s="137" t="str"/>
      <x:c r="M38" s="138" t="str"/>
      <x:c r="N38" s="137" t="str"/>
      <x:c r="O38" s="137" t="str">
        <x:v>To Confirm</x:v>
      </x:c>
      <x:c r="P38" s="137" t="str"/>
    </x:row>
    <x:row r="39">
      <x:c r="A39" s="137" t="str">
        <x:v>SMART BOY (L) BLACK</x:v>
      </x:c>
      <x:c r="B39" s="137" t="str">
        <x:v>LACE</x:v>
      </x:c>
      <x:c r="C39" s="137" t="str">
        <x:v>12X1</x:v>
      </x:c>
      <x:c r="D39" s="167" t="str"/>
      <x:c r="E39" s="168" t="str"/>
      <x:c r="F39" s="137" t="str">
        <x:v>INR</x:v>
      </x:c>
      <x:c r="G39" s="137" t="str"/>
      <x:c r="H39" s="137" t="str"/>
      <x:c r="I39" s="137" t="str"/>
      <x:c r="J39" s="137" t="str"/>
      <x:c r="K39" s="137" t="str"/>
      <x:c r="L39" s="137" t="str"/>
      <x:c r="M39" s="138" t="str"/>
      <x:c r="N39" s="137" t="str"/>
      <x:c r="O39" s="137" t="str">
        <x:v>To Confirm</x:v>
      </x:c>
      <x:c r="P39" s="137" t="str"/>
    </x:row>
    <x:row r="40">
      <x:c r="A40" s="137" t="str">
        <x:v>SMART BOY (L) BLACK</x:v>
      </x:c>
      <x:c r="B40" s="137" t="str">
        <x:v>LACE</x:v>
      </x:c>
      <x:c r="C40" s="137" t="str">
        <x:v>2X5</x:v>
      </x:c>
      <x:c r="D40" s="167" t="str"/>
      <x:c r="E40" s="168" t="str"/>
      <x:c r="F40" s="137" t="str">
        <x:v>INR</x:v>
      </x:c>
      <x:c r="G40" s="137" t="str"/>
      <x:c r="H40" s="137" t="str"/>
      <x:c r="I40" s="137" t="str"/>
      <x:c r="J40" s="137" t="str"/>
      <x:c r="K40" s="137" t="str"/>
      <x:c r="L40" s="137" t="str"/>
      <x:c r="M40" s="138" t="str"/>
      <x:c r="N40" s="137" t="str"/>
      <x:c r="O40" s="137" t="str">
        <x:v>To Confirm</x:v>
      </x:c>
      <x:c r="P40" s="137" t="str"/>
    </x:row>
    <x:row r="41">
      <x:c r="A41" s="137" t="str">
        <x:v>SMART BOY (L) BLACK</x:v>
      </x:c>
      <x:c r="B41" s="137" t="str">
        <x:v>LACE</x:v>
      </x:c>
      <x:c r="C41" s="137" t="str">
        <x:v>6X10B</x:v>
      </x:c>
      <x:c r="D41" s="167" t="str"/>
      <x:c r="E41" s="168" t="str"/>
      <x:c r="F41" s="137" t="str">
        <x:v>INR</x:v>
      </x:c>
      <x:c r="G41" s="137" t="str"/>
      <x:c r="H41" s="137" t="str"/>
      <x:c r="I41" s="137" t="str"/>
      <x:c r="J41" s="137" t="str"/>
      <x:c r="K41" s="137" t="str"/>
      <x:c r="L41" s="137" t="str"/>
      <x:c r="M41" s="138" t="str"/>
      <x:c r="N41" s="137" t="str"/>
      <x:c r="O41" s="137" t="str">
        <x:v>To Confirm</x:v>
      </x:c>
      <x:c r="P41" s="137" t="str"/>
    </x:row>
    <x:row r="42">
      <x:c r="A42" s="137" t="str">
        <x:v>SMART BOY (L) WHITE</x:v>
      </x:c>
      <x:c r="B42" s="137" t="str">
        <x:v>LACE</x:v>
      </x:c>
      <x:c r="C42" s="137" t="str">
        <x:v>6X8</x:v>
      </x:c>
      <x:c r="D42" s="167" t="str"/>
      <x:c r="E42" s="168" t="str"/>
      <x:c r="F42" s="137" t="str">
        <x:v>INR</x:v>
      </x:c>
      <x:c r="G42" s="137" t="str"/>
      <x:c r="H42" s="137" t="str"/>
      <x:c r="I42" s="137" t="str"/>
      <x:c r="J42" s="137" t="str"/>
      <x:c r="K42" s="137" t="str"/>
      <x:c r="L42" s="137" t="str"/>
      <x:c r="M42" s="138" t="str"/>
      <x:c r="N42" s="137" t="str"/>
      <x:c r="O42" s="137" t="str">
        <x:v>To Confirm</x:v>
      </x:c>
      <x:c r="P42" s="137" t="str"/>
    </x:row>
    <x:row r="43">
      <x:c r="A43" s="137" t="str">
        <x:v>SMART BOY (L) WHITE</x:v>
      </x:c>
      <x:c r="B43" s="137" t="str">
        <x:v>LACE</x:v>
      </x:c>
      <x:c r="C43" s="137" t="str">
        <x:v>9X11</x:v>
      </x:c>
      <x:c r="D43" s="167" t="str"/>
      <x:c r="E43" s="168" t="str"/>
      <x:c r="F43" s="137" t="str">
        <x:v>INR</x:v>
      </x:c>
      <x:c r="G43" s="137" t="str"/>
      <x:c r="H43" s="137" t="str"/>
      <x:c r="I43" s="137" t="str"/>
      <x:c r="J43" s="137" t="str"/>
      <x:c r="K43" s="137" t="str"/>
      <x:c r="L43" s="137" t="str"/>
      <x:c r="M43" s="138" t="str"/>
      <x:c r="N43" s="137" t="str"/>
      <x:c r="O43" s="137" t="str">
        <x:v>To Confirm</x:v>
      </x:c>
      <x:c r="P43" s="137" t="str"/>
    </x:row>
    <x:row r="44">
      <x:c r="A44" s="137" t="str">
        <x:v>SMART BOY (L) WHITE</x:v>
      </x:c>
      <x:c r="B44" s="137" t="str">
        <x:v>LACE</x:v>
      </x:c>
      <x:c r="C44" s="137" t="str">
        <x:v>12X1</x:v>
      </x:c>
      <x:c r="D44" s="167" t="str"/>
      <x:c r="E44" s="168" t="str"/>
      <x:c r="F44" s="137" t="str">
        <x:v>INR</x:v>
      </x:c>
      <x:c r="G44" s="137" t="str"/>
      <x:c r="H44" s="137" t="str"/>
      <x:c r="I44" s="137" t="str"/>
      <x:c r="J44" s="137" t="str"/>
      <x:c r="K44" s="137" t="str"/>
      <x:c r="L44" s="137" t="str"/>
      <x:c r="M44" s="138" t="str"/>
      <x:c r="N44" s="137" t="str"/>
      <x:c r="O44" s="137" t="str">
        <x:v>To Confirm</x:v>
      </x:c>
      <x:c r="P44" s="137" t="str"/>
    </x:row>
    <x:row r="45">
      <x:c r="A45" s="137" t="str">
        <x:v>SMART BOY (L) WHITE</x:v>
      </x:c>
      <x:c r="B45" s="137" t="str">
        <x:v>LACE</x:v>
      </x:c>
      <x:c r="C45" s="137" t="str">
        <x:v>2X5</x:v>
      </x:c>
      <x:c r="D45" s="167" t="str"/>
      <x:c r="E45" s="168" t="str"/>
      <x:c r="F45" s="137" t="str">
        <x:v>INR</x:v>
      </x:c>
      <x:c r="G45" s="137" t="str"/>
      <x:c r="H45" s="137" t="str"/>
      <x:c r="I45" s="137" t="str"/>
      <x:c r="J45" s="137" t="str"/>
      <x:c r="K45" s="137" t="str"/>
      <x:c r="L45" s="137" t="str"/>
      <x:c r="M45" s="138" t="str"/>
      <x:c r="N45" s="137" t="str"/>
      <x:c r="O45" s="137" t="str">
        <x:v>To Confirm</x:v>
      </x:c>
      <x:c r="P45" s="137" t="str"/>
    </x:row>
    <x:row r="46">
      <x:c r="A46" s="137" t="str">
        <x:v>SMART BOY (L) WHITE</x:v>
      </x:c>
      <x:c r="B46" s="137" t="str">
        <x:v>LACE</x:v>
      </x:c>
      <x:c r="C46" s="137" t="str">
        <x:v>6X10B</x:v>
      </x:c>
      <x:c r="D46" s="167" t="str"/>
      <x:c r="E46" s="168" t="str"/>
      <x:c r="F46" s="137" t="str">
        <x:v>INR</x:v>
      </x:c>
      <x:c r="G46" s="137" t="str"/>
      <x:c r="H46" s="137" t="str"/>
      <x:c r="I46" s="137" t="str"/>
      <x:c r="J46" s="137" t="str"/>
      <x:c r="K46" s="137" t="str"/>
      <x:c r="L46" s="137" t="str"/>
      <x:c r="M46" s="138" t="str"/>
      <x:c r="N46" s="137" t="str"/>
      <x:c r="O46" s="137" t="str">
        <x:v>To Confirm</x:v>
      </x:c>
      <x:c r="P46" s="137" t="str"/>
    </x:row>
    <x:row r="47">
      <x:c r="A47" s="137" t="str">
        <x:v>JILL</x:v>
      </x:c>
      <x:c r="B47" s="137" t="str">
        <x:v>PER ORDER (V/L)</x:v>
      </x:c>
      <x:c r="C47" s="137" t="str">
        <x:v>7X10S</x:v>
      </x:c>
      <x:c r="D47" s="167" t="str"/>
      <x:c r="E47" s="168" t="str"/>
      <x:c r="F47" s="137" t="str">
        <x:v>INR</x:v>
      </x:c>
      <x:c r="G47" s="137" t="str"/>
      <x:c r="H47" s="137" t="str"/>
      <x:c r="I47" s="137" t="str"/>
      <x:c r="J47" s="137" t="str"/>
      <x:c r="K47" s="137" t="str"/>
      <x:c r="L47" s="137" t="str"/>
      <x:c r="M47" s="138" t="str"/>
      <x:c r="N47" s="137" t="str"/>
      <x:c r="O47" s="137" t="str">
        <x:v>To Confirm</x:v>
      </x:c>
      <x:c r="P47" s="137" t="str"/>
    </x:row>
    <x:row r="48">
      <x:c r="A48" s="137" t="str">
        <x:v>JILL</x:v>
      </x:c>
      <x:c r="B48" s="137" t="str">
        <x:v>PER ORDER (V/L)</x:v>
      </x:c>
      <x:c r="C48" s="137" t="str">
        <x:v>11X1</x:v>
      </x:c>
      <x:c r="D48" s="167" t="str"/>
      <x:c r="E48" s="168" t="str"/>
      <x:c r="F48" s="137" t="str">
        <x:v>INR</x:v>
      </x:c>
      <x:c r="G48" s="137" t="str"/>
      <x:c r="H48" s="137" t="str"/>
      <x:c r="I48" s="137" t="str"/>
      <x:c r="J48" s="137" t="str"/>
      <x:c r="K48" s="137" t="str"/>
      <x:c r="L48" s="137" t="str"/>
      <x:c r="M48" s="138" t="str"/>
      <x:c r="N48" s="137" t="str"/>
      <x:c r="O48" s="137" t="str">
        <x:v>To Confirm</x:v>
      </x:c>
      <x:c r="P48" s="137" t="str"/>
    </x:row>
    <x:row r="49">
      <x:c r="A49" s="137" t="str">
        <x:v>JILL</x:v>
      </x:c>
      <x:c r="B49" s="137" t="str">
        <x:v>PER ORDER (V/L)</x:v>
      </x:c>
      <x:c r="C49" s="137" t="str">
        <x:v>2X5</x:v>
      </x:c>
      <x:c r="D49" s="167" t="str"/>
      <x:c r="E49" s="168" t="str"/>
      <x:c r="F49" s="137" t="str">
        <x:v>INR</x:v>
      </x:c>
      <x:c r="G49" s="137" t="str"/>
      <x:c r="H49" s="137" t="str"/>
      <x:c r="I49" s="137" t="str"/>
      <x:c r="J49" s="137" t="str"/>
      <x:c r="K49" s="137" t="str"/>
      <x:c r="L49" s="137" t="str"/>
      <x:c r="M49" s="138" t="str"/>
      <x:c r="N49" s="137" t="str"/>
      <x:c r="O49" s="137" t="str">
        <x:v>To Confirm</x:v>
      </x:c>
      <x:c r="P49" s="137" t="str"/>
    </x:row>
    <x:row r="50">
      <x:c r="A50" s="137" t="str">
        <x:v>JILL</x:v>
      </x:c>
      <x:c r="B50" s="137" t="str">
        <x:v>PER ORDER (V/L)</x:v>
      </x:c>
      <x:c r="C50" s="137" t="str">
        <x:v>6X8</x:v>
      </x:c>
      <x:c r="D50" s="167" t="str"/>
      <x:c r="E50" s="168" t="str"/>
      <x:c r="F50" s="137" t="str">
        <x:v>INR</x:v>
      </x:c>
      <x:c r="G50" s="137" t="str"/>
      <x:c r="H50" s="137" t="str"/>
      <x:c r="I50" s="137" t="str"/>
      <x:c r="J50" s="137" t="str"/>
      <x:c r="K50" s="137" t="str"/>
      <x:c r="L50" s="137" t="str"/>
      <x:c r="M50" s="138" t="str"/>
      <x:c r="N50" s="137" t="str"/>
      <x:c r="O50" s="137" t="str">
        <x:v>To Confirm</x:v>
      </x:c>
      <x:c r="P50" s="137" t="str"/>
    </x:row>
    <x:row r="51">
      <x:c r="A51" s="137" t="str">
        <x:v>JILL</x:v>
      </x:c>
      <x:c r="B51" s="137" t="str">
        <x:v>PER ORDER (V/L)</x:v>
      </x:c>
      <x:c r="C51" s="137" t="str">
        <x:v>9X12</x:v>
      </x:c>
      <x:c r="D51" s="167" t="str"/>
      <x:c r="E51" s="168" t="str"/>
      <x:c r="F51" s="137" t="str">
        <x:v>INR</x:v>
      </x:c>
      <x:c r="G51" s="137" t="str"/>
      <x:c r="H51" s="137" t="str"/>
      <x:c r="I51" s="137" t="str"/>
      <x:c r="J51" s="137" t="str"/>
      <x:c r="K51" s="137" t="str"/>
      <x:c r="L51" s="137" t="str"/>
      <x:c r="M51" s="138" t="str"/>
      <x:c r="N51" s="137" t="str"/>
      <x:c r="O51" s="137" t="str">
        <x:v>To Confirm</x:v>
      </x:c>
      <x:c r="P51" s="137" t="str"/>
    </x:row>
    <x:row r="52">
      <x:c r="A52" s="137" t="str">
        <x:v>ARMOUR</x:v>
      </x:c>
      <x:c r="B52" s="137" t="str">
        <x:v>PER ORDER (V/L)</x:v>
      </x:c>
      <x:c r="C52" s="137" t="str">
        <x:v>7X10S</x:v>
      </x:c>
      <x:c r="D52" s="167" t="str"/>
      <x:c r="E52" s="168" t="str"/>
      <x:c r="F52" s="137" t="str">
        <x:v>INR</x:v>
      </x:c>
      <x:c r="G52" s="137" t="str"/>
      <x:c r="H52" s="137" t="str"/>
      <x:c r="I52" s="137" t="str"/>
      <x:c r="J52" s="137" t="str"/>
      <x:c r="K52" s="137" t="str"/>
      <x:c r="L52" s="137" t="str"/>
      <x:c r="M52" s="138" t="str"/>
      <x:c r="N52" s="137" t="str"/>
      <x:c r="O52" s="137" t="str">
        <x:v>To Confirm</x:v>
      </x:c>
      <x:c r="P52" s="137" t="str"/>
    </x:row>
    <x:row r="53">
      <x:c r="A53" s="137" t="str">
        <x:v>ARMOUR</x:v>
      </x:c>
      <x:c r="B53" s="137" t="str">
        <x:v>PER ORDER (V/L)</x:v>
      </x:c>
      <x:c r="C53" s="137" t="str">
        <x:v>11X1</x:v>
      </x:c>
      <x:c r="D53" s="167" t="str"/>
      <x:c r="E53" s="168" t="str"/>
      <x:c r="F53" s="137" t="str">
        <x:v>INR</x:v>
      </x:c>
      <x:c r="G53" s="137" t="str"/>
      <x:c r="H53" s="137" t="str"/>
      <x:c r="I53" s="137" t="str"/>
      <x:c r="J53" s="137" t="str"/>
      <x:c r="K53" s="137" t="str"/>
      <x:c r="L53" s="137" t="str"/>
      <x:c r="M53" s="138" t="str"/>
      <x:c r="N53" s="137" t="str"/>
      <x:c r="O53" s="137" t="str">
        <x:v>To Confirm</x:v>
      </x:c>
      <x:c r="P53" s="137" t="str"/>
    </x:row>
    <x:row r="54">
      <x:c r="A54" s="137" t="str">
        <x:v>ARMOUR</x:v>
      </x:c>
      <x:c r="B54" s="137" t="str">
        <x:v>PER ORDER (V/L)</x:v>
      </x:c>
      <x:c r="C54" s="137" t="str">
        <x:v>2X5</x:v>
      </x:c>
      <x:c r="D54" s="167" t="str"/>
      <x:c r="E54" s="168" t="str"/>
      <x:c r="F54" s="137" t="str">
        <x:v>INR</x:v>
      </x:c>
      <x:c r="G54" s="137" t="str"/>
      <x:c r="H54" s="137" t="str"/>
      <x:c r="I54" s="137" t="str"/>
      <x:c r="J54" s="137" t="str"/>
      <x:c r="K54" s="137" t="str"/>
      <x:c r="L54" s="137" t="str"/>
      <x:c r="M54" s="138" t="str"/>
      <x:c r="N54" s="137" t="str"/>
      <x:c r="O54" s="137" t="str">
        <x:v>To Confirm</x:v>
      </x:c>
      <x:c r="P54" s="137" t="str"/>
    </x:row>
    <x:row r="55">
      <x:c r="A55" s="137" t="str">
        <x:v>ARMOUR</x:v>
      </x:c>
      <x:c r="B55" s="137" t="str">
        <x:v>PER ORDER (V/L)</x:v>
      </x:c>
      <x:c r="C55" s="137" t="str">
        <x:v>6X9</x:v>
      </x:c>
      <x:c r="D55" s="167" t="str"/>
      <x:c r="E55" s="168" t="str"/>
      <x:c r="F55" s="137" t="str">
        <x:v>INR</x:v>
      </x:c>
      <x:c r="G55" s="137" t="str"/>
      <x:c r="H55" s="137" t="str"/>
      <x:c r="I55" s="137" t="str"/>
      <x:c r="J55" s="137" t="str"/>
      <x:c r="K55" s="137" t="str"/>
      <x:c r="L55" s="137" t="str"/>
      <x:c r="M55" s="138" t="str"/>
      <x:c r="N55" s="137" t="str"/>
      <x:c r="O55" s="137" t="str">
        <x:v>To Confirm</x:v>
      </x:c>
      <x:c r="P55" s="137" t="str"/>
    </x:row>
    <x:row r="56">
      <x:c r="A56" s="137" t="str">
        <x:v>ARMOUR</x:v>
      </x:c>
      <x:c r="B56" s="137" t="str">
        <x:v>PER ORDER (V/L)</x:v>
      </x:c>
      <x:c r="C56" s="137" t="str">
        <x:v>9X12</x:v>
      </x:c>
      <x:c r="D56" s="167" t="str"/>
      <x:c r="E56" s="168" t="str"/>
      <x:c r="F56" s="137" t="str">
        <x:v>INR</x:v>
      </x:c>
      <x:c r="G56" s="137" t="str"/>
      <x:c r="H56" s="137" t="str"/>
      <x:c r="I56" s="137" t="str"/>
      <x:c r="J56" s="137" t="str"/>
      <x:c r="K56" s="137" t="str"/>
      <x:c r="L56" s="137" t="str"/>
      <x:c r="M56" s="138" t="str"/>
      <x:c r="N56" s="137" t="str"/>
      <x:c r="O56" s="137" t="str">
        <x:v>To Confirm</x:v>
      </x:c>
      <x:c r="P56" s="137" t="str"/>
    </x:row>
    <x:row r="57">
      <x:c r="A57" s="137" t="str">
        <x:v>PERCY</x:v>
      </x:c>
      <x:c r="B57" s="137" t="str">
        <x:v>PER ORDER (V/L)</x:v>
      </x:c>
      <x:c r="C57" s="137" t="str">
        <x:v>7X10S</x:v>
      </x:c>
      <x:c r="D57" s="167" t="str"/>
      <x:c r="E57" s="168" t="str"/>
      <x:c r="F57" s="137" t="str">
        <x:v>INR</x:v>
      </x:c>
      <x:c r="G57" s="137" t="str"/>
      <x:c r="H57" s="137" t="str"/>
      <x:c r="I57" s="137" t="str"/>
      <x:c r="J57" s="137" t="str"/>
      <x:c r="K57" s="137" t="str"/>
      <x:c r="L57" s="137" t="str"/>
      <x:c r="M57" s="138" t="str"/>
      <x:c r="N57" s="137" t="str"/>
      <x:c r="O57" s="137" t="str">
        <x:v>To Confirm</x:v>
      </x:c>
      <x:c r="P57" s="137" t="str"/>
    </x:row>
    <x:row r="58">
      <x:c r="A58" s="137" t="str">
        <x:v>PERCY</x:v>
      </x:c>
      <x:c r="B58" s="137" t="str">
        <x:v>PER ORDER (V/L)</x:v>
      </x:c>
      <x:c r="C58" s="137" t="str">
        <x:v>11X1</x:v>
      </x:c>
      <x:c r="D58" s="167" t="str"/>
      <x:c r="E58" s="168" t="str"/>
      <x:c r="F58" s="137" t="str">
        <x:v>INR</x:v>
      </x:c>
      <x:c r="G58" s="137" t="str"/>
      <x:c r="H58" s="137" t="str"/>
      <x:c r="I58" s="137" t="str"/>
      <x:c r="J58" s="137" t="str"/>
      <x:c r="K58" s="137" t="str"/>
      <x:c r="L58" s="137" t="str"/>
      <x:c r="M58" s="138" t="str"/>
      <x:c r="N58" s="137" t="str"/>
      <x:c r="O58" s="137" t="str">
        <x:v>To Confirm</x:v>
      </x:c>
      <x:c r="P58" s="137" t="str"/>
    </x:row>
    <x:row r="59">
      <x:c r="A59" s="137" t="str">
        <x:v>PERCY</x:v>
      </x:c>
      <x:c r="B59" s="137" t="str">
        <x:v>PER ORDER (V/L)</x:v>
      </x:c>
      <x:c r="C59" s="137" t="str">
        <x:v>2X5</x:v>
      </x:c>
      <x:c r="D59" s="167" t="str"/>
      <x:c r="E59" s="168" t="str"/>
      <x:c r="F59" s="137" t="str">
        <x:v>INR</x:v>
      </x:c>
      <x:c r="G59" s="137" t="str"/>
      <x:c r="H59" s="137" t="str"/>
      <x:c r="I59" s="137" t="str"/>
      <x:c r="J59" s="137" t="str"/>
      <x:c r="K59" s="137" t="str"/>
      <x:c r="L59" s="137" t="str"/>
      <x:c r="M59" s="138" t="str"/>
      <x:c r="N59" s="137" t="str"/>
      <x:c r="O59" s="137" t="str">
        <x:v>To Confirm</x:v>
      </x:c>
      <x:c r="P59" s="137" t="str"/>
    </x:row>
    <x:row r="60">
      <x:c r="A60" s="137" t="str">
        <x:v>PERCY</x:v>
      </x:c>
      <x:c r="B60" s="137" t="str">
        <x:v>PER ORDER (V/L)</x:v>
      </x:c>
      <x:c r="C60" s="137" t="str">
        <x:v>6X8</x:v>
      </x:c>
      <x:c r="D60" s="167" t="str"/>
      <x:c r="E60" s="168" t="str"/>
      <x:c r="F60" s="137" t="str">
        <x:v>INR</x:v>
      </x:c>
      <x:c r="G60" s="137" t="str"/>
      <x:c r="H60" s="137" t="str"/>
      <x:c r="I60" s="137" t="str"/>
      <x:c r="J60" s="137" t="str"/>
      <x:c r="K60" s="137" t="str"/>
      <x:c r="L60" s="137" t="str"/>
      <x:c r="M60" s="138" t="str"/>
      <x:c r="N60" s="137" t="str"/>
      <x:c r="O60" s="137" t="str">
        <x:v>To Confirm</x:v>
      </x:c>
      <x:c r="P60" s="137" t="str"/>
    </x:row>
    <x:row r="61">
      <x:c r="A61" s="137" t="str">
        <x:v>PERCY</x:v>
      </x:c>
      <x:c r="B61" s="137" t="str">
        <x:v>PER ORDER (V/L)</x:v>
      </x:c>
      <x:c r="C61" s="137" t="str">
        <x:v>9X12</x:v>
      </x:c>
      <x:c r="D61" s="167" t="str"/>
      <x:c r="E61" s="168" t="str"/>
      <x:c r="F61" s="137" t="str">
        <x:v>INR</x:v>
      </x:c>
      <x:c r="G61" s="137" t="str"/>
      <x:c r="H61" s="137" t="str"/>
      <x:c r="I61" s="137" t="str"/>
      <x:c r="J61" s="137" t="str"/>
      <x:c r="K61" s="137" t="str"/>
      <x:c r="L61" s="137" t="str"/>
      <x:c r="M61" s="138" t="str"/>
      <x:c r="N61" s="137" t="str"/>
      <x:c r="O61" s="137" t="str">
        <x:v>To Confirm</x:v>
      </x:c>
      <x:c r="P61" s="137" t="str"/>
    </x:row>
    <x:row r="62">
      <x:c r="A62" s="137" t="str">
        <x:v>SPADE</x:v>
      </x:c>
      <x:c r="B62" s="137" t="str">
        <x:v>PER ORDER (V/L)</x:v>
      </x:c>
      <x:c r="C62" s="137" t="str">
        <x:v>7X10S</x:v>
      </x:c>
      <x:c r="D62" s="167" t="str"/>
      <x:c r="E62" s="168" t="str"/>
      <x:c r="F62" s="137" t="str">
        <x:v>INR</x:v>
      </x:c>
      <x:c r="G62" s="137" t="str"/>
      <x:c r="H62" s="137" t="str"/>
      <x:c r="I62" s="137" t="str"/>
      <x:c r="J62" s="137" t="str"/>
      <x:c r="K62" s="137" t="str"/>
      <x:c r="L62" s="137" t="str"/>
      <x:c r="M62" s="138" t="str"/>
      <x:c r="N62" s="137" t="str"/>
      <x:c r="O62" s="137" t="str">
        <x:v>To Confirm</x:v>
      </x:c>
      <x:c r="P62" s="137" t="str"/>
    </x:row>
    <x:row r="63">
      <x:c r="A63" s="137" t="str">
        <x:v>SPADE</x:v>
      </x:c>
      <x:c r="B63" s="137" t="str">
        <x:v>PER ORDER (V/L)</x:v>
      </x:c>
      <x:c r="C63" s="137" t="str">
        <x:v>11X1</x:v>
      </x:c>
      <x:c r="D63" s="167" t="str"/>
      <x:c r="E63" s="168" t="str"/>
      <x:c r="F63" s="137" t="str">
        <x:v>INR</x:v>
      </x:c>
      <x:c r="G63" s="137" t="str"/>
      <x:c r="H63" s="137" t="str"/>
      <x:c r="I63" s="137" t="str"/>
      <x:c r="J63" s="137" t="str"/>
      <x:c r="K63" s="137" t="str"/>
      <x:c r="L63" s="137" t="str"/>
      <x:c r="M63" s="138" t="str"/>
      <x:c r="N63" s="137" t="str"/>
      <x:c r="O63" s="137" t="str">
        <x:v>To Confirm</x:v>
      </x:c>
      <x:c r="P63" s="137" t="str"/>
    </x:row>
    <x:row r="64">
      <x:c r="A64" s="137" t="str">
        <x:v>SPADE</x:v>
      </x:c>
      <x:c r="B64" s="137" t="str">
        <x:v>PER ORDER (V/L)</x:v>
      </x:c>
      <x:c r="C64" s="137" t="str">
        <x:v>2X5</x:v>
      </x:c>
      <x:c r="D64" s="167" t="str"/>
      <x:c r="E64" s="168" t="str"/>
      <x:c r="F64" s="137" t="str">
        <x:v>INR</x:v>
      </x:c>
      <x:c r="G64" s="137" t="str"/>
      <x:c r="H64" s="137" t="str"/>
      <x:c r="I64" s="137" t="str"/>
      <x:c r="J64" s="137" t="str"/>
      <x:c r="K64" s="137" t="str"/>
      <x:c r="L64" s="137" t="str"/>
      <x:c r="M64" s="138" t="str"/>
      <x:c r="N64" s="137" t="str"/>
      <x:c r="O64" s="137" t="str">
        <x:v>To Confirm</x:v>
      </x:c>
      <x:c r="P64" s="137" t="str"/>
    </x:row>
    <x:row r="65">
      <x:c r="A65" s="137" t="str">
        <x:v>SPADE</x:v>
      </x:c>
      <x:c r="B65" s="137" t="str">
        <x:v>PER ORDER (V/L)</x:v>
      </x:c>
      <x:c r="C65" s="137" t="str">
        <x:v>6X7</x:v>
      </x:c>
      <x:c r="D65" s="167" t="str"/>
      <x:c r="E65" s="168" t="str"/>
      <x:c r="F65" s="137" t="str">
        <x:v>INR</x:v>
      </x:c>
      <x:c r="G65" s="137" t="str"/>
      <x:c r="H65" s="137" t="str"/>
      <x:c r="I65" s="137" t="str"/>
      <x:c r="J65" s="137" t="str"/>
      <x:c r="K65" s="137" t="str"/>
      <x:c r="L65" s="137" t="str"/>
      <x:c r="M65" s="138" t="str"/>
      <x:c r="N65" s="137" t="str"/>
      <x:c r="O65" s="137" t="str">
        <x:v>To Confirm</x:v>
      </x:c>
      <x:c r="P65" s="137" t="str"/>
    </x:row>
    <x:row r="66">
      <x:c r="A66" s="137" t="str">
        <x:v>SPADE</x:v>
      </x:c>
      <x:c r="B66" s="137" t="str">
        <x:v>PER ORDER (V/L)</x:v>
      </x:c>
      <x:c r="C66" s="137" t="str">
        <x:v>8X12</x:v>
      </x:c>
      <x:c r="D66" s="167" t="str"/>
      <x:c r="E66" s="168" t="str"/>
      <x:c r="F66" s="137" t="str">
        <x:v>INR</x:v>
      </x:c>
      <x:c r="G66" s="137" t="str"/>
      <x:c r="H66" s="137" t="str"/>
      <x:c r="I66" s="137" t="str"/>
      <x:c r="J66" s="137" t="str"/>
      <x:c r="K66" s="137" t="str"/>
      <x:c r="L66" s="137" t="str"/>
      <x:c r="M66" s="138" t="str"/>
      <x:c r="N66" s="137" t="str"/>
      <x:c r="O66" s="137" t="str">
        <x:v>To Confirm</x:v>
      </x:c>
      <x:c r="P66" s="137" t="str"/>
    </x:row>
    <x:row r="67">
      <x:c r="A67" s="137" t="str">
        <x:v>SPIKE</x:v>
      </x:c>
      <x:c r="B67" s="137" t="str">
        <x:v>PER ORDER (V/L)</x:v>
      </x:c>
      <x:c r="C67" s="137" t="str">
        <x:v>7X10S</x:v>
      </x:c>
      <x:c r="D67" s="167" t="str"/>
      <x:c r="E67" s="168" t="str"/>
      <x:c r="F67" s="137" t="str">
        <x:v>INR</x:v>
      </x:c>
      <x:c r="G67" s="137" t="str"/>
      <x:c r="H67" s="137" t="str"/>
      <x:c r="I67" s="137" t="str"/>
      <x:c r="J67" s="137" t="str"/>
      <x:c r="K67" s="137" t="str"/>
      <x:c r="L67" s="137" t="str"/>
      <x:c r="M67" s="138" t="str"/>
      <x:c r="N67" s="137" t="str"/>
      <x:c r="O67" s="137" t="str">
        <x:v>To Confirm</x:v>
      </x:c>
      <x:c r="P67" s="137" t="str"/>
    </x:row>
    <x:row r="68">
      <x:c r="A68" s="137" t="str">
        <x:v>SPIKE</x:v>
      </x:c>
      <x:c r="B68" s="137" t="str">
        <x:v>PER ORDER (V/L)</x:v>
      </x:c>
      <x:c r="C68" s="137" t="str">
        <x:v>11X1</x:v>
      </x:c>
      <x:c r="D68" s="167" t="str"/>
      <x:c r="E68" s="168" t="str"/>
      <x:c r="F68" s="137" t="str">
        <x:v>INR</x:v>
      </x:c>
      <x:c r="G68" s="137" t="str"/>
      <x:c r="H68" s="137" t="str"/>
      <x:c r="I68" s="137" t="str"/>
      <x:c r="J68" s="137" t="str"/>
      <x:c r="K68" s="137" t="str"/>
      <x:c r="L68" s="137" t="str"/>
      <x:c r="M68" s="138" t="str"/>
      <x:c r="N68" s="137" t="str"/>
      <x:c r="O68" s="137" t="str">
        <x:v>To Confirm</x:v>
      </x:c>
      <x:c r="P68" s="137" t="str"/>
    </x:row>
    <x:row r="69">
      <x:c r="A69" s="137" t="str">
        <x:v>SPIKE</x:v>
      </x:c>
      <x:c r="B69" s="137" t="str">
        <x:v>PER ORDER (V/L)</x:v>
      </x:c>
      <x:c r="C69" s="137" t="str">
        <x:v>2X5</x:v>
      </x:c>
      <x:c r="D69" s="167" t="str"/>
      <x:c r="E69" s="168" t="str"/>
      <x:c r="F69" s="137" t="str">
        <x:v>INR</x:v>
      </x:c>
      <x:c r="G69" s="137" t="str"/>
      <x:c r="H69" s="137" t="str"/>
      <x:c r="I69" s="137" t="str"/>
      <x:c r="J69" s="137" t="str"/>
      <x:c r="K69" s="137" t="str"/>
      <x:c r="L69" s="137" t="str"/>
      <x:c r="M69" s="138" t="str"/>
      <x:c r="N69" s="137" t="str"/>
      <x:c r="O69" s="137" t="str">
        <x:v>To Confirm</x:v>
      </x:c>
      <x:c r="P69" s="137" t="str"/>
    </x:row>
    <x:row r="70">
      <x:c r="A70" s="137" t="str">
        <x:v>SPIKE</x:v>
      </x:c>
      <x:c r="B70" s="137" t="str">
        <x:v>PER ORDER (V/L)</x:v>
      </x:c>
      <x:c r="C70" s="137" t="str">
        <x:v>6X8</x:v>
      </x:c>
      <x:c r="D70" s="167" t="str"/>
      <x:c r="E70" s="168" t="str"/>
      <x:c r="F70" s="137" t="str">
        <x:v>INR</x:v>
      </x:c>
      <x:c r="G70" s="137" t="str"/>
      <x:c r="H70" s="137" t="str"/>
      <x:c r="I70" s="137" t="str"/>
      <x:c r="J70" s="137" t="str"/>
      <x:c r="K70" s="137" t="str"/>
      <x:c r="L70" s="137" t="str"/>
      <x:c r="M70" s="138" t="str"/>
      <x:c r="N70" s="137" t="str"/>
      <x:c r="O70" s="137" t="str">
        <x:v>To Confirm</x:v>
      </x:c>
      <x:c r="P70" s="137" t="str"/>
    </x:row>
    <x:row r="71">
      <x:c r="A71" s="137" t="str">
        <x:v>SPIKE</x:v>
      </x:c>
      <x:c r="B71" s="137" t="str">
        <x:v>PER ORDER (V/L)</x:v>
      </x:c>
      <x:c r="C71" s="137" t="str">
        <x:v>9X12</x:v>
      </x:c>
      <x:c r="D71" s="167" t="str"/>
      <x:c r="E71" s="168" t="str"/>
      <x:c r="F71" s="137" t="str">
        <x:v>INR</x:v>
      </x:c>
      <x:c r="G71" s="137" t="str"/>
      <x:c r="H71" s="137" t="str"/>
      <x:c r="I71" s="137" t="str"/>
      <x:c r="J71" s="137" t="str"/>
      <x:c r="K71" s="137" t="str"/>
      <x:c r="L71" s="137" t="str"/>
      <x:c r="M71" s="138" t="str"/>
      <x:c r="N71" s="137" t="str"/>
      <x:c r="O71" s="137" t="str">
        <x:v>To Confirm</x:v>
      </x:c>
      <x:c r="P71" s="137" t="str"/>
    </x:row>
    <x:row r="72">
      <x:c r="A72" s="137" t="str">
        <x:v>REX GOLA PLUS</x:v>
      </x:c>
      <x:c r="B72" s="137" t="str">
        <x:v>TO CONFIRM</x:v>
      </x:c>
      <x:c r="C72" s="137" t="str">
        <x:v>7X10</x:v>
      </x:c>
      <x:c r="D72" s="167" t="n">
        <x:v>679</x:v>
      </x:c>
      <x:c r="E72" s="168" t="str"/>
      <x:c r="F72" s="137" t="str">
        <x:v>INR</x:v>
      </x:c>
      <x:c r="G72" s="137" t="str"/>
      <x:c r="H72" s="137" t="str"/>
      <x:c r="I72" s="137" t="str"/>
      <x:c r="J72" s="137" t="str"/>
      <x:c r="K72" s="137" t="str"/>
      <x:c r="L72" s="137" t="str"/>
      <x:c r="M72" s="138" t="str"/>
      <x:c r="N72" s="137" t="str"/>
      <x:c r="O72" s="137" t="str">
        <x:v>To Confirm</x:v>
      </x:c>
      <x:c r="P72" s="137" t="str"/>
    </x:row>
    <x:row r="73">
      <x:c r="A73" s="137" t="str">
        <x:v>REX GOLA PLUS</x:v>
      </x:c>
      <x:c r="B73" s="137" t="str">
        <x:v>TO CONFIRM</x:v>
      </x:c>
      <x:c r="C73" s="137" t="str">
        <x:v>11X1</x:v>
      </x:c>
      <x:c r="D73" s="167" t="n">
        <x:v>749</x:v>
      </x:c>
      <x:c r="E73" s="168" t="str"/>
      <x:c r="F73" s="137" t="str">
        <x:v>INR</x:v>
      </x:c>
      <x:c r="G73" s="137" t="str"/>
      <x:c r="H73" s="137" t="str"/>
      <x:c r="I73" s="137" t="str"/>
      <x:c r="J73" s="137" t="str"/>
      <x:c r="K73" s="137" t="str"/>
      <x:c r="L73" s="137" t="str"/>
      <x:c r="M73" s="138" t="str"/>
      <x:c r="N73" s="137" t="str"/>
      <x:c r="O73" s="137" t="str">
        <x:v>To Confirm</x:v>
      </x:c>
      <x:c r="P73" s="137" t="str"/>
    </x:row>
    <x:row r="74">
      <x:c r="A74" s="137" t="str">
        <x:v>REX GOLA PLUS</x:v>
      </x:c>
      <x:c r="B74" s="137" t="str">
        <x:v>TO CONFIRM</x:v>
      </x:c>
      <x:c r="C74" s="137" t="str">
        <x:v>2X5</x:v>
      </x:c>
      <x:c r="D74" s="167" t="n">
        <x:v>799</x:v>
      </x:c>
      <x:c r="E74" s="168" t="str"/>
      <x:c r="F74" s="137" t="str">
        <x:v>INR</x:v>
      </x:c>
      <x:c r="G74" s="137" t="str"/>
      <x:c r="H74" s="137" t="str"/>
      <x:c r="I74" s="137" t="str"/>
      <x:c r="J74" s="137" t="str"/>
      <x:c r="K74" s="137" t="str"/>
      <x:c r="L74" s="137" t="str"/>
      <x:c r="M74" s="138" t="str"/>
      <x:c r="N74" s="137" t="str"/>
      <x:c r="O74" s="137" t="str">
        <x:v>To Confirm</x:v>
      </x:c>
      <x:c r="P74" s="137" t="str"/>
    </x:row>
    <x:row r="75">
      <x:c r="A75" s="137" t="str">
        <x:v>REX GOLA PLUS</x:v>
      </x:c>
      <x:c r="B75" s="137" t="str">
        <x:v>TO CONFIRM</x:v>
      </x:c>
      <x:c r="C75" s="137" t="str">
        <x:v>6X12B</x:v>
      </x:c>
      <x:c r="D75" s="167" t="n">
        <x:v>869</x:v>
      </x:c>
      <x:c r="E75" s="168" t="str"/>
      <x:c r="F75" s="137" t="str">
        <x:v>INR</x:v>
      </x:c>
      <x:c r="G75" s="137" t="str"/>
      <x:c r="H75" s="137" t="str"/>
      <x:c r="I75" s="137" t="str"/>
      <x:c r="J75" s="137" t="str"/>
      <x:c r="K75" s="137" t="str"/>
      <x:c r="L75" s="137" t="str"/>
      <x:c r="M75" s="138" t="str"/>
      <x:c r="N75" s="137" t="str"/>
      <x:c r="O75" s="137" t="str">
        <x:v>To Confirm</x:v>
      </x:c>
      <x:c r="P75" s="137" t="str"/>
    </x:row>
    <x:row r="76">
      <x:c r="A76" s="137" t="str"/>
      <x:c r="B76" s="137" t="str"/>
      <x:c r="C76" s="137" t="str"/>
      <x:c r="D76" s="167" t="str"/>
      <x:c r="E76" s="168" t="str"/>
      <x:c r="F76" s="137" t="str"/>
      <x:c r="G76" s="137" t="str"/>
      <x:c r="H76" s="137" t="str"/>
      <x:c r="I76" s="137" t="str"/>
      <x:c r="J76" s="137" t="str"/>
      <x:c r="K76" s="137" t="str"/>
      <x:c r="L76" s="137" t="str"/>
      <x:c r="M76" s="138" t="str"/>
      <x:c r="N76" s="137" t="str"/>
      <x:c r="O76" s="137" t="str"/>
      <x:c r="P76" s="137" t="str"/>
    </x:row>
    <x:row r="77">
      <x:c r="A77" s="137" t="str"/>
      <x:c r="B77" s="137" t="str"/>
      <x:c r="C77" s="137" t="str"/>
      <x:c r="D77" s="167" t="str"/>
      <x:c r="E77" s="168" t="str"/>
      <x:c r="F77" s="137" t="str"/>
      <x:c r="G77" s="137" t="str"/>
      <x:c r="H77" s="137" t="str"/>
      <x:c r="I77" s="137" t="str"/>
      <x:c r="J77" s="137" t="str"/>
      <x:c r="K77" s="137" t="str"/>
      <x:c r="L77" s="137" t="str"/>
      <x:c r="M77" s="138" t="str"/>
      <x:c r="N77" s="137" t="str"/>
      <x:c r="O77" s="137" t="str"/>
      <x:c r="P77" s="137" t="str"/>
    </x:row>
    <x:row r="78">
      <x:c r="A78" s="137" t="str"/>
      <x:c r="B78" s="137" t="str"/>
      <x:c r="C78" s="137" t="str"/>
      <x:c r="D78" s="167" t="str"/>
      <x:c r="E78" s="168" t="str"/>
      <x:c r="F78" s="137" t="str"/>
      <x:c r="G78" s="137" t="str"/>
      <x:c r="H78" s="137" t="str"/>
      <x:c r="I78" s="137" t="str"/>
      <x:c r="J78" s="137" t="str"/>
      <x:c r="K78" s="137" t="str"/>
      <x:c r="L78" s="137" t="str"/>
      <x:c r="M78" s="138" t="str"/>
      <x:c r="N78" s="137" t="str"/>
      <x:c r="O78" s="137" t="str"/>
      <x:c r="P78" s="137" t="str"/>
    </x:row>
    <x:row r="79">
      <x:c r="A79" s="137" t="str"/>
      <x:c r="B79" s="137" t="str"/>
      <x:c r="C79" s="137" t="str"/>
      <x:c r="D79" s="167" t="str"/>
      <x:c r="E79" s="168" t="str"/>
      <x:c r="F79" s="137" t="str"/>
      <x:c r="G79" s="137" t="str"/>
      <x:c r="H79" s="137" t="str"/>
      <x:c r="I79" s="137" t="str"/>
      <x:c r="J79" s="137" t="str"/>
      <x:c r="K79" s="137" t="str"/>
      <x:c r="L79" s="137" t="str"/>
      <x:c r="M79" s="138" t="str"/>
      <x:c r="N79" s="137" t="str"/>
      <x:c r="O79" s="137" t="str"/>
      <x:c r="P79" s="137" t="str"/>
    </x:row>
    <x:row r="80">
      <x:c r="A80" s="137" t="str"/>
      <x:c r="B80" s="137" t="str"/>
      <x:c r="C80" s="137" t="str"/>
      <x:c r="D80" s="167" t="str"/>
      <x:c r="E80" s="168" t="str"/>
      <x:c r="F80" s="137" t="str"/>
      <x:c r="G80" s="137" t="str"/>
      <x:c r="H80" s="137" t="str"/>
      <x:c r="I80" s="137" t="str"/>
      <x:c r="J80" s="137" t="str"/>
      <x:c r="K80" s="137" t="str"/>
      <x:c r="L80" s="137" t="str"/>
      <x:c r="M80" s="138" t="str"/>
      <x:c r="N80" s="137" t="str"/>
      <x:c r="O80" s="137" t="str"/>
      <x:c r="P80" s="137" t="str"/>
    </x:row>
    <x:row r="81">
      <x:c r="A81" s="137" t="str"/>
      <x:c r="B81" s="137" t="str"/>
      <x:c r="C81" s="137" t="str"/>
      <x:c r="D81" s="167" t="str"/>
      <x:c r="E81" s="168" t="str"/>
      <x:c r="F81" s="137" t="str"/>
      <x:c r="G81" s="137" t="str"/>
      <x:c r="H81" s="137" t="str"/>
      <x:c r="I81" s="137" t="str"/>
      <x:c r="J81" s="137" t="str"/>
      <x:c r="K81" s="137" t="str"/>
      <x:c r="L81" s="137" t="str"/>
      <x:c r="M81" s="138" t="str"/>
      <x:c r="N81" s="137" t="str"/>
      <x:c r="O81" s="137" t="str"/>
      <x:c r="P81" s="137" t="str"/>
    </x:row>
    <x:row r="82">
      <x:c r="A82" s="137" t="str"/>
      <x:c r="B82" s="137" t="str"/>
      <x:c r="C82" s="137" t="str"/>
      <x:c r="D82" s="167" t="str"/>
      <x:c r="E82" s="168" t="str"/>
      <x:c r="F82" s="137" t="str"/>
      <x:c r="G82" s="137" t="str"/>
      <x:c r="H82" s="137" t="str"/>
      <x:c r="I82" s="137" t="str"/>
      <x:c r="J82" s="137" t="str"/>
      <x:c r="K82" s="137" t="str"/>
      <x:c r="L82" s="137" t="str"/>
      <x:c r="M82" s="138" t="str"/>
      <x:c r="N82" s="137" t="str"/>
      <x:c r="O82" s="137" t="str"/>
      <x:c r="P82" s="137" t="str"/>
    </x:row>
    <x:row r="83">
      <x:c r="A83" s="137" t="str"/>
      <x:c r="B83" s="137" t="str"/>
      <x:c r="C83" s="137" t="str"/>
      <x:c r="D83" s="167" t="str"/>
      <x:c r="E83" s="168" t="str"/>
      <x:c r="F83" s="137" t="str"/>
      <x:c r="G83" s="137" t="str"/>
      <x:c r="H83" s="137" t="str"/>
      <x:c r="I83" s="137" t="str"/>
      <x:c r="J83" s="137" t="str"/>
      <x:c r="K83" s="137" t="str"/>
      <x:c r="L83" s="137" t="str"/>
      <x:c r="M83" s="138" t="str"/>
      <x:c r="N83" s="137" t="str"/>
      <x:c r="O83" s="137" t="str"/>
      <x:c r="P83" s="137" t="str"/>
    </x:row>
    <x:row r="84">
      <x:c r="A84" s="137" t="str"/>
      <x:c r="B84" s="137" t="str"/>
      <x:c r="C84" s="137" t="str"/>
      <x:c r="D84" s="167" t="str"/>
      <x:c r="E84" s="168" t="str"/>
      <x:c r="F84" s="137" t="str"/>
      <x:c r="G84" s="137" t="str"/>
      <x:c r="H84" s="137" t="str"/>
      <x:c r="I84" s="137" t="str"/>
      <x:c r="J84" s="137" t="str"/>
      <x:c r="K84" s="137" t="str"/>
      <x:c r="L84" s="137" t="str"/>
      <x:c r="M84" s="138" t="str"/>
      <x:c r="N84" s="137" t="str"/>
      <x:c r="O84" s="137" t="str"/>
      <x:c r="P84" s="137" t="str"/>
    </x:row>
    <x:row r="85">
      <x:c r="A85" s="137" t="str"/>
      <x:c r="B85" s="137" t="str"/>
      <x:c r="C85" s="137" t="str"/>
      <x:c r="D85" s="167" t="str"/>
      <x:c r="E85" s="168" t="str"/>
      <x:c r="F85" s="137" t="str"/>
      <x:c r="G85" s="137" t="str"/>
      <x:c r="H85" s="137" t="str"/>
      <x:c r="I85" s="137" t="str"/>
      <x:c r="J85" s="137" t="str"/>
      <x:c r="K85" s="137" t="str"/>
      <x:c r="L85" s="137" t="str"/>
      <x:c r="M85" s="138" t="str"/>
      <x:c r="N85" s="137" t="str"/>
      <x:c r="O85" s="137" t="str"/>
      <x:c r="P85" s="137" t="str"/>
    </x:row>
    <x:row r="86">
      <x:c r="A86" s="137" t="str"/>
      <x:c r="B86" s="137" t="str"/>
      <x:c r="C86" s="137" t="str"/>
      <x:c r="D86" s="167" t="str"/>
      <x:c r="E86" s="168" t="str"/>
      <x:c r="F86" s="137" t="str"/>
      <x:c r="G86" s="137" t="str"/>
      <x:c r="H86" s="137" t="str"/>
      <x:c r="I86" s="137" t="str"/>
      <x:c r="J86" s="137" t="str"/>
      <x:c r="K86" s="137" t="str"/>
      <x:c r="L86" s="137" t="str"/>
      <x:c r="M86" s="138" t="str"/>
      <x:c r="N86" s="137" t="str"/>
      <x:c r="O86" s="137" t="str"/>
      <x:c r="P86" s="137" t="str"/>
    </x:row>
    <x:row r="87">
      <x:c r="A87" s="137" t="str"/>
      <x:c r="B87" s="137" t="str"/>
      <x:c r="C87" s="137" t="str"/>
      <x:c r="D87" s="167" t="str"/>
      <x:c r="E87" s="168" t="str"/>
      <x:c r="F87" s="137" t="str"/>
      <x:c r="G87" s="137" t="str"/>
      <x:c r="H87" s="137" t="str"/>
      <x:c r="I87" s="137" t="str"/>
      <x:c r="J87" s="137" t="str"/>
      <x:c r="K87" s="137" t="str"/>
      <x:c r="L87" s="137" t="str"/>
      <x:c r="M87" s="138" t="str"/>
      <x:c r="N87" s="137" t="str"/>
      <x:c r="O87" s="137" t="str"/>
      <x:c r="P87" s="137" t="str"/>
    </x:row>
    <x:row r="88">
      <x:c r="A88" s="137" t="str"/>
      <x:c r="B88" s="137" t="str"/>
      <x:c r="C88" s="137" t="str"/>
      <x:c r="D88" s="167" t="str"/>
      <x:c r="E88" s="168" t="str"/>
      <x:c r="F88" s="137" t="str"/>
      <x:c r="G88" s="137" t="str"/>
      <x:c r="H88" s="137" t="str"/>
      <x:c r="I88" s="137" t="str"/>
      <x:c r="J88" s="137" t="str"/>
      <x:c r="K88" s="137" t="str"/>
      <x:c r="L88" s="137" t="str"/>
      <x:c r="M88" s="138" t="str"/>
      <x:c r="N88" s="137" t="str"/>
      <x:c r="O88" s="137" t="str"/>
      <x:c r="P88" s="137" t="str"/>
    </x:row>
    <x:row r="89">
      <x:c r="A89" s="137" t="str"/>
      <x:c r="B89" s="137" t="str"/>
      <x:c r="C89" s="137" t="str"/>
      <x:c r="D89" s="167" t="str"/>
      <x:c r="E89" s="168" t="str"/>
      <x:c r="F89" s="137" t="str"/>
      <x:c r="G89" s="137" t="str"/>
      <x:c r="H89" s="137" t="str"/>
      <x:c r="I89" s="137" t="str"/>
      <x:c r="J89" s="137" t="str"/>
      <x:c r="K89" s="137" t="str"/>
      <x:c r="L89" s="137" t="str"/>
      <x:c r="M89" s="138" t="str"/>
      <x:c r="N89" s="137" t="str"/>
      <x:c r="O89" s="137" t="str"/>
      <x:c r="P89" s="137" t="str"/>
    </x:row>
    <x:row r="90">
      <x:c r="A90" s="137" t="str"/>
      <x:c r="B90" s="137" t="str"/>
      <x:c r="C90" s="137" t="str"/>
      <x:c r="D90" s="167" t="str"/>
      <x:c r="E90" s="168" t="str"/>
      <x:c r="F90" s="137" t="str"/>
      <x:c r="G90" s="137" t="str"/>
      <x:c r="H90" s="137" t="str"/>
      <x:c r="I90" s="137" t="str"/>
      <x:c r="J90" s="137" t="str"/>
      <x:c r="K90" s="137" t="str"/>
      <x:c r="L90" s="137" t="str"/>
      <x:c r="M90" s="138" t="str"/>
      <x:c r="N90" s="137" t="str"/>
      <x:c r="O90" s="137" t="str"/>
      <x:c r="P90" s="137" t="str"/>
    </x:row>
    <x:row r="91">
      <x:c r="A91" s="137" t="str"/>
      <x:c r="B91" s="137" t="str"/>
      <x:c r="C91" s="137" t="str"/>
      <x:c r="D91" s="167" t="str"/>
      <x:c r="E91" s="168" t="str"/>
      <x:c r="F91" s="137" t="str"/>
      <x:c r="G91" s="137" t="str"/>
      <x:c r="H91" s="137" t="str"/>
      <x:c r="I91" s="137" t="str"/>
      <x:c r="J91" s="137" t="str"/>
      <x:c r="K91" s="137" t="str"/>
      <x:c r="L91" s="137" t="str"/>
      <x:c r="M91" s="138" t="str"/>
      <x:c r="N91" s="137" t="str"/>
      <x:c r="O91" s="137" t="str"/>
      <x:c r="P91" s="137" t="str"/>
    </x:row>
    <x:row r="92">
      <x:c r="A92" s="137" t="str"/>
      <x:c r="B92" s="137" t="str"/>
      <x:c r="C92" s="137" t="str"/>
      <x:c r="D92" s="167" t="str"/>
      <x:c r="E92" s="168" t="str"/>
      <x:c r="F92" s="137" t="str"/>
      <x:c r="G92" s="137" t="str"/>
      <x:c r="H92" s="137" t="str"/>
      <x:c r="I92" s="137" t="str"/>
      <x:c r="J92" s="137" t="str"/>
      <x:c r="K92" s="137" t="str"/>
      <x:c r="L92" s="137" t="str"/>
      <x:c r="M92" s="138" t="str"/>
      <x:c r="N92" s="137" t="str"/>
      <x:c r="O92" s="137" t="str"/>
      <x:c r="P92" s="137" t="str"/>
    </x:row>
    <x:row r="93">
      <x:c r="A93" s="137" t="str"/>
      <x:c r="B93" s="137" t="str"/>
      <x:c r="C93" s="137" t="str"/>
      <x:c r="D93" s="167" t="str"/>
      <x:c r="E93" s="168" t="str"/>
      <x:c r="F93" s="137" t="str"/>
      <x:c r="G93" s="137" t="str"/>
      <x:c r="H93" s="137" t="str"/>
      <x:c r="I93" s="137" t="str"/>
      <x:c r="J93" s="137" t="str"/>
      <x:c r="K93" s="137" t="str"/>
      <x:c r="L93" s="137" t="str"/>
      <x:c r="M93" s="138" t="str"/>
      <x:c r="N93" s="137" t="str"/>
      <x:c r="O93" s="137" t="str"/>
      <x:c r="P93" s="137" t="str"/>
    </x:row>
    <x:row r="94">
      <x:c r="A94" s="137" t="str"/>
      <x:c r="B94" s="137" t="str"/>
      <x:c r="C94" s="137" t="str"/>
      <x:c r="D94" s="167" t="str"/>
      <x:c r="E94" s="168" t="str"/>
      <x:c r="F94" s="137" t="str"/>
      <x:c r="G94" s="137" t="str"/>
      <x:c r="H94" s="137" t="str"/>
      <x:c r="I94" s="137" t="str"/>
      <x:c r="J94" s="137" t="str"/>
      <x:c r="K94" s="137" t="str"/>
      <x:c r="L94" s="137" t="str"/>
      <x:c r="M94" s="138" t="str"/>
      <x:c r="N94" s="137" t="str"/>
      <x:c r="O94" s="137" t="str"/>
      <x:c r="P94" s="137" t="str"/>
    </x:row>
    <x:row r="95">
      <x:c r="A95" s="137" t="str"/>
      <x:c r="B95" s="137" t="str"/>
      <x:c r="C95" s="137" t="str"/>
      <x:c r="D95" s="167" t="str"/>
      <x:c r="E95" s="168" t="str"/>
      <x:c r="F95" s="137" t="str"/>
      <x:c r="G95" s="137" t="str"/>
      <x:c r="H95" s="137" t="str"/>
      <x:c r="I95" s="137" t="str"/>
      <x:c r="J95" s="137" t="str"/>
      <x:c r="K95" s="137" t="str"/>
      <x:c r="L95" s="137" t="str"/>
      <x:c r="M95" s="138" t="str"/>
      <x:c r="N95" s="137" t="str"/>
      <x:c r="O95" s="137" t="str"/>
      <x:c r="P95" s="137" t="str"/>
    </x:row>
    <x:row r="96">
      <x:c r="A96" s="137" t="str"/>
      <x:c r="B96" s="137" t="str"/>
      <x:c r="C96" s="137" t="str"/>
      <x:c r="D96" s="167" t="str"/>
      <x:c r="E96" s="168" t="str"/>
      <x:c r="F96" s="137" t="str"/>
      <x:c r="G96" s="137" t="str"/>
      <x:c r="H96" s="137" t="str"/>
      <x:c r="I96" s="137" t="str"/>
      <x:c r="J96" s="137" t="str"/>
      <x:c r="K96" s="137" t="str"/>
      <x:c r="L96" s="137" t="str"/>
      <x:c r="M96" s="138" t="str"/>
      <x:c r="N96" s="137" t="str"/>
      <x:c r="O96" s="137" t="str"/>
      <x:c r="P96" s="137" t="str"/>
    </x:row>
    <x:row r="97">
      <x:c r="A97" s="137" t="str"/>
      <x:c r="B97" s="137" t="str"/>
      <x:c r="C97" s="137" t="str"/>
      <x:c r="D97" s="167" t="str"/>
      <x:c r="E97" s="168" t="str"/>
      <x:c r="F97" s="137" t="str"/>
      <x:c r="G97" s="137" t="str"/>
      <x:c r="H97" s="137" t="str"/>
      <x:c r="I97" s="137" t="str"/>
      <x:c r="J97" s="137" t="str"/>
      <x:c r="K97" s="137" t="str"/>
      <x:c r="L97" s="137" t="str"/>
      <x:c r="M97" s="138" t="str"/>
      <x:c r="N97" s="137" t="str"/>
      <x:c r="O97" s="137" t="str"/>
      <x:c r="P97" s="137" t="str"/>
    </x:row>
    <x:row r="98">
      <x:c r="A98" s="137" t="str"/>
      <x:c r="B98" s="137" t="str"/>
      <x:c r="C98" s="137" t="str"/>
      <x:c r="D98" s="167" t="str"/>
      <x:c r="E98" s="168" t="str"/>
      <x:c r="F98" s="137" t="str"/>
      <x:c r="G98" s="137" t="str"/>
      <x:c r="H98" s="137" t="str"/>
      <x:c r="I98" s="137" t="str"/>
      <x:c r="J98" s="137" t="str"/>
      <x:c r="K98" s="137" t="str"/>
      <x:c r="L98" s="137" t="str"/>
      <x:c r="M98" s="138" t="str"/>
      <x:c r="N98" s="137" t="str"/>
      <x:c r="O98" s="137" t="str"/>
      <x:c r="P98" s="137" t="str"/>
    </x:row>
    <x:row r="99">
      <x:c r="A99" s="137" t="str"/>
      <x:c r="B99" s="137" t="str"/>
      <x:c r="C99" s="137" t="str"/>
      <x:c r="D99" s="167" t="str"/>
      <x:c r="E99" s="168" t="str"/>
      <x:c r="F99" s="137" t="str"/>
      <x:c r="G99" s="137" t="str"/>
      <x:c r="H99" s="137" t="str"/>
      <x:c r="I99" s="137" t="str"/>
      <x:c r="J99" s="137" t="str"/>
      <x:c r="K99" s="137" t="str"/>
      <x:c r="L99" s="137" t="str"/>
      <x:c r="M99" s="138" t="str"/>
      <x:c r="N99" s="137" t="str"/>
      <x:c r="O99" s="137" t="str"/>
      <x:c r="P99" s="137" t="str"/>
    </x:row>
    <x:row r="100">
      <x:c r="A100" s="137" t="str"/>
      <x:c r="B100" s="137" t="str"/>
      <x:c r="C100" s="137" t="str"/>
      <x:c r="D100" s="167" t="str"/>
      <x:c r="E100" s="168" t="str"/>
      <x:c r="F100" s="137" t="str"/>
      <x:c r="G100" s="137" t="str"/>
      <x:c r="H100" s="137" t="str"/>
      <x:c r="I100" s="137" t="str"/>
      <x:c r="J100" s="137" t="str"/>
      <x:c r="K100" s="137" t="str"/>
      <x:c r="L100" s="137" t="str"/>
      <x:c r="M100" s="138" t="str"/>
      <x:c r="N100" s="137" t="str"/>
      <x:c r="O100" s="137" t="str"/>
      <x:c r="P100" s="137" t="str"/>
    </x:row>
    <x:row r="101">
      <x:c r="A101" s="137" t="str"/>
      <x:c r="B101" s="137" t="str"/>
      <x:c r="C101" s="137" t="str"/>
      <x:c r="D101" s="167" t="str"/>
      <x:c r="E101" s="168" t="str"/>
      <x:c r="F101" s="137" t="str"/>
      <x:c r="G101" s="137" t="str"/>
      <x:c r="H101" s="137" t="str"/>
      <x:c r="I101" s="137" t="str"/>
      <x:c r="J101" s="137" t="str"/>
      <x:c r="K101" s="137" t="str"/>
      <x:c r="L101" s="137" t="str"/>
      <x:c r="M101" s="138" t="str"/>
      <x:c r="N101" s="137" t="str"/>
      <x:c r="O101" s="137" t="str"/>
      <x:c r="P101" s="137" t="str"/>
    </x:row>
    <x:row r="102">
      <x:c r="A102" s="137" t="str"/>
      <x:c r="B102" s="137" t="str"/>
      <x:c r="C102" s="137" t="str"/>
      <x:c r="D102" s="167" t="str"/>
      <x:c r="E102" s="168" t="str"/>
      <x:c r="F102" s="137" t="str"/>
      <x:c r="G102" s="137" t="str"/>
      <x:c r="H102" s="137" t="str"/>
      <x:c r="I102" s="137" t="str"/>
      <x:c r="J102" s="137" t="str"/>
      <x:c r="K102" s="137" t="str"/>
      <x:c r="L102" s="137" t="str"/>
      <x:c r="M102" s="138" t="str"/>
      <x:c r="N102" s="137" t="str"/>
      <x:c r="O102" s="137" t="str"/>
      <x:c r="P102" s="137" t="str"/>
    </x:row>
    <x:row r="103">
      <x:c r="A103" s="137" t="str"/>
      <x:c r="B103" s="137" t="str"/>
      <x:c r="C103" s="137" t="str"/>
      <x:c r="D103" s="167" t="str"/>
      <x:c r="E103" s="168" t="str"/>
      <x:c r="F103" s="137" t="str"/>
      <x:c r="G103" s="137" t="str"/>
      <x:c r="H103" s="137" t="str"/>
      <x:c r="I103" s="137" t="str"/>
      <x:c r="J103" s="137" t="str"/>
      <x:c r="K103" s="137" t="str"/>
      <x:c r="L103" s="137" t="str"/>
      <x:c r="M103" s="138" t="str"/>
      <x:c r="N103" s="137" t="str"/>
      <x:c r="O103" s="137" t="str"/>
      <x:c r="P103" s="137" t="str"/>
    </x:row>
    <x:row r="104">
      <x:c r="A104" s="137" t="str"/>
      <x:c r="B104" s="137" t="str"/>
      <x:c r="C104" s="137" t="str"/>
      <x:c r="D104" s="167" t="str"/>
      <x:c r="E104" s="168" t="str"/>
      <x:c r="F104" s="137" t="str"/>
      <x:c r="G104" s="137" t="str"/>
      <x:c r="H104" s="137" t="str"/>
      <x:c r="I104" s="137" t="str"/>
      <x:c r="J104" s="137" t="str"/>
      <x:c r="K104" s="137" t="str"/>
      <x:c r="L104" s="137" t="str"/>
      <x:c r="M104" s="138" t="str"/>
      <x:c r="N104" s="137" t="str"/>
      <x:c r="O104" s="137" t="str"/>
      <x:c r="P104" s="137" t="str"/>
    </x:row>
    <x:row r="105">
      <x:c r="A105" s="139" t="str"/>
      <x:c r="B105" s="139" t="str"/>
      <x:c r="C105" s="139" t="str"/>
      <x:c r="D105" s="169" t="str"/>
      <x:c r="E105" s="170" t="str"/>
      <x:c r="F105" s="139" t="str"/>
      <x:c r="G105" s="139" t="str"/>
      <x:c r="H105" s="139" t="str"/>
      <x:c r="I105" s="139" t="str"/>
      <x:c r="J105" s="139" t="str"/>
      <x:c r="K105" s="139" t="str"/>
      <x:c r="L105" s="139" t="str"/>
      <x:c r="M105" s="145" t="str"/>
      <x:c r="N105" s="139" t="str"/>
      <x:c r="O105" s="139" t="str"/>
      <x:c r="P105" s="139" t="str"/>
    </x:row>
  </x:sheetData>
  <x:mergeCells>
    <x:mergeCell ref="A1:P1"/>
    <x:mergeCell ref="A2:P2"/>
    <x:mergeCell ref="A3:P3"/>
  </x:mergeCells>
  <x:conditionalFormatting sqref="O5:O105">
    <x:cfRule type="containsText" dxfId="36" priority="1" operator="containsText" text="Approved"/>
    <x:cfRule type="containsText" dxfId="37" priority="2" operator="containsText" text="Validated"/>
    <x:cfRule type="containsText" dxfId="38" priority="3" operator="containsText" text="Confirmed"/>
    <x:cfRule type="containsText" dxfId="39" priority="4" operator="containsText" text="To Confirm"/>
    <x:cfRule type="containsText" dxfId="40" priority="5" operator="containsText" text="Rejected"/>
    <x:cfRule type="containsText" dxfId="41" priority="6" operator="containsText" text="Blocked"/>
  </x:conditionalFormatting>
  <x:dataValidations count="3">
    <x:dataValidation type="list" sqref="A5:A105">
      <x:formula1>'Lists - Do Not Edit'!$S$2:$S$17</x:formula1>
    </x:dataValidation>
    <x:dataValidation type="list" sqref="G5:G105">
      <x:formula1>'Lists - Do Not Edit'!$J$2:$J$8</x:formula1>
    </x:dataValidation>
    <x:dataValidation type="list" sqref="O5:O105">
      <x:formula1>"To Confirm,Confirmed,Not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0677c16ea047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20" hidden="0" customWidth="1"/>
    <x:col min="6" max="6" width="38" hidden="0" customWidth="1"/>
    <x:col min="7" max="7" width="34" hidden="0" customWidth="1"/>
    <x:col min="8" max="8" width="12" hidden="0" customWidth="1"/>
    <x:col min="9" max="9" width="22" hidden="0" customWidth="1"/>
    <x:col min="10" max="10" width="24" hidden="0" customWidth="1"/>
    <x:col min="11" max="11" width="15" hidden="0" customWidth="1"/>
    <x:col min="12" max="12" width="20" hidden="0" customWidth="1"/>
    <x:col min="13" max="13" width="15" hidden="0" customWidth="1"/>
    <x:col min="14" max="14" width="28" hidden="0" customWidth="1"/>
    <x:col min="15" max="15" width="20" hidden="0" customWidth="1"/>
    <x:col min="16" max="16" width="18" hidden="0" customWidth="1"/>
    <x:col min="17" max="17" width="40" hidden="0" customWidth="1"/>
  </x:cols>
  <x:sheetData>
    <x:row r="1" ht="30" customHeight="1">
      <x:c r="A1" s="140" t="str">
        <x:v>BOM Master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</x:row>
    <x:row r="2" ht="34" customHeight="1">
      <x:c r="A2" s="123" t="str">
        <x:v>One row per article, size range, stage and material. Confirm consumption per pair and wastage; add missing rows instead of overwriting another size range.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</x:row>
    <x:row r="4" ht="34" customHeight="1">
      <x:c r="A4" s="141" t="str">
        <x:v>BOM Row ID</x:v>
      </x:c>
      <x:c r="B4" s="142" t="str">
        <x:v>Article Code</x:v>
      </x:c>
      <x:c r="C4" s="142" t="str">
        <x:v>Article Type</x:v>
      </x:c>
      <x:c r="D4" s="142" t="str">
        <x:v>Size Range</x:v>
      </x:c>
      <x:c r="E4" s="142" t="str">
        <x:v>Production Stage</x:v>
      </x:c>
      <x:c r="F4" s="142" t="str">
        <x:v>Material Key</x:v>
      </x:c>
      <x:c r="G4" s="142" t="str">
        <x:v>Material Name</x:v>
      </x:c>
      <x:c r="H4" s="142" t="str">
        <x:v>UOM</x:v>
      </x:c>
      <x:c r="I4" s="142" t="str">
        <x:v>Current Consumption / Pair</x:v>
      </x:c>
      <x:c r="J4" s="142" t="str">
        <x:v>Client Confirmed Consumption / Pair</x:v>
      </x:c>
      <x:c r="K4" s="142" t="str">
        <x:v>Wastage %</x:v>
      </x:c>
      <x:c r="L4" s="142" t="str">
        <x:v>Net Consumption / Pair</x:v>
      </x:c>
      <x:c r="M4" s="142" t="str">
        <x:v>Effective From</x:v>
      </x:c>
      <x:c r="N4" s="142" t="str">
        <x:v>Source BOM / Trial</x:v>
      </x:c>
      <x:c r="O4" s="142" t="str">
        <x:v>Approved By</x:v>
      </x:c>
      <x:c r="P4" s="142" t="str">
        <x:v>Confirmation Status</x:v>
      </x:c>
      <x:c r="Q4" s="143" t="str">
        <x:v>Notes</x:v>
      </x:c>
    </x:row>
    <x:row r="5">
      <x:c r="A5" s="136" t="str">
        <x:v>BOM-00001</x:v>
      </x:c>
      <x:c r="B5" s="136" t="str">
        <x:v>ARMOUR (VELCRO)</x:v>
      </x:c>
      <x:c r="C5" s="136" t="str">
        <x:v>VELCRO</x:v>
      </x:c>
      <x:c r="D5" s="136" t="str">
        <x:v>8X10</x:v>
      </x:c>
      <x:c r="E5" s="136" t="str">
        <x:v>CUTTING</x:v>
      </x:c>
      <x:c r="F5" s="136" t="str">
        <x:v>ARMOR REXION||MTR</x:v>
      </x:c>
      <x:c r="G5" s="136" t="str">
        <x:v>ARMOR REXION</x:v>
      </x:c>
      <x:c r="H5" s="136" t="str">
        <x:v>MTR</x:v>
      </x:c>
      <x:c r="I5" s="171" t="n">
        <x:v>0.077407</x:v>
      </x:c>
      <x:c r="J5" s="172" t="str"/>
      <x:c r="K5" s="173" t="str"/>
      <x:c r="L5" s="174" t="str">
        <x:f>IF(J5="","",J5*(1+IF(K5="",0,K5)) )</x:f>
      </x:c>
      <x:c r="M5" s="144" t="str"/>
      <x:c r="N5" s="136" t="str">
        <x:v>Current model BOM seed</x:v>
      </x:c>
      <x:c r="O5" s="136" t="str"/>
      <x:c r="P5" s="136" t="str">
        <x:v>To Confirm</x:v>
      </x:c>
      <x:c r="Q5" s="136" t="str"/>
    </x:row>
    <x:row r="6">
      <x:c r="A6" s="137" t="str">
        <x:v>BOM-00002</x:v>
      </x:c>
      <x:c r="B6" s="137" t="str">
        <x:v>ARMOUR (VELCRO)</x:v>
      </x:c>
      <x:c r="C6" s="137" t="str">
        <x:v>VELCRO</x:v>
      </x:c>
      <x:c r="D6" s="137" t="str">
        <x:v>8X10</x:v>
      </x:c>
      <x:c r="E6" s="137" t="str">
        <x:v>CUTTING</x:v>
      </x:c>
      <x:c r="F6" s="137" t="str">
        <x:v>TOE PUFF 0.8MM||SHEET</x:v>
      </x:c>
      <x:c r="G6" s="137" t="str">
        <x:v>TOE PUFF 0.8MM</x:v>
      </x:c>
      <x:c r="H6" s="137" t="str">
        <x:v>SHEET</x:v>
      </x:c>
      <x:c r="I6" s="175" t="n">
        <x:v>0.005952</x:v>
      </x:c>
      <x:c r="J6" s="176" t="str"/>
      <x:c r="K6" s="177" t="str"/>
      <x:c r="L6" s="178" t="str">
        <x:f>IF(J6="","",J6*(1+IF(K6="",0,K6)) )</x:f>
      </x:c>
      <x:c r="M6" s="138" t="str"/>
      <x:c r="N6" s="137" t="str">
        <x:v>Current model BOM seed</x:v>
      </x:c>
      <x:c r="O6" s="137" t="str"/>
      <x:c r="P6" s="137" t="str">
        <x:v>To Confirm</x:v>
      </x:c>
      <x:c r="Q6" s="137" t="str"/>
    </x:row>
    <x:row r="7">
      <x:c r="A7" s="137" t="str">
        <x:v>BOM-00003</x:v>
      </x:c>
      <x:c r="B7" s="137" t="str">
        <x:v>ARMOUR (VELCRO)</x:v>
      </x:c>
      <x:c r="C7" s="137" t="str">
        <x:v>VELCRO</x:v>
      </x:c>
      <x:c r="D7" s="137" t="str">
        <x:v>8X10</x:v>
      </x:c>
      <x:c r="E7" s="137" t="str">
        <x:v>CUTTING</x:v>
      </x:c>
      <x:c r="F7" s="137" t="str">
        <x:v>PU MESH (HARD FOAM+BACKER)||MTR</x:v>
      </x:c>
      <x:c r="G7" s="137" t="str">
        <x:v>PU MESH (HARD FOAM+BACKER)</x:v>
      </x:c>
      <x:c r="H7" s="137" t="str">
        <x:v>MTR</x:v>
      </x:c>
      <x:c r="I7" s="175" t="n">
        <x:v>0.053562</x:v>
      </x:c>
      <x:c r="J7" s="176" t="str"/>
      <x:c r="K7" s="177" t="str"/>
      <x:c r="L7" s="178" t="str">
        <x:f>IF(J7="","",J7*(1+IF(K7="",0,K7)) )</x:f>
      </x:c>
      <x:c r="M7" s="138" t="str"/>
      <x:c r="N7" s="137" t="str">
        <x:v>Current model BOM seed</x:v>
      </x:c>
      <x:c r="O7" s="137" t="str"/>
      <x:c r="P7" s="137" t="str">
        <x:v>To Confirm</x:v>
      </x:c>
      <x:c r="Q7" s="137" t="str"/>
    </x:row>
    <x:row r="8">
      <x:c r="A8" s="137" t="str">
        <x:v>BOM-00004</x:v>
      </x:c>
      <x:c r="B8" s="137" t="str">
        <x:v>ARMOUR (VELCRO)</x:v>
      </x:c>
      <x:c r="C8" s="137" t="str">
        <x:v>VELCRO</x:v>
      </x:c>
      <x:c r="D8" s="137" t="str">
        <x:v>8X10</x:v>
      </x:c>
      <x:c r="E8" s="137" t="str">
        <x:v>CUTTING</x:v>
      </x:c>
      <x:c r="F8" s="137" t="str">
        <x:v>VAMP ASTER DOUBLE BACKER||MTR</x:v>
      </x:c>
      <x:c r="G8" s="137" t="str">
        <x:v>VAMP ASTER DOUBLE BACKER</x:v>
      </x:c>
      <x:c r="H8" s="137" t="str">
        <x:v>MTR</x:v>
      </x:c>
      <x:c r="I8" s="175" t="n">
        <x:v>0.017391</x:v>
      </x:c>
      <x:c r="J8" s="176" t="str"/>
      <x:c r="K8" s="177" t="str"/>
      <x:c r="L8" s="178" t="str">
        <x:f>IF(J8="","",J8*(1+IF(K8="",0,K8)) )</x:f>
      </x:c>
      <x:c r="M8" s="138" t="str"/>
      <x:c r="N8" s="137" t="str">
        <x:v>Current model BOM seed</x:v>
      </x:c>
      <x:c r="O8" s="137" t="str"/>
      <x:c r="P8" s="137" t="str">
        <x:v>To Confirm</x:v>
      </x:c>
      <x:c r="Q8" s="137" t="str"/>
    </x:row>
    <x:row r="9">
      <x:c r="A9" s="137" t="str">
        <x:v>BOM-00005</x:v>
      </x:c>
      <x:c r="B9" s="137" t="str">
        <x:v>ARMOUR (VELCRO)</x:v>
      </x:c>
      <x:c r="C9" s="137" t="str">
        <x:v>VELCRO</x:v>
      </x:c>
      <x:c r="D9" s="137" t="str">
        <x:v>8X10</x:v>
      </x:c>
      <x:c r="E9" s="137" t="str">
        <x:v>CUTTING</x:v>
      </x:c>
      <x:c r="F9" s="137" t="str">
        <x:v>SKINFIT GOLA ( FOAM + BACKER)||MTR</x:v>
      </x:c>
      <x:c r="G9" s="137" t="str">
        <x:v>SKINFIT GOLA ( FOAM + BACKER)</x:v>
      </x:c>
      <x:c r="H9" s="137" t="str">
        <x:v>MTR</x:v>
      </x:c>
      <x:c r="I9" s="175" t="n">
        <x:v>0.055067</x:v>
      </x:c>
      <x:c r="J9" s="176" t="str"/>
      <x:c r="K9" s="177" t="str"/>
      <x:c r="L9" s="178" t="str">
        <x:f>IF(J9="","",J9*(1+IF(K9="",0,K9)) )</x:f>
      </x:c>
      <x:c r="M9" s="138" t="str"/>
      <x:c r="N9" s="137" t="str">
        <x:v>Current model BOM seed</x:v>
      </x:c>
      <x:c r="O9" s="137" t="str"/>
      <x:c r="P9" s="137" t="str">
        <x:v>To Confirm</x:v>
      </x:c>
      <x:c r="Q9" s="137" t="str"/>
    </x:row>
    <x:row r="10">
      <x:c r="A10" s="137" t="str">
        <x:v>BOM-00006</x:v>
      </x:c>
      <x:c r="B10" s="137" t="str">
        <x:v>ARMOUR (VELCRO)</x:v>
      </x:c>
      <x:c r="C10" s="137" t="str">
        <x:v>VELCRO</x:v>
      </x:c>
      <x:c r="D10" s="137" t="str">
        <x:v>8X10</x:v>
      </x:c>
      <x:c r="E10" s="137" t="str">
        <x:v>CUTTING</x:v>
      </x:c>
      <x:c r="F10" s="137" t="str">
        <x:v>DRILL CLOTH||MTR</x:v>
      </x:c>
      <x:c r="G10" s="137" t="str">
        <x:v>DRILL CLOTH</x:v>
      </x:c>
      <x:c r="H10" s="137" t="str">
        <x:v>MTR</x:v>
      </x:c>
      <x:c r="I10" s="175" t="n">
        <x:v>0.009556</x:v>
      </x:c>
      <x:c r="J10" s="176" t="str"/>
      <x:c r="K10" s="177" t="str"/>
      <x:c r="L10" s="178" t="str">
        <x:f>IF(J10="","",J10*(1+IF(K10="",0,K10)) )</x:f>
      </x:c>
      <x:c r="M10" s="138" t="str"/>
      <x:c r="N10" s="137" t="str">
        <x:v>Current model BOM seed</x:v>
      </x:c>
      <x:c r="O10" s="137" t="str"/>
      <x:c r="P10" s="137" t="str">
        <x:v>To Confirm</x:v>
      </x:c>
      <x:c r="Q10" s="137" t="str"/>
    </x:row>
    <x:row r="11">
      <x:c r="A11" s="137" t="str">
        <x:v>BOM-00007</x:v>
      </x:c>
      <x:c r="B11" s="137" t="str">
        <x:v>ARMOUR (VELCRO)</x:v>
      </x:c>
      <x:c r="C11" s="137" t="str">
        <x:v>VELCRO</x:v>
      </x:c>
      <x:c r="D11" s="137" t="str">
        <x:v>8X10</x:v>
      </x:c>
      <x:c r="E11" s="137" t="str">
        <x:v>CUTTING</x:v>
      </x:c>
      <x:c r="F11" s="137" t="str">
        <x:v>ASTER HEAVY FOR TOUNG||MTR</x:v>
      </x:c>
      <x:c r="G11" s="137" t="str">
        <x:v>ASTER HEAVY FOR TOUNG</x:v>
      </x:c>
      <x:c r="H11" s="137" t="str">
        <x:v>MTR</x:v>
      </x:c>
      <x:c r="I11" s="175" t="n">
        <x:v>0.012012</x:v>
      </x:c>
      <x:c r="J11" s="176" t="str"/>
      <x:c r="K11" s="177" t="str"/>
      <x:c r="L11" s="178" t="str">
        <x:f>IF(J11="","",J11*(1+IF(K11="",0,K11)) )</x:f>
      </x:c>
      <x:c r="M11" s="138" t="str"/>
      <x:c r="N11" s="137" t="str">
        <x:v>Current model BOM seed</x:v>
      </x:c>
      <x:c r="O11" s="137" t="str"/>
      <x:c r="P11" s="137" t="str">
        <x:v>To Confirm</x:v>
      </x:c>
      <x:c r="Q11" s="137" t="str"/>
    </x:row>
    <x:row r="12">
      <x:c r="A12" s="137" t="str">
        <x:v>BOM-00008</x:v>
      </x:c>
      <x:c r="B12" s="137" t="str">
        <x:v>ARMOUR (VELCRO)</x:v>
      </x:c>
      <x:c r="C12" s="137" t="str">
        <x:v>VELCRO</x:v>
      </x:c>
      <x:c r="D12" s="137" t="str">
        <x:v>8X10</x:v>
      </x:c>
      <x:c r="E12" s="137" t="str">
        <x:v>CUTTING</x:v>
      </x:c>
      <x:c r="F12" s="137" t="str">
        <x:v>COLOR FOAM 20MM||SHEET</x:v>
      </x:c>
      <x:c r="G12" s="137" t="str">
        <x:v>COLOR FOAM 20MM</x:v>
      </x:c>
      <x:c r="H12" s="137" t="str">
        <x:v>SHEET</x:v>
      </x:c>
      <x:c r="I12" s="175" t="n">
        <x:v>0.009091</x:v>
      </x:c>
      <x:c r="J12" s="176" t="str"/>
      <x:c r="K12" s="177" t="str"/>
      <x:c r="L12" s="178" t="str">
        <x:f>IF(J12="","",J12*(1+IF(K12="",0,K12)) )</x:f>
      </x:c>
      <x:c r="M12" s="138" t="str"/>
      <x:c r="N12" s="137" t="str">
        <x:v>Current model BOM seed</x:v>
      </x:c>
      <x:c r="O12" s="137" t="str"/>
      <x:c r="P12" s="137" t="str">
        <x:v>To Confirm</x:v>
      </x:c>
      <x:c r="Q12" s="137" t="str"/>
    </x:row>
    <x:row r="13">
      <x:c r="A13" s="137" t="str">
        <x:v>BOM-00009</x:v>
      </x:c>
      <x:c r="B13" s="137" t="str">
        <x:v>ARMOUR (VELCRO)</x:v>
      </x:c>
      <x:c r="C13" s="137" t="str">
        <x:v>VELCRO</x:v>
      </x:c>
      <x:c r="D13" s="137" t="str">
        <x:v>8X10</x:v>
      </x:c>
      <x:c r="E13" s="137" t="str">
        <x:v>CUTTING</x:v>
      </x:c>
      <x:c r="F13" s="137" t="str">
        <x:v>TEXION||SHEET</x:v>
      </x:c>
      <x:c r="G13" s="137" t="str">
        <x:v>TEXION</x:v>
      </x:c>
      <x:c r="H13" s="137" t="str">
        <x:v>SHEET</x:v>
      </x:c>
      <x:c r="I13" s="175" t="n">
        <x:v>0.023202</x:v>
      </x:c>
      <x:c r="J13" s="176" t="str"/>
      <x:c r="K13" s="177" t="str"/>
      <x:c r="L13" s="178" t="str">
        <x:f>IF(J13="","",J13*(1+IF(K13="",0,K13)) )</x:f>
      </x:c>
      <x:c r="M13" s="138" t="str"/>
      <x:c r="N13" s="137" t="str">
        <x:v>Current model BOM seed</x:v>
      </x:c>
      <x:c r="O13" s="137" t="str"/>
      <x:c r="P13" s="137" t="str">
        <x:v>To Confirm</x:v>
      </x:c>
      <x:c r="Q13" s="137" t="str"/>
    </x:row>
    <x:row r="14">
      <x:c r="A14" s="137" t="str">
        <x:v>BOM-00010</x:v>
      </x:c>
      <x:c r="B14" s="137" t="str">
        <x:v>ARMOUR (VELCRO)</x:v>
      </x:c>
      <x:c r="C14" s="137" t="str">
        <x:v>VELCRO</x:v>
      </x:c>
      <x:c r="D14" s="137" t="str">
        <x:v>8X10</x:v>
      </x:c>
      <x:c r="E14" s="137" t="str">
        <x:v>CUTTING</x:v>
      </x:c>
      <x:c r="F14" s="137" t="str">
        <x:v>STIFNER 1.4MM YELLOW||SHEET</x:v>
      </x:c>
      <x:c r="G14" s="137" t="str">
        <x:v>STIFNER 1.4MM YELLOW</x:v>
      </x:c>
      <x:c r="H14" s="137" t="str">
        <x:v>SHEET</x:v>
      </x:c>
      <x:c r="I14" s="175" t="n">
        <x:v>0.006144</x:v>
      </x:c>
      <x:c r="J14" s="176" t="str"/>
      <x:c r="K14" s="177" t="str"/>
      <x:c r="L14" s="178" t="str">
        <x:f>IF(J14="","",J14*(1+IF(K14="",0,K14)) )</x:f>
      </x:c>
      <x:c r="M14" s="138" t="str"/>
      <x:c r="N14" s="137" t="str">
        <x:v>Current model BOM seed</x:v>
      </x:c>
      <x:c r="O14" s="137" t="str"/>
      <x:c r="P14" s="137" t="str">
        <x:v>To Confirm</x:v>
      </x:c>
      <x:c r="Q14" s="137" t="str"/>
    </x:row>
    <x:row r="15">
      <x:c r="A15" s="137" t="str">
        <x:v>BOM-00011</x:v>
      </x:c>
      <x:c r="B15" s="137" t="str">
        <x:v>ARMOUR (VELCRO)</x:v>
      </x:c>
      <x:c r="C15" s="137" t="str">
        <x:v>VELCRO</x:v>
      </x:c>
      <x:c r="D15" s="137" t="str">
        <x:v>8X10</x:v>
      </x:c>
      <x:c r="E15" s="137" t="str">
        <x:v>CUTTING</x:v>
      </x:c>
      <x:c r="F15" s="137" t="str">
        <x:v>INSOLE 4 MM||MTR</x:v>
      </x:c>
      <x:c r="G15" s="137" t="str">
        <x:v>INSOLE 4 MM</x:v>
      </x:c>
      <x:c r="H15" s="137" t="str">
        <x:v>MTR</x:v>
      </x:c>
      <x:c r="I15" s="175" t="n">
        <x:v>0.017902</x:v>
      </x:c>
      <x:c r="J15" s="176" t="str"/>
      <x:c r="K15" s="177" t="str"/>
      <x:c r="L15" s="178" t="str">
        <x:f>IF(J15="","",J15*(1+IF(K15="",0,K15)) )</x:f>
      </x:c>
      <x:c r="M15" s="138" t="str"/>
      <x:c r="N15" s="137" t="str">
        <x:v>Current model BOM seed</x:v>
      </x:c>
      <x:c r="O15" s="137" t="str"/>
      <x:c r="P15" s="137" t="str">
        <x:v>To Confirm</x:v>
      </x:c>
      <x:c r="Q15" s="137" t="str"/>
    </x:row>
    <x:row r="16">
      <x:c r="A16" s="137" t="str">
        <x:v>BOM-00012</x:v>
      </x:c>
      <x:c r="B16" s="137" t="str">
        <x:v>ARMOUR (VELCRO)</x:v>
      </x:c>
      <x:c r="C16" s="137" t="str">
        <x:v>VELCRO</x:v>
      </x:c>
      <x:c r="D16" s="137" t="str">
        <x:v>8X10</x:v>
      </x:c>
      <x:c r="E16" s="137" t="str">
        <x:v>STITCHING</x:v>
      </x:c>
      <x:c r="F16" s="137" t="str">
        <x:v>THREAD 3 PLY||SPOOL</x:v>
      </x:c>
      <x:c r="G16" s="137" t="str">
        <x:v>THREAD 3 PLY</x:v>
      </x:c>
      <x:c r="H16" s="137" t="str">
        <x:v>SPOOL</x:v>
      </x:c>
      <x:c r="I16" s="175" t="n">
        <x:v>0.037333</x:v>
      </x:c>
      <x:c r="J16" s="176" t="str"/>
      <x:c r="K16" s="177" t="str"/>
      <x:c r="L16" s="178" t="str">
        <x:f>IF(J16="","",J16*(1+IF(K16="",0,K16)) )</x:f>
      </x:c>
      <x:c r="M16" s="138" t="str"/>
      <x:c r="N16" s="137" t="str">
        <x:v>Current model BOM seed</x:v>
      </x:c>
      <x:c r="O16" s="137" t="str"/>
      <x:c r="P16" s="137" t="str">
        <x:v>To Confirm</x:v>
      </x:c>
      <x:c r="Q16" s="137" t="str"/>
    </x:row>
    <x:row r="17">
      <x:c r="A17" s="137" t="str">
        <x:v>BOM-00013</x:v>
      </x:c>
      <x:c r="B17" s="137" t="str">
        <x:v>ARMOUR (VELCRO)</x:v>
      </x:c>
      <x:c r="C17" s="137" t="str">
        <x:v>VELCRO</x:v>
      </x:c>
      <x:c r="D17" s="137" t="str">
        <x:v>8X10</x:v>
      </x:c>
      <x:c r="E17" s="137" t="str">
        <x:v>STITCHING</x:v>
      </x:c>
      <x:c r="F17" s="137" t="str">
        <x:v>SIZE LABEL||PCS</x:v>
      </x:c>
      <x:c r="G17" s="137" t="str">
        <x:v>SIZE LABEL</x:v>
      </x:c>
      <x:c r="H17" s="137" t="str">
        <x:v>PCS</x:v>
      </x:c>
      <x:c r="I17" s="175" t="n">
        <x:v>2</x:v>
      </x:c>
      <x:c r="J17" s="176" t="str"/>
      <x:c r="K17" s="177" t="str"/>
      <x:c r="L17" s="178" t="str">
        <x:f>IF(J17="","",J17*(1+IF(K17="",0,K17)) )</x:f>
      </x:c>
      <x:c r="M17" s="138" t="str"/>
      <x:c r="N17" s="137" t="str">
        <x:v>Current model BOM seed</x:v>
      </x:c>
      <x:c r="O17" s="137" t="str"/>
      <x:c r="P17" s="137" t="str">
        <x:v>To Confirm</x:v>
      </x:c>
      <x:c r="Q17" s="137" t="str"/>
    </x:row>
    <x:row r="18">
      <x:c r="A18" s="137" t="str">
        <x:v>BOM-00014</x:v>
      </x:c>
      <x:c r="B18" s="137" t="str">
        <x:v>ARMOUR (VELCRO)</x:v>
      </x:c>
      <x:c r="C18" s="137" t="str">
        <x:v>VELCRO</x:v>
      </x:c>
      <x:c r="D18" s="137" t="str">
        <x:v>8X10</x:v>
      </x:c>
      <x:c r="E18" s="137" t="str">
        <x:v>STITCHING</x:v>
      </x:c>
      <x:c r="F18" s="137" t="str">
        <x:v>TOUNG LABEL SNEAKER||PCS</x:v>
      </x:c>
      <x:c r="G18" s="137" t="str">
        <x:v>TOUNG LABEL SNEAKER</x:v>
      </x:c>
      <x:c r="H18" s="137" t="str">
        <x:v>PCS</x:v>
      </x:c>
      <x:c r="I18" s="175" t="n">
        <x:v>2</x:v>
      </x:c>
      <x:c r="J18" s="176" t="str"/>
      <x:c r="K18" s="177" t="str"/>
      <x:c r="L18" s="178" t="str">
        <x:f>IF(J18="","",J18*(1+IF(K18="",0,K18)) )</x:f>
      </x:c>
      <x:c r="M18" s="138" t="str"/>
      <x:c r="N18" s="137" t="str">
        <x:v>Current model BOM seed</x:v>
      </x:c>
      <x:c r="O18" s="137" t="str"/>
      <x:c r="P18" s="137" t="str">
        <x:v>To Confirm</x:v>
      </x:c>
      <x:c r="Q18" s="137" t="str"/>
    </x:row>
    <x:row r="19">
      <x:c r="A19" s="137" t="str">
        <x:v>BOM-00015</x:v>
      </x:c>
      <x:c r="B19" s="137" t="str">
        <x:v>ARMOUR (VELCRO)</x:v>
      </x:c>
      <x:c r="C19" s="137" t="str">
        <x:v>VELCRO</x:v>
      </x:c>
      <x:c r="D19" s="137" t="str">
        <x:v>8X10</x:v>
      </x:c>
      <x:c r="E19" s="137" t="str">
        <x:v>STITCHING</x:v>
      </x:c>
      <x:c r="F19" s="137" t="str">
        <x:v>PF-48||PCS</x:v>
      </x:c>
      <x:c r="G19" s="137" t="str">
        <x:v>PF-48</x:v>
      </x:c>
      <x:c r="H19" s="137" t="str">
        <x:v>PCS</x:v>
      </x:c>
      <x:c r="I19" s="175" t="n">
        <x:v>4</x:v>
      </x:c>
      <x:c r="J19" s="176" t="str"/>
      <x:c r="K19" s="177" t="str"/>
      <x:c r="L19" s="178" t="str">
        <x:f>IF(J19="","",J19*(1+IF(K19="",0,K19)) )</x:f>
      </x:c>
      <x:c r="M19" s="138" t="str"/>
      <x:c r="N19" s="137" t="str">
        <x:v>Current model BOM seed</x:v>
      </x:c>
      <x:c r="O19" s="137" t="str"/>
      <x:c r="P19" s="137" t="str">
        <x:v>To Confirm</x:v>
      </x:c>
      <x:c r="Q19" s="137" t="str"/>
    </x:row>
    <x:row r="20">
      <x:c r="A20" s="137" t="str">
        <x:v>BOM-00016</x:v>
      </x:c>
      <x:c r="B20" s="137" t="str">
        <x:v>ARMOUR (VELCRO)</x:v>
      </x:c>
      <x:c r="C20" s="137" t="str">
        <x:v>VELCRO</x:v>
      </x:c>
      <x:c r="D20" s="137" t="str">
        <x:v>8X10</x:v>
      </x:c>
      <x:c r="E20" s="137" t="str">
        <x:v>STITCHING</x:v>
      </x:c>
      <x:c r="F20" s="137" t="str">
        <x:v>VELCRO 20 MM HOOK||MTR</x:v>
      </x:c>
      <x:c r="G20" s="137" t="str">
        <x:v>VELCRO 20 MM HOOK</x:v>
      </x:c>
      <x:c r="H20" s="137" t="str">
        <x:v>MTR</x:v>
      </x:c>
      <x:c r="I20" s="175" t="n">
        <x:v>0.28</x:v>
      </x:c>
      <x:c r="J20" s="176" t="str"/>
      <x:c r="K20" s="177" t="str"/>
      <x:c r="L20" s="178" t="str">
        <x:f>IF(J20="","",J20*(1+IF(K20="",0,K20)) )</x:f>
      </x:c>
      <x:c r="M20" s="138" t="str"/>
      <x:c r="N20" s="137" t="str">
        <x:v>Current model BOM seed</x:v>
      </x:c>
      <x:c r="O20" s="137" t="str"/>
      <x:c r="P20" s="137" t="str">
        <x:v>To Confirm</x:v>
      </x:c>
      <x:c r="Q20" s="137" t="str"/>
    </x:row>
    <x:row r="21">
      <x:c r="A21" s="137" t="str">
        <x:v>BOM-00017</x:v>
      </x:c>
      <x:c r="B21" s="137" t="str">
        <x:v>ARMOUR (VELCRO)</x:v>
      </x:c>
      <x:c r="C21" s="137" t="str">
        <x:v>VELCRO</x:v>
      </x:c>
      <x:c r="D21" s="137" t="str">
        <x:v>8X10</x:v>
      </x:c>
      <x:c r="E21" s="137" t="str">
        <x:v>STITCHING</x:v>
      </x:c>
      <x:c r="F21" s="137" t="str">
        <x:v>VELCRO 20 MM LOOP||MTR</x:v>
      </x:c>
      <x:c r="G21" s="137" t="str">
        <x:v>VELCRO 20 MM LOOP</x:v>
      </x:c>
      <x:c r="H21" s="137" t="str">
        <x:v>MTR</x:v>
      </x:c>
      <x:c r="I21" s="175" t="n">
        <x:v>0.28</x:v>
      </x:c>
      <x:c r="J21" s="176" t="str"/>
      <x:c r="K21" s="177" t="str"/>
      <x:c r="L21" s="178" t="str">
        <x:f>IF(J21="","",J21*(1+IF(K21="",0,K21)) )</x:f>
      </x:c>
      <x:c r="M21" s="138" t="str"/>
      <x:c r="N21" s="137" t="str">
        <x:v>Current model BOM seed</x:v>
      </x:c>
      <x:c r="O21" s="137" t="str"/>
      <x:c r="P21" s="137" t="str">
        <x:v>To Confirm</x:v>
      </x:c>
      <x:c r="Q21" s="137" t="str"/>
    </x:row>
    <x:row r="22">
      <x:c r="A22" s="137" t="str">
        <x:v>BOM-00018</x:v>
      </x:c>
      <x:c r="B22" s="137" t="str">
        <x:v>ARMOUR (VELCRO)</x:v>
      </x:c>
      <x:c r="C22" s="137" t="str">
        <x:v>VELCRO</x:v>
      </x:c>
      <x:c r="D22" s="137" t="str">
        <x:v>8X10</x:v>
      </x:c>
      <x:c r="E22" s="137" t="str">
        <x:v>STITCHING</x:v>
      </x:c>
      <x:c r="F22" s="137" t="str">
        <x:v>POLYESTER BINDING 12 MM||MTR</x:v>
      </x:c>
      <x:c r="G22" s="137" t="str">
        <x:v>POLYESTER BINDING 12 MM</x:v>
      </x:c>
      <x:c r="H22" s="137" t="str">
        <x:v>MTR</x:v>
      </x:c>
      <x:c r="I22" s="175" t="n">
        <x:v>0.28</x:v>
      </x:c>
      <x:c r="J22" s="176" t="str"/>
      <x:c r="K22" s="177" t="str"/>
      <x:c r="L22" s="178" t="str">
        <x:f>IF(J22="","",J22*(1+IF(K22="",0,K22)) )</x:f>
      </x:c>
      <x:c r="M22" s="138" t="str"/>
      <x:c r="N22" s="137" t="str">
        <x:v>Current model BOM seed</x:v>
      </x:c>
      <x:c r="O22" s="137" t="str"/>
      <x:c r="P22" s="137" t="str">
        <x:v>To Confirm</x:v>
      </x:c>
      <x:c r="Q22" s="137" t="str"/>
    </x:row>
    <x:row r="23">
      <x:c r="A23" s="137" t="str">
        <x:v>BOM-00019</x:v>
      </x:c>
      <x:c r="B23" s="137" t="str">
        <x:v>ARMOUR (VELCRO)</x:v>
      </x:c>
      <x:c r="C23" s="137" t="str">
        <x:v>VELCRO</x:v>
      </x:c>
      <x:c r="D23" s="137" t="str">
        <x:v>8X10</x:v>
      </x:c>
      <x:c r="E23" s="137" t="str">
        <x:v>STITCHING</x:v>
      </x:c>
      <x:c r="F23" s="137" t="str">
        <x:v>BACK TAPE 14 MM||MTR</x:v>
      </x:c>
      <x:c r="G23" s="137" t="str">
        <x:v>BACK TAPE 14 MM</x:v>
      </x:c>
      <x:c r="H23" s="137" t="str">
        <x:v>MTR</x:v>
      </x:c>
      <x:c r="I23" s="175" t="n">
        <x:v>0.08</x:v>
      </x:c>
      <x:c r="J23" s="176" t="str"/>
      <x:c r="K23" s="177" t="str"/>
      <x:c r="L23" s="178" t="str">
        <x:f>IF(J23="","",J23*(1+IF(K23="",0,K23)) )</x:f>
      </x:c>
      <x:c r="M23" s="138" t="str"/>
      <x:c r="N23" s="137" t="str">
        <x:v>Current model BOM seed</x:v>
      </x:c>
      <x:c r="O23" s="137" t="str"/>
      <x:c r="P23" s="137" t="str">
        <x:v>To Confirm</x:v>
      </x:c>
      <x:c r="Q23" s="137" t="str"/>
    </x:row>
    <x:row r="24">
      <x:c r="A24" s="137" t="str">
        <x:v>BOM-00020</x:v>
      </x:c>
      <x:c r="B24" s="137" t="str">
        <x:v>ARMOUR (VELCRO)</x:v>
      </x:c>
      <x:c r="C24" s="137" t="str">
        <x:v>VELCRO</x:v>
      </x:c>
      <x:c r="D24" s="137" t="str">
        <x:v>11X1</x:v>
      </x:c>
      <x:c r="E24" s="137" t="str">
        <x:v>CUTTING</x:v>
      </x:c>
      <x:c r="F24" s="137" t="str">
        <x:v>ARMOR REXION||MTR</x:v>
      </x:c>
      <x:c r="G24" s="137" t="str">
        <x:v>ARMOR REXION</x:v>
      </x:c>
      <x:c r="H24" s="137" t="str">
        <x:v>MTR</x:v>
      </x:c>
      <x:c r="I24" s="175" t="n">
        <x:v>0.088889</x:v>
      </x:c>
      <x:c r="J24" s="176" t="str"/>
      <x:c r="K24" s="177" t="str"/>
      <x:c r="L24" s="178" t="str">
        <x:f>IF(J24="","",J24*(1+IF(K24="",0,K24)) )</x:f>
      </x:c>
      <x:c r="M24" s="138" t="str"/>
      <x:c r="N24" s="137" t="str">
        <x:v>Current model BOM seed</x:v>
      </x:c>
      <x:c r="O24" s="137" t="str"/>
      <x:c r="P24" s="137" t="str">
        <x:v>To Confirm</x:v>
      </x:c>
      <x:c r="Q24" s="137" t="str"/>
    </x:row>
    <x:row r="25">
      <x:c r="A25" s="137" t="str">
        <x:v>BOM-00021</x:v>
      </x:c>
      <x:c r="B25" s="137" t="str">
        <x:v>ARMOUR (VELCRO)</x:v>
      </x:c>
      <x:c r="C25" s="137" t="str">
        <x:v>VELCRO</x:v>
      </x:c>
      <x:c r="D25" s="137" t="str">
        <x:v>11X1</x:v>
      </x:c>
      <x:c r="E25" s="137" t="str">
        <x:v>CUTTING</x:v>
      </x:c>
      <x:c r="F25" s="137" t="str">
        <x:v>TOE PUFF 0.8MM||SHEET</x:v>
      </x:c>
      <x:c r="G25" s="137" t="str">
        <x:v>TOE PUFF 0.8MM</x:v>
      </x:c>
      <x:c r="H25" s="137" t="str">
        <x:v>SHEET</x:v>
      </x:c>
      <x:c r="I25" s="175" t="n">
        <x:v>0.007491</x:v>
      </x:c>
      <x:c r="J25" s="176" t="str"/>
      <x:c r="K25" s="177" t="str"/>
      <x:c r="L25" s="178" t="str">
        <x:f>IF(J25="","",J25*(1+IF(K25="",0,K25)) )</x:f>
      </x:c>
      <x:c r="M25" s="138" t="str"/>
      <x:c r="N25" s="137" t="str">
        <x:v>Current model BOM seed</x:v>
      </x:c>
      <x:c r="O25" s="137" t="str"/>
      <x:c r="P25" s="137" t="str">
        <x:v>To Confirm</x:v>
      </x:c>
      <x:c r="Q25" s="137" t="str"/>
    </x:row>
    <x:row r="26">
      <x:c r="A26" s="137" t="str">
        <x:v>BOM-00022</x:v>
      </x:c>
      <x:c r="B26" s="137" t="str">
        <x:v>ARMOUR (VELCRO)</x:v>
      </x:c>
      <x:c r="C26" s="137" t="str">
        <x:v>VELCRO</x:v>
      </x:c>
      <x:c r="D26" s="137" t="str">
        <x:v>11X1</x:v>
      </x:c>
      <x:c r="E26" s="137" t="str">
        <x:v>CUTTING</x:v>
      </x:c>
      <x:c r="F26" s="137" t="str">
        <x:v>PU MESH (HARD FOAM+BACKER)||MTR</x:v>
      </x:c>
      <x:c r="G26" s="137" t="str">
        <x:v>PU MESH (HARD FOAM+BACKER)</x:v>
      </x:c>
      <x:c r="H26" s="137" t="str">
        <x:v>MTR</x:v>
      </x:c>
      <x:c r="I26" s="175" t="n">
        <x:v>0.06402</x:v>
      </x:c>
      <x:c r="J26" s="176" t="str"/>
      <x:c r="K26" s="177" t="str"/>
      <x:c r="L26" s="178" t="str">
        <x:f>IF(J26="","",J26*(1+IF(K26="",0,K26)) )</x:f>
      </x:c>
      <x:c r="M26" s="138" t="str"/>
      <x:c r="N26" s="137" t="str">
        <x:v>Current model BOM seed</x:v>
      </x:c>
      <x:c r="O26" s="137" t="str"/>
      <x:c r="P26" s="137" t="str">
        <x:v>To Confirm</x:v>
      </x:c>
      <x:c r="Q26" s="137" t="str"/>
    </x:row>
    <x:row r="27">
      <x:c r="A27" s="137" t="str">
        <x:v>BOM-00023</x:v>
      </x:c>
      <x:c r="B27" s="137" t="str">
        <x:v>ARMOUR (VELCRO)</x:v>
      </x:c>
      <x:c r="C27" s="137" t="str">
        <x:v>VELCRO</x:v>
      </x:c>
      <x:c r="D27" s="137" t="str">
        <x:v>11X1</x:v>
      </x:c>
      <x:c r="E27" s="137" t="str">
        <x:v>CUTTING</x:v>
      </x:c>
      <x:c r="F27" s="137" t="str">
        <x:v>VAMP ASTER DOUBLE BACKER||MTR</x:v>
      </x:c>
      <x:c r="G27" s="137" t="str">
        <x:v>VAMP ASTER DOUBLE BACKER</x:v>
      </x:c>
      <x:c r="H27" s="137" t="str">
        <x:v>MTR</x:v>
      </x:c>
      <x:c r="I27" s="175" t="n">
        <x:v>0.020619</x:v>
      </x:c>
      <x:c r="J27" s="176" t="str"/>
      <x:c r="K27" s="177" t="str"/>
      <x:c r="L27" s="178" t="str">
        <x:f>IF(J27="","",J27*(1+IF(K27="",0,K27)) )</x:f>
      </x:c>
      <x:c r="M27" s="138" t="str"/>
      <x:c r="N27" s="137" t="str">
        <x:v>Current model BOM seed</x:v>
      </x:c>
      <x:c r="O27" s="137" t="str"/>
      <x:c r="P27" s="137" t="str">
        <x:v>To Confirm</x:v>
      </x:c>
      <x:c r="Q27" s="137" t="str"/>
    </x:row>
    <x:row r="28">
      <x:c r="A28" s="137" t="str">
        <x:v>BOM-00024</x:v>
      </x:c>
      <x:c r="B28" s="137" t="str">
        <x:v>ARMOUR (VELCRO)</x:v>
      </x:c>
      <x:c r="C28" s="137" t="str">
        <x:v>VELCRO</x:v>
      </x:c>
      <x:c r="D28" s="137" t="str">
        <x:v>11X1</x:v>
      </x:c>
      <x:c r="E28" s="137" t="str">
        <x:v>CUTTING</x:v>
      </x:c>
      <x:c r="F28" s="137" t="str">
        <x:v>SKINFIT GOLA ( FOAM + BACKER)||MTR</x:v>
      </x:c>
      <x:c r="G28" s="137" t="str">
        <x:v>SKINFIT GOLA ( FOAM + BACKER)</x:v>
      </x:c>
      <x:c r="H28" s="137" t="str">
        <x:v>MTR</x:v>
      </x:c>
      <x:c r="I28" s="175" t="n">
        <x:v>0.064533</x:v>
      </x:c>
      <x:c r="J28" s="176" t="str"/>
      <x:c r="K28" s="177" t="str"/>
      <x:c r="L28" s="178" t="str">
        <x:f>IF(J28="","",J28*(1+IF(K28="",0,K28)) )</x:f>
      </x:c>
      <x:c r="M28" s="138" t="str"/>
      <x:c r="N28" s="137" t="str">
        <x:v>Current model BOM seed</x:v>
      </x:c>
      <x:c r="O28" s="137" t="str"/>
      <x:c r="P28" s="137" t="str">
        <x:v>To Confirm</x:v>
      </x:c>
      <x:c r="Q28" s="137" t="str"/>
    </x:row>
    <x:row r="29">
      <x:c r="A29" s="137" t="str">
        <x:v>BOM-00025</x:v>
      </x:c>
      <x:c r="B29" s="137" t="str">
        <x:v>ARMOUR (VELCRO)</x:v>
      </x:c>
      <x:c r="C29" s="137" t="str">
        <x:v>VELCRO</x:v>
      </x:c>
      <x:c r="D29" s="137" t="str">
        <x:v>11X1</x:v>
      </x:c>
      <x:c r="E29" s="137" t="str">
        <x:v>CUTTING</x:v>
      </x:c>
      <x:c r="F29" s="137" t="str">
        <x:v>DRILL CLOTH||MTR</x:v>
      </x:c>
      <x:c r="G29" s="137" t="str">
        <x:v>DRILL CLOTH</x:v>
      </x:c>
      <x:c r="H29" s="137" t="str">
        <x:v>MTR</x:v>
      </x:c>
      <x:c r="I29" s="175" t="n">
        <x:v>0.011852</x:v>
      </x:c>
      <x:c r="J29" s="176" t="str"/>
      <x:c r="K29" s="177" t="str"/>
      <x:c r="L29" s="178" t="str">
        <x:f>IF(J29="","",J29*(1+IF(K29="",0,K29)) )</x:f>
      </x:c>
      <x:c r="M29" s="138" t="str"/>
      <x:c r="N29" s="137" t="str">
        <x:v>Current model BOM seed</x:v>
      </x:c>
      <x:c r="O29" s="137" t="str"/>
      <x:c r="P29" s="137" t="str">
        <x:v>To Confirm</x:v>
      </x:c>
      <x:c r="Q29" s="137" t="str"/>
    </x:row>
    <x:row r="30">
      <x:c r="A30" s="137" t="str">
        <x:v>BOM-00026</x:v>
      </x:c>
      <x:c r="B30" s="137" t="str">
        <x:v>ARMOUR (VELCRO)</x:v>
      </x:c>
      <x:c r="C30" s="137" t="str">
        <x:v>VELCRO</x:v>
      </x:c>
      <x:c r="D30" s="137" t="str">
        <x:v>11X1</x:v>
      </x:c>
      <x:c r="E30" s="137" t="str">
        <x:v>CUTTING</x:v>
      </x:c>
      <x:c r="F30" s="137" t="str">
        <x:v>ASTER HEAVY FOR TOUNG||MTR</x:v>
      </x:c>
      <x:c r="G30" s="137" t="str">
        <x:v>ASTER HEAVY FOR TOUNG</x:v>
      </x:c>
      <x:c r="H30" s="137" t="str">
        <x:v>MTR</x:v>
      </x:c>
      <x:c r="I30" s="175" t="n">
        <x:v>0.013889</x:v>
      </x:c>
      <x:c r="J30" s="176" t="str"/>
      <x:c r="K30" s="177" t="str"/>
      <x:c r="L30" s="178" t="str">
        <x:f>IF(J30="","",J30*(1+IF(K30="",0,K30)) )</x:f>
      </x:c>
      <x:c r="M30" s="138" t="str"/>
      <x:c r="N30" s="137" t="str">
        <x:v>Current model BOM seed</x:v>
      </x:c>
      <x:c r="O30" s="137" t="str"/>
      <x:c r="P30" s="137" t="str">
        <x:v>To Confirm</x:v>
      </x:c>
      <x:c r="Q30" s="137" t="str"/>
    </x:row>
    <x:row r="31">
      <x:c r="A31" s="137" t="str">
        <x:v>BOM-00027</x:v>
      </x:c>
      <x:c r="B31" s="137" t="str">
        <x:v>ARMOUR (VELCRO)</x:v>
      </x:c>
      <x:c r="C31" s="137" t="str">
        <x:v>VELCRO</x:v>
      </x:c>
      <x:c r="D31" s="137" t="str">
        <x:v>11X1</x:v>
      </x:c>
      <x:c r="E31" s="137" t="str">
        <x:v>CUTTING</x:v>
      </x:c>
      <x:c r="F31" s="137" t="str">
        <x:v>COLOR FOAM 20MM||SHEET</x:v>
      </x:c>
      <x:c r="G31" s="137" t="str">
        <x:v>COLOR FOAM 20MM</x:v>
      </x:c>
      <x:c r="H31" s="137" t="str">
        <x:v>SHEET</x:v>
      </x:c>
      <x:c r="I31" s="175" t="n">
        <x:v>0.009818</x:v>
      </x:c>
      <x:c r="J31" s="176" t="str"/>
      <x:c r="K31" s="177" t="str"/>
      <x:c r="L31" s="178" t="str">
        <x:f>IF(J31="","",J31*(1+IF(K31="",0,K31)) )</x:f>
      </x:c>
      <x:c r="M31" s="138" t="str"/>
      <x:c r="N31" s="137" t="str">
        <x:v>Current model BOM seed</x:v>
      </x:c>
      <x:c r="O31" s="137" t="str"/>
      <x:c r="P31" s="137" t="str">
        <x:v>To Confirm</x:v>
      </x:c>
      <x:c r="Q31" s="137" t="str"/>
    </x:row>
    <x:row r="32">
      <x:c r="A32" s="137" t="str">
        <x:v>BOM-00028</x:v>
      </x:c>
      <x:c r="B32" s="137" t="str">
        <x:v>ARMOUR (VELCRO)</x:v>
      </x:c>
      <x:c r="C32" s="137" t="str">
        <x:v>VELCRO</x:v>
      </x:c>
      <x:c r="D32" s="137" t="str">
        <x:v>11X1</x:v>
      </x:c>
      <x:c r="E32" s="137" t="str">
        <x:v>CUTTING</x:v>
      </x:c>
      <x:c r="F32" s="137" t="str">
        <x:v>TEXION||SHEET</x:v>
      </x:c>
      <x:c r="G32" s="137" t="str">
        <x:v>TEXION</x:v>
      </x:c>
      <x:c r="H32" s="137" t="str">
        <x:v>SHEET</x:v>
      </x:c>
      <x:c r="I32" s="175" t="n">
        <x:v>0.027778</x:v>
      </x:c>
      <x:c r="J32" s="176" t="str"/>
      <x:c r="K32" s="177" t="str"/>
      <x:c r="L32" s="178" t="str">
        <x:f>IF(J32="","",J32*(1+IF(K32="",0,K32)) )</x:f>
      </x:c>
      <x:c r="M32" s="138" t="str"/>
      <x:c r="N32" s="137" t="str">
        <x:v>Current model BOM seed</x:v>
      </x:c>
      <x:c r="O32" s="137" t="str"/>
      <x:c r="P32" s="137" t="str">
        <x:v>To Confirm</x:v>
      </x:c>
      <x:c r="Q32" s="137" t="str"/>
    </x:row>
    <x:row r="33">
      <x:c r="A33" s="137" t="str">
        <x:v>BOM-00029</x:v>
      </x:c>
      <x:c r="B33" s="137" t="str">
        <x:v>ARMOUR (VELCRO)</x:v>
      </x:c>
      <x:c r="C33" s="137" t="str">
        <x:v>VELCRO</x:v>
      </x:c>
      <x:c r="D33" s="137" t="str">
        <x:v>11X1</x:v>
      </x:c>
      <x:c r="E33" s="137" t="str">
        <x:v>CUTTING</x:v>
      </x:c>
      <x:c r="F33" s="137" t="str">
        <x:v>STIFNER 1.4MM YELLOW||SHEET</x:v>
      </x:c>
      <x:c r="G33" s="137" t="str">
        <x:v>STIFNER 1.4MM YELLOW</x:v>
      </x:c>
      <x:c r="H33" s="137" t="str">
        <x:v>SHEET</x:v>
      </x:c>
      <x:c r="I33" s="175" t="n">
        <x:v>0.008547</x:v>
      </x:c>
      <x:c r="J33" s="176" t="str"/>
      <x:c r="K33" s="177" t="str"/>
      <x:c r="L33" s="178" t="str">
        <x:f>IF(J33="","",J33*(1+IF(K33="",0,K33)) )</x:f>
      </x:c>
      <x:c r="M33" s="138" t="str"/>
      <x:c r="N33" s="137" t="str">
        <x:v>Current model BOM seed</x:v>
      </x:c>
      <x:c r="O33" s="137" t="str"/>
      <x:c r="P33" s="137" t="str">
        <x:v>To Confirm</x:v>
      </x:c>
      <x:c r="Q33" s="137" t="str"/>
    </x:row>
    <x:row r="34">
      <x:c r="A34" s="137" t="str">
        <x:v>BOM-00030</x:v>
      </x:c>
      <x:c r="B34" s="137" t="str">
        <x:v>ARMOUR (VELCRO)</x:v>
      </x:c>
      <x:c r="C34" s="137" t="str">
        <x:v>VELCRO</x:v>
      </x:c>
      <x:c r="D34" s="137" t="str">
        <x:v>11X1</x:v>
      </x:c>
      <x:c r="E34" s="137" t="str">
        <x:v>CUTTING</x:v>
      </x:c>
      <x:c r="F34" s="137" t="str">
        <x:v>INSOLE 4 MM||MTR</x:v>
      </x:c>
      <x:c r="G34" s="137" t="str">
        <x:v>INSOLE 4 MM</x:v>
      </x:c>
      <x:c r="H34" s="137" t="str">
        <x:v>MTR</x:v>
      </x:c>
      <x:c r="I34" s="175" t="n">
        <x:v>0.022222</x:v>
      </x:c>
      <x:c r="J34" s="176" t="str"/>
      <x:c r="K34" s="177" t="str"/>
      <x:c r="L34" s="178" t="str">
        <x:f>IF(J34="","",J34*(1+IF(K34="",0,K34)) )</x:f>
      </x:c>
      <x:c r="M34" s="138" t="str"/>
      <x:c r="N34" s="137" t="str">
        <x:v>Current model BOM seed</x:v>
      </x:c>
      <x:c r="O34" s="137" t="str"/>
      <x:c r="P34" s="137" t="str">
        <x:v>To Confirm</x:v>
      </x:c>
      <x:c r="Q34" s="137" t="str"/>
    </x:row>
    <x:row r="35">
      <x:c r="A35" s="137" t="str">
        <x:v>BOM-00031</x:v>
      </x:c>
      <x:c r="B35" s="137" t="str">
        <x:v>ARMOUR (VELCRO)</x:v>
      </x:c>
      <x:c r="C35" s="137" t="str">
        <x:v>VELCRO</x:v>
      </x:c>
      <x:c r="D35" s="137" t="str">
        <x:v>11X1</x:v>
      </x:c>
      <x:c r="E35" s="137" t="str">
        <x:v>STITCHING</x:v>
      </x:c>
      <x:c r="F35" s="137" t="str">
        <x:v>THREAD 3 PLY||SPOOL</x:v>
      </x:c>
      <x:c r="G35" s="137" t="str">
        <x:v>THREAD 3 PLY</x:v>
      </x:c>
      <x:c r="H35" s="137" t="str">
        <x:v>SPOOL</x:v>
      </x:c>
      <x:c r="I35" s="175" t="n">
        <x:v>0.040667</x:v>
      </x:c>
      <x:c r="J35" s="176" t="str"/>
      <x:c r="K35" s="177" t="str"/>
      <x:c r="L35" s="178" t="str">
        <x:f>IF(J35="","",J35*(1+IF(K35="",0,K35)) )</x:f>
      </x:c>
      <x:c r="M35" s="138" t="str"/>
      <x:c r="N35" s="137" t="str">
        <x:v>Current model BOM seed</x:v>
      </x:c>
      <x:c r="O35" s="137" t="str"/>
      <x:c r="P35" s="137" t="str">
        <x:v>To Confirm</x:v>
      </x:c>
      <x:c r="Q35" s="137" t="str"/>
    </x:row>
    <x:row r="36">
      <x:c r="A36" s="137" t="str">
        <x:v>BOM-00032</x:v>
      </x:c>
      <x:c r="B36" s="137" t="str">
        <x:v>ARMOUR (VELCRO)</x:v>
      </x:c>
      <x:c r="C36" s="137" t="str">
        <x:v>VELCRO</x:v>
      </x:c>
      <x:c r="D36" s="137" t="str">
        <x:v>11X1</x:v>
      </x:c>
      <x:c r="E36" s="137" t="str">
        <x:v>STITCHING</x:v>
      </x:c>
      <x:c r="F36" s="137" t="str">
        <x:v>SIZE LABEL||PCS</x:v>
      </x:c>
      <x:c r="G36" s="137" t="str">
        <x:v>SIZE LABEL</x:v>
      </x:c>
      <x:c r="H36" s="137" t="str">
        <x:v>PCS</x:v>
      </x:c>
      <x:c r="I36" s="175" t="n">
        <x:v>2</x:v>
      </x:c>
      <x:c r="J36" s="176" t="str"/>
      <x:c r="K36" s="177" t="str"/>
      <x:c r="L36" s="178" t="str">
        <x:f>IF(J36="","",J36*(1+IF(K36="",0,K36)) )</x:f>
      </x:c>
      <x:c r="M36" s="138" t="str"/>
      <x:c r="N36" s="137" t="str">
        <x:v>Current model BOM seed</x:v>
      </x:c>
      <x:c r="O36" s="137" t="str"/>
      <x:c r="P36" s="137" t="str">
        <x:v>To Confirm</x:v>
      </x:c>
      <x:c r="Q36" s="137" t="str"/>
    </x:row>
    <x:row r="37">
      <x:c r="A37" s="137" t="str">
        <x:v>BOM-00033</x:v>
      </x:c>
      <x:c r="B37" s="137" t="str">
        <x:v>ARMOUR (VELCRO)</x:v>
      </x:c>
      <x:c r="C37" s="137" t="str">
        <x:v>VELCRO</x:v>
      </x:c>
      <x:c r="D37" s="137" t="str">
        <x:v>11X1</x:v>
      </x:c>
      <x:c r="E37" s="137" t="str">
        <x:v>STITCHING</x:v>
      </x:c>
      <x:c r="F37" s="137" t="str">
        <x:v>TOUNG LABEL SNEAKER||PCS</x:v>
      </x:c>
      <x:c r="G37" s="137" t="str">
        <x:v>TOUNG LABEL SNEAKER</x:v>
      </x:c>
      <x:c r="H37" s="137" t="str">
        <x:v>PCS</x:v>
      </x:c>
      <x:c r="I37" s="175" t="n">
        <x:v>2</x:v>
      </x:c>
      <x:c r="J37" s="176" t="str"/>
      <x:c r="K37" s="177" t="str"/>
      <x:c r="L37" s="178" t="str">
        <x:f>IF(J37="","",J37*(1+IF(K37="",0,K37)) )</x:f>
      </x:c>
      <x:c r="M37" s="138" t="str"/>
      <x:c r="N37" s="137" t="str">
        <x:v>Current model BOM seed</x:v>
      </x:c>
      <x:c r="O37" s="137" t="str"/>
      <x:c r="P37" s="137" t="str">
        <x:v>To Confirm</x:v>
      </x:c>
      <x:c r="Q37" s="137" t="str"/>
    </x:row>
    <x:row r="38">
      <x:c r="A38" s="137" t="str">
        <x:v>BOM-00034</x:v>
      </x:c>
      <x:c r="B38" s="137" t="str">
        <x:v>ARMOUR (VELCRO)</x:v>
      </x:c>
      <x:c r="C38" s="137" t="str">
        <x:v>VELCRO</x:v>
      </x:c>
      <x:c r="D38" s="137" t="str">
        <x:v>11X1</x:v>
      </x:c>
      <x:c r="E38" s="137" t="str">
        <x:v>STITCHING</x:v>
      </x:c>
      <x:c r="F38" s="137" t="str">
        <x:v>PF-48||PCS</x:v>
      </x:c>
      <x:c r="G38" s="137" t="str">
        <x:v>PF-48</x:v>
      </x:c>
      <x:c r="H38" s="137" t="str">
        <x:v>PCS</x:v>
      </x:c>
      <x:c r="I38" s="175" t="n">
        <x:v>4</x:v>
      </x:c>
      <x:c r="J38" s="176" t="str"/>
      <x:c r="K38" s="177" t="str"/>
      <x:c r="L38" s="178" t="str">
        <x:f>IF(J38="","",J38*(1+IF(K38="",0,K38)) )</x:f>
      </x:c>
      <x:c r="M38" s="138" t="str"/>
      <x:c r="N38" s="137" t="str">
        <x:v>Current model BOM seed</x:v>
      </x:c>
      <x:c r="O38" s="137" t="str"/>
      <x:c r="P38" s="137" t="str">
        <x:v>To Confirm</x:v>
      </x:c>
      <x:c r="Q38" s="137" t="str"/>
    </x:row>
    <x:row r="39">
      <x:c r="A39" s="137" t="str">
        <x:v>BOM-00035</x:v>
      </x:c>
      <x:c r="B39" s="137" t="str">
        <x:v>ARMOUR (VELCRO)</x:v>
      </x:c>
      <x:c r="C39" s="137" t="str">
        <x:v>VELCRO</x:v>
      </x:c>
      <x:c r="D39" s="137" t="str">
        <x:v>11X1</x:v>
      </x:c>
      <x:c r="E39" s="137" t="str">
        <x:v>STITCHING</x:v>
      </x:c>
      <x:c r="F39" s="137" t="str">
        <x:v>VELCRO 20 MM HOOK||MTR</x:v>
      </x:c>
      <x:c r="G39" s="137" t="str">
        <x:v>VELCRO 20 MM HOOK</x:v>
      </x:c>
      <x:c r="H39" s="137" t="str">
        <x:v>MTR</x:v>
      </x:c>
      <x:c r="I39" s="175" t="n">
        <x:v>0.3</x:v>
      </x:c>
      <x:c r="J39" s="176" t="str"/>
      <x:c r="K39" s="177" t="str"/>
      <x:c r="L39" s="178" t="str">
        <x:f>IF(J39="","",J39*(1+IF(K39="",0,K39)) )</x:f>
      </x:c>
      <x:c r="M39" s="138" t="str"/>
      <x:c r="N39" s="137" t="str">
        <x:v>Current model BOM seed</x:v>
      </x:c>
      <x:c r="O39" s="137" t="str"/>
      <x:c r="P39" s="137" t="str">
        <x:v>To Confirm</x:v>
      </x:c>
      <x:c r="Q39" s="137" t="str"/>
    </x:row>
    <x:row r="40">
      <x:c r="A40" s="137" t="str">
        <x:v>BOM-00036</x:v>
      </x:c>
      <x:c r="B40" s="137" t="str">
        <x:v>ARMOUR (VELCRO)</x:v>
      </x:c>
      <x:c r="C40" s="137" t="str">
        <x:v>VELCRO</x:v>
      </x:c>
      <x:c r="D40" s="137" t="str">
        <x:v>11X1</x:v>
      </x:c>
      <x:c r="E40" s="137" t="str">
        <x:v>STITCHING</x:v>
      </x:c>
      <x:c r="F40" s="137" t="str">
        <x:v>VELCRO 20 MM LOOP||MTR</x:v>
      </x:c>
      <x:c r="G40" s="137" t="str">
        <x:v>VELCRO 20 MM LOOP</x:v>
      </x:c>
      <x:c r="H40" s="137" t="str">
        <x:v>MTR</x:v>
      </x:c>
      <x:c r="I40" s="175" t="n">
        <x:v>0.3</x:v>
      </x:c>
      <x:c r="J40" s="176" t="str"/>
      <x:c r="K40" s="177" t="str"/>
      <x:c r="L40" s="178" t="str">
        <x:f>IF(J40="","",J40*(1+IF(K40="",0,K40)) )</x:f>
      </x:c>
      <x:c r="M40" s="138" t="str"/>
      <x:c r="N40" s="137" t="str">
        <x:v>Current model BOM seed</x:v>
      </x:c>
      <x:c r="O40" s="137" t="str"/>
      <x:c r="P40" s="137" t="str">
        <x:v>To Confirm</x:v>
      </x:c>
      <x:c r="Q40" s="137" t="str"/>
    </x:row>
    <x:row r="41">
      <x:c r="A41" s="137" t="str">
        <x:v>BOM-00037</x:v>
      </x:c>
      <x:c r="B41" s="137" t="str">
        <x:v>ARMOUR (VELCRO)</x:v>
      </x:c>
      <x:c r="C41" s="137" t="str">
        <x:v>VELCRO</x:v>
      </x:c>
      <x:c r="D41" s="137" t="str">
        <x:v>11X1</x:v>
      </x:c>
      <x:c r="E41" s="137" t="str">
        <x:v>STITCHING</x:v>
      </x:c>
      <x:c r="F41" s="137" t="str">
        <x:v>POLYESTER BINDING 12 MM||MTR</x:v>
      </x:c>
      <x:c r="G41" s="137" t="str">
        <x:v>POLYESTER BINDING 12 MM</x:v>
      </x:c>
      <x:c r="H41" s="137" t="str">
        <x:v>MTR</x:v>
      </x:c>
      <x:c r="I41" s="175" t="n">
        <x:v>0.3</x:v>
      </x:c>
      <x:c r="J41" s="176" t="str"/>
      <x:c r="K41" s="177" t="str"/>
      <x:c r="L41" s="178" t="str">
        <x:f>IF(J41="","",J41*(1+IF(K41="",0,K41)) )</x:f>
      </x:c>
      <x:c r="M41" s="138" t="str"/>
      <x:c r="N41" s="137" t="str">
        <x:v>Current model BOM seed</x:v>
      </x:c>
      <x:c r="O41" s="137" t="str"/>
      <x:c r="P41" s="137" t="str">
        <x:v>To Confirm</x:v>
      </x:c>
      <x:c r="Q41" s="137" t="str"/>
    </x:row>
    <x:row r="42">
      <x:c r="A42" s="137" t="str">
        <x:v>BOM-00038</x:v>
      </x:c>
      <x:c r="B42" s="137" t="str">
        <x:v>ARMOUR (VELCRO)</x:v>
      </x:c>
      <x:c r="C42" s="137" t="str">
        <x:v>VELCRO</x:v>
      </x:c>
      <x:c r="D42" s="137" t="str">
        <x:v>11X1</x:v>
      </x:c>
      <x:c r="E42" s="137" t="str">
        <x:v>STITCHING</x:v>
      </x:c>
      <x:c r="F42" s="137" t="str">
        <x:v>BACK TAPE 14 MM||MTR</x:v>
      </x:c>
      <x:c r="G42" s="137" t="str">
        <x:v>BACK TAPE 14 MM</x:v>
      </x:c>
      <x:c r="H42" s="137" t="str">
        <x:v>MTR</x:v>
      </x:c>
      <x:c r="I42" s="175" t="n">
        <x:v>0.08</x:v>
      </x:c>
      <x:c r="J42" s="176" t="str"/>
      <x:c r="K42" s="177" t="str"/>
      <x:c r="L42" s="178" t="str">
        <x:f>IF(J42="","",J42*(1+IF(K42="",0,K42)) )</x:f>
      </x:c>
      <x:c r="M42" s="138" t="str"/>
      <x:c r="N42" s="137" t="str">
        <x:v>Current model BOM seed</x:v>
      </x:c>
      <x:c r="O42" s="137" t="str"/>
      <x:c r="P42" s="137" t="str">
        <x:v>To Confirm</x:v>
      </x:c>
      <x:c r="Q42" s="137" t="str"/>
    </x:row>
    <x:row r="43">
      <x:c r="A43" s="137" t="str">
        <x:v>BOM-00039</x:v>
      </x:c>
      <x:c r="B43" s="137" t="str">
        <x:v>ARMOUR (VELCRO)</x:v>
      </x:c>
      <x:c r="C43" s="137" t="str">
        <x:v>VELCRO</x:v>
      </x:c>
      <x:c r="D43" s="137" t="str">
        <x:v>2X5</x:v>
      </x:c>
      <x:c r="E43" s="137" t="str">
        <x:v>CUTTING</x:v>
      </x:c>
      <x:c r="F43" s="137" t="str">
        <x:v>ARMOR REXION||MTR</x:v>
      </x:c>
      <x:c r="G43" s="137" t="str">
        <x:v>ARMOR REXION</x:v>
      </x:c>
      <x:c r="H43" s="137" t="str">
        <x:v>MTR</x:v>
      </x:c>
      <x:c r="I43" s="175" t="n">
        <x:v>0.106</x:v>
      </x:c>
      <x:c r="J43" s="176" t="str"/>
      <x:c r="K43" s="177" t="str"/>
      <x:c r="L43" s="178" t="str">
        <x:f>IF(J43="","",J43*(1+IF(K43="",0,K43)) )</x:f>
      </x:c>
      <x:c r="M43" s="138" t="str"/>
      <x:c r="N43" s="137" t="str">
        <x:v>Current model BOM seed</x:v>
      </x:c>
      <x:c r="O43" s="137" t="str"/>
      <x:c r="P43" s="137" t="str">
        <x:v>To Confirm</x:v>
      </x:c>
      <x:c r="Q43" s="137" t="str"/>
    </x:row>
    <x:row r="44">
      <x:c r="A44" s="137" t="str">
        <x:v>BOM-00040</x:v>
      </x:c>
      <x:c r="B44" s="137" t="str">
        <x:v>ARMOUR (VELCRO)</x:v>
      </x:c>
      <x:c r="C44" s="137" t="str">
        <x:v>VELCRO</x:v>
      </x:c>
      <x:c r="D44" s="137" t="str">
        <x:v>2X5</x:v>
      </x:c>
      <x:c r="E44" s="137" t="str">
        <x:v>CUTTING</x:v>
      </x:c>
      <x:c r="F44" s="137" t="str">
        <x:v>TOE PUFF 0.8MM||SHEET</x:v>
      </x:c>
      <x:c r="G44" s="137" t="str">
        <x:v>TOE PUFF 0.8MM</x:v>
      </x:c>
      <x:c r="H44" s="137" t="str">
        <x:v>SHEET</x:v>
      </x:c>
      <x:c r="I44" s="175" t="n">
        <x:v>0.008643</x:v>
      </x:c>
      <x:c r="J44" s="176" t="str"/>
      <x:c r="K44" s="177" t="str"/>
      <x:c r="L44" s="178" t="str">
        <x:f>IF(J44="","",J44*(1+IF(K44="",0,K44)) )</x:f>
      </x:c>
      <x:c r="M44" s="138" t="str"/>
      <x:c r="N44" s="137" t="str">
        <x:v>Current model BOM seed</x:v>
      </x:c>
      <x:c r="O44" s="137" t="str"/>
      <x:c r="P44" s="137" t="str">
        <x:v>To Confirm</x:v>
      </x:c>
      <x:c r="Q44" s="137" t="str"/>
    </x:row>
    <x:row r="45">
      <x:c r="A45" s="137" t="str">
        <x:v>BOM-00041</x:v>
      </x:c>
      <x:c r="B45" s="137" t="str">
        <x:v>ARMOUR (VELCRO)</x:v>
      </x:c>
      <x:c r="C45" s="137" t="str">
        <x:v>VELCRO</x:v>
      </x:c>
      <x:c r="D45" s="137" t="str">
        <x:v>2X5</x:v>
      </x:c>
      <x:c r="E45" s="137" t="str">
        <x:v>CUTTING</x:v>
      </x:c>
      <x:c r="F45" s="137" t="str">
        <x:v>PU MESH (HARD FOAM+BACKER)||MTR</x:v>
      </x:c>
      <x:c r="G45" s="137" t="str">
        <x:v>PU MESH (HARD FOAM+BACKER)</x:v>
      </x:c>
      <x:c r="H45" s="137" t="str">
        <x:v>MTR</x:v>
      </x:c>
      <x:c r="I45" s="175" t="n">
        <x:v>0.088889</x:v>
      </x:c>
      <x:c r="J45" s="176" t="str"/>
      <x:c r="K45" s="177" t="str"/>
      <x:c r="L45" s="178" t="str">
        <x:f>IF(J45="","",J45*(1+IF(K45="",0,K45)) )</x:f>
      </x:c>
      <x:c r="M45" s="138" t="str"/>
      <x:c r="N45" s="137" t="str">
        <x:v>Current model BOM seed</x:v>
      </x:c>
      <x:c r="O45" s="137" t="str"/>
      <x:c r="P45" s="137" t="str">
        <x:v>To Confirm</x:v>
      </x:c>
      <x:c r="Q45" s="137" t="str"/>
    </x:row>
    <x:row r="46">
      <x:c r="A46" s="137" t="str">
        <x:v>BOM-00042</x:v>
      </x:c>
      <x:c r="B46" s="137" t="str">
        <x:v>ARMOUR (VELCRO)</x:v>
      </x:c>
      <x:c r="C46" s="137" t="str">
        <x:v>VELCRO</x:v>
      </x:c>
      <x:c r="D46" s="137" t="str">
        <x:v>2X5</x:v>
      </x:c>
      <x:c r="E46" s="137" t="str">
        <x:v>CUTTING</x:v>
      </x:c>
      <x:c r="F46" s="137" t="str">
        <x:v>VAMP ASTER DOUBLE BACKER||MTR</x:v>
      </x:c>
      <x:c r="G46" s="137" t="str">
        <x:v>VAMP ASTER DOUBLE BACKER</x:v>
      </x:c>
      <x:c r="H46" s="137" t="str">
        <x:v>MTR</x:v>
      </x:c>
      <x:c r="I46" s="175" t="n">
        <x:v>0.023375</x:v>
      </x:c>
      <x:c r="J46" s="176" t="str"/>
      <x:c r="K46" s="177" t="str"/>
      <x:c r="L46" s="178" t="str">
        <x:f>IF(J46="","",J46*(1+IF(K46="",0,K46)) )</x:f>
      </x:c>
      <x:c r="M46" s="138" t="str"/>
      <x:c r="N46" s="137" t="str">
        <x:v>Current model BOM seed</x:v>
      </x:c>
      <x:c r="O46" s="137" t="str"/>
      <x:c r="P46" s="137" t="str">
        <x:v>To Confirm</x:v>
      </x:c>
      <x:c r="Q46" s="137" t="str"/>
    </x:row>
    <x:row r="47">
      <x:c r="A47" s="137" t="str">
        <x:v>BOM-00043</x:v>
      </x:c>
      <x:c r="B47" s="137" t="str">
        <x:v>ARMOUR (VELCRO)</x:v>
      </x:c>
      <x:c r="C47" s="137" t="str">
        <x:v>VELCRO</x:v>
      </x:c>
      <x:c r="D47" s="137" t="str">
        <x:v>2X5</x:v>
      </x:c>
      <x:c r="E47" s="137" t="str">
        <x:v>CUTTING</x:v>
      </x:c>
      <x:c r="F47" s="137" t="str">
        <x:v>SKINFIT GOLA ( FOAM + BACKER)||MTR</x:v>
      </x:c>
      <x:c r="G47" s="137" t="str">
        <x:v>SKINFIT GOLA ( FOAM + BACKER)</x:v>
      </x:c>
      <x:c r="H47" s="137" t="str">
        <x:v>MTR</x:v>
      </x:c>
      <x:c r="I47" s="175" t="n">
        <x:v>0.0732</x:v>
      </x:c>
      <x:c r="J47" s="176" t="str"/>
      <x:c r="K47" s="177" t="str"/>
      <x:c r="L47" s="178" t="str">
        <x:f>IF(J47="","",J47*(1+IF(K47="",0,K47)) )</x:f>
      </x:c>
      <x:c r="M47" s="138" t="str"/>
      <x:c r="N47" s="137" t="str">
        <x:v>Current model BOM seed</x:v>
      </x:c>
      <x:c r="O47" s="137" t="str"/>
      <x:c r="P47" s="137" t="str">
        <x:v>To Confirm</x:v>
      </x:c>
      <x:c r="Q47" s="137" t="str"/>
    </x:row>
    <x:row r="48">
      <x:c r="A48" s="137" t="str">
        <x:v>BOM-00044</x:v>
      </x:c>
      <x:c r="B48" s="137" t="str">
        <x:v>ARMOUR (VELCRO)</x:v>
      </x:c>
      <x:c r="C48" s="137" t="str">
        <x:v>VELCRO</x:v>
      </x:c>
      <x:c r="D48" s="137" t="str">
        <x:v>2X5</x:v>
      </x:c>
      <x:c r="E48" s="137" t="str">
        <x:v>CUTTING</x:v>
      </x:c>
      <x:c r="F48" s="137" t="str">
        <x:v>DRILL CLOTH||MTR</x:v>
      </x:c>
      <x:c r="G48" s="137" t="str">
        <x:v>DRILL CLOTH</x:v>
      </x:c>
      <x:c r="H48" s="137" t="str">
        <x:v>MTR</x:v>
      </x:c>
      <x:c r="I48" s="175" t="n">
        <x:v>0.013852</x:v>
      </x:c>
      <x:c r="J48" s="176" t="str"/>
      <x:c r="K48" s="177" t="str"/>
      <x:c r="L48" s="178" t="str">
        <x:f>IF(J48="","",J48*(1+IF(K48="",0,K48)) )</x:f>
      </x:c>
      <x:c r="M48" s="138" t="str"/>
      <x:c r="N48" s="137" t="str">
        <x:v>Current model BOM seed</x:v>
      </x:c>
      <x:c r="O48" s="137" t="str"/>
      <x:c r="P48" s="137" t="str">
        <x:v>To Confirm</x:v>
      </x:c>
      <x:c r="Q48" s="137" t="str"/>
    </x:row>
    <x:row r="49">
      <x:c r="A49" s="137" t="str">
        <x:v>BOM-00045</x:v>
      </x:c>
      <x:c r="B49" s="137" t="str">
        <x:v>ARMOUR (VELCRO)</x:v>
      </x:c>
      <x:c r="C49" s="137" t="str">
        <x:v>VELCRO</x:v>
      </x:c>
      <x:c r="D49" s="137" t="str">
        <x:v>2X5</x:v>
      </x:c>
      <x:c r="E49" s="137" t="str">
        <x:v>CUTTING</x:v>
      </x:c>
      <x:c r="F49" s="137" t="str">
        <x:v>ASTER HEAVY FOR TOUNG||MTR</x:v>
      </x:c>
      <x:c r="G49" s="137" t="str">
        <x:v>ASTER HEAVY FOR TOUNG</x:v>
      </x:c>
      <x:c r="H49" s="137" t="str">
        <x:v>MTR</x:v>
      </x:c>
      <x:c r="I49" s="175" t="n">
        <x:v>0.017316</x:v>
      </x:c>
      <x:c r="J49" s="176" t="str"/>
      <x:c r="K49" s="177" t="str"/>
      <x:c r="L49" s="178" t="str">
        <x:f>IF(J49="","",J49*(1+IF(K49="",0,K49)) )</x:f>
      </x:c>
      <x:c r="M49" s="138" t="str"/>
      <x:c r="N49" s="137" t="str">
        <x:v>Current model BOM seed</x:v>
      </x:c>
      <x:c r="O49" s="137" t="str"/>
      <x:c r="P49" s="137" t="str">
        <x:v>To Confirm</x:v>
      </x:c>
      <x:c r="Q49" s="137" t="str"/>
    </x:row>
    <x:row r="50">
      <x:c r="A50" s="137" t="str">
        <x:v>BOM-00046</x:v>
      </x:c>
      <x:c r="B50" s="137" t="str">
        <x:v>ARMOUR (VELCRO)</x:v>
      </x:c>
      <x:c r="C50" s="137" t="str">
        <x:v>VELCRO</x:v>
      </x:c>
      <x:c r="D50" s="137" t="str">
        <x:v>2X5</x:v>
      </x:c>
      <x:c r="E50" s="137" t="str">
        <x:v>CUTTING</x:v>
      </x:c>
      <x:c r="F50" s="137" t="str">
        <x:v>COLOR FOAM 20MM||SHEET</x:v>
      </x:c>
      <x:c r="G50" s="137" t="str">
        <x:v>COLOR FOAM 20MM</x:v>
      </x:c>
      <x:c r="H50" s="137" t="str">
        <x:v>SHEET</x:v>
      </x:c>
      <x:c r="I50" s="175" t="n">
        <x:v>0.010582</x:v>
      </x:c>
      <x:c r="J50" s="176" t="str"/>
      <x:c r="K50" s="177" t="str"/>
      <x:c r="L50" s="178" t="str">
        <x:f>IF(J50="","",J50*(1+IF(K50="",0,K50)) )</x:f>
      </x:c>
      <x:c r="M50" s="138" t="str"/>
      <x:c r="N50" s="137" t="str">
        <x:v>Current model BOM seed</x:v>
      </x:c>
      <x:c r="O50" s="137" t="str"/>
      <x:c r="P50" s="137" t="str">
        <x:v>To Confirm</x:v>
      </x:c>
      <x:c r="Q50" s="137" t="str"/>
    </x:row>
    <x:row r="51">
      <x:c r="A51" s="137" t="str">
        <x:v>BOM-00047</x:v>
      </x:c>
      <x:c r="B51" s="137" t="str">
        <x:v>ARMOUR (VELCRO)</x:v>
      </x:c>
      <x:c r="C51" s="137" t="str">
        <x:v>VELCRO</x:v>
      </x:c>
      <x:c r="D51" s="137" t="str">
        <x:v>2X5</x:v>
      </x:c>
      <x:c r="E51" s="137" t="str">
        <x:v>CUTTING</x:v>
      </x:c>
      <x:c r="F51" s="137" t="str">
        <x:v>TEXION||SHEET</x:v>
      </x:c>
      <x:c r="G51" s="137" t="str">
        <x:v>TEXION</x:v>
      </x:c>
      <x:c r="H51" s="137" t="str">
        <x:v>SHEET</x:v>
      </x:c>
      <x:c r="I51" s="175" t="n">
        <x:v>0.034002</x:v>
      </x:c>
      <x:c r="J51" s="176" t="str"/>
      <x:c r="K51" s="177" t="str"/>
      <x:c r="L51" s="178" t="str">
        <x:f>IF(J51="","",J51*(1+IF(K51="",0,K51)) )</x:f>
      </x:c>
      <x:c r="M51" s="138" t="str"/>
      <x:c r="N51" s="137" t="str">
        <x:v>Current model BOM seed</x:v>
      </x:c>
      <x:c r="O51" s="137" t="str"/>
      <x:c r="P51" s="137" t="str">
        <x:v>To Confirm</x:v>
      </x:c>
      <x:c r="Q51" s="137" t="str"/>
    </x:row>
    <x:row r="52">
      <x:c r="A52" s="137" t="str">
        <x:v>BOM-00048</x:v>
      </x:c>
      <x:c r="B52" s="137" t="str">
        <x:v>ARMOUR (VELCRO)</x:v>
      </x:c>
      <x:c r="C52" s="137" t="str">
        <x:v>VELCRO</x:v>
      </x:c>
      <x:c r="D52" s="137" t="str">
        <x:v>2X5</x:v>
      </x:c>
      <x:c r="E52" s="137" t="str">
        <x:v>CUTTING</x:v>
      </x:c>
      <x:c r="F52" s="137" t="str">
        <x:v>STIFNER 1.4MM YELLOW||SHEET</x:v>
      </x:c>
      <x:c r="G52" s="137" t="str">
        <x:v>STIFNER 1.4MM YELLOW</x:v>
      </x:c>
      <x:c r="H52" s="137" t="str">
        <x:v>SHEET</x:v>
      </x:c>
      <x:c r="I52" s="175" t="n">
        <x:v>0.00912</x:v>
      </x:c>
      <x:c r="J52" s="176" t="str"/>
      <x:c r="K52" s="177" t="str"/>
      <x:c r="L52" s="178" t="str">
        <x:f>IF(J52="","",J52*(1+IF(K52="",0,K52)) )</x:f>
      </x:c>
      <x:c r="M52" s="138" t="str"/>
      <x:c r="N52" s="137" t="str">
        <x:v>Current model BOM seed</x:v>
      </x:c>
      <x:c r="O52" s="137" t="str"/>
      <x:c r="P52" s="137" t="str">
        <x:v>To Confirm</x:v>
      </x:c>
      <x:c r="Q52" s="137" t="str"/>
    </x:row>
    <x:row r="53">
      <x:c r="A53" s="137" t="str">
        <x:v>BOM-00049</x:v>
      </x:c>
      <x:c r="B53" s="137" t="str">
        <x:v>ARMOUR (VELCRO)</x:v>
      </x:c>
      <x:c r="C53" s="137" t="str">
        <x:v>VELCRO</x:v>
      </x:c>
      <x:c r="D53" s="137" t="str">
        <x:v>2X5</x:v>
      </x:c>
      <x:c r="E53" s="137" t="str">
        <x:v>CUTTING</x:v>
      </x:c>
      <x:c r="F53" s="137" t="str">
        <x:v>INSOLE 4 MM||MTR</x:v>
      </x:c>
      <x:c r="G53" s="137" t="str">
        <x:v>INSOLE 4 MM</x:v>
      </x:c>
      <x:c r="H53" s="137" t="str">
        <x:v>MTR</x:v>
      </x:c>
      <x:c r="I53" s="175" t="n">
        <x:v>0.028986</x:v>
      </x:c>
      <x:c r="J53" s="176" t="str"/>
      <x:c r="K53" s="177" t="str"/>
      <x:c r="L53" s="178" t="str">
        <x:f>IF(J53="","",J53*(1+IF(K53="",0,K53)) )</x:f>
      </x:c>
      <x:c r="M53" s="138" t="str"/>
      <x:c r="N53" s="137" t="str">
        <x:v>Current model BOM seed</x:v>
      </x:c>
      <x:c r="O53" s="137" t="str"/>
      <x:c r="P53" s="137" t="str">
        <x:v>To Confirm</x:v>
      </x:c>
      <x:c r="Q53" s="137" t="str"/>
    </x:row>
    <x:row r="54">
      <x:c r="A54" s="137" t="str">
        <x:v>BOM-00050</x:v>
      </x:c>
      <x:c r="B54" s="137" t="str">
        <x:v>ARMOUR (VELCRO)</x:v>
      </x:c>
      <x:c r="C54" s="137" t="str">
        <x:v>VELCRO</x:v>
      </x:c>
      <x:c r="D54" s="137" t="str">
        <x:v>2X5</x:v>
      </x:c>
      <x:c r="E54" s="137" t="str">
        <x:v>STITCHING</x:v>
      </x:c>
      <x:c r="F54" s="137" t="str">
        <x:v>THREAD 3 PLY||SPOOL</x:v>
      </x:c>
      <x:c r="G54" s="137" t="str">
        <x:v>THREAD 3 PLY</x:v>
      </x:c>
      <x:c r="H54" s="137" t="str">
        <x:v>SPOOL</x:v>
      </x:c>
      <x:c r="I54" s="175" t="n">
        <x:v>0.043333</x:v>
      </x:c>
      <x:c r="J54" s="176" t="str"/>
      <x:c r="K54" s="177" t="str"/>
      <x:c r="L54" s="178" t="str">
        <x:f>IF(J54="","",J54*(1+IF(K54="",0,K54)) )</x:f>
      </x:c>
      <x:c r="M54" s="138" t="str"/>
      <x:c r="N54" s="137" t="str">
        <x:v>Current model BOM seed</x:v>
      </x:c>
      <x:c r="O54" s="137" t="str"/>
      <x:c r="P54" s="137" t="str">
        <x:v>To Confirm</x:v>
      </x:c>
      <x:c r="Q54" s="137" t="str"/>
    </x:row>
    <x:row r="55">
      <x:c r="A55" s="137" t="str">
        <x:v>BOM-00051</x:v>
      </x:c>
      <x:c r="B55" s="137" t="str">
        <x:v>ARMOUR (VELCRO)</x:v>
      </x:c>
      <x:c r="C55" s="137" t="str">
        <x:v>VELCRO</x:v>
      </x:c>
      <x:c r="D55" s="137" t="str">
        <x:v>2X5</x:v>
      </x:c>
      <x:c r="E55" s="137" t="str">
        <x:v>STITCHING</x:v>
      </x:c>
      <x:c r="F55" s="137" t="str">
        <x:v>SIZE LABEL||PCS</x:v>
      </x:c>
      <x:c r="G55" s="137" t="str">
        <x:v>SIZE LABEL</x:v>
      </x:c>
      <x:c r="H55" s="137" t="str">
        <x:v>PCS</x:v>
      </x:c>
      <x:c r="I55" s="175" t="n">
        <x:v>2</x:v>
      </x:c>
      <x:c r="J55" s="176" t="str"/>
      <x:c r="K55" s="177" t="str"/>
      <x:c r="L55" s="178" t="str">
        <x:f>IF(J55="","",J55*(1+IF(K55="",0,K55)) )</x:f>
      </x:c>
      <x:c r="M55" s="138" t="str"/>
      <x:c r="N55" s="137" t="str">
        <x:v>Current model BOM seed</x:v>
      </x:c>
      <x:c r="O55" s="137" t="str"/>
      <x:c r="P55" s="137" t="str">
        <x:v>To Confirm</x:v>
      </x:c>
      <x:c r="Q55" s="137" t="str"/>
    </x:row>
    <x:row r="56">
      <x:c r="A56" s="137" t="str">
        <x:v>BOM-00052</x:v>
      </x:c>
      <x:c r="B56" s="137" t="str">
        <x:v>ARMOUR (VELCRO)</x:v>
      </x:c>
      <x:c r="C56" s="137" t="str">
        <x:v>VELCRO</x:v>
      </x:c>
      <x:c r="D56" s="137" t="str">
        <x:v>2X5</x:v>
      </x:c>
      <x:c r="E56" s="137" t="str">
        <x:v>STITCHING</x:v>
      </x:c>
      <x:c r="F56" s="137" t="str">
        <x:v>TOUNG LABEL SNEAKER||PCS</x:v>
      </x:c>
      <x:c r="G56" s="137" t="str">
        <x:v>TOUNG LABEL SNEAKER</x:v>
      </x:c>
      <x:c r="H56" s="137" t="str">
        <x:v>PCS</x:v>
      </x:c>
      <x:c r="I56" s="175" t="n">
        <x:v>2</x:v>
      </x:c>
      <x:c r="J56" s="176" t="str"/>
      <x:c r="K56" s="177" t="str"/>
      <x:c r="L56" s="178" t="str">
        <x:f>IF(J56="","",J56*(1+IF(K56="",0,K56)) )</x:f>
      </x:c>
      <x:c r="M56" s="138" t="str"/>
      <x:c r="N56" s="137" t="str">
        <x:v>Current model BOM seed</x:v>
      </x:c>
      <x:c r="O56" s="137" t="str"/>
      <x:c r="P56" s="137" t="str">
        <x:v>To Confirm</x:v>
      </x:c>
      <x:c r="Q56" s="137" t="str"/>
    </x:row>
    <x:row r="57">
      <x:c r="A57" s="137" t="str">
        <x:v>BOM-00053</x:v>
      </x:c>
      <x:c r="B57" s="137" t="str">
        <x:v>ARMOUR (VELCRO)</x:v>
      </x:c>
      <x:c r="C57" s="137" t="str">
        <x:v>VELCRO</x:v>
      </x:c>
      <x:c r="D57" s="137" t="str">
        <x:v>2X5</x:v>
      </x:c>
      <x:c r="E57" s="137" t="str">
        <x:v>STITCHING</x:v>
      </x:c>
      <x:c r="F57" s="137" t="str">
        <x:v>PF-48||PCS</x:v>
      </x:c>
      <x:c r="G57" s="137" t="str">
        <x:v>PF-48</x:v>
      </x:c>
      <x:c r="H57" s="137" t="str">
        <x:v>PCS</x:v>
      </x:c>
      <x:c r="I57" s="175" t="n">
        <x:v>4</x:v>
      </x:c>
      <x:c r="J57" s="176" t="str"/>
      <x:c r="K57" s="177" t="str"/>
      <x:c r="L57" s="178" t="str">
        <x:f>IF(J57="","",J57*(1+IF(K57="",0,K57)) )</x:f>
      </x:c>
      <x:c r="M57" s="138" t="str"/>
      <x:c r="N57" s="137" t="str">
        <x:v>Current model BOM seed</x:v>
      </x:c>
      <x:c r="O57" s="137" t="str"/>
      <x:c r="P57" s="137" t="str">
        <x:v>To Confirm</x:v>
      </x:c>
      <x:c r="Q57" s="137" t="str"/>
    </x:row>
    <x:row r="58">
      <x:c r="A58" s="137" t="str">
        <x:v>BOM-00054</x:v>
      </x:c>
      <x:c r="B58" s="137" t="str">
        <x:v>ARMOUR (VELCRO)</x:v>
      </x:c>
      <x:c r="C58" s="137" t="str">
        <x:v>VELCRO</x:v>
      </x:c>
      <x:c r="D58" s="137" t="str">
        <x:v>2X5</x:v>
      </x:c>
      <x:c r="E58" s="137" t="str">
        <x:v>STITCHING</x:v>
      </x:c>
      <x:c r="F58" s="137" t="str">
        <x:v>VELCRO 20 MM HOOK||MTR</x:v>
      </x:c>
      <x:c r="G58" s="137" t="str">
        <x:v>VELCRO 20 MM HOOK</x:v>
      </x:c>
      <x:c r="H58" s="137" t="str">
        <x:v>MTR</x:v>
      </x:c>
      <x:c r="I58" s="175" t="n">
        <x:v>0.37</x:v>
      </x:c>
      <x:c r="J58" s="176" t="str"/>
      <x:c r="K58" s="177" t="str"/>
      <x:c r="L58" s="178" t="str">
        <x:f>IF(J58="","",J58*(1+IF(K58="",0,K58)) )</x:f>
      </x:c>
      <x:c r="M58" s="138" t="str"/>
      <x:c r="N58" s="137" t="str">
        <x:v>Current model BOM seed</x:v>
      </x:c>
      <x:c r="O58" s="137" t="str"/>
      <x:c r="P58" s="137" t="str">
        <x:v>To Confirm</x:v>
      </x:c>
      <x:c r="Q58" s="137" t="str"/>
    </x:row>
    <x:row r="59">
      <x:c r="A59" s="137" t="str">
        <x:v>BOM-00055</x:v>
      </x:c>
      <x:c r="B59" s="137" t="str">
        <x:v>ARMOUR (VELCRO)</x:v>
      </x:c>
      <x:c r="C59" s="137" t="str">
        <x:v>VELCRO</x:v>
      </x:c>
      <x:c r="D59" s="137" t="str">
        <x:v>2X5</x:v>
      </x:c>
      <x:c r="E59" s="137" t="str">
        <x:v>STITCHING</x:v>
      </x:c>
      <x:c r="F59" s="137" t="str">
        <x:v>VELCRO 20 MM LOOP||MTR</x:v>
      </x:c>
      <x:c r="G59" s="137" t="str">
        <x:v>VELCRO 20 MM LOOP</x:v>
      </x:c>
      <x:c r="H59" s="137" t="str">
        <x:v>MTR</x:v>
      </x:c>
      <x:c r="I59" s="175" t="n">
        <x:v>0.37</x:v>
      </x:c>
      <x:c r="J59" s="176" t="str"/>
      <x:c r="K59" s="177" t="str"/>
      <x:c r="L59" s="178" t="str">
        <x:f>IF(J59="","",J59*(1+IF(K59="",0,K59)) )</x:f>
      </x:c>
      <x:c r="M59" s="138" t="str"/>
      <x:c r="N59" s="137" t="str">
        <x:v>Current model BOM seed</x:v>
      </x:c>
      <x:c r="O59" s="137" t="str"/>
      <x:c r="P59" s="137" t="str">
        <x:v>To Confirm</x:v>
      </x:c>
      <x:c r="Q59" s="137" t="str"/>
    </x:row>
    <x:row r="60">
      <x:c r="A60" s="137" t="str">
        <x:v>BOM-00056</x:v>
      </x:c>
      <x:c r="B60" s="137" t="str">
        <x:v>ARMOUR (VELCRO)</x:v>
      </x:c>
      <x:c r="C60" s="137" t="str">
        <x:v>VELCRO</x:v>
      </x:c>
      <x:c r="D60" s="137" t="str">
        <x:v>2X5</x:v>
      </x:c>
      <x:c r="E60" s="137" t="str">
        <x:v>STITCHING</x:v>
      </x:c>
      <x:c r="F60" s="137" t="str">
        <x:v>POLYESTER BINDING 12 MM||MTR</x:v>
      </x:c>
      <x:c r="G60" s="137" t="str">
        <x:v>POLYESTER BINDING 12 MM</x:v>
      </x:c>
      <x:c r="H60" s="137" t="str">
        <x:v>MTR</x:v>
      </x:c>
      <x:c r="I60" s="175" t="n">
        <x:v>0.32</x:v>
      </x:c>
      <x:c r="J60" s="176" t="str"/>
      <x:c r="K60" s="177" t="str"/>
      <x:c r="L60" s="178" t="str">
        <x:f>IF(J60="","",J60*(1+IF(K60="",0,K60)) )</x:f>
      </x:c>
      <x:c r="M60" s="138" t="str"/>
      <x:c r="N60" s="137" t="str">
        <x:v>Current model BOM seed</x:v>
      </x:c>
      <x:c r="O60" s="137" t="str"/>
      <x:c r="P60" s="137" t="str">
        <x:v>To Confirm</x:v>
      </x:c>
      <x:c r="Q60" s="137" t="str"/>
    </x:row>
    <x:row r="61">
      <x:c r="A61" s="137" t="str">
        <x:v>BOM-00057</x:v>
      </x:c>
      <x:c r="B61" s="137" t="str">
        <x:v>ARMOUR (VELCRO)</x:v>
      </x:c>
      <x:c r="C61" s="137" t="str">
        <x:v>VELCRO</x:v>
      </x:c>
      <x:c r="D61" s="137" t="str">
        <x:v>2X5</x:v>
      </x:c>
      <x:c r="E61" s="137" t="str">
        <x:v>STITCHING</x:v>
      </x:c>
      <x:c r="F61" s="137" t="str">
        <x:v>BACK TAPE 14 MM||MTR</x:v>
      </x:c>
      <x:c r="G61" s="137" t="str">
        <x:v>BACK TAPE 14 MM</x:v>
      </x:c>
      <x:c r="H61" s="137" t="str">
        <x:v>MTR</x:v>
      </x:c>
      <x:c r="I61" s="175" t="n">
        <x:v>0.1</x:v>
      </x:c>
      <x:c r="J61" s="176" t="str"/>
      <x:c r="K61" s="177" t="str"/>
      <x:c r="L61" s="178" t="str">
        <x:f>IF(J61="","",J61*(1+IF(K61="",0,K61)) )</x:f>
      </x:c>
      <x:c r="M61" s="138" t="str"/>
      <x:c r="N61" s="137" t="str">
        <x:v>Current model BOM seed</x:v>
      </x:c>
      <x:c r="O61" s="137" t="str"/>
      <x:c r="P61" s="137" t="str">
        <x:v>To Confirm</x:v>
      </x:c>
      <x:c r="Q61" s="137" t="str"/>
    </x:row>
    <x:row r="62">
      <x:c r="A62" s="137" t="str">
        <x:v>BOM-00058</x:v>
      </x:c>
      <x:c r="B62" s="137" t="str">
        <x:v>ARMOUR (VELCRO)</x:v>
      </x:c>
      <x:c r="C62" s="137" t="str">
        <x:v>VELCRO</x:v>
      </x:c>
      <x:c r="D62" s="137" t="str">
        <x:v>6X10B</x:v>
      </x:c>
      <x:c r="E62" s="137" t="str">
        <x:v>CUTTING</x:v>
      </x:c>
      <x:c r="F62" s="137" t="str">
        <x:v>ARMOR REXION||MTR</x:v>
      </x:c>
      <x:c r="G62" s="137" t="str">
        <x:v>ARMOR REXION</x:v>
      </x:c>
      <x:c r="H62" s="137" t="str">
        <x:v>MTR</x:v>
      </x:c>
      <x:c r="I62" s="175" t="n">
        <x:v>0.124444</x:v>
      </x:c>
      <x:c r="J62" s="176" t="str"/>
      <x:c r="K62" s="177" t="str"/>
      <x:c r="L62" s="178" t="str">
        <x:f>IF(J62="","",J62*(1+IF(K62="",0,K62)) )</x:f>
      </x:c>
      <x:c r="M62" s="138" t="str"/>
      <x:c r="N62" s="137" t="str">
        <x:v>Current model BOM seed</x:v>
      </x:c>
      <x:c r="O62" s="137" t="str"/>
      <x:c r="P62" s="137" t="str">
        <x:v>To Confirm</x:v>
      </x:c>
      <x:c r="Q62" s="137" t="str"/>
    </x:row>
    <x:row r="63">
      <x:c r="A63" s="137" t="str">
        <x:v>BOM-00059</x:v>
      </x:c>
      <x:c r="B63" s="137" t="str">
        <x:v>ARMOUR (VELCRO)</x:v>
      </x:c>
      <x:c r="C63" s="137" t="str">
        <x:v>VELCRO</x:v>
      </x:c>
      <x:c r="D63" s="137" t="str">
        <x:v>6X10B</x:v>
      </x:c>
      <x:c r="E63" s="137" t="str">
        <x:v>CUTTING</x:v>
      </x:c>
      <x:c r="F63" s="137" t="str">
        <x:v>TOE PUFF 0.8MM||SHEET</x:v>
      </x:c>
      <x:c r="G63" s="137" t="str">
        <x:v>TOE PUFF 0.8MM</x:v>
      </x:c>
      <x:c r="H63" s="137" t="str">
        <x:v>SHEET</x:v>
      </x:c>
      <x:c r="I63" s="175" t="n">
        <x:v>0.008985</x:v>
      </x:c>
      <x:c r="J63" s="176" t="str"/>
      <x:c r="K63" s="177" t="str"/>
      <x:c r="L63" s="178" t="str">
        <x:f>IF(J63="","",J63*(1+IF(K63="",0,K63)) )</x:f>
      </x:c>
      <x:c r="M63" s="138" t="str"/>
      <x:c r="N63" s="137" t="str">
        <x:v>Current model BOM seed</x:v>
      </x:c>
      <x:c r="O63" s="137" t="str"/>
      <x:c r="P63" s="137" t="str">
        <x:v>To Confirm</x:v>
      </x:c>
      <x:c r="Q63" s="137" t="str"/>
    </x:row>
    <x:row r="64">
      <x:c r="A64" s="137" t="str">
        <x:v>BOM-00060</x:v>
      </x:c>
      <x:c r="B64" s="137" t="str">
        <x:v>ARMOUR (VELCRO)</x:v>
      </x:c>
      <x:c r="C64" s="137" t="str">
        <x:v>VELCRO</x:v>
      </x:c>
      <x:c r="D64" s="137" t="str">
        <x:v>6X10B</x:v>
      </x:c>
      <x:c r="E64" s="137" t="str">
        <x:v>CUTTING</x:v>
      </x:c>
      <x:c r="F64" s="137" t="str">
        <x:v>PU MESH (HARD FOAM+BACKER)||MTR</x:v>
      </x:c>
      <x:c r="G64" s="137" t="str">
        <x:v>PU MESH (HARD FOAM+BACKER)</x:v>
      </x:c>
      <x:c r="H64" s="137" t="str">
        <x:v>MTR</x:v>
      </x:c>
      <x:c r="I64" s="175" t="n">
        <x:v>0.103704</x:v>
      </x:c>
      <x:c r="J64" s="176" t="str"/>
      <x:c r="K64" s="177" t="str"/>
      <x:c r="L64" s="178" t="str">
        <x:f>IF(J64="","",J64*(1+IF(K64="",0,K64)) )</x:f>
      </x:c>
      <x:c r="M64" s="138" t="str"/>
      <x:c r="N64" s="137" t="str">
        <x:v>Current model BOM seed</x:v>
      </x:c>
      <x:c r="O64" s="137" t="str"/>
      <x:c r="P64" s="137" t="str">
        <x:v>To Confirm</x:v>
      </x:c>
      <x:c r="Q64" s="137" t="str"/>
    </x:row>
    <x:row r="65">
      <x:c r="A65" s="137" t="str">
        <x:v>BOM-00061</x:v>
      </x:c>
      <x:c r="B65" s="137" t="str">
        <x:v>ARMOUR (VELCRO)</x:v>
      </x:c>
      <x:c r="C65" s="137" t="str">
        <x:v>VELCRO</x:v>
      </x:c>
      <x:c r="D65" s="137" t="str">
        <x:v>6X10B</x:v>
      </x:c>
      <x:c r="E65" s="137" t="str">
        <x:v>CUTTING</x:v>
      </x:c>
      <x:c r="F65" s="137" t="str">
        <x:v>VAMP ASTER DOUBLE BACKER||MTR</x:v>
      </x:c>
      <x:c r="G65" s="137" t="str">
        <x:v>VAMP ASTER DOUBLE BACKER</x:v>
      </x:c>
      <x:c r="H65" s="137" t="str">
        <x:v>MTR</x:v>
      </x:c>
      <x:c r="I65" s="175" t="n">
        <x:v>0.028736</x:v>
      </x:c>
      <x:c r="J65" s="176" t="str"/>
      <x:c r="K65" s="177" t="str"/>
      <x:c r="L65" s="178" t="str">
        <x:f>IF(J65="","",J65*(1+IF(K65="",0,K65)) )</x:f>
      </x:c>
      <x:c r="M65" s="138" t="str"/>
      <x:c r="N65" s="137" t="str">
        <x:v>Current model BOM seed</x:v>
      </x:c>
      <x:c r="O65" s="137" t="str"/>
      <x:c r="P65" s="137" t="str">
        <x:v>To Confirm</x:v>
      </x:c>
      <x:c r="Q65" s="137" t="str"/>
    </x:row>
    <x:row r="66">
      <x:c r="A66" s="137" t="str">
        <x:v>BOM-00062</x:v>
      </x:c>
      <x:c r="B66" s="137" t="str">
        <x:v>ARMOUR (VELCRO)</x:v>
      </x:c>
      <x:c r="C66" s="137" t="str">
        <x:v>VELCRO</x:v>
      </x:c>
      <x:c r="D66" s="137" t="str">
        <x:v>6X10B</x:v>
      </x:c>
      <x:c r="E66" s="137" t="str">
        <x:v>CUTTING</x:v>
      </x:c>
      <x:c r="F66" s="137" t="str">
        <x:v>SKINFIT GOLA ( FOAM + BACKER)||MTR</x:v>
      </x:c>
      <x:c r="G66" s="137" t="str">
        <x:v>SKINFIT GOLA ( FOAM + BACKER)</x:v>
      </x:c>
      <x:c r="H66" s="137" t="str">
        <x:v>MTR</x:v>
      </x:c>
      <x:c r="I66" s="175" t="n">
        <x:v>0.081867</x:v>
      </x:c>
      <x:c r="J66" s="176" t="str"/>
      <x:c r="K66" s="177" t="str"/>
      <x:c r="L66" s="178" t="str">
        <x:f>IF(J66="","",J66*(1+IF(K66="",0,K66)) )</x:f>
      </x:c>
      <x:c r="M66" s="138" t="str"/>
      <x:c r="N66" s="137" t="str">
        <x:v>Current model BOM seed</x:v>
      </x:c>
      <x:c r="O66" s="137" t="str"/>
      <x:c r="P66" s="137" t="str">
        <x:v>To Confirm</x:v>
      </x:c>
      <x:c r="Q66" s="137" t="str"/>
    </x:row>
    <x:row r="67">
      <x:c r="A67" s="137" t="str">
        <x:v>BOM-00063</x:v>
      </x:c>
      <x:c r="B67" s="137" t="str">
        <x:v>ARMOUR (VELCRO)</x:v>
      </x:c>
      <x:c r="C67" s="137" t="str">
        <x:v>VELCRO</x:v>
      </x:c>
      <x:c r="D67" s="137" t="str">
        <x:v>6X10B</x:v>
      </x:c>
      <x:c r="E67" s="137" t="str">
        <x:v>CUTTING</x:v>
      </x:c>
      <x:c r="F67" s="137" t="str">
        <x:v>DRILL CLOTH||MTR</x:v>
      </x:c>
      <x:c r="G67" s="137" t="str">
        <x:v>DRILL CLOTH</x:v>
      </x:c>
      <x:c r="H67" s="137" t="str">
        <x:v>MTR</x:v>
      </x:c>
      <x:c r="I67" s="175" t="n">
        <x:v>0.016296</x:v>
      </x:c>
      <x:c r="J67" s="176" t="str"/>
      <x:c r="K67" s="177" t="str"/>
      <x:c r="L67" s="178" t="str">
        <x:f>IF(J67="","",J67*(1+IF(K67="",0,K67)) )</x:f>
      </x:c>
      <x:c r="M67" s="138" t="str"/>
      <x:c r="N67" s="137" t="str">
        <x:v>Current model BOM seed</x:v>
      </x:c>
      <x:c r="O67" s="137" t="str"/>
      <x:c r="P67" s="137" t="str">
        <x:v>To Confirm</x:v>
      </x:c>
      <x:c r="Q67" s="137" t="str"/>
    </x:row>
    <x:row r="68">
      <x:c r="A68" s="137" t="str">
        <x:v>BOM-00064</x:v>
      </x:c>
      <x:c r="B68" s="137" t="str">
        <x:v>ARMOUR (VELCRO)</x:v>
      </x:c>
      <x:c r="C68" s="137" t="str">
        <x:v>VELCRO</x:v>
      </x:c>
      <x:c r="D68" s="137" t="str">
        <x:v>6X10B</x:v>
      </x:c>
      <x:c r="E68" s="137" t="str">
        <x:v>CUTTING</x:v>
      </x:c>
      <x:c r="F68" s="137" t="str">
        <x:v>ASTER HEAVY FOR TOUNG||MTR</x:v>
      </x:c>
      <x:c r="G68" s="137" t="str">
        <x:v>ASTER HEAVY FOR TOUNG</x:v>
      </x:c>
      <x:c r="H68" s="137" t="str">
        <x:v>MTR</x:v>
      </x:c>
      <x:c r="I68" s="175" t="n">
        <x:v>0.01955</x:v>
      </x:c>
      <x:c r="J68" s="176" t="str"/>
      <x:c r="K68" s="177" t="str"/>
      <x:c r="L68" s="178" t="str">
        <x:f>IF(J68="","",J68*(1+IF(K68="",0,K68)) )</x:f>
      </x:c>
      <x:c r="M68" s="138" t="str"/>
      <x:c r="N68" s="137" t="str">
        <x:v>Current model BOM seed</x:v>
      </x:c>
      <x:c r="O68" s="137" t="str"/>
      <x:c r="P68" s="137" t="str">
        <x:v>To Confirm</x:v>
      </x:c>
      <x:c r="Q68" s="137" t="str"/>
    </x:row>
    <x:row r="69">
      <x:c r="A69" s="137" t="str">
        <x:v>BOM-00065</x:v>
      </x:c>
      <x:c r="B69" s="137" t="str">
        <x:v>ARMOUR (VELCRO)</x:v>
      </x:c>
      <x:c r="C69" s="137" t="str">
        <x:v>VELCRO</x:v>
      </x:c>
      <x:c r="D69" s="137" t="str">
        <x:v>6X10B</x:v>
      </x:c>
      <x:c r="E69" s="137" t="str">
        <x:v>CUTTING</x:v>
      </x:c>
      <x:c r="F69" s="137" t="str">
        <x:v>COLOR FOAM 20MM||SHEET</x:v>
      </x:c>
      <x:c r="G69" s="137" t="str">
        <x:v>COLOR FOAM 20MM</x:v>
      </x:c>
      <x:c r="H69" s="137" t="str">
        <x:v>SHEET</x:v>
      </x:c>
      <x:c r="I69" s="175" t="n">
        <x:v>0.014035</x:v>
      </x:c>
      <x:c r="J69" s="176" t="str"/>
      <x:c r="K69" s="177" t="str"/>
      <x:c r="L69" s="178" t="str">
        <x:f>IF(J69="","",J69*(1+IF(K69="",0,K69)) )</x:f>
      </x:c>
      <x:c r="M69" s="138" t="str"/>
      <x:c r="N69" s="137" t="str">
        <x:v>Current model BOM seed</x:v>
      </x:c>
      <x:c r="O69" s="137" t="str"/>
      <x:c r="P69" s="137" t="str">
        <x:v>To Confirm</x:v>
      </x:c>
      <x:c r="Q69" s="137" t="str"/>
    </x:row>
    <x:row r="70">
      <x:c r="A70" s="137" t="str">
        <x:v>BOM-00066</x:v>
      </x:c>
      <x:c r="B70" s="137" t="str">
        <x:v>ARMOUR (VELCRO)</x:v>
      </x:c>
      <x:c r="C70" s="137" t="str">
        <x:v>VELCRO</x:v>
      </x:c>
      <x:c r="D70" s="137" t="str">
        <x:v>6X10B</x:v>
      </x:c>
      <x:c r="E70" s="137" t="str">
        <x:v>CUTTING</x:v>
      </x:c>
      <x:c r="F70" s="137" t="str">
        <x:v>TEXION||SHEET</x:v>
      </x:c>
      <x:c r="G70" s="137" t="str">
        <x:v>TEXION</x:v>
      </x:c>
      <x:c r="H70" s="137" t="str">
        <x:v>SHEET</x:v>
      </x:c>
      <x:c r="I70" s="175" t="n">
        <x:v>0.045455</x:v>
      </x:c>
      <x:c r="J70" s="176" t="str"/>
      <x:c r="K70" s="177" t="str"/>
      <x:c r="L70" s="178" t="str">
        <x:f>IF(J70="","",J70*(1+IF(K70="",0,K70)) )</x:f>
      </x:c>
      <x:c r="M70" s="138" t="str"/>
      <x:c r="N70" s="137" t="str">
        <x:v>Current model BOM seed</x:v>
      </x:c>
      <x:c r="O70" s="137" t="str"/>
      <x:c r="P70" s="137" t="str">
        <x:v>To Confirm</x:v>
      </x:c>
      <x:c r="Q70" s="137" t="str"/>
    </x:row>
    <x:row r="71">
      <x:c r="A71" s="137" t="str">
        <x:v>BOM-00067</x:v>
      </x:c>
      <x:c r="B71" s="137" t="str">
        <x:v>ARMOUR (VELCRO)</x:v>
      </x:c>
      <x:c r="C71" s="137" t="str">
        <x:v>VELCRO</x:v>
      </x:c>
      <x:c r="D71" s="137" t="str">
        <x:v>6X10B</x:v>
      </x:c>
      <x:c r="E71" s="137" t="str">
        <x:v>CUTTING</x:v>
      </x:c>
      <x:c r="F71" s="137" t="str">
        <x:v>STIFNER 1.4MM YELLOW||SHEET</x:v>
      </x:c>
      <x:c r="G71" s="137" t="str">
        <x:v>STIFNER 1.4MM YELLOW</x:v>
      </x:c>
      <x:c r="H71" s="137" t="str">
        <x:v>SHEET</x:v>
      </x:c>
      <x:c r="I71" s="175" t="n">
        <x:v>0.009804</x:v>
      </x:c>
      <x:c r="J71" s="176" t="str"/>
      <x:c r="K71" s="177" t="str"/>
      <x:c r="L71" s="178" t="str">
        <x:f>IF(J71="","",J71*(1+IF(K71="",0,K71)) )</x:f>
      </x:c>
      <x:c r="M71" s="138" t="str"/>
      <x:c r="N71" s="137" t="str">
        <x:v>Current model BOM seed</x:v>
      </x:c>
      <x:c r="O71" s="137" t="str"/>
      <x:c r="P71" s="137" t="str">
        <x:v>To Confirm</x:v>
      </x:c>
      <x:c r="Q71" s="137" t="str"/>
    </x:row>
    <x:row r="72">
      <x:c r="A72" s="137" t="str">
        <x:v>BOM-00068</x:v>
      </x:c>
      <x:c r="B72" s="137" t="str">
        <x:v>ARMOUR (VELCRO)</x:v>
      </x:c>
      <x:c r="C72" s="137" t="str">
        <x:v>VELCRO</x:v>
      </x:c>
      <x:c r="D72" s="137" t="str">
        <x:v>6X10B</x:v>
      </x:c>
      <x:c r="E72" s="137" t="str">
        <x:v>CUTTING</x:v>
      </x:c>
      <x:c r="F72" s="137" t="str">
        <x:v>INSOLE 4 MM||MTR</x:v>
      </x:c>
      <x:c r="G72" s="137" t="str">
        <x:v>INSOLE 4 MM</x:v>
      </x:c>
      <x:c r="H72" s="137" t="str">
        <x:v>MTR</x:v>
      </x:c>
      <x:c r="I72" s="175" t="n">
        <x:v>0.035714</x:v>
      </x:c>
      <x:c r="J72" s="176" t="str"/>
      <x:c r="K72" s="177" t="str"/>
      <x:c r="L72" s="178" t="str">
        <x:f>IF(J72="","",J72*(1+IF(K72="",0,K72)) )</x:f>
      </x:c>
      <x:c r="M72" s="138" t="str"/>
      <x:c r="N72" s="137" t="str">
        <x:v>Current model BOM seed</x:v>
      </x:c>
      <x:c r="O72" s="137" t="str"/>
      <x:c r="P72" s="137" t="str">
        <x:v>To Confirm</x:v>
      </x:c>
      <x:c r="Q72" s="137" t="str"/>
    </x:row>
    <x:row r="73">
      <x:c r="A73" s="137" t="str">
        <x:v>BOM-00069</x:v>
      </x:c>
      <x:c r="B73" s="137" t="str">
        <x:v>ARMOUR (VELCRO)</x:v>
      </x:c>
      <x:c r="C73" s="137" t="str">
        <x:v>VELCRO</x:v>
      </x:c>
      <x:c r="D73" s="137" t="str">
        <x:v>6X10B</x:v>
      </x:c>
      <x:c r="E73" s="137" t="str">
        <x:v>STITCHING</x:v>
      </x:c>
      <x:c r="F73" s="137" t="str">
        <x:v>THREAD 3 PLY||SPOOL</x:v>
      </x:c>
      <x:c r="G73" s="137" t="str">
        <x:v>THREAD 3 PLY</x:v>
      </x:c>
      <x:c r="H73" s="137" t="str">
        <x:v>SPOOL</x:v>
      </x:c>
      <x:c r="I73" s="175" t="n">
        <x:v>0.048</x:v>
      </x:c>
      <x:c r="J73" s="176" t="str"/>
      <x:c r="K73" s="177" t="str"/>
      <x:c r="L73" s="178" t="str">
        <x:f>IF(J73="","",J73*(1+IF(K73="",0,K73)) )</x:f>
      </x:c>
      <x:c r="M73" s="138" t="str"/>
      <x:c r="N73" s="137" t="str">
        <x:v>Current model BOM seed</x:v>
      </x:c>
      <x:c r="O73" s="137" t="str"/>
      <x:c r="P73" s="137" t="str">
        <x:v>To Confirm</x:v>
      </x:c>
      <x:c r="Q73" s="137" t="str"/>
    </x:row>
    <x:row r="74">
      <x:c r="A74" s="137" t="str">
        <x:v>BOM-00070</x:v>
      </x:c>
      <x:c r="B74" s="137" t="str">
        <x:v>ARMOUR (VELCRO)</x:v>
      </x:c>
      <x:c r="C74" s="137" t="str">
        <x:v>VELCRO</x:v>
      </x:c>
      <x:c r="D74" s="137" t="str">
        <x:v>6X10B</x:v>
      </x:c>
      <x:c r="E74" s="137" t="str">
        <x:v>STITCHING</x:v>
      </x:c>
      <x:c r="F74" s="137" t="str">
        <x:v>SIZE LABEL||PCS</x:v>
      </x:c>
      <x:c r="G74" s="137" t="str">
        <x:v>SIZE LABEL</x:v>
      </x:c>
      <x:c r="H74" s="137" t="str">
        <x:v>PCS</x:v>
      </x:c>
      <x:c r="I74" s="175" t="n">
        <x:v>2</x:v>
      </x:c>
      <x:c r="J74" s="176" t="str"/>
      <x:c r="K74" s="177" t="str"/>
      <x:c r="L74" s="178" t="str">
        <x:f>IF(J74="","",J74*(1+IF(K74="",0,K74)) )</x:f>
      </x:c>
      <x:c r="M74" s="138" t="str"/>
      <x:c r="N74" s="137" t="str">
        <x:v>Current model BOM seed</x:v>
      </x:c>
      <x:c r="O74" s="137" t="str"/>
      <x:c r="P74" s="137" t="str">
        <x:v>To Confirm</x:v>
      </x:c>
      <x:c r="Q74" s="137" t="str"/>
    </x:row>
    <x:row r="75">
      <x:c r="A75" s="137" t="str">
        <x:v>BOM-00071</x:v>
      </x:c>
      <x:c r="B75" s="137" t="str">
        <x:v>ARMOUR (VELCRO)</x:v>
      </x:c>
      <x:c r="C75" s="137" t="str">
        <x:v>VELCRO</x:v>
      </x:c>
      <x:c r="D75" s="137" t="str">
        <x:v>6X10B</x:v>
      </x:c>
      <x:c r="E75" s="137" t="str">
        <x:v>STITCHING</x:v>
      </x:c>
      <x:c r="F75" s="137" t="str">
        <x:v>TOUNG LABEL SNEAKER||PCS</x:v>
      </x:c>
      <x:c r="G75" s="137" t="str">
        <x:v>TOUNG LABEL SNEAKER</x:v>
      </x:c>
      <x:c r="H75" s="137" t="str">
        <x:v>PCS</x:v>
      </x:c>
      <x:c r="I75" s="175" t="n">
        <x:v>2</x:v>
      </x:c>
      <x:c r="J75" s="176" t="str"/>
      <x:c r="K75" s="177" t="str"/>
      <x:c r="L75" s="178" t="str">
        <x:f>IF(J75="","",J75*(1+IF(K75="",0,K75)) )</x:f>
      </x:c>
      <x:c r="M75" s="138" t="str"/>
      <x:c r="N75" s="137" t="str">
        <x:v>Current model BOM seed</x:v>
      </x:c>
      <x:c r="O75" s="137" t="str"/>
      <x:c r="P75" s="137" t="str">
        <x:v>To Confirm</x:v>
      </x:c>
      <x:c r="Q75" s="137" t="str"/>
    </x:row>
    <x:row r="76">
      <x:c r="A76" s="137" t="str">
        <x:v>BOM-00072</x:v>
      </x:c>
      <x:c r="B76" s="137" t="str">
        <x:v>ARMOUR (VELCRO)</x:v>
      </x:c>
      <x:c r="C76" s="137" t="str">
        <x:v>VELCRO</x:v>
      </x:c>
      <x:c r="D76" s="137" t="str">
        <x:v>6X10B</x:v>
      </x:c>
      <x:c r="E76" s="137" t="str">
        <x:v>STITCHING</x:v>
      </x:c>
      <x:c r="F76" s="137" t="str">
        <x:v>PF-3||PCS</x:v>
      </x:c>
      <x:c r="G76" s="137" t="str">
        <x:v>PF-3</x:v>
      </x:c>
      <x:c r="H76" s="137" t="str">
        <x:v>PCS</x:v>
      </x:c>
      <x:c r="I76" s="175" t="n">
        <x:v>4</x:v>
      </x:c>
      <x:c r="J76" s="176" t="str"/>
      <x:c r="K76" s="177" t="str"/>
      <x:c r="L76" s="178" t="str">
        <x:f>IF(J76="","",J76*(1+IF(K76="",0,K76)) )</x:f>
      </x:c>
      <x:c r="M76" s="138" t="str"/>
      <x:c r="N76" s="137" t="str">
        <x:v>Current model BOM seed</x:v>
      </x:c>
      <x:c r="O76" s="137" t="str"/>
      <x:c r="P76" s="137" t="str">
        <x:v>To Confirm</x:v>
      </x:c>
      <x:c r="Q76" s="137" t="str"/>
    </x:row>
    <x:row r="77">
      <x:c r="A77" s="137" t="str">
        <x:v>BOM-00073</x:v>
      </x:c>
      <x:c r="B77" s="137" t="str">
        <x:v>ARMOUR (VELCRO)</x:v>
      </x:c>
      <x:c r="C77" s="137" t="str">
        <x:v>VELCRO</x:v>
      </x:c>
      <x:c r="D77" s="137" t="str">
        <x:v>6X10B</x:v>
      </x:c>
      <x:c r="E77" s="137" t="str">
        <x:v>STITCHING</x:v>
      </x:c>
      <x:c r="F77" s="137" t="str">
        <x:v>VELCRO 20 MM HOOK||MTR</x:v>
      </x:c>
      <x:c r="G77" s="137" t="str">
        <x:v>VELCRO 20 MM HOOK</x:v>
      </x:c>
      <x:c r="H77" s="137" t="str">
        <x:v>MTR</x:v>
      </x:c>
      <x:c r="I77" s="175" t="n">
        <x:v>0.02</x:v>
      </x:c>
      <x:c r="J77" s="176" t="str"/>
      <x:c r="K77" s="177" t="str"/>
      <x:c r="L77" s="178" t="str">
        <x:f>IF(J77="","",J77*(1+IF(K77="",0,K77)) )</x:f>
      </x:c>
      <x:c r="M77" s="138" t="str"/>
      <x:c r="N77" s="137" t="str">
        <x:v>Current model BOM seed</x:v>
      </x:c>
      <x:c r="O77" s="137" t="str"/>
      <x:c r="P77" s="137" t="str">
        <x:v>To Confirm</x:v>
      </x:c>
      <x:c r="Q77" s="137" t="str"/>
    </x:row>
    <x:row r="78">
      <x:c r="A78" s="137" t="str">
        <x:v>BOM-00074</x:v>
      </x:c>
      <x:c r="B78" s="137" t="str">
        <x:v>ARMOUR (VELCRO)</x:v>
      </x:c>
      <x:c r="C78" s="137" t="str">
        <x:v>VELCRO</x:v>
      </x:c>
      <x:c r="D78" s="137" t="str">
        <x:v>6X10B</x:v>
      </x:c>
      <x:c r="E78" s="137" t="str">
        <x:v>STITCHING</x:v>
      </x:c>
      <x:c r="F78" s="137" t="str">
        <x:v>VELCRO 20 MM LOOP||MTR</x:v>
      </x:c>
      <x:c r="G78" s="137" t="str">
        <x:v>VELCRO 20 MM LOOP</x:v>
      </x:c>
      <x:c r="H78" s="137" t="str">
        <x:v>MTR</x:v>
      </x:c>
      <x:c r="I78" s="175" t="n">
        <x:v>0.02</x:v>
      </x:c>
      <x:c r="J78" s="176" t="str"/>
      <x:c r="K78" s="177" t="str"/>
      <x:c r="L78" s="178" t="str">
        <x:f>IF(J78="","",J78*(1+IF(K78="",0,K78)) )</x:f>
      </x:c>
      <x:c r="M78" s="138" t="str"/>
      <x:c r="N78" s="137" t="str">
        <x:v>Current model BOM seed</x:v>
      </x:c>
      <x:c r="O78" s="137" t="str"/>
      <x:c r="P78" s="137" t="str">
        <x:v>To Confirm</x:v>
      </x:c>
      <x:c r="Q78" s="137" t="str"/>
    </x:row>
    <x:row r="79">
      <x:c r="A79" s="137" t="str">
        <x:v>BOM-00075</x:v>
      </x:c>
      <x:c r="B79" s="137" t="str">
        <x:v>ARMOUR (VELCRO)</x:v>
      </x:c>
      <x:c r="C79" s="137" t="str">
        <x:v>VELCRO</x:v>
      </x:c>
      <x:c r="D79" s="137" t="str">
        <x:v>6X10B</x:v>
      </x:c>
      <x:c r="E79" s="137" t="str">
        <x:v>STITCHING</x:v>
      </x:c>
      <x:c r="F79" s="137" t="str">
        <x:v>VELCRO 25 MM HOOK||MTR</x:v>
      </x:c>
      <x:c r="G79" s="137" t="str">
        <x:v>VELCRO 25 MM HOOK</x:v>
      </x:c>
      <x:c r="H79" s="137" t="str">
        <x:v>MTR</x:v>
      </x:c>
      <x:c r="I79" s="175" t="n">
        <x:v>0.4</x:v>
      </x:c>
      <x:c r="J79" s="176" t="str"/>
      <x:c r="K79" s="177" t="str"/>
      <x:c r="L79" s="178" t="str">
        <x:f>IF(J79="","",J79*(1+IF(K79="",0,K79)) )</x:f>
      </x:c>
      <x:c r="M79" s="138" t="str"/>
      <x:c r="N79" s="137" t="str">
        <x:v>Current model BOM seed</x:v>
      </x:c>
      <x:c r="O79" s="137" t="str"/>
      <x:c r="P79" s="137" t="str">
        <x:v>To Confirm</x:v>
      </x:c>
      <x:c r="Q79" s="137" t="str"/>
    </x:row>
    <x:row r="80">
      <x:c r="A80" s="137" t="str">
        <x:v>BOM-00076</x:v>
      </x:c>
      <x:c r="B80" s="137" t="str">
        <x:v>ARMOUR (VELCRO)</x:v>
      </x:c>
      <x:c r="C80" s="137" t="str">
        <x:v>VELCRO</x:v>
      </x:c>
      <x:c r="D80" s="137" t="str">
        <x:v>6X10B</x:v>
      </x:c>
      <x:c r="E80" s="137" t="str">
        <x:v>STITCHING</x:v>
      </x:c>
      <x:c r="F80" s="137" t="str">
        <x:v>VELCRO 25 MM LOOP||MTR</x:v>
      </x:c>
      <x:c r="G80" s="137" t="str">
        <x:v>VELCRO 25 MM LOOP</x:v>
      </x:c>
      <x:c r="H80" s="137" t="str">
        <x:v>MTR</x:v>
      </x:c>
      <x:c r="I80" s="175" t="n">
        <x:v>0.4</x:v>
      </x:c>
      <x:c r="J80" s="176" t="str"/>
      <x:c r="K80" s="177" t="str"/>
      <x:c r="L80" s="178" t="str">
        <x:f>IF(J80="","",J80*(1+IF(K80="",0,K80)) )</x:f>
      </x:c>
      <x:c r="M80" s="138" t="str"/>
      <x:c r="N80" s="137" t="str">
        <x:v>Current model BOM seed</x:v>
      </x:c>
      <x:c r="O80" s="137" t="str"/>
      <x:c r="P80" s="137" t="str">
        <x:v>To Confirm</x:v>
      </x:c>
      <x:c r="Q80" s="137" t="str"/>
    </x:row>
    <x:row r="81">
      <x:c r="A81" s="137" t="str">
        <x:v>BOM-00077</x:v>
      </x:c>
      <x:c r="B81" s="137" t="str">
        <x:v>ARMOUR (VELCRO)</x:v>
      </x:c>
      <x:c r="C81" s="137" t="str">
        <x:v>VELCRO</x:v>
      </x:c>
      <x:c r="D81" s="137" t="str">
        <x:v>6X10B</x:v>
      </x:c>
      <x:c r="E81" s="137" t="str">
        <x:v>STITCHING</x:v>
      </x:c>
      <x:c r="F81" s="137" t="str">
        <x:v>POLYESTER BINDING 12 MM||MTR</x:v>
      </x:c>
      <x:c r="G81" s="137" t="str">
        <x:v>POLYESTER BINDING 12 MM</x:v>
      </x:c>
      <x:c r="H81" s="137" t="str">
        <x:v>MTR</x:v>
      </x:c>
      <x:c r="I81" s="175" t="n">
        <x:v>0.34</x:v>
      </x:c>
      <x:c r="J81" s="176" t="str"/>
      <x:c r="K81" s="177" t="str"/>
      <x:c r="L81" s="178" t="str">
        <x:f>IF(J81="","",J81*(1+IF(K81="",0,K81)) )</x:f>
      </x:c>
      <x:c r="M81" s="138" t="str"/>
      <x:c r="N81" s="137" t="str">
        <x:v>Current model BOM seed</x:v>
      </x:c>
      <x:c r="O81" s="137" t="str"/>
      <x:c r="P81" s="137" t="str">
        <x:v>To Confirm</x:v>
      </x:c>
      <x:c r="Q81" s="137" t="str"/>
    </x:row>
    <x:row r="82">
      <x:c r="A82" s="137" t="str">
        <x:v>BOM-00078</x:v>
      </x:c>
      <x:c r="B82" s="137" t="str">
        <x:v>ARMOUR (VELCRO)</x:v>
      </x:c>
      <x:c r="C82" s="137" t="str">
        <x:v>VELCRO</x:v>
      </x:c>
      <x:c r="D82" s="137" t="str">
        <x:v>6X10B</x:v>
      </x:c>
      <x:c r="E82" s="137" t="str">
        <x:v>STITCHING</x:v>
      </x:c>
      <x:c r="F82" s="137" t="str">
        <x:v>BACK TAPE 14 MM||MTR</x:v>
      </x:c>
      <x:c r="G82" s="137" t="str">
        <x:v>BACK TAPE 14 MM</x:v>
      </x:c>
      <x:c r="H82" s="137" t="str">
        <x:v>MTR</x:v>
      </x:c>
      <x:c r="I82" s="175" t="n">
        <x:v>0.12</x:v>
      </x:c>
      <x:c r="J82" s="176" t="str"/>
      <x:c r="K82" s="177" t="str"/>
      <x:c r="L82" s="178" t="str">
        <x:f>IF(J82="","",J82*(1+IF(K82="",0,K82)) )</x:f>
      </x:c>
      <x:c r="M82" s="138" t="str"/>
      <x:c r="N82" s="137" t="str">
        <x:v>Current model BOM seed</x:v>
      </x:c>
      <x:c r="O82" s="137" t="str"/>
      <x:c r="P82" s="137" t="str">
        <x:v>To Confirm</x:v>
      </x:c>
      <x:c r="Q82" s="137" t="str"/>
    </x:row>
    <x:row r="83">
      <x:c r="A83" s="137" t="str">
        <x:v>BOM-00079</x:v>
      </x:c>
      <x:c r="B83" s="137" t="str">
        <x:v>ARMOUR (LACE)</x:v>
      </x:c>
      <x:c r="C83" s="137" t="str">
        <x:v>LACE</x:v>
      </x:c>
      <x:c r="D83" s="137" t="str">
        <x:v>8X10</x:v>
      </x:c>
      <x:c r="E83" s="137" t="str">
        <x:v>CUTTING</x:v>
      </x:c>
      <x:c r="F83" s="137" t="str">
        <x:v>ARMOR REXION||MTR</x:v>
      </x:c>
      <x:c r="G83" s="137" t="str">
        <x:v>ARMOR REXION</x:v>
      </x:c>
      <x:c r="H83" s="137" t="str">
        <x:v>MTR</x:v>
      </x:c>
      <x:c r="I83" s="175" t="n">
        <x:v>0.077407</x:v>
      </x:c>
      <x:c r="J83" s="176" t="str"/>
      <x:c r="K83" s="177" t="str"/>
      <x:c r="L83" s="178" t="str">
        <x:f>IF(J83="","",J83*(1+IF(K83="",0,K83)) )</x:f>
      </x:c>
      <x:c r="M83" s="138" t="str"/>
      <x:c r="N83" s="137" t="str">
        <x:v>Current model BOM seed</x:v>
      </x:c>
      <x:c r="O83" s="137" t="str"/>
      <x:c r="P83" s="137" t="str">
        <x:v>To Confirm</x:v>
      </x:c>
      <x:c r="Q83" s="137" t="str"/>
    </x:row>
    <x:row r="84">
      <x:c r="A84" s="137" t="str">
        <x:v>BOM-00080</x:v>
      </x:c>
      <x:c r="B84" s="137" t="str">
        <x:v>ARMOUR (LACE)</x:v>
      </x:c>
      <x:c r="C84" s="137" t="str">
        <x:v>LACE</x:v>
      </x:c>
      <x:c r="D84" s="137" t="str">
        <x:v>8X10</x:v>
      </x:c>
      <x:c r="E84" s="137" t="str">
        <x:v>CUTTING</x:v>
      </x:c>
      <x:c r="F84" s="137" t="str">
        <x:v>TOE PUFF 0.8MM||SHEET</x:v>
      </x:c>
      <x:c r="G84" s="137" t="str">
        <x:v>TOE PUFF 0.8MM</x:v>
      </x:c>
      <x:c r="H84" s="137" t="str">
        <x:v>SHEET</x:v>
      </x:c>
      <x:c r="I84" s="175" t="n">
        <x:v>0.012667</x:v>
      </x:c>
      <x:c r="J84" s="176" t="str"/>
      <x:c r="K84" s="177" t="str"/>
      <x:c r="L84" s="178" t="str">
        <x:f>IF(J84="","",J84*(1+IF(K84="",0,K84)) )</x:f>
      </x:c>
      <x:c r="M84" s="138" t="str"/>
      <x:c r="N84" s="137" t="str">
        <x:v>Current model BOM seed</x:v>
      </x:c>
      <x:c r="O84" s="137" t="str"/>
      <x:c r="P84" s="137" t="str">
        <x:v>To Confirm</x:v>
      </x:c>
      <x:c r="Q84" s="137" t="str"/>
    </x:row>
    <x:row r="85">
      <x:c r="A85" s="137" t="str">
        <x:v>BOM-00081</x:v>
      </x:c>
      <x:c r="B85" s="137" t="str">
        <x:v>ARMOUR (LACE)</x:v>
      </x:c>
      <x:c r="C85" s="137" t="str">
        <x:v>LACE</x:v>
      </x:c>
      <x:c r="D85" s="137" t="str">
        <x:v>8X10</x:v>
      </x:c>
      <x:c r="E85" s="137" t="str">
        <x:v>CUTTING</x:v>
      </x:c>
      <x:c r="F85" s="137" t="str">
        <x:v>PU MESH (HARD FOAM+BACKER)||MTR</x:v>
      </x:c>
      <x:c r="G85" s="137" t="str">
        <x:v>PU MESH (HARD FOAM+BACKER)</x:v>
      </x:c>
      <x:c r="H85" s="137" t="str">
        <x:v>MTR</x:v>
      </x:c>
      <x:c r="I85" s="175" t="n">
        <x:v>0.053562</x:v>
      </x:c>
      <x:c r="J85" s="176" t="str"/>
      <x:c r="K85" s="177" t="str"/>
      <x:c r="L85" s="178" t="str">
        <x:f>IF(J85="","",J85*(1+IF(K85="",0,K85)) )</x:f>
      </x:c>
      <x:c r="M85" s="138" t="str"/>
      <x:c r="N85" s="137" t="str">
        <x:v>Current model BOM seed</x:v>
      </x:c>
      <x:c r="O85" s="137" t="str"/>
      <x:c r="P85" s="137" t="str">
        <x:v>To Confirm</x:v>
      </x:c>
      <x:c r="Q85" s="137" t="str"/>
    </x:row>
    <x:row r="86">
      <x:c r="A86" s="137" t="str">
        <x:v>BOM-00082</x:v>
      </x:c>
      <x:c r="B86" s="137" t="str">
        <x:v>ARMOUR (LACE)</x:v>
      </x:c>
      <x:c r="C86" s="137" t="str">
        <x:v>LACE</x:v>
      </x:c>
      <x:c r="D86" s="137" t="str">
        <x:v>8X10</x:v>
      </x:c>
      <x:c r="E86" s="137" t="str">
        <x:v>CUTTING</x:v>
      </x:c>
      <x:c r="F86" s="137" t="str">
        <x:v>VAMP ASTER DOUBLE BACKER||MTR</x:v>
      </x:c>
      <x:c r="G86" s="137" t="str">
        <x:v>VAMP ASTER DOUBLE BACKER</x:v>
      </x:c>
      <x:c r="H86" s="137" t="str">
        <x:v>MTR</x:v>
      </x:c>
      <x:c r="I86" s="175" t="n">
        <x:v>0.017391</x:v>
      </x:c>
      <x:c r="J86" s="176" t="str"/>
      <x:c r="K86" s="177" t="str"/>
      <x:c r="L86" s="178" t="str">
        <x:f>IF(J86="","",J86*(1+IF(K86="",0,K86)) )</x:f>
      </x:c>
      <x:c r="M86" s="138" t="str"/>
      <x:c r="N86" s="137" t="str">
        <x:v>Current model BOM seed</x:v>
      </x:c>
      <x:c r="O86" s="137" t="str"/>
      <x:c r="P86" s="137" t="str">
        <x:v>To Confirm</x:v>
      </x:c>
      <x:c r="Q86" s="137" t="str"/>
    </x:row>
    <x:row r="87">
      <x:c r="A87" s="137" t="str">
        <x:v>BOM-00083</x:v>
      </x:c>
      <x:c r="B87" s="137" t="str">
        <x:v>ARMOUR (LACE)</x:v>
      </x:c>
      <x:c r="C87" s="137" t="str">
        <x:v>LACE</x:v>
      </x:c>
      <x:c r="D87" s="137" t="str">
        <x:v>8X10</x:v>
      </x:c>
      <x:c r="E87" s="137" t="str">
        <x:v>CUTTING</x:v>
      </x:c>
      <x:c r="F87" s="137" t="str">
        <x:v>SKINFIT GOLA ( FOAM + BACKER)||MTR</x:v>
      </x:c>
      <x:c r="G87" s="137" t="str">
        <x:v>SKINFIT GOLA ( FOAM + BACKER)</x:v>
      </x:c>
      <x:c r="H87" s="137" t="str">
        <x:v>MTR</x:v>
      </x:c>
      <x:c r="I87" s="175" t="n">
        <x:v>0.055067</x:v>
      </x:c>
      <x:c r="J87" s="176" t="str"/>
      <x:c r="K87" s="177" t="str"/>
      <x:c r="L87" s="178" t="str">
        <x:f>IF(J87="","",J87*(1+IF(K87="",0,K87)) )</x:f>
      </x:c>
      <x:c r="M87" s="138" t="str"/>
      <x:c r="N87" s="137" t="str">
        <x:v>Current model BOM seed</x:v>
      </x:c>
      <x:c r="O87" s="137" t="str"/>
      <x:c r="P87" s="137" t="str">
        <x:v>To Confirm</x:v>
      </x:c>
      <x:c r="Q87" s="137" t="str"/>
    </x:row>
    <x:row r="88">
      <x:c r="A88" s="137" t="str">
        <x:v>BOM-00084</x:v>
      </x:c>
      <x:c r="B88" s="137" t="str">
        <x:v>ARMOUR (LACE)</x:v>
      </x:c>
      <x:c r="C88" s="137" t="str">
        <x:v>LACE</x:v>
      </x:c>
      <x:c r="D88" s="137" t="str">
        <x:v>8X10</x:v>
      </x:c>
      <x:c r="E88" s="137" t="str">
        <x:v>CUTTING</x:v>
      </x:c>
      <x:c r="F88" s="137" t="str">
        <x:v>DRILL CLOTH||MTR</x:v>
      </x:c>
      <x:c r="G88" s="137" t="str">
        <x:v>DRILL CLOTH</x:v>
      </x:c>
      <x:c r="H88" s="137" t="str">
        <x:v>MTR</x:v>
      </x:c>
      <x:c r="I88" s="175" t="n">
        <x:v>0.009556</x:v>
      </x:c>
      <x:c r="J88" s="176" t="str"/>
      <x:c r="K88" s="177" t="str"/>
      <x:c r="L88" s="178" t="str">
        <x:f>IF(J88="","",J88*(1+IF(K88="",0,K88)) )</x:f>
      </x:c>
      <x:c r="M88" s="138" t="str"/>
      <x:c r="N88" s="137" t="str">
        <x:v>Current model BOM seed</x:v>
      </x:c>
      <x:c r="O88" s="137" t="str"/>
      <x:c r="P88" s="137" t="str">
        <x:v>To Confirm</x:v>
      </x:c>
      <x:c r="Q88" s="137" t="str"/>
    </x:row>
    <x:row r="89">
      <x:c r="A89" s="137" t="str">
        <x:v>BOM-00085</x:v>
      </x:c>
      <x:c r="B89" s="137" t="str">
        <x:v>ARMOUR (LACE)</x:v>
      </x:c>
      <x:c r="C89" s="137" t="str">
        <x:v>LACE</x:v>
      </x:c>
      <x:c r="D89" s="137" t="str">
        <x:v>8X10</x:v>
      </x:c>
      <x:c r="E89" s="137" t="str">
        <x:v>CUTTING</x:v>
      </x:c>
      <x:c r="F89" s="137" t="str">
        <x:v>ASTER HEAVY FOR TOUNG||MTR</x:v>
      </x:c>
      <x:c r="G89" s="137" t="str">
        <x:v>ASTER HEAVY FOR TOUNG</x:v>
      </x:c>
      <x:c r="H89" s="137" t="str">
        <x:v>MTR</x:v>
      </x:c>
      <x:c r="I89" s="175" t="n">
        <x:v>0.012012</x:v>
      </x:c>
      <x:c r="J89" s="176" t="str"/>
      <x:c r="K89" s="177" t="str"/>
      <x:c r="L89" s="178" t="str">
        <x:f>IF(J89="","",J89*(1+IF(K89="",0,K89)) )</x:f>
      </x:c>
      <x:c r="M89" s="138" t="str"/>
      <x:c r="N89" s="137" t="str">
        <x:v>Current model BOM seed</x:v>
      </x:c>
      <x:c r="O89" s="137" t="str"/>
      <x:c r="P89" s="137" t="str">
        <x:v>To Confirm</x:v>
      </x:c>
      <x:c r="Q89" s="137" t="str"/>
    </x:row>
    <x:row r="90">
      <x:c r="A90" s="137" t="str">
        <x:v>BOM-00086</x:v>
      </x:c>
      <x:c r="B90" s="137" t="str">
        <x:v>ARMOUR (LACE)</x:v>
      </x:c>
      <x:c r="C90" s="137" t="str">
        <x:v>LACE</x:v>
      </x:c>
      <x:c r="D90" s="137" t="str">
        <x:v>8X10</x:v>
      </x:c>
      <x:c r="E90" s="137" t="str">
        <x:v>CUTTING</x:v>
      </x:c>
      <x:c r="F90" s="137" t="str">
        <x:v>COLOR FOAM 20MM||SHEET</x:v>
      </x:c>
      <x:c r="G90" s="137" t="str">
        <x:v>COLOR FOAM 20MM</x:v>
      </x:c>
      <x:c r="H90" s="137" t="str">
        <x:v>SHEET</x:v>
      </x:c>
      <x:c r="I90" s="175" t="n">
        <x:v>0.009091</x:v>
      </x:c>
      <x:c r="J90" s="176" t="str"/>
      <x:c r="K90" s="177" t="str"/>
      <x:c r="L90" s="178" t="str">
        <x:f>IF(J90="","",J90*(1+IF(K90="",0,K90)) )</x:f>
      </x:c>
      <x:c r="M90" s="138" t="str"/>
      <x:c r="N90" s="137" t="str">
        <x:v>Current model BOM seed</x:v>
      </x:c>
      <x:c r="O90" s="137" t="str"/>
      <x:c r="P90" s="137" t="str">
        <x:v>To Confirm</x:v>
      </x:c>
      <x:c r="Q90" s="137" t="str"/>
    </x:row>
    <x:row r="91">
      <x:c r="A91" s="137" t="str">
        <x:v>BOM-00087</x:v>
      </x:c>
      <x:c r="B91" s="137" t="str">
        <x:v>ARMOUR (LACE)</x:v>
      </x:c>
      <x:c r="C91" s="137" t="str">
        <x:v>LACE</x:v>
      </x:c>
      <x:c r="D91" s="137" t="str">
        <x:v>8X10</x:v>
      </x:c>
      <x:c r="E91" s="137" t="str">
        <x:v>CUTTING</x:v>
      </x:c>
      <x:c r="F91" s="137" t="str">
        <x:v>TEXION||SHEET</x:v>
      </x:c>
      <x:c r="G91" s="137" t="str">
        <x:v>TEXION</x:v>
      </x:c>
      <x:c r="H91" s="137" t="str">
        <x:v>SHEET</x:v>
      </x:c>
      <x:c r="I91" s="175" t="n">
        <x:v>0.023202</x:v>
      </x:c>
      <x:c r="J91" s="176" t="str"/>
      <x:c r="K91" s="177" t="str"/>
      <x:c r="L91" s="178" t="str">
        <x:f>IF(J91="","",J91*(1+IF(K91="",0,K91)) )</x:f>
      </x:c>
      <x:c r="M91" s="138" t="str"/>
      <x:c r="N91" s="137" t="str">
        <x:v>Current model BOM seed</x:v>
      </x:c>
      <x:c r="O91" s="137" t="str"/>
      <x:c r="P91" s="137" t="str">
        <x:v>To Confirm</x:v>
      </x:c>
      <x:c r="Q91" s="137" t="str"/>
    </x:row>
    <x:row r="92">
      <x:c r="A92" s="137" t="str">
        <x:v>BOM-00088</x:v>
      </x:c>
      <x:c r="B92" s="137" t="str">
        <x:v>ARMOUR (LACE)</x:v>
      </x:c>
      <x:c r="C92" s="137" t="str">
        <x:v>LACE</x:v>
      </x:c>
      <x:c r="D92" s="137" t="str">
        <x:v>8X10</x:v>
      </x:c>
      <x:c r="E92" s="137" t="str">
        <x:v>CUTTING</x:v>
      </x:c>
      <x:c r="F92" s="137" t="str">
        <x:v>STIFNER 1.4MM YELLOW||SHEET</x:v>
      </x:c>
      <x:c r="G92" s="137" t="str">
        <x:v>STIFNER 1.4MM YELLOW</x:v>
      </x:c>
      <x:c r="H92" s="137" t="str">
        <x:v>SHEET</x:v>
      </x:c>
      <x:c r="I92" s="175" t="n">
        <x:v>0.006144</x:v>
      </x:c>
      <x:c r="J92" s="176" t="str"/>
      <x:c r="K92" s="177" t="str"/>
      <x:c r="L92" s="178" t="str">
        <x:f>IF(J92="","",J92*(1+IF(K92="",0,K92)) )</x:f>
      </x:c>
      <x:c r="M92" s="138" t="str"/>
      <x:c r="N92" s="137" t="str">
        <x:v>Current model BOM seed</x:v>
      </x:c>
      <x:c r="O92" s="137" t="str"/>
      <x:c r="P92" s="137" t="str">
        <x:v>To Confirm</x:v>
      </x:c>
      <x:c r="Q92" s="137" t="str"/>
    </x:row>
    <x:row r="93">
      <x:c r="A93" s="137" t="str">
        <x:v>BOM-00089</x:v>
      </x:c>
      <x:c r="B93" s="137" t="str">
        <x:v>ARMOUR (LACE)</x:v>
      </x:c>
      <x:c r="C93" s="137" t="str">
        <x:v>LACE</x:v>
      </x:c>
      <x:c r="D93" s="137" t="str">
        <x:v>8X10</x:v>
      </x:c>
      <x:c r="E93" s="137" t="str">
        <x:v>CUTTING</x:v>
      </x:c>
      <x:c r="F93" s="137" t="str">
        <x:v>INSOLE 4 MM||MTR</x:v>
      </x:c>
      <x:c r="G93" s="137" t="str">
        <x:v>INSOLE 4 MM</x:v>
      </x:c>
      <x:c r="H93" s="137" t="str">
        <x:v>MTR</x:v>
      </x:c>
      <x:c r="I93" s="175" t="n">
        <x:v>0.017902</x:v>
      </x:c>
      <x:c r="J93" s="176" t="str"/>
      <x:c r="K93" s="177" t="str"/>
      <x:c r="L93" s="178" t="str">
        <x:f>IF(J93="","",J93*(1+IF(K93="",0,K93)) )</x:f>
      </x:c>
      <x:c r="M93" s="138" t="str"/>
      <x:c r="N93" s="137" t="str">
        <x:v>Current model BOM seed</x:v>
      </x:c>
      <x:c r="O93" s="137" t="str"/>
      <x:c r="P93" s="137" t="str">
        <x:v>To Confirm</x:v>
      </x:c>
      <x:c r="Q93" s="137" t="str"/>
    </x:row>
    <x:row r="94">
      <x:c r="A94" s="137" t="str">
        <x:v>BOM-00090</x:v>
      </x:c>
      <x:c r="B94" s="137" t="str">
        <x:v>ARMOUR (LACE)</x:v>
      </x:c>
      <x:c r="C94" s="137" t="str">
        <x:v>LACE</x:v>
      </x:c>
      <x:c r="D94" s="137" t="str">
        <x:v>8X10</x:v>
      </x:c>
      <x:c r="E94" s="137" t="str">
        <x:v>STITCHING</x:v>
      </x:c>
      <x:c r="F94" s="137" t="str">
        <x:v>THREAD 3 PLY||SPOOL</x:v>
      </x:c>
      <x:c r="G94" s="137" t="str">
        <x:v>THREAD 3 PLY</x:v>
      </x:c>
      <x:c r="H94" s="137" t="str">
        <x:v>SPOOL</x:v>
      </x:c>
      <x:c r="I94" s="175" t="n">
        <x:v>0.034</x:v>
      </x:c>
      <x:c r="J94" s="176" t="str"/>
      <x:c r="K94" s="177" t="str"/>
      <x:c r="L94" s="178" t="str">
        <x:f>IF(J94="","",J94*(1+IF(K94="",0,K94)) )</x:f>
      </x:c>
      <x:c r="M94" s="138" t="str"/>
      <x:c r="N94" s="137" t="str">
        <x:v>Current model BOM seed</x:v>
      </x:c>
      <x:c r="O94" s="137" t="str"/>
      <x:c r="P94" s="137" t="str">
        <x:v>To Confirm</x:v>
      </x:c>
      <x:c r="Q94" s="137" t="str"/>
    </x:row>
    <x:row r="95">
      <x:c r="A95" s="137" t="str">
        <x:v>BOM-00091</x:v>
      </x:c>
      <x:c r="B95" s="137" t="str">
        <x:v>ARMOUR (LACE)</x:v>
      </x:c>
      <x:c r="C95" s="137" t="str">
        <x:v>LACE</x:v>
      </x:c>
      <x:c r="D95" s="137" t="str">
        <x:v>8X10</x:v>
      </x:c>
      <x:c r="E95" s="137" t="str">
        <x:v>STITCHING</x:v>
      </x:c>
      <x:c r="F95" s="137" t="str">
        <x:v>SIZE LABEL||PCS</x:v>
      </x:c>
      <x:c r="G95" s="137" t="str">
        <x:v>SIZE LABEL</x:v>
      </x:c>
      <x:c r="H95" s="137" t="str">
        <x:v>PCS</x:v>
      </x:c>
      <x:c r="I95" s="175" t="n">
        <x:v>2</x:v>
      </x:c>
      <x:c r="J95" s="176" t="str"/>
      <x:c r="K95" s="177" t="str"/>
      <x:c r="L95" s="178" t="str">
        <x:f>IF(J95="","",J95*(1+IF(K95="",0,K95)) )</x:f>
      </x:c>
      <x:c r="M95" s="138" t="str"/>
      <x:c r="N95" s="137" t="str">
        <x:v>Current model BOM seed</x:v>
      </x:c>
      <x:c r="O95" s="137" t="str"/>
      <x:c r="P95" s="137" t="str">
        <x:v>To Confirm</x:v>
      </x:c>
      <x:c r="Q95" s="137" t="str"/>
    </x:row>
    <x:row r="96">
      <x:c r="A96" s="137" t="str">
        <x:v>BOM-00092</x:v>
      </x:c>
      <x:c r="B96" s="137" t="str">
        <x:v>ARMOUR (LACE)</x:v>
      </x:c>
      <x:c r="C96" s="137" t="str">
        <x:v>LACE</x:v>
      </x:c>
      <x:c r="D96" s="137" t="str">
        <x:v>8X10</x:v>
      </x:c>
      <x:c r="E96" s="137" t="str">
        <x:v>STITCHING</x:v>
      </x:c>
      <x:c r="F96" s="137" t="str">
        <x:v>TOUNG LABEL SNEAKER||PCS</x:v>
      </x:c>
      <x:c r="G96" s="137" t="str">
        <x:v>TOUNG LABEL SNEAKER</x:v>
      </x:c>
      <x:c r="H96" s="137" t="str">
        <x:v>PCS</x:v>
      </x:c>
      <x:c r="I96" s="175" t="n">
        <x:v>2</x:v>
      </x:c>
      <x:c r="J96" s="176" t="str"/>
      <x:c r="K96" s="177" t="str"/>
      <x:c r="L96" s="178" t="str">
        <x:f>IF(J96="","",J96*(1+IF(K96="",0,K96)) )</x:f>
      </x:c>
      <x:c r="M96" s="138" t="str"/>
      <x:c r="N96" s="137" t="str">
        <x:v>Current model BOM seed</x:v>
      </x:c>
      <x:c r="O96" s="137" t="str"/>
      <x:c r="P96" s="137" t="str">
        <x:v>To Confirm</x:v>
      </x:c>
      <x:c r="Q96" s="137" t="str"/>
    </x:row>
    <x:row r="97">
      <x:c r="A97" s="137" t="str">
        <x:v>BOM-00093</x:v>
      </x:c>
      <x:c r="B97" s="137" t="str">
        <x:v>ARMOUR (LACE)</x:v>
      </x:c>
      <x:c r="C97" s="137" t="str">
        <x:v>LACE</x:v>
      </x:c>
      <x:c r="D97" s="137" t="str">
        <x:v>8X10</x:v>
      </x:c>
      <x:c r="E97" s="137" t="str">
        <x:v>STITCHING</x:v>
      </x:c>
      <x:c r="F97" s="137" t="str">
        <x:v>POLYESTER BINDING 12 MM||MTR</x:v>
      </x:c>
      <x:c r="G97" s="137" t="str">
        <x:v>POLYESTER BINDING 12 MM</x:v>
      </x:c>
      <x:c r="H97" s="137" t="str">
        <x:v>MTR</x:v>
      </x:c>
      <x:c r="I97" s="175" t="n">
        <x:v>0.28</x:v>
      </x:c>
      <x:c r="J97" s="176" t="str"/>
      <x:c r="K97" s="177" t="str"/>
      <x:c r="L97" s="178" t="str">
        <x:f>IF(J97="","",J97*(1+IF(K97="",0,K97)) )</x:f>
      </x:c>
      <x:c r="M97" s="138" t="str"/>
      <x:c r="N97" s="137" t="str">
        <x:v>Current model BOM seed</x:v>
      </x:c>
      <x:c r="O97" s="137" t="str"/>
      <x:c r="P97" s="137" t="str">
        <x:v>To Confirm</x:v>
      </x:c>
      <x:c r="Q97" s="137" t="str"/>
    </x:row>
    <x:row r="98">
      <x:c r="A98" s="137" t="str">
        <x:v>BOM-00094</x:v>
      </x:c>
      <x:c r="B98" s="137" t="str">
        <x:v>ARMOUR (LACE)</x:v>
      </x:c>
      <x:c r="C98" s="137" t="str">
        <x:v>LACE</x:v>
      </x:c>
      <x:c r="D98" s="137" t="str">
        <x:v>8X10</x:v>
      </x:c>
      <x:c r="E98" s="137" t="str">
        <x:v>STITCHING</x:v>
      </x:c>
      <x:c r="F98" s="137" t="str">
        <x:v>BACK TAPE 14 MM||MTR</x:v>
      </x:c>
      <x:c r="G98" s="137" t="str">
        <x:v>BACK TAPE 14 MM</x:v>
      </x:c>
      <x:c r="H98" s="137" t="str">
        <x:v>MTR</x:v>
      </x:c>
      <x:c r="I98" s="175" t="n">
        <x:v>0.08</x:v>
      </x:c>
      <x:c r="J98" s="176" t="str"/>
      <x:c r="K98" s="177" t="str"/>
      <x:c r="L98" s="178" t="str">
        <x:f>IF(J98="","",J98*(1+IF(K98="",0,K98)) )</x:f>
      </x:c>
      <x:c r="M98" s="138" t="str"/>
      <x:c r="N98" s="137" t="str">
        <x:v>Current model BOM seed</x:v>
      </x:c>
      <x:c r="O98" s="137" t="str"/>
      <x:c r="P98" s="137" t="str">
        <x:v>To Confirm</x:v>
      </x:c>
      <x:c r="Q98" s="137" t="str"/>
    </x:row>
    <x:row r="99">
      <x:c r="A99" s="137" t="str">
        <x:v>BOM-00095</x:v>
      </x:c>
      <x:c r="B99" s="137" t="str">
        <x:v>ARMOUR (LACE)</x:v>
      </x:c>
      <x:c r="C99" s="137" t="str">
        <x:v>LACE</x:v>
      </x:c>
      <x:c r="D99" s="137" t="str">
        <x:v>11X1</x:v>
      </x:c>
      <x:c r="E99" s="137" t="str">
        <x:v>CUTTING</x:v>
      </x:c>
      <x:c r="F99" s="137" t="str">
        <x:v>ARMOR REXION||MTR</x:v>
      </x:c>
      <x:c r="G99" s="137" t="str">
        <x:v>ARMOR REXION</x:v>
      </x:c>
      <x:c r="H99" s="137" t="str">
        <x:v>MTR</x:v>
      </x:c>
      <x:c r="I99" s="175" t="n">
        <x:v>0.07837</x:v>
      </x:c>
      <x:c r="J99" s="176" t="str"/>
      <x:c r="K99" s="177" t="str"/>
      <x:c r="L99" s="178" t="str">
        <x:f>IF(J99="","",J99*(1+IF(K99="",0,K99)) )</x:f>
      </x:c>
      <x:c r="M99" s="138" t="str"/>
      <x:c r="N99" s="137" t="str">
        <x:v>Current model BOM seed</x:v>
      </x:c>
      <x:c r="O99" s="137" t="str"/>
      <x:c r="P99" s="137" t="str">
        <x:v>To Confirm</x:v>
      </x:c>
      <x:c r="Q99" s="137" t="str"/>
    </x:row>
    <x:row r="100">
      <x:c r="A100" s="137" t="str">
        <x:v>BOM-00096</x:v>
      </x:c>
      <x:c r="B100" s="137" t="str">
        <x:v>ARMOUR (LACE)</x:v>
      </x:c>
      <x:c r="C100" s="137" t="str">
        <x:v>LACE</x:v>
      </x:c>
      <x:c r="D100" s="137" t="str">
        <x:v>11X1</x:v>
      </x:c>
      <x:c r="E100" s="137" t="str">
        <x:v>CUTTING</x:v>
      </x:c>
      <x:c r="F100" s="137" t="str">
        <x:v>TOE PUFF 0.8MM||SHEET</x:v>
      </x:c>
      <x:c r="G100" s="137" t="str">
        <x:v>TOE PUFF 0.8MM</x:v>
      </x:c>
      <x:c r="H100" s="137" t="str">
        <x:v>SHEET</x:v>
      </x:c>
      <x:c r="I100" s="175" t="n">
        <x:v>0.015467</x:v>
      </x:c>
      <x:c r="J100" s="176" t="str"/>
      <x:c r="K100" s="177" t="str"/>
      <x:c r="L100" s="178" t="str">
        <x:f>IF(J100="","",J100*(1+IF(K100="",0,K100)) )</x:f>
      </x:c>
      <x:c r="M100" s="138" t="str"/>
      <x:c r="N100" s="137" t="str">
        <x:v>Current model BOM seed</x:v>
      </x:c>
      <x:c r="O100" s="137" t="str"/>
      <x:c r="P100" s="137" t="str">
        <x:v>To Confirm</x:v>
      </x:c>
      <x:c r="Q100" s="137" t="str"/>
    </x:row>
    <x:row r="101">
      <x:c r="A101" s="137" t="str">
        <x:v>BOM-00097</x:v>
      </x:c>
      <x:c r="B101" s="137" t="str">
        <x:v>ARMOUR (LACE)</x:v>
      </x:c>
      <x:c r="C101" s="137" t="str">
        <x:v>LACE</x:v>
      </x:c>
      <x:c r="D101" s="137" t="str">
        <x:v>11X1</x:v>
      </x:c>
      <x:c r="E101" s="137" t="str">
        <x:v>CUTTING</x:v>
      </x:c>
      <x:c r="F101" s="137" t="str">
        <x:v>PU MESH (HARD FOAM+BACKER)||MTR</x:v>
      </x:c>
      <x:c r="G101" s="137" t="str">
        <x:v>PU MESH (HARD FOAM+BACKER)</x:v>
      </x:c>
      <x:c r="H101" s="137" t="str">
        <x:v>MTR</x:v>
      </x:c>
      <x:c r="I101" s="175" t="n">
        <x:v>0.06402</x:v>
      </x:c>
      <x:c r="J101" s="176" t="str"/>
      <x:c r="K101" s="177" t="str"/>
      <x:c r="L101" s="178" t="str">
        <x:f>IF(J101="","",J101*(1+IF(K101="",0,K101)) )</x:f>
      </x:c>
      <x:c r="M101" s="138" t="str"/>
      <x:c r="N101" s="137" t="str">
        <x:v>Current model BOM seed</x:v>
      </x:c>
      <x:c r="O101" s="137" t="str"/>
      <x:c r="P101" s="137" t="str">
        <x:v>To Confirm</x:v>
      </x:c>
      <x:c r="Q101" s="137" t="str"/>
    </x:row>
    <x:row r="102">
      <x:c r="A102" s="137" t="str">
        <x:v>BOM-00098</x:v>
      </x:c>
      <x:c r="B102" s="137" t="str">
        <x:v>ARMOUR (LACE)</x:v>
      </x:c>
      <x:c r="C102" s="137" t="str">
        <x:v>LACE</x:v>
      </x:c>
      <x:c r="D102" s="137" t="str">
        <x:v>11X1</x:v>
      </x:c>
      <x:c r="E102" s="137" t="str">
        <x:v>CUTTING</x:v>
      </x:c>
      <x:c r="F102" s="137" t="str">
        <x:v>VAMP ASTER DOUBLE BACKER||MTR</x:v>
      </x:c>
      <x:c r="G102" s="137" t="str">
        <x:v>VAMP ASTER DOUBLE BACKER</x:v>
      </x:c>
      <x:c r="H102" s="137" t="str">
        <x:v>MTR</x:v>
      </x:c>
      <x:c r="I102" s="175" t="n">
        <x:v>0.020619</x:v>
      </x:c>
      <x:c r="J102" s="176" t="str"/>
      <x:c r="K102" s="177" t="str"/>
      <x:c r="L102" s="178" t="str">
        <x:f>IF(J102="","",J102*(1+IF(K102="",0,K102)) )</x:f>
      </x:c>
      <x:c r="M102" s="138" t="str"/>
      <x:c r="N102" s="137" t="str">
        <x:v>Current model BOM seed</x:v>
      </x:c>
      <x:c r="O102" s="137" t="str"/>
      <x:c r="P102" s="137" t="str">
        <x:v>To Confirm</x:v>
      </x:c>
      <x:c r="Q102" s="137" t="str"/>
    </x:row>
    <x:row r="103">
      <x:c r="A103" s="137" t="str">
        <x:v>BOM-00099</x:v>
      </x:c>
      <x:c r="B103" s="137" t="str">
        <x:v>ARMOUR (LACE)</x:v>
      </x:c>
      <x:c r="C103" s="137" t="str">
        <x:v>LACE</x:v>
      </x:c>
      <x:c r="D103" s="137" t="str">
        <x:v>11X1</x:v>
      </x:c>
      <x:c r="E103" s="137" t="str">
        <x:v>CUTTING</x:v>
      </x:c>
      <x:c r="F103" s="137" t="str">
        <x:v>SKINFIT GOLA ( FOAM + BACKER)||MTR</x:v>
      </x:c>
      <x:c r="G103" s="137" t="str">
        <x:v>SKINFIT GOLA ( FOAM + BACKER)</x:v>
      </x:c>
      <x:c r="H103" s="137" t="str">
        <x:v>MTR</x:v>
      </x:c>
      <x:c r="I103" s="175" t="n">
        <x:v>0.064533</x:v>
      </x:c>
      <x:c r="J103" s="176" t="str"/>
      <x:c r="K103" s="177" t="str"/>
      <x:c r="L103" s="178" t="str">
        <x:f>IF(J103="","",J103*(1+IF(K103="",0,K103)) )</x:f>
      </x:c>
      <x:c r="M103" s="138" t="str"/>
      <x:c r="N103" s="137" t="str">
        <x:v>Current model BOM seed</x:v>
      </x:c>
      <x:c r="O103" s="137" t="str"/>
      <x:c r="P103" s="137" t="str">
        <x:v>To Confirm</x:v>
      </x:c>
      <x:c r="Q103" s="137" t="str"/>
    </x:row>
    <x:row r="104">
      <x:c r="A104" s="137" t="str">
        <x:v>BOM-00100</x:v>
      </x:c>
      <x:c r="B104" s="137" t="str">
        <x:v>ARMOUR (LACE)</x:v>
      </x:c>
      <x:c r="C104" s="137" t="str">
        <x:v>LACE</x:v>
      </x:c>
      <x:c r="D104" s="137" t="str">
        <x:v>11X1</x:v>
      </x:c>
      <x:c r="E104" s="137" t="str">
        <x:v>CUTTING</x:v>
      </x:c>
      <x:c r="F104" s="137" t="str">
        <x:v>DRILL CLOTH||MTR</x:v>
      </x:c>
      <x:c r="G104" s="137" t="str">
        <x:v>DRILL CLOTH</x:v>
      </x:c>
      <x:c r="H104" s="137" t="str">
        <x:v>MTR</x:v>
      </x:c>
      <x:c r="I104" s="175" t="n">
        <x:v>0.011852</x:v>
      </x:c>
      <x:c r="J104" s="176" t="str"/>
      <x:c r="K104" s="177" t="str"/>
      <x:c r="L104" s="178" t="str">
        <x:f>IF(J104="","",J104*(1+IF(K104="",0,K104)) )</x:f>
      </x:c>
      <x:c r="M104" s="138" t="str"/>
      <x:c r="N104" s="137" t="str">
        <x:v>Current model BOM seed</x:v>
      </x:c>
      <x:c r="O104" s="137" t="str"/>
      <x:c r="P104" s="137" t="str">
        <x:v>To Confirm</x:v>
      </x:c>
      <x:c r="Q104" s="137" t="str"/>
    </x:row>
    <x:row r="105">
      <x:c r="A105" s="137" t="str">
        <x:v>BOM-00101</x:v>
      </x:c>
      <x:c r="B105" s="137" t="str">
        <x:v>ARMOUR (LACE)</x:v>
      </x:c>
      <x:c r="C105" s="137" t="str">
        <x:v>LACE</x:v>
      </x:c>
      <x:c r="D105" s="137" t="str">
        <x:v>11X1</x:v>
      </x:c>
      <x:c r="E105" s="137" t="str">
        <x:v>CUTTING</x:v>
      </x:c>
      <x:c r="F105" s="137" t="str">
        <x:v>ASTER HEAVY FOR TOUNG||MTR</x:v>
      </x:c>
      <x:c r="G105" s="137" t="str">
        <x:v>ASTER HEAVY FOR TOUNG</x:v>
      </x:c>
      <x:c r="H105" s="137" t="str">
        <x:v>MTR</x:v>
      </x:c>
      <x:c r="I105" s="175" t="n">
        <x:v>0.013889</x:v>
      </x:c>
      <x:c r="J105" s="176" t="str"/>
      <x:c r="K105" s="177" t="str"/>
      <x:c r="L105" s="178" t="str">
        <x:f>IF(J105="","",J105*(1+IF(K105="",0,K105)) )</x:f>
      </x:c>
      <x:c r="M105" s="138" t="str"/>
      <x:c r="N105" s="137" t="str">
        <x:v>Current model BOM seed</x:v>
      </x:c>
      <x:c r="O105" s="137" t="str"/>
      <x:c r="P105" s="137" t="str">
        <x:v>To Confirm</x:v>
      </x:c>
      <x:c r="Q105" s="137" t="str"/>
    </x:row>
    <x:row r="106">
      <x:c r="A106" s="137" t="str">
        <x:v>BOM-00102</x:v>
      </x:c>
      <x:c r="B106" s="137" t="str">
        <x:v>ARMOUR (LACE)</x:v>
      </x:c>
      <x:c r="C106" s="137" t="str">
        <x:v>LACE</x:v>
      </x:c>
      <x:c r="D106" s="137" t="str">
        <x:v>11X1</x:v>
      </x:c>
      <x:c r="E106" s="137" t="str">
        <x:v>CUTTING</x:v>
      </x:c>
      <x:c r="F106" s="137" t="str">
        <x:v>COLOR FOAM 20MM||SHEET</x:v>
      </x:c>
      <x:c r="G106" s="137" t="str">
        <x:v>COLOR FOAM 20MM</x:v>
      </x:c>
      <x:c r="H106" s="137" t="str">
        <x:v>SHEET</x:v>
      </x:c>
      <x:c r="I106" s="175" t="n">
        <x:v>0.009818</x:v>
      </x:c>
      <x:c r="J106" s="176" t="str"/>
      <x:c r="K106" s="177" t="str"/>
      <x:c r="L106" s="178" t="str">
        <x:f>IF(J106="","",J106*(1+IF(K106="",0,K106)) )</x:f>
      </x:c>
      <x:c r="M106" s="138" t="str"/>
      <x:c r="N106" s="137" t="str">
        <x:v>Current model BOM seed</x:v>
      </x:c>
      <x:c r="O106" s="137" t="str"/>
      <x:c r="P106" s="137" t="str">
        <x:v>To Confirm</x:v>
      </x:c>
      <x:c r="Q106" s="137" t="str"/>
    </x:row>
    <x:row r="107">
      <x:c r="A107" s="137" t="str">
        <x:v>BOM-00103</x:v>
      </x:c>
      <x:c r="B107" s="137" t="str">
        <x:v>ARMOUR (LACE)</x:v>
      </x:c>
      <x:c r="C107" s="137" t="str">
        <x:v>LACE</x:v>
      </x:c>
      <x:c r="D107" s="137" t="str">
        <x:v>11X1</x:v>
      </x:c>
      <x:c r="E107" s="137" t="str">
        <x:v>CUTTING</x:v>
      </x:c>
      <x:c r="F107" s="137" t="str">
        <x:v>TEXION||SHEET</x:v>
      </x:c>
      <x:c r="G107" s="137" t="str">
        <x:v>TEXION</x:v>
      </x:c>
      <x:c r="H107" s="137" t="str">
        <x:v>SHEET</x:v>
      </x:c>
      <x:c r="I107" s="175" t="n">
        <x:v>0.027778</x:v>
      </x:c>
      <x:c r="J107" s="176" t="str"/>
      <x:c r="K107" s="177" t="str"/>
      <x:c r="L107" s="178" t="str">
        <x:f>IF(J107="","",J107*(1+IF(K107="",0,K107)) )</x:f>
      </x:c>
      <x:c r="M107" s="138" t="str"/>
      <x:c r="N107" s="137" t="str">
        <x:v>Current model BOM seed</x:v>
      </x:c>
      <x:c r="O107" s="137" t="str"/>
      <x:c r="P107" s="137" t="str">
        <x:v>To Confirm</x:v>
      </x:c>
      <x:c r="Q107" s="137" t="str"/>
    </x:row>
    <x:row r="108">
      <x:c r="A108" s="137" t="str">
        <x:v>BOM-00104</x:v>
      </x:c>
      <x:c r="B108" s="137" t="str">
        <x:v>ARMOUR (LACE)</x:v>
      </x:c>
      <x:c r="C108" s="137" t="str">
        <x:v>LACE</x:v>
      </x:c>
      <x:c r="D108" s="137" t="str">
        <x:v>11X1</x:v>
      </x:c>
      <x:c r="E108" s="137" t="str">
        <x:v>CUTTING</x:v>
      </x:c>
      <x:c r="F108" s="137" t="str">
        <x:v>STIFNER 1.4MM YELLOW||SHEET</x:v>
      </x:c>
      <x:c r="G108" s="137" t="str">
        <x:v>STIFNER 1.4MM YELLOW</x:v>
      </x:c>
      <x:c r="H108" s="137" t="str">
        <x:v>SHEET</x:v>
      </x:c>
      <x:c r="I108" s="175" t="n">
        <x:v>0.008547</x:v>
      </x:c>
      <x:c r="J108" s="176" t="str"/>
      <x:c r="K108" s="177" t="str"/>
      <x:c r="L108" s="178" t="str">
        <x:f>IF(J108="","",J108*(1+IF(K108="",0,K108)) )</x:f>
      </x:c>
      <x:c r="M108" s="138" t="str"/>
      <x:c r="N108" s="137" t="str">
        <x:v>Current model BOM seed</x:v>
      </x:c>
      <x:c r="O108" s="137" t="str"/>
      <x:c r="P108" s="137" t="str">
        <x:v>To Confirm</x:v>
      </x:c>
      <x:c r="Q108" s="137" t="str"/>
    </x:row>
    <x:row r="109">
      <x:c r="A109" s="137" t="str">
        <x:v>BOM-00105</x:v>
      </x:c>
      <x:c r="B109" s="137" t="str">
        <x:v>ARMOUR (LACE)</x:v>
      </x:c>
      <x:c r="C109" s="137" t="str">
        <x:v>LACE</x:v>
      </x:c>
      <x:c r="D109" s="137" t="str">
        <x:v>11X1</x:v>
      </x:c>
      <x:c r="E109" s="137" t="str">
        <x:v>CUTTING</x:v>
      </x:c>
      <x:c r="F109" s="137" t="str">
        <x:v>INSOLE 4 MM||MTR</x:v>
      </x:c>
      <x:c r="G109" s="137" t="str">
        <x:v>INSOLE 4 MM</x:v>
      </x:c>
      <x:c r="H109" s="137" t="str">
        <x:v>MTR</x:v>
      </x:c>
      <x:c r="I109" s="175" t="n">
        <x:v>0.022222</x:v>
      </x:c>
      <x:c r="J109" s="176" t="str"/>
      <x:c r="K109" s="177" t="str"/>
      <x:c r="L109" s="178" t="str">
        <x:f>IF(J109="","",J109*(1+IF(K109="",0,K109)) )</x:f>
      </x:c>
      <x:c r="M109" s="138" t="str"/>
      <x:c r="N109" s="137" t="str">
        <x:v>Current model BOM seed</x:v>
      </x:c>
      <x:c r="O109" s="137" t="str"/>
      <x:c r="P109" s="137" t="str">
        <x:v>To Confirm</x:v>
      </x:c>
      <x:c r="Q109" s="137" t="str"/>
    </x:row>
    <x:row r="110">
      <x:c r="A110" s="137" t="str">
        <x:v>BOM-00106</x:v>
      </x:c>
      <x:c r="B110" s="137" t="str">
        <x:v>ARMOUR (LACE)</x:v>
      </x:c>
      <x:c r="C110" s="137" t="str">
        <x:v>LACE</x:v>
      </x:c>
      <x:c r="D110" s="137" t="str">
        <x:v>11X1</x:v>
      </x:c>
      <x:c r="E110" s="137" t="str">
        <x:v>STITCHING</x:v>
      </x:c>
      <x:c r="F110" s="137" t="str">
        <x:v>THREAD 3 PLY||SPOOL</x:v>
      </x:c>
      <x:c r="G110" s="137" t="str">
        <x:v>THREAD 3 PLY</x:v>
      </x:c>
      <x:c r="H110" s="137" t="str">
        <x:v>SPOOL</x:v>
      </x:c>
      <x:c r="I110" s="175" t="n">
        <x:v>0.037333</x:v>
      </x:c>
      <x:c r="J110" s="176" t="str"/>
      <x:c r="K110" s="177" t="str"/>
      <x:c r="L110" s="178" t="str">
        <x:f>IF(J110="","",J110*(1+IF(K110="",0,K110)) )</x:f>
      </x:c>
      <x:c r="M110" s="138" t="str"/>
      <x:c r="N110" s="137" t="str">
        <x:v>Current model BOM seed</x:v>
      </x:c>
      <x:c r="O110" s="137" t="str"/>
      <x:c r="P110" s="137" t="str">
        <x:v>To Confirm</x:v>
      </x:c>
      <x:c r="Q110" s="137" t="str"/>
    </x:row>
    <x:row r="111">
      <x:c r="A111" s="137" t="str">
        <x:v>BOM-00107</x:v>
      </x:c>
      <x:c r="B111" s="137" t="str">
        <x:v>ARMOUR (LACE)</x:v>
      </x:c>
      <x:c r="C111" s="137" t="str">
        <x:v>LACE</x:v>
      </x:c>
      <x:c r="D111" s="137" t="str">
        <x:v>11X1</x:v>
      </x:c>
      <x:c r="E111" s="137" t="str">
        <x:v>STITCHING</x:v>
      </x:c>
      <x:c r="F111" s="137" t="str">
        <x:v>SIZE LABEL||PCS</x:v>
      </x:c>
      <x:c r="G111" s="137" t="str">
        <x:v>SIZE LABEL</x:v>
      </x:c>
      <x:c r="H111" s="137" t="str">
        <x:v>PCS</x:v>
      </x:c>
      <x:c r="I111" s="175" t="n">
        <x:v>2</x:v>
      </x:c>
      <x:c r="J111" s="176" t="str"/>
      <x:c r="K111" s="177" t="str"/>
      <x:c r="L111" s="178" t="str">
        <x:f>IF(J111="","",J111*(1+IF(K111="",0,K111)) )</x:f>
      </x:c>
      <x:c r="M111" s="138" t="str"/>
      <x:c r="N111" s="137" t="str">
        <x:v>Current model BOM seed</x:v>
      </x:c>
      <x:c r="O111" s="137" t="str"/>
      <x:c r="P111" s="137" t="str">
        <x:v>To Confirm</x:v>
      </x:c>
      <x:c r="Q111" s="137" t="str"/>
    </x:row>
    <x:row r="112">
      <x:c r="A112" s="137" t="str">
        <x:v>BOM-00108</x:v>
      </x:c>
      <x:c r="B112" s="137" t="str">
        <x:v>ARMOUR (LACE)</x:v>
      </x:c>
      <x:c r="C112" s="137" t="str">
        <x:v>LACE</x:v>
      </x:c>
      <x:c r="D112" s="137" t="str">
        <x:v>11X1</x:v>
      </x:c>
      <x:c r="E112" s="137" t="str">
        <x:v>STITCHING</x:v>
      </x:c>
      <x:c r="F112" s="137" t="str">
        <x:v>TOUNG LABEL SNEAKER||PCS</x:v>
      </x:c>
      <x:c r="G112" s="137" t="str">
        <x:v>TOUNG LABEL SNEAKER</x:v>
      </x:c>
      <x:c r="H112" s="137" t="str">
        <x:v>PCS</x:v>
      </x:c>
      <x:c r="I112" s="175" t="n">
        <x:v>2</x:v>
      </x:c>
      <x:c r="J112" s="176" t="str"/>
      <x:c r="K112" s="177" t="str"/>
      <x:c r="L112" s="178" t="str">
        <x:f>IF(J112="","",J112*(1+IF(K112="",0,K112)) )</x:f>
      </x:c>
      <x:c r="M112" s="138" t="str"/>
      <x:c r="N112" s="137" t="str">
        <x:v>Current model BOM seed</x:v>
      </x:c>
      <x:c r="O112" s="137" t="str"/>
      <x:c r="P112" s="137" t="str">
        <x:v>To Confirm</x:v>
      </x:c>
      <x:c r="Q112" s="137" t="str"/>
    </x:row>
    <x:row r="113">
      <x:c r="A113" s="137" t="str">
        <x:v>BOM-00109</x:v>
      </x:c>
      <x:c r="B113" s="137" t="str">
        <x:v>ARMOUR (LACE)</x:v>
      </x:c>
      <x:c r="C113" s="137" t="str">
        <x:v>LACE</x:v>
      </x:c>
      <x:c r="D113" s="137" t="str">
        <x:v>11X1</x:v>
      </x:c>
      <x:c r="E113" s="137" t="str">
        <x:v>STITCHING</x:v>
      </x:c>
      <x:c r="F113" s="137" t="str">
        <x:v>POLYESTER BINDING 12 MM||MTR</x:v>
      </x:c>
      <x:c r="G113" s="137" t="str">
        <x:v>POLYESTER BINDING 12 MM</x:v>
      </x:c>
      <x:c r="H113" s="137" t="str">
        <x:v>MTR</x:v>
      </x:c>
      <x:c r="I113" s="175" t="n">
        <x:v>0.3</x:v>
      </x:c>
      <x:c r="J113" s="176" t="str"/>
      <x:c r="K113" s="177" t="str"/>
      <x:c r="L113" s="178" t="str">
        <x:f>IF(J113="","",J113*(1+IF(K113="",0,K113)) )</x:f>
      </x:c>
      <x:c r="M113" s="138" t="str"/>
      <x:c r="N113" s="137" t="str">
        <x:v>Current model BOM seed</x:v>
      </x:c>
      <x:c r="O113" s="137" t="str"/>
      <x:c r="P113" s="137" t="str">
        <x:v>To Confirm</x:v>
      </x:c>
      <x:c r="Q113" s="137" t="str"/>
    </x:row>
    <x:row r="114">
      <x:c r="A114" s="137" t="str">
        <x:v>BOM-00110</x:v>
      </x:c>
      <x:c r="B114" s="137" t="str">
        <x:v>ARMOUR (LACE)</x:v>
      </x:c>
      <x:c r="C114" s="137" t="str">
        <x:v>LACE</x:v>
      </x:c>
      <x:c r="D114" s="137" t="str">
        <x:v>11X1</x:v>
      </x:c>
      <x:c r="E114" s="137" t="str">
        <x:v>STITCHING</x:v>
      </x:c>
      <x:c r="F114" s="137" t="str">
        <x:v>BACK TAPE 14 MM||MTR</x:v>
      </x:c>
      <x:c r="G114" s="137" t="str">
        <x:v>BACK TAPE 14 MM</x:v>
      </x:c>
      <x:c r="H114" s="137" t="str">
        <x:v>MTR</x:v>
      </x:c>
      <x:c r="I114" s="175" t="n">
        <x:v>0.08</x:v>
      </x:c>
      <x:c r="J114" s="176" t="str"/>
      <x:c r="K114" s="177" t="str"/>
      <x:c r="L114" s="178" t="str">
        <x:f>IF(J114="","",J114*(1+IF(K114="",0,K114)) )</x:f>
      </x:c>
      <x:c r="M114" s="138" t="str"/>
      <x:c r="N114" s="137" t="str">
        <x:v>Current model BOM seed</x:v>
      </x:c>
      <x:c r="O114" s="137" t="str"/>
      <x:c r="P114" s="137" t="str">
        <x:v>To Confirm</x:v>
      </x:c>
      <x:c r="Q114" s="137" t="str"/>
    </x:row>
    <x:row r="115">
      <x:c r="A115" s="137" t="str">
        <x:v>BOM-00111</x:v>
      </x:c>
      <x:c r="B115" s="137" t="str">
        <x:v>ARMOUR (LACE)</x:v>
      </x:c>
      <x:c r="C115" s="137" t="str">
        <x:v>LACE</x:v>
      </x:c>
      <x:c r="D115" s="137" t="str">
        <x:v>2X5</x:v>
      </x:c>
      <x:c r="E115" s="137" t="str">
        <x:v>CUTTING</x:v>
      </x:c>
      <x:c r="F115" s="137" t="str">
        <x:v>ARMOR REXION||MTR</x:v>
      </x:c>
      <x:c r="G115" s="137" t="str">
        <x:v>ARMOR REXION</x:v>
      </x:c>
      <x:c r="H115" s="137" t="str">
        <x:v>MTR</x:v>
      </x:c>
      <x:c r="I115" s="175" t="n">
        <x:v>0.094074</x:v>
      </x:c>
      <x:c r="J115" s="176" t="str"/>
      <x:c r="K115" s="177" t="str"/>
      <x:c r="L115" s="178" t="str">
        <x:f>IF(J115="","",J115*(1+IF(K115="",0,K115)) )</x:f>
      </x:c>
      <x:c r="M115" s="138" t="str"/>
      <x:c r="N115" s="137" t="str">
        <x:v>Current model BOM seed</x:v>
      </x:c>
      <x:c r="O115" s="137" t="str"/>
      <x:c r="P115" s="137" t="str">
        <x:v>To Confirm</x:v>
      </x:c>
      <x:c r="Q115" s="137" t="str"/>
    </x:row>
    <x:row r="116">
      <x:c r="A116" s="137" t="str">
        <x:v>BOM-00112</x:v>
      </x:c>
      <x:c r="B116" s="137" t="str">
        <x:v>ARMOUR (LACE)</x:v>
      </x:c>
      <x:c r="C116" s="137" t="str">
        <x:v>LACE</x:v>
      </x:c>
      <x:c r="D116" s="137" t="str">
        <x:v>2X5</x:v>
      </x:c>
      <x:c r="E116" s="137" t="str">
        <x:v>CUTTING</x:v>
      </x:c>
      <x:c r="F116" s="137" t="str">
        <x:v>TOE PUFF 0.8MM||SHEET</x:v>
      </x:c>
      <x:c r="G116" s="137" t="str">
        <x:v>TOE PUFF 0.8MM</x:v>
      </x:c>
      <x:c r="H116" s="137" t="str">
        <x:v>SHEET</x:v>
      </x:c>
      <x:c r="I116" s="175" t="n">
        <x:v>0.018667</x:v>
      </x:c>
      <x:c r="J116" s="176" t="str"/>
      <x:c r="K116" s="177" t="str"/>
      <x:c r="L116" s="178" t="str">
        <x:f>IF(J116="","",J116*(1+IF(K116="",0,K116)) )</x:f>
      </x:c>
      <x:c r="M116" s="138" t="str"/>
      <x:c r="N116" s="137" t="str">
        <x:v>Current model BOM seed</x:v>
      </x:c>
      <x:c r="O116" s="137" t="str"/>
      <x:c r="P116" s="137" t="str">
        <x:v>To Confirm</x:v>
      </x:c>
      <x:c r="Q116" s="137" t="str"/>
    </x:row>
    <x:row r="117">
      <x:c r="A117" s="137" t="str">
        <x:v>BOM-00113</x:v>
      </x:c>
      <x:c r="B117" s="137" t="str">
        <x:v>ARMOUR (LACE)</x:v>
      </x:c>
      <x:c r="C117" s="137" t="str">
        <x:v>LACE</x:v>
      </x:c>
      <x:c r="D117" s="137" t="str">
        <x:v>2X5</x:v>
      </x:c>
      <x:c r="E117" s="137" t="str">
        <x:v>CUTTING</x:v>
      </x:c>
      <x:c r="F117" s="137" t="str">
        <x:v>PU MESH (HARD FOAM+BACKER)||MTR</x:v>
      </x:c>
      <x:c r="G117" s="137" t="str">
        <x:v>PU MESH (HARD FOAM+BACKER)</x:v>
      </x:c>
      <x:c r="H117" s="137" t="str">
        <x:v>MTR</x:v>
      </x:c>
      <x:c r="I117" s="175" t="n">
        <x:v>0.088889</x:v>
      </x:c>
      <x:c r="J117" s="176" t="str"/>
      <x:c r="K117" s="177" t="str"/>
      <x:c r="L117" s="178" t="str">
        <x:f>IF(J117="","",J117*(1+IF(K117="",0,K117)) )</x:f>
      </x:c>
      <x:c r="M117" s="138" t="str"/>
      <x:c r="N117" s="137" t="str">
        <x:v>Current model BOM seed</x:v>
      </x:c>
      <x:c r="O117" s="137" t="str"/>
      <x:c r="P117" s="137" t="str">
        <x:v>To Confirm</x:v>
      </x:c>
      <x:c r="Q117" s="137" t="str"/>
    </x:row>
    <x:row r="118">
      <x:c r="A118" s="137" t="str">
        <x:v>BOM-00114</x:v>
      </x:c>
      <x:c r="B118" s="137" t="str">
        <x:v>ARMOUR (LACE)</x:v>
      </x:c>
      <x:c r="C118" s="137" t="str">
        <x:v>LACE</x:v>
      </x:c>
      <x:c r="D118" s="137" t="str">
        <x:v>2X5</x:v>
      </x:c>
      <x:c r="E118" s="137" t="str">
        <x:v>CUTTING</x:v>
      </x:c>
      <x:c r="F118" s="137" t="str">
        <x:v>VAMP ASTER DOUBLE BACKER||MTR</x:v>
      </x:c>
      <x:c r="G118" s="137" t="str">
        <x:v>VAMP ASTER DOUBLE BACKER</x:v>
      </x:c>
      <x:c r="H118" s="137" t="str">
        <x:v>MTR</x:v>
      </x:c>
      <x:c r="I118" s="175" t="n">
        <x:v>0.023375</x:v>
      </x:c>
      <x:c r="J118" s="176" t="str"/>
      <x:c r="K118" s="177" t="str"/>
      <x:c r="L118" s="178" t="str">
        <x:f>IF(J118="","",J118*(1+IF(K118="",0,K118)) )</x:f>
      </x:c>
      <x:c r="M118" s="138" t="str"/>
      <x:c r="N118" s="137" t="str">
        <x:v>Current model BOM seed</x:v>
      </x:c>
      <x:c r="O118" s="137" t="str"/>
      <x:c r="P118" s="137" t="str">
        <x:v>To Confirm</x:v>
      </x:c>
      <x:c r="Q118" s="137" t="str"/>
    </x:row>
    <x:row r="119">
      <x:c r="A119" s="137" t="str">
        <x:v>BOM-00115</x:v>
      </x:c>
      <x:c r="B119" s="137" t="str">
        <x:v>ARMOUR (LACE)</x:v>
      </x:c>
      <x:c r="C119" s="137" t="str">
        <x:v>LACE</x:v>
      </x:c>
      <x:c r="D119" s="137" t="str">
        <x:v>2X5</x:v>
      </x:c>
      <x:c r="E119" s="137" t="str">
        <x:v>CUTTING</x:v>
      </x:c>
      <x:c r="F119" s="137" t="str">
        <x:v>SKINFIT GOLA ( FOAM + BACKER)||MTR</x:v>
      </x:c>
      <x:c r="G119" s="137" t="str">
        <x:v>SKINFIT GOLA ( FOAM + BACKER)</x:v>
      </x:c>
      <x:c r="H119" s="137" t="str">
        <x:v>MTR</x:v>
      </x:c>
      <x:c r="I119" s="175" t="n">
        <x:v>0.0732</x:v>
      </x:c>
      <x:c r="J119" s="176" t="str"/>
      <x:c r="K119" s="177" t="str"/>
      <x:c r="L119" s="178" t="str">
        <x:f>IF(J119="","",J119*(1+IF(K119="",0,K119)) )</x:f>
      </x:c>
      <x:c r="M119" s="138" t="str"/>
      <x:c r="N119" s="137" t="str">
        <x:v>Current model BOM seed</x:v>
      </x:c>
      <x:c r="O119" s="137" t="str"/>
      <x:c r="P119" s="137" t="str">
        <x:v>To Confirm</x:v>
      </x:c>
      <x:c r="Q119" s="137" t="str"/>
    </x:row>
    <x:row r="120">
      <x:c r="A120" s="137" t="str">
        <x:v>BOM-00116</x:v>
      </x:c>
      <x:c r="B120" s="137" t="str">
        <x:v>ARMOUR (LACE)</x:v>
      </x:c>
      <x:c r="C120" s="137" t="str">
        <x:v>LACE</x:v>
      </x:c>
      <x:c r="D120" s="137" t="str">
        <x:v>2X5</x:v>
      </x:c>
      <x:c r="E120" s="137" t="str">
        <x:v>CUTTING</x:v>
      </x:c>
      <x:c r="F120" s="137" t="str">
        <x:v>DRILL CLOTH||MTR</x:v>
      </x:c>
      <x:c r="G120" s="137" t="str">
        <x:v>DRILL CLOTH</x:v>
      </x:c>
      <x:c r="H120" s="137" t="str">
        <x:v>MTR</x:v>
      </x:c>
      <x:c r="I120" s="175" t="n">
        <x:v>0.013852</x:v>
      </x:c>
      <x:c r="J120" s="176" t="str"/>
      <x:c r="K120" s="177" t="str"/>
      <x:c r="L120" s="178" t="str">
        <x:f>IF(J120="","",J120*(1+IF(K120="",0,K120)) )</x:f>
      </x:c>
      <x:c r="M120" s="138" t="str"/>
      <x:c r="N120" s="137" t="str">
        <x:v>Current model BOM seed</x:v>
      </x:c>
      <x:c r="O120" s="137" t="str"/>
      <x:c r="P120" s="137" t="str">
        <x:v>To Confirm</x:v>
      </x:c>
      <x:c r="Q120" s="137" t="str"/>
    </x:row>
    <x:row r="121">
      <x:c r="A121" s="137" t="str">
        <x:v>BOM-00117</x:v>
      </x:c>
      <x:c r="B121" s="137" t="str">
        <x:v>ARMOUR (LACE)</x:v>
      </x:c>
      <x:c r="C121" s="137" t="str">
        <x:v>LACE</x:v>
      </x:c>
      <x:c r="D121" s="137" t="str">
        <x:v>2X5</x:v>
      </x:c>
      <x:c r="E121" s="137" t="str">
        <x:v>CUTTING</x:v>
      </x:c>
      <x:c r="F121" s="137" t="str">
        <x:v>ASTER HEAVY FOR TOUNG||MTR</x:v>
      </x:c>
      <x:c r="G121" s="137" t="str">
        <x:v>ASTER HEAVY FOR TOUNG</x:v>
      </x:c>
      <x:c r="H121" s="137" t="str">
        <x:v>MTR</x:v>
      </x:c>
      <x:c r="I121" s="175" t="n">
        <x:v>0.017316</x:v>
      </x:c>
      <x:c r="J121" s="176" t="str"/>
      <x:c r="K121" s="177" t="str"/>
      <x:c r="L121" s="178" t="str">
        <x:f>IF(J121="","",J121*(1+IF(K121="",0,K121)) )</x:f>
      </x:c>
      <x:c r="M121" s="138" t="str"/>
      <x:c r="N121" s="137" t="str">
        <x:v>Current model BOM seed</x:v>
      </x:c>
      <x:c r="O121" s="137" t="str"/>
      <x:c r="P121" s="137" t="str">
        <x:v>To Confirm</x:v>
      </x:c>
      <x:c r="Q121" s="137" t="str"/>
    </x:row>
    <x:row r="122">
      <x:c r="A122" s="137" t="str">
        <x:v>BOM-00118</x:v>
      </x:c>
      <x:c r="B122" s="137" t="str">
        <x:v>ARMOUR (LACE)</x:v>
      </x:c>
      <x:c r="C122" s="137" t="str">
        <x:v>LACE</x:v>
      </x:c>
      <x:c r="D122" s="137" t="str">
        <x:v>2X5</x:v>
      </x:c>
      <x:c r="E122" s="137" t="str">
        <x:v>CUTTING</x:v>
      </x:c>
      <x:c r="F122" s="137" t="str">
        <x:v>COLOR FOAM 20MM||SHEET</x:v>
      </x:c>
      <x:c r="G122" s="137" t="str">
        <x:v>COLOR FOAM 20MM</x:v>
      </x:c>
      <x:c r="H122" s="137" t="str">
        <x:v>SHEET</x:v>
      </x:c>
      <x:c r="I122" s="175" t="n">
        <x:v>0.010582</x:v>
      </x:c>
      <x:c r="J122" s="176" t="str"/>
      <x:c r="K122" s="177" t="str"/>
      <x:c r="L122" s="178" t="str">
        <x:f>IF(J122="","",J122*(1+IF(K122="",0,K122)) )</x:f>
      </x:c>
      <x:c r="M122" s="138" t="str"/>
      <x:c r="N122" s="137" t="str">
        <x:v>Current model BOM seed</x:v>
      </x:c>
      <x:c r="O122" s="137" t="str"/>
      <x:c r="P122" s="137" t="str">
        <x:v>To Confirm</x:v>
      </x:c>
      <x:c r="Q122" s="137" t="str"/>
    </x:row>
    <x:row r="123">
      <x:c r="A123" s="137" t="str">
        <x:v>BOM-00119</x:v>
      </x:c>
      <x:c r="B123" s="137" t="str">
        <x:v>ARMOUR (LACE)</x:v>
      </x:c>
      <x:c r="C123" s="137" t="str">
        <x:v>LACE</x:v>
      </x:c>
      <x:c r="D123" s="137" t="str">
        <x:v>2X5</x:v>
      </x:c>
      <x:c r="E123" s="137" t="str">
        <x:v>CUTTING</x:v>
      </x:c>
      <x:c r="F123" s="137" t="str">
        <x:v>TEXION||SHEET</x:v>
      </x:c>
      <x:c r="G123" s="137" t="str">
        <x:v>TEXION</x:v>
      </x:c>
      <x:c r="H123" s="137" t="str">
        <x:v>SHEET</x:v>
      </x:c>
      <x:c r="I123" s="175" t="n">
        <x:v>0.034002</x:v>
      </x:c>
      <x:c r="J123" s="176" t="str"/>
      <x:c r="K123" s="177" t="str"/>
      <x:c r="L123" s="178" t="str">
        <x:f>IF(J123="","",J123*(1+IF(K123="",0,K123)) )</x:f>
      </x:c>
      <x:c r="M123" s="138" t="str"/>
      <x:c r="N123" s="137" t="str">
        <x:v>Current model BOM seed</x:v>
      </x:c>
      <x:c r="O123" s="137" t="str"/>
      <x:c r="P123" s="137" t="str">
        <x:v>To Confirm</x:v>
      </x:c>
      <x:c r="Q123" s="137" t="str"/>
    </x:row>
    <x:row r="124">
      <x:c r="A124" s="137" t="str">
        <x:v>BOM-00120</x:v>
      </x:c>
      <x:c r="B124" s="137" t="str">
        <x:v>ARMOUR (LACE)</x:v>
      </x:c>
      <x:c r="C124" s="137" t="str">
        <x:v>LACE</x:v>
      </x:c>
      <x:c r="D124" s="137" t="str">
        <x:v>2X5</x:v>
      </x:c>
      <x:c r="E124" s="137" t="str">
        <x:v>CUTTING</x:v>
      </x:c>
      <x:c r="F124" s="137" t="str">
        <x:v>STIFNER 1.4MM YELLOW||SHEET</x:v>
      </x:c>
      <x:c r="G124" s="137" t="str">
        <x:v>STIFNER 1.4MM YELLOW</x:v>
      </x:c>
      <x:c r="H124" s="137" t="str">
        <x:v>SHEET</x:v>
      </x:c>
      <x:c r="I124" s="175" t="n">
        <x:v>0.00912</x:v>
      </x:c>
      <x:c r="J124" s="176" t="str"/>
      <x:c r="K124" s="177" t="str"/>
      <x:c r="L124" s="178" t="str">
        <x:f>IF(J124="","",J124*(1+IF(K124="",0,K124)) )</x:f>
      </x:c>
      <x:c r="M124" s="138" t="str"/>
      <x:c r="N124" s="137" t="str">
        <x:v>Current model BOM seed</x:v>
      </x:c>
      <x:c r="O124" s="137" t="str"/>
      <x:c r="P124" s="137" t="str">
        <x:v>To Confirm</x:v>
      </x:c>
      <x:c r="Q124" s="137" t="str"/>
    </x:row>
    <x:row r="125">
      <x:c r="A125" s="137" t="str">
        <x:v>BOM-00121</x:v>
      </x:c>
      <x:c r="B125" s="137" t="str">
        <x:v>ARMOUR (LACE)</x:v>
      </x:c>
      <x:c r="C125" s="137" t="str">
        <x:v>LACE</x:v>
      </x:c>
      <x:c r="D125" s="137" t="str">
        <x:v>2X5</x:v>
      </x:c>
      <x:c r="E125" s="137" t="str">
        <x:v>CUTTING</x:v>
      </x:c>
      <x:c r="F125" s="137" t="str">
        <x:v>INSOLE 4 MM||MTR</x:v>
      </x:c>
      <x:c r="G125" s="137" t="str">
        <x:v>INSOLE 4 MM</x:v>
      </x:c>
      <x:c r="H125" s="137" t="str">
        <x:v>MTR</x:v>
      </x:c>
      <x:c r="I125" s="175" t="n">
        <x:v>0.028986</x:v>
      </x:c>
      <x:c r="J125" s="176" t="str"/>
      <x:c r="K125" s="177" t="str"/>
      <x:c r="L125" s="178" t="str">
        <x:f>IF(J125="","",J125*(1+IF(K125="",0,K125)) )</x:f>
      </x:c>
      <x:c r="M125" s="138" t="str"/>
      <x:c r="N125" s="137" t="str">
        <x:v>Current model BOM seed</x:v>
      </x:c>
      <x:c r="O125" s="137" t="str"/>
      <x:c r="P125" s="137" t="str">
        <x:v>To Confirm</x:v>
      </x:c>
      <x:c r="Q125" s="137" t="str"/>
    </x:row>
    <x:row r="126">
      <x:c r="A126" s="137" t="str">
        <x:v>BOM-00122</x:v>
      </x:c>
      <x:c r="B126" s="137" t="str">
        <x:v>ARMOUR (LACE)</x:v>
      </x:c>
      <x:c r="C126" s="137" t="str">
        <x:v>LACE</x:v>
      </x:c>
      <x:c r="D126" s="137" t="str">
        <x:v>2X5</x:v>
      </x:c>
      <x:c r="E126" s="137" t="str">
        <x:v>STITCHING</x:v>
      </x:c>
      <x:c r="F126" s="137" t="str">
        <x:v>THREAD 3 PLY||SPOOL</x:v>
      </x:c>
      <x:c r="G126" s="137" t="str">
        <x:v>THREAD 3 PLY</x:v>
      </x:c>
      <x:c r="H126" s="137" t="str">
        <x:v>SPOOL</x:v>
      </x:c>
      <x:c r="I126" s="175" t="n">
        <x:v>0.04</x:v>
      </x:c>
      <x:c r="J126" s="176" t="str"/>
      <x:c r="K126" s="177" t="str"/>
      <x:c r="L126" s="178" t="str">
        <x:f>IF(J126="","",J126*(1+IF(K126="",0,K126)) )</x:f>
      </x:c>
      <x:c r="M126" s="138" t="str"/>
      <x:c r="N126" s="137" t="str">
        <x:v>Current model BOM seed</x:v>
      </x:c>
      <x:c r="O126" s="137" t="str"/>
      <x:c r="P126" s="137" t="str">
        <x:v>To Confirm</x:v>
      </x:c>
      <x:c r="Q126" s="137" t="str"/>
    </x:row>
    <x:row r="127">
      <x:c r="A127" s="137" t="str">
        <x:v>BOM-00123</x:v>
      </x:c>
      <x:c r="B127" s="137" t="str">
        <x:v>ARMOUR (LACE)</x:v>
      </x:c>
      <x:c r="C127" s="137" t="str">
        <x:v>LACE</x:v>
      </x:c>
      <x:c r="D127" s="137" t="str">
        <x:v>2X5</x:v>
      </x:c>
      <x:c r="E127" s="137" t="str">
        <x:v>STITCHING</x:v>
      </x:c>
      <x:c r="F127" s="137" t="str">
        <x:v>SIZE LABEL||PCS</x:v>
      </x:c>
      <x:c r="G127" s="137" t="str">
        <x:v>SIZE LABEL</x:v>
      </x:c>
      <x:c r="H127" s="137" t="str">
        <x:v>PCS</x:v>
      </x:c>
      <x:c r="I127" s="175" t="n">
        <x:v>2</x:v>
      </x:c>
      <x:c r="J127" s="176" t="str"/>
      <x:c r="K127" s="177" t="str"/>
      <x:c r="L127" s="178" t="str">
        <x:f>IF(J127="","",J127*(1+IF(K127="",0,K127)) )</x:f>
      </x:c>
      <x:c r="M127" s="138" t="str"/>
      <x:c r="N127" s="137" t="str">
        <x:v>Current model BOM seed</x:v>
      </x:c>
      <x:c r="O127" s="137" t="str"/>
      <x:c r="P127" s="137" t="str">
        <x:v>To Confirm</x:v>
      </x:c>
      <x:c r="Q127" s="137" t="str"/>
    </x:row>
    <x:row r="128">
      <x:c r="A128" s="137" t="str">
        <x:v>BOM-00124</x:v>
      </x:c>
      <x:c r="B128" s="137" t="str">
        <x:v>ARMOUR (LACE)</x:v>
      </x:c>
      <x:c r="C128" s="137" t="str">
        <x:v>LACE</x:v>
      </x:c>
      <x:c r="D128" s="137" t="str">
        <x:v>2X5</x:v>
      </x:c>
      <x:c r="E128" s="137" t="str">
        <x:v>STITCHING</x:v>
      </x:c>
      <x:c r="F128" s="137" t="str">
        <x:v>TOUNG LABEL SNEAKER||PCS</x:v>
      </x:c>
      <x:c r="G128" s="137" t="str">
        <x:v>TOUNG LABEL SNEAKER</x:v>
      </x:c>
      <x:c r="H128" s="137" t="str">
        <x:v>PCS</x:v>
      </x:c>
      <x:c r="I128" s="175" t="n">
        <x:v>2</x:v>
      </x:c>
      <x:c r="J128" s="176" t="str"/>
      <x:c r="K128" s="177" t="str"/>
      <x:c r="L128" s="178" t="str">
        <x:f>IF(J128="","",J128*(1+IF(K128="",0,K128)) )</x:f>
      </x:c>
      <x:c r="M128" s="138" t="str"/>
      <x:c r="N128" s="137" t="str">
        <x:v>Current model BOM seed</x:v>
      </x:c>
      <x:c r="O128" s="137" t="str"/>
      <x:c r="P128" s="137" t="str">
        <x:v>To Confirm</x:v>
      </x:c>
      <x:c r="Q128" s="137" t="str"/>
    </x:row>
    <x:row r="129">
      <x:c r="A129" s="137" t="str">
        <x:v>BOM-00125</x:v>
      </x:c>
      <x:c r="B129" s="137" t="str">
        <x:v>ARMOUR (LACE)</x:v>
      </x:c>
      <x:c r="C129" s="137" t="str">
        <x:v>LACE</x:v>
      </x:c>
      <x:c r="D129" s="137" t="str">
        <x:v>2X5</x:v>
      </x:c>
      <x:c r="E129" s="137" t="str">
        <x:v>STITCHING</x:v>
      </x:c>
      <x:c r="F129" s="137" t="str">
        <x:v>POLYESTER BINDING 12 MM||MTR</x:v>
      </x:c>
      <x:c r="G129" s="137" t="str">
        <x:v>POLYESTER BINDING 12 MM</x:v>
      </x:c>
      <x:c r="H129" s="137" t="str">
        <x:v>MTR</x:v>
      </x:c>
      <x:c r="I129" s="175" t="n">
        <x:v>0.32</x:v>
      </x:c>
      <x:c r="J129" s="176" t="str"/>
      <x:c r="K129" s="177" t="str"/>
      <x:c r="L129" s="178" t="str">
        <x:f>IF(J129="","",J129*(1+IF(K129="",0,K129)) )</x:f>
      </x:c>
      <x:c r="M129" s="138" t="str"/>
      <x:c r="N129" s="137" t="str">
        <x:v>Current model BOM seed</x:v>
      </x:c>
      <x:c r="O129" s="137" t="str"/>
      <x:c r="P129" s="137" t="str">
        <x:v>To Confirm</x:v>
      </x:c>
      <x:c r="Q129" s="137" t="str"/>
    </x:row>
    <x:row r="130">
      <x:c r="A130" s="137" t="str">
        <x:v>BOM-00126</x:v>
      </x:c>
      <x:c r="B130" s="137" t="str">
        <x:v>ARMOUR (LACE)</x:v>
      </x:c>
      <x:c r="C130" s="137" t="str">
        <x:v>LACE</x:v>
      </x:c>
      <x:c r="D130" s="137" t="str">
        <x:v>2X5</x:v>
      </x:c>
      <x:c r="E130" s="137" t="str">
        <x:v>STITCHING</x:v>
      </x:c>
      <x:c r="F130" s="137" t="str">
        <x:v>BACK TAPE 14 MM||MTR</x:v>
      </x:c>
      <x:c r="G130" s="137" t="str">
        <x:v>BACK TAPE 14 MM</x:v>
      </x:c>
      <x:c r="H130" s="137" t="str">
        <x:v>MTR</x:v>
      </x:c>
      <x:c r="I130" s="175" t="n">
        <x:v>0.1</x:v>
      </x:c>
      <x:c r="J130" s="176" t="str"/>
      <x:c r="K130" s="177" t="str"/>
      <x:c r="L130" s="178" t="str">
        <x:f>IF(J130="","",J130*(1+IF(K130="",0,K130)) )</x:f>
      </x:c>
      <x:c r="M130" s="138" t="str"/>
      <x:c r="N130" s="137" t="str">
        <x:v>Current model BOM seed</x:v>
      </x:c>
      <x:c r="O130" s="137" t="str"/>
      <x:c r="P130" s="137" t="str">
        <x:v>To Confirm</x:v>
      </x:c>
      <x:c r="Q130" s="137" t="str"/>
    </x:row>
    <x:row r="131">
      <x:c r="A131" s="137" t="str">
        <x:v>BOM-00127</x:v>
      </x:c>
      <x:c r="B131" s="137" t="str">
        <x:v>ARMOUR (LACE)</x:v>
      </x:c>
      <x:c r="C131" s="137" t="str">
        <x:v>LACE</x:v>
      </x:c>
      <x:c r="D131" s="137" t="str">
        <x:v>6X10B</x:v>
      </x:c>
      <x:c r="E131" s="137" t="str">
        <x:v>CUTTING</x:v>
      </x:c>
      <x:c r="F131" s="137" t="str">
        <x:v>ARMOR REXION||MTR</x:v>
      </x:c>
      <x:c r="G131" s="137" t="str">
        <x:v>ARMOR REXION</x:v>
      </x:c>
      <x:c r="H131" s="137" t="str">
        <x:v>MTR</x:v>
      </x:c>
      <x:c r="I131" s="175" t="n">
        <x:v>0.108667</x:v>
      </x:c>
      <x:c r="J131" s="176" t="str"/>
      <x:c r="K131" s="177" t="str"/>
      <x:c r="L131" s="178" t="str">
        <x:f>IF(J131="","",J131*(1+IF(K131="",0,K131)) )</x:f>
      </x:c>
      <x:c r="M131" s="138" t="str"/>
      <x:c r="N131" s="137" t="str">
        <x:v>Current model BOM seed</x:v>
      </x:c>
      <x:c r="O131" s="137" t="str"/>
      <x:c r="P131" s="137" t="str">
        <x:v>To Confirm</x:v>
      </x:c>
      <x:c r="Q131" s="137" t="str"/>
    </x:row>
    <x:row r="132">
      <x:c r="A132" s="137" t="str">
        <x:v>BOM-00128</x:v>
      </x:c>
      <x:c r="B132" s="137" t="str">
        <x:v>ARMOUR (LACE)</x:v>
      </x:c>
      <x:c r="C132" s="137" t="str">
        <x:v>LACE</x:v>
      </x:c>
      <x:c r="D132" s="137" t="str">
        <x:v>6X10B</x:v>
      </x:c>
      <x:c r="E132" s="137" t="str">
        <x:v>CUTTING</x:v>
      </x:c>
      <x:c r="F132" s="137" t="str">
        <x:v>TOE PUFF 0.8MM||SHEET</x:v>
      </x:c>
      <x:c r="G132" s="137" t="str">
        <x:v>TOE PUFF 0.8MM</x:v>
      </x:c>
      <x:c r="H132" s="137" t="str">
        <x:v>SHEET</x:v>
      </x:c>
      <x:c r="I132" s="175" t="n">
        <x:v>0.021467</x:v>
      </x:c>
      <x:c r="J132" s="176" t="str"/>
      <x:c r="K132" s="177" t="str"/>
      <x:c r="L132" s="178" t="str">
        <x:f>IF(J132="","",J132*(1+IF(K132="",0,K132)) )</x:f>
      </x:c>
      <x:c r="M132" s="138" t="str"/>
      <x:c r="N132" s="137" t="str">
        <x:v>Current model BOM seed</x:v>
      </x:c>
      <x:c r="O132" s="137" t="str"/>
      <x:c r="P132" s="137" t="str">
        <x:v>To Confirm</x:v>
      </x:c>
      <x:c r="Q132" s="137" t="str"/>
    </x:row>
    <x:row r="133">
      <x:c r="A133" s="137" t="str">
        <x:v>BOM-00129</x:v>
      </x:c>
      <x:c r="B133" s="137" t="str">
        <x:v>ARMOUR (LACE)</x:v>
      </x:c>
      <x:c r="C133" s="137" t="str">
        <x:v>LACE</x:v>
      </x:c>
      <x:c r="D133" s="137" t="str">
        <x:v>6X10B</x:v>
      </x:c>
      <x:c r="E133" s="137" t="str">
        <x:v>CUTTING</x:v>
      </x:c>
      <x:c r="F133" s="137" t="str">
        <x:v>PU MESH (HARD FOAM+BACKER)||MTR</x:v>
      </x:c>
      <x:c r="G133" s="137" t="str">
        <x:v>PU MESH (HARD FOAM+BACKER)</x:v>
      </x:c>
      <x:c r="H133" s="137" t="str">
        <x:v>MTR</x:v>
      </x:c>
      <x:c r="I133" s="175" t="n">
        <x:v>0.103704</x:v>
      </x:c>
      <x:c r="J133" s="176" t="str"/>
      <x:c r="K133" s="177" t="str"/>
      <x:c r="L133" s="178" t="str">
        <x:f>IF(J133="","",J133*(1+IF(K133="",0,K133)) )</x:f>
      </x:c>
      <x:c r="M133" s="138" t="str"/>
      <x:c r="N133" s="137" t="str">
        <x:v>Current model BOM seed</x:v>
      </x:c>
      <x:c r="O133" s="137" t="str"/>
      <x:c r="P133" s="137" t="str">
        <x:v>To Confirm</x:v>
      </x:c>
      <x:c r="Q133" s="137" t="str"/>
    </x:row>
    <x:row r="134">
      <x:c r="A134" s="137" t="str">
        <x:v>BOM-00130</x:v>
      </x:c>
      <x:c r="B134" s="137" t="str">
        <x:v>ARMOUR (LACE)</x:v>
      </x:c>
      <x:c r="C134" s="137" t="str">
        <x:v>LACE</x:v>
      </x:c>
      <x:c r="D134" s="137" t="str">
        <x:v>6X10B</x:v>
      </x:c>
      <x:c r="E134" s="137" t="str">
        <x:v>CUTTING</x:v>
      </x:c>
      <x:c r="F134" s="137" t="str">
        <x:v>VAMP ASTER DOUBLE BACKER||MTR</x:v>
      </x:c>
      <x:c r="G134" s="137" t="str">
        <x:v>VAMP ASTER DOUBLE BACKER</x:v>
      </x:c>
      <x:c r="H134" s="137" t="str">
        <x:v>MTR</x:v>
      </x:c>
      <x:c r="I134" s="175" t="n">
        <x:v>0.028736</x:v>
      </x:c>
      <x:c r="J134" s="176" t="str"/>
      <x:c r="K134" s="177" t="str"/>
      <x:c r="L134" s="178" t="str">
        <x:f>IF(J134="","",J134*(1+IF(K134="",0,K134)) )</x:f>
      </x:c>
      <x:c r="M134" s="138" t="str"/>
      <x:c r="N134" s="137" t="str">
        <x:v>Current model BOM seed</x:v>
      </x:c>
      <x:c r="O134" s="137" t="str"/>
      <x:c r="P134" s="137" t="str">
        <x:v>To Confirm</x:v>
      </x:c>
      <x:c r="Q134" s="137" t="str"/>
    </x:row>
    <x:row r="135">
      <x:c r="A135" s="137" t="str">
        <x:v>BOM-00131</x:v>
      </x:c>
      <x:c r="B135" s="137" t="str">
        <x:v>ARMOUR (LACE)</x:v>
      </x:c>
      <x:c r="C135" s="137" t="str">
        <x:v>LACE</x:v>
      </x:c>
      <x:c r="D135" s="137" t="str">
        <x:v>6X10B</x:v>
      </x:c>
      <x:c r="E135" s="137" t="str">
        <x:v>CUTTING</x:v>
      </x:c>
      <x:c r="F135" s="137" t="str">
        <x:v>SKINFIT GOLA ( FOAM + BACKER)||MTR</x:v>
      </x:c>
      <x:c r="G135" s="137" t="str">
        <x:v>SKINFIT GOLA ( FOAM + BACKER)</x:v>
      </x:c>
      <x:c r="H135" s="137" t="str">
        <x:v>MTR</x:v>
      </x:c>
      <x:c r="I135" s="175" t="n">
        <x:v>0.081867</x:v>
      </x:c>
      <x:c r="J135" s="176" t="str"/>
      <x:c r="K135" s="177" t="str"/>
      <x:c r="L135" s="178" t="str">
        <x:f>IF(J135="","",J135*(1+IF(K135="",0,K135)) )</x:f>
      </x:c>
      <x:c r="M135" s="138" t="str"/>
      <x:c r="N135" s="137" t="str">
        <x:v>Current model BOM seed</x:v>
      </x:c>
      <x:c r="O135" s="137" t="str"/>
      <x:c r="P135" s="137" t="str">
        <x:v>To Confirm</x:v>
      </x:c>
      <x:c r="Q135" s="137" t="str"/>
    </x:row>
    <x:row r="136">
      <x:c r="A136" s="137" t="str">
        <x:v>BOM-00132</x:v>
      </x:c>
      <x:c r="B136" s="137" t="str">
        <x:v>ARMOUR (LACE)</x:v>
      </x:c>
      <x:c r="C136" s="137" t="str">
        <x:v>LACE</x:v>
      </x:c>
      <x:c r="D136" s="137" t="str">
        <x:v>6X10B</x:v>
      </x:c>
      <x:c r="E136" s="137" t="str">
        <x:v>CUTTING</x:v>
      </x:c>
      <x:c r="F136" s="137" t="str">
        <x:v>DRILL CLOTH||MTR</x:v>
      </x:c>
      <x:c r="G136" s="137" t="str">
        <x:v>DRILL CLOTH</x:v>
      </x:c>
      <x:c r="H136" s="137" t="str">
        <x:v>MTR</x:v>
      </x:c>
      <x:c r="I136" s="175" t="n">
        <x:v>0.016296</x:v>
      </x:c>
      <x:c r="J136" s="176" t="str"/>
      <x:c r="K136" s="177" t="str"/>
      <x:c r="L136" s="178" t="str">
        <x:f>IF(J136="","",J136*(1+IF(K136="",0,K136)) )</x:f>
      </x:c>
      <x:c r="M136" s="138" t="str"/>
      <x:c r="N136" s="137" t="str">
        <x:v>Current model BOM seed</x:v>
      </x:c>
      <x:c r="O136" s="137" t="str"/>
      <x:c r="P136" s="137" t="str">
        <x:v>To Confirm</x:v>
      </x:c>
      <x:c r="Q136" s="137" t="str"/>
    </x:row>
    <x:row r="137">
      <x:c r="A137" s="137" t="str">
        <x:v>BOM-00133</x:v>
      </x:c>
      <x:c r="B137" s="137" t="str">
        <x:v>ARMOUR (LACE)</x:v>
      </x:c>
      <x:c r="C137" s="137" t="str">
        <x:v>LACE</x:v>
      </x:c>
      <x:c r="D137" s="137" t="str">
        <x:v>6X10B</x:v>
      </x:c>
      <x:c r="E137" s="137" t="str">
        <x:v>CUTTING</x:v>
      </x:c>
      <x:c r="F137" s="137" t="str">
        <x:v>ASTER HEAVY FOR TOUNG||MTR</x:v>
      </x:c>
      <x:c r="G137" s="137" t="str">
        <x:v>ASTER HEAVY FOR TOUNG</x:v>
      </x:c>
      <x:c r="H137" s="137" t="str">
        <x:v>MTR</x:v>
      </x:c>
      <x:c r="I137" s="175" t="n">
        <x:v>0.01955</x:v>
      </x:c>
      <x:c r="J137" s="176" t="str"/>
      <x:c r="K137" s="177" t="str"/>
      <x:c r="L137" s="178" t="str">
        <x:f>IF(J137="","",J137*(1+IF(K137="",0,K137)) )</x:f>
      </x:c>
      <x:c r="M137" s="138" t="str"/>
      <x:c r="N137" s="137" t="str">
        <x:v>Current model BOM seed</x:v>
      </x:c>
      <x:c r="O137" s="137" t="str"/>
      <x:c r="P137" s="137" t="str">
        <x:v>To Confirm</x:v>
      </x:c>
      <x:c r="Q137" s="137" t="str"/>
    </x:row>
    <x:row r="138">
      <x:c r="A138" s="137" t="str">
        <x:v>BOM-00134</x:v>
      </x:c>
      <x:c r="B138" s="137" t="str">
        <x:v>ARMOUR (LACE)</x:v>
      </x:c>
      <x:c r="C138" s="137" t="str">
        <x:v>LACE</x:v>
      </x:c>
      <x:c r="D138" s="137" t="str">
        <x:v>6X10B</x:v>
      </x:c>
      <x:c r="E138" s="137" t="str">
        <x:v>CUTTING</x:v>
      </x:c>
      <x:c r="F138" s="137" t="str">
        <x:v>COLOR FOAM 20MM||SHEET</x:v>
      </x:c>
      <x:c r="G138" s="137" t="str">
        <x:v>COLOR FOAM 20MM</x:v>
      </x:c>
      <x:c r="H138" s="137" t="str">
        <x:v>SHEET</x:v>
      </x:c>
      <x:c r="I138" s="175" t="n">
        <x:v>0.014035</x:v>
      </x:c>
      <x:c r="J138" s="176" t="str"/>
      <x:c r="K138" s="177" t="str"/>
      <x:c r="L138" s="178" t="str">
        <x:f>IF(J138="","",J138*(1+IF(K138="",0,K138)) )</x:f>
      </x:c>
      <x:c r="M138" s="138" t="str"/>
      <x:c r="N138" s="137" t="str">
        <x:v>Current model BOM seed</x:v>
      </x:c>
      <x:c r="O138" s="137" t="str"/>
      <x:c r="P138" s="137" t="str">
        <x:v>To Confirm</x:v>
      </x:c>
      <x:c r="Q138" s="137" t="str"/>
    </x:row>
    <x:row r="139">
      <x:c r="A139" s="137" t="str">
        <x:v>BOM-00135</x:v>
      </x:c>
      <x:c r="B139" s="137" t="str">
        <x:v>ARMOUR (LACE)</x:v>
      </x:c>
      <x:c r="C139" s="137" t="str">
        <x:v>LACE</x:v>
      </x:c>
      <x:c r="D139" s="137" t="str">
        <x:v>6X10B</x:v>
      </x:c>
      <x:c r="E139" s="137" t="str">
        <x:v>CUTTING</x:v>
      </x:c>
      <x:c r="F139" s="137" t="str">
        <x:v>TEXION||SHEET</x:v>
      </x:c>
      <x:c r="G139" s="137" t="str">
        <x:v>TEXION</x:v>
      </x:c>
      <x:c r="H139" s="137" t="str">
        <x:v>SHEET</x:v>
      </x:c>
      <x:c r="I139" s="175" t="n">
        <x:v>0.045455</x:v>
      </x:c>
      <x:c r="J139" s="176" t="str"/>
      <x:c r="K139" s="177" t="str"/>
      <x:c r="L139" s="178" t="str">
        <x:f>IF(J139="","",J139*(1+IF(K139="",0,K139)) )</x:f>
      </x:c>
      <x:c r="M139" s="138" t="str"/>
      <x:c r="N139" s="137" t="str">
        <x:v>Current model BOM seed</x:v>
      </x:c>
      <x:c r="O139" s="137" t="str"/>
      <x:c r="P139" s="137" t="str">
        <x:v>To Confirm</x:v>
      </x:c>
      <x:c r="Q139" s="137" t="str"/>
    </x:row>
    <x:row r="140">
      <x:c r="A140" s="137" t="str">
        <x:v>BOM-00136</x:v>
      </x:c>
      <x:c r="B140" s="137" t="str">
        <x:v>ARMOUR (LACE)</x:v>
      </x:c>
      <x:c r="C140" s="137" t="str">
        <x:v>LACE</x:v>
      </x:c>
      <x:c r="D140" s="137" t="str">
        <x:v>6X10B</x:v>
      </x:c>
      <x:c r="E140" s="137" t="str">
        <x:v>CUTTING</x:v>
      </x:c>
      <x:c r="F140" s="137" t="str">
        <x:v>STIFNER 1.4MM YELLOW||SHEET</x:v>
      </x:c>
      <x:c r="G140" s="137" t="str">
        <x:v>STIFNER 1.4MM YELLOW</x:v>
      </x:c>
      <x:c r="H140" s="137" t="str">
        <x:v>SHEET</x:v>
      </x:c>
      <x:c r="I140" s="175" t="n">
        <x:v>0.009804</x:v>
      </x:c>
      <x:c r="J140" s="176" t="str"/>
      <x:c r="K140" s="177" t="str"/>
      <x:c r="L140" s="178" t="str">
        <x:f>IF(J140="","",J140*(1+IF(K140="",0,K140)) )</x:f>
      </x:c>
      <x:c r="M140" s="138" t="str"/>
      <x:c r="N140" s="137" t="str">
        <x:v>Current model BOM seed</x:v>
      </x:c>
      <x:c r="O140" s="137" t="str"/>
      <x:c r="P140" s="137" t="str">
        <x:v>To Confirm</x:v>
      </x:c>
      <x:c r="Q140" s="137" t="str"/>
    </x:row>
    <x:row r="141">
      <x:c r="A141" s="137" t="str">
        <x:v>BOM-00137</x:v>
      </x:c>
      <x:c r="B141" s="137" t="str">
        <x:v>ARMOUR (LACE)</x:v>
      </x:c>
      <x:c r="C141" s="137" t="str">
        <x:v>LACE</x:v>
      </x:c>
      <x:c r="D141" s="137" t="str">
        <x:v>6X10B</x:v>
      </x:c>
      <x:c r="E141" s="137" t="str">
        <x:v>CUTTING</x:v>
      </x:c>
      <x:c r="F141" s="137" t="str">
        <x:v>INSOLE 4 MM||MTR</x:v>
      </x:c>
      <x:c r="G141" s="137" t="str">
        <x:v>INSOLE 4 MM</x:v>
      </x:c>
      <x:c r="H141" s="137" t="str">
        <x:v>MTR</x:v>
      </x:c>
      <x:c r="I141" s="175" t="n">
        <x:v>0.035714</x:v>
      </x:c>
      <x:c r="J141" s="176" t="str"/>
      <x:c r="K141" s="177" t="str"/>
      <x:c r="L141" s="178" t="str">
        <x:f>IF(J141="","",J141*(1+IF(K141="",0,K141)) )</x:f>
      </x:c>
      <x:c r="M141" s="138" t="str"/>
      <x:c r="N141" s="137" t="str">
        <x:v>Current model BOM seed</x:v>
      </x:c>
      <x:c r="O141" s="137" t="str"/>
      <x:c r="P141" s="137" t="str">
        <x:v>To Confirm</x:v>
      </x:c>
      <x:c r="Q141" s="137" t="str"/>
    </x:row>
    <x:row r="142">
      <x:c r="A142" s="137" t="str">
        <x:v>BOM-00138</x:v>
      </x:c>
      <x:c r="B142" s="137" t="str">
        <x:v>ARMOUR (LACE)</x:v>
      </x:c>
      <x:c r="C142" s="137" t="str">
        <x:v>LACE</x:v>
      </x:c>
      <x:c r="D142" s="137" t="str">
        <x:v>6X10B</x:v>
      </x:c>
      <x:c r="E142" s="137" t="str">
        <x:v>STITCHING</x:v>
      </x:c>
      <x:c r="F142" s="137" t="str">
        <x:v>THREAD 3 PLY||SPOOL</x:v>
      </x:c>
      <x:c r="G142" s="137" t="str">
        <x:v>THREAD 3 PLY</x:v>
      </x:c>
      <x:c r="H142" s="137" t="str">
        <x:v>SPOOL</x:v>
      </x:c>
      <x:c r="I142" s="175" t="n">
        <x:v>0.045333</x:v>
      </x:c>
      <x:c r="J142" s="176" t="str"/>
      <x:c r="K142" s="177" t="str"/>
      <x:c r="L142" s="178" t="str">
        <x:f>IF(J142="","",J142*(1+IF(K142="",0,K142)) )</x:f>
      </x:c>
      <x:c r="M142" s="138" t="str"/>
      <x:c r="N142" s="137" t="str">
        <x:v>Current model BOM seed</x:v>
      </x:c>
      <x:c r="O142" s="137" t="str"/>
      <x:c r="P142" s="137" t="str">
        <x:v>To Confirm</x:v>
      </x:c>
      <x:c r="Q142" s="137" t="str"/>
    </x:row>
    <x:row r="143">
      <x:c r="A143" s="137" t="str">
        <x:v>BOM-00139</x:v>
      </x:c>
      <x:c r="B143" s="137" t="str">
        <x:v>ARMOUR (LACE)</x:v>
      </x:c>
      <x:c r="C143" s="137" t="str">
        <x:v>LACE</x:v>
      </x:c>
      <x:c r="D143" s="137" t="str">
        <x:v>6X10B</x:v>
      </x:c>
      <x:c r="E143" s="137" t="str">
        <x:v>STITCHING</x:v>
      </x:c>
      <x:c r="F143" s="137" t="str">
        <x:v>SIZE LABEL||PCS</x:v>
      </x:c>
      <x:c r="G143" s="137" t="str">
        <x:v>SIZE LABEL</x:v>
      </x:c>
      <x:c r="H143" s="137" t="str">
        <x:v>PCS</x:v>
      </x:c>
      <x:c r="I143" s="175" t="n">
        <x:v>2</x:v>
      </x:c>
      <x:c r="J143" s="176" t="str"/>
      <x:c r="K143" s="177" t="str"/>
      <x:c r="L143" s="178" t="str">
        <x:f>IF(J143="","",J143*(1+IF(K143="",0,K143)) )</x:f>
      </x:c>
      <x:c r="M143" s="138" t="str"/>
      <x:c r="N143" s="137" t="str">
        <x:v>Current model BOM seed</x:v>
      </x:c>
      <x:c r="O143" s="137" t="str"/>
      <x:c r="P143" s="137" t="str">
        <x:v>To Confirm</x:v>
      </x:c>
      <x:c r="Q143" s="137" t="str"/>
    </x:row>
    <x:row r="144">
      <x:c r="A144" s="137" t="str">
        <x:v>BOM-00140</x:v>
      </x:c>
      <x:c r="B144" s="137" t="str">
        <x:v>ARMOUR (LACE)</x:v>
      </x:c>
      <x:c r="C144" s="137" t="str">
        <x:v>LACE</x:v>
      </x:c>
      <x:c r="D144" s="137" t="str">
        <x:v>6X10B</x:v>
      </x:c>
      <x:c r="E144" s="137" t="str">
        <x:v>STITCHING</x:v>
      </x:c>
      <x:c r="F144" s="137" t="str">
        <x:v>TOUNG LABEL SNEAKER||PCS</x:v>
      </x:c>
      <x:c r="G144" s="137" t="str">
        <x:v>TOUNG LABEL SNEAKER</x:v>
      </x:c>
      <x:c r="H144" s="137" t="str">
        <x:v>PCS</x:v>
      </x:c>
      <x:c r="I144" s="175" t="n">
        <x:v>2</x:v>
      </x:c>
      <x:c r="J144" s="176" t="str"/>
      <x:c r="K144" s="177" t="str"/>
      <x:c r="L144" s="178" t="str">
        <x:f>IF(J144="","",J144*(1+IF(K144="",0,K144)) )</x:f>
      </x:c>
      <x:c r="M144" s="138" t="str"/>
      <x:c r="N144" s="137" t="str">
        <x:v>Current model BOM seed</x:v>
      </x:c>
      <x:c r="O144" s="137" t="str"/>
      <x:c r="P144" s="137" t="str">
        <x:v>To Confirm</x:v>
      </x:c>
      <x:c r="Q144" s="137" t="str"/>
    </x:row>
    <x:row r="145">
      <x:c r="A145" s="137" t="str">
        <x:v>BOM-00141</x:v>
      </x:c>
      <x:c r="B145" s="137" t="str">
        <x:v>ARMOUR (LACE)</x:v>
      </x:c>
      <x:c r="C145" s="137" t="str">
        <x:v>LACE</x:v>
      </x:c>
      <x:c r="D145" s="137" t="str">
        <x:v>6X10B</x:v>
      </x:c>
      <x:c r="E145" s="137" t="str">
        <x:v>STITCHING</x:v>
      </x:c>
      <x:c r="F145" s="137" t="str">
        <x:v>POLYESTER BINDING 12 MM||MTR</x:v>
      </x:c>
      <x:c r="G145" s="137" t="str">
        <x:v>POLYESTER BINDING 12 MM</x:v>
      </x:c>
      <x:c r="H145" s="137" t="str">
        <x:v>MTR</x:v>
      </x:c>
      <x:c r="I145" s="175" t="n">
        <x:v>0.34</x:v>
      </x:c>
      <x:c r="J145" s="176" t="str"/>
      <x:c r="K145" s="177" t="str"/>
      <x:c r="L145" s="178" t="str">
        <x:f>IF(J145="","",J145*(1+IF(K145="",0,K145)) )</x:f>
      </x:c>
      <x:c r="M145" s="138" t="str"/>
      <x:c r="N145" s="137" t="str">
        <x:v>Current model BOM seed</x:v>
      </x:c>
      <x:c r="O145" s="137" t="str"/>
      <x:c r="P145" s="137" t="str">
        <x:v>To Confirm</x:v>
      </x:c>
      <x:c r="Q145" s="137" t="str"/>
    </x:row>
    <x:row r="146">
      <x:c r="A146" s="137" t="str">
        <x:v>BOM-00142</x:v>
      </x:c>
      <x:c r="B146" s="137" t="str">
        <x:v>ARMOUR (LACE)</x:v>
      </x:c>
      <x:c r="C146" s="137" t="str">
        <x:v>LACE</x:v>
      </x:c>
      <x:c r="D146" s="137" t="str">
        <x:v>6X10B</x:v>
      </x:c>
      <x:c r="E146" s="137" t="str">
        <x:v>STITCHING</x:v>
      </x:c>
      <x:c r="F146" s="137" t="str">
        <x:v>BACK TAPE 14 MM||MTR</x:v>
      </x:c>
      <x:c r="G146" s="137" t="str">
        <x:v>BACK TAPE 14 MM</x:v>
      </x:c>
      <x:c r="H146" s="137" t="str">
        <x:v>MTR</x:v>
      </x:c>
      <x:c r="I146" s="175" t="n">
        <x:v>0.12</x:v>
      </x:c>
      <x:c r="J146" s="176" t="str"/>
      <x:c r="K146" s="177" t="str"/>
      <x:c r="L146" s="178" t="str">
        <x:f>IF(J146="","",J146*(1+IF(K146="",0,K146)) )</x:f>
      </x:c>
      <x:c r="M146" s="138" t="str"/>
      <x:c r="N146" s="137" t="str">
        <x:v>Current model BOM seed</x:v>
      </x:c>
      <x:c r="O146" s="137" t="str"/>
      <x:c r="P146" s="137" t="str">
        <x:v>To Confirm</x:v>
      </x:c>
      <x:c r="Q146" s="137" t="str"/>
    </x:row>
    <x:row r="147">
      <x:c r="A147" s="137" t="str">
        <x:v>BOM-00143</x:v>
      </x:c>
      <x:c r="B147" s="137" t="str">
        <x:v>REX GOLA (V)</x:v>
      </x:c>
      <x:c r="C147" s="137" t="str">
        <x:v>VELCRO</x:v>
      </x:c>
      <x:c r="D147" s="137" t="str">
        <x:v>8X10</x:v>
      </x:c>
      <x:c r="E147" s="137" t="str">
        <x:v>CUTTING</x:v>
      </x:c>
      <x:c r="F147" s="137" t="str">
        <x:v>REXION 1.5MM FRENZY (HEAVY)||MTR</x:v>
      </x:c>
      <x:c r="G147" s="137" t="str">
        <x:v>REXION 1.5MM FRENZY (HEAVY)</x:v>
      </x:c>
      <x:c r="H147" s="137" t="str">
        <x:v>MTR</x:v>
      </x:c>
      <x:c r="I147" s="175" t="n">
        <x:v>0.057185</x:v>
      </x:c>
      <x:c r="J147" s="176" t="str"/>
      <x:c r="K147" s="177" t="str"/>
      <x:c r="L147" s="178" t="str">
        <x:f>IF(J147="","",J147*(1+IF(K147="",0,K147)) )</x:f>
      </x:c>
      <x:c r="M147" s="138" t="str"/>
      <x:c r="N147" s="137" t="str">
        <x:v>Current model BOM seed</x:v>
      </x:c>
      <x:c r="O147" s="137" t="str"/>
      <x:c r="P147" s="137" t="str">
        <x:v>To Confirm</x:v>
      </x:c>
      <x:c r="Q147" s="137" t="str"/>
    </x:row>
    <x:row r="148">
      <x:c r="A148" s="137" t="str">
        <x:v>BOM-00144</x:v>
      </x:c>
      <x:c r="B148" s="137" t="str">
        <x:v>REX GOLA (V)</x:v>
      </x:c>
      <x:c r="C148" s="137" t="str">
        <x:v>VELCRO</x:v>
      </x:c>
      <x:c r="D148" s="137" t="str">
        <x:v>8X10</x:v>
      </x:c>
      <x:c r="E148" s="137" t="str">
        <x:v>CUTTING</x:v>
      </x:c>
      <x:c r="F148" s="137" t="str">
        <x:v>REXION 1.5MM FRENZY (LIGHT)||MTR</x:v>
      </x:c>
      <x:c r="G148" s="137" t="str">
        <x:v>REXION 1.5MM FRENZY (LIGHT)</x:v>
      </x:c>
      <x:c r="H148" s="137" t="str">
        <x:v>MTR</x:v>
      </x:c>
      <x:c r="I148" s="175" t="n">
        <x:v>0.05</x:v>
      </x:c>
      <x:c r="J148" s="176" t="str"/>
      <x:c r="K148" s="177" t="str"/>
      <x:c r="L148" s="178" t="str">
        <x:f>IF(J148="","",J148*(1+IF(K148="",0,K148)) )</x:f>
      </x:c>
      <x:c r="M148" s="138" t="str"/>
      <x:c r="N148" s="137" t="str">
        <x:v>Current model BOM seed</x:v>
      </x:c>
      <x:c r="O148" s="137" t="str"/>
      <x:c r="P148" s="137" t="str">
        <x:v>To Confirm</x:v>
      </x:c>
      <x:c r="Q148" s="137" t="str"/>
    </x:row>
    <x:row r="149">
      <x:c r="A149" s="137" t="str">
        <x:v>BOM-00145</x:v>
      </x:c>
      <x:c r="B149" s="137" t="str">
        <x:v>REX GOLA (V)</x:v>
      </x:c>
      <x:c r="C149" s="137" t="str">
        <x:v>VELCRO</x:v>
      </x:c>
      <x:c r="D149" s="137" t="str">
        <x:v>8X10</x:v>
      </x:c>
      <x:c r="E149" s="137" t="str">
        <x:v>CUTTING</x:v>
      </x:c>
      <x:c r="F149" s="137" t="str">
        <x:v>REXION 1.5MM FOR INTOE||MTR</x:v>
      </x:c>
      <x:c r="G149" s="137" t="str">
        <x:v>REXION 1.5MM FOR INTOE</x:v>
      </x:c>
      <x:c r="H149" s="137" t="str">
        <x:v>MTR</x:v>
      </x:c>
      <x:c r="I149" s="175" t="n">
        <x:v>0.013926</x:v>
      </x:c>
      <x:c r="J149" s="176" t="str"/>
      <x:c r="K149" s="177" t="str"/>
      <x:c r="L149" s="178" t="str">
        <x:f>IF(J149="","",J149*(1+IF(K149="",0,K149)) )</x:f>
      </x:c>
      <x:c r="M149" s="138" t="str"/>
      <x:c r="N149" s="137" t="str">
        <x:v>Current model BOM seed</x:v>
      </x:c>
      <x:c r="O149" s="137" t="str"/>
      <x:c r="P149" s="137" t="str">
        <x:v>To Confirm</x:v>
      </x:c>
      <x:c r="Q149" s="137" t="str"/>
    </x:row>
    <x:row r="150">
      <x:c r="A150" s="137" t="str">
        <x:v>BOM-00146</x:v>
      </x:c>
      <x:c r="B150" s="137" t="str">
        <x:v>REX GOLA (V)</x:v>
      </x:c>
      <x:c r="C150" s="137" t="str">
        <x:v>VELCRO</x:v>
      </x:c>
      <x:c r="D150" s="137" t="str">
        <x:v>8X10</x:v>
      </x:c>
      <x:c r="E150" s="137" t="str">
        <x:v>CUTTING</x:v>
      </x:c>
      <x:c r="F150" s="137" t="str">
        <x:v>REXION 0.8MM FOR EYELET PATTI||MTR</x:v>
      </x:c>
      <x:c r="G150" s="137" t="str">
        <x:v>REXION 0.8MM FOR EYELET PATTI</x:v>
      </x:c>
      <x:c r="H150" s="137" t="str">
        <x:v>MTR</x:v>
      </x:c>
      <x:c r="I150" s="175" t="n">
        <x:v>0.00837</x:v>
      </x:c>
      <x:c r="J150" s="176" t="str"/>
      <x:c r="K150" s="177" t="str"/>
      <x:c r="L150" s="178" t="str">
        <x:f>IF(J150="","",J150*(1+IF(K150="",0,K150)) )</x:f>
      </x:c>
      <x:c r="M150" s="138" t="str"/>
      <x:c r="N150" s="137" t="str">
        <x:v>Current model BOM seed</x:v>
      </x:c>
      <x:c r="O150" s="137" t="str"/>
      <x:c r="P150" s="137" t="str">
        <x:v>To Confirm</x:v>
      </x:c>
      <x:c r="Q150" s="137" t="str"/>
    </x:row>
    <x:row r="151">
      <x:c r="A151" s="137" t="str">
        <x:v>BOM-00147</x:v>
      </x:c>
      <x:c r="B151" s="137" t="str">
        <x:v>REX GOLA (V)</x:v>
      </x:c>
      <x:c r="C151" s="137" t="str">
        <x:v>VELCRO</x:v>
      </x:c>
      <x:c r="D151" s="137" t="str">
        <x:v>8X10</x:v>
      </x:c>
      <x:c r="E151" s="137" t="str">
        <x:v>CUTTING</x:v>
      </x:c>
      <x:c r="F151" s="137" t="str">
        <x:v>STIFFNER 1.4 MM||SHEET</x:v>
      </x:c>
      <x:c r="G151" s="137" t="str">
        <x:v>STIFFNER 1.4 MM</x:v>
      </x:c>
      <x:c r="H151" s="137" t="str">
        <x:v>SHEET</x:v>
      </x:c>
      <x:c r="I151" s="175" t="n">
        <x:v>0.0104</x:v>
      </x:c>
      <x:c r="J151" s="176" t="str"/>
      <x:c r="K151" s="177" t="str"/>
      <x:c r="L151" s="178" t="str">
        <x:f>IF(J151="","",J151*(1+IF(K151="",0,K151)) )</x:f>
      </x:c>
      <x:c r="M151" s="138" t="str"/>
      <x:c r="N151" s="137" t="str">
        <x:v>Current model BOM seed</x:v>
      </x:c>
      <x:c r="O151" s="137" t="str"/>
      <x:c r="P151" s="137" t="str">
        <x:v>To Confirm</x:v>
      </x:c>
      <x:c r="Q151" s="137" t="str"/>
    </x:row>
    <x:row r="152">
      <x:c r="A152" s="137" t="str">
        <x:v>BOM-00148</x:v>
      </x:c>
      <x:c r="B152" s="137" t="str">
        <x:v>REX GOLA (V)</x:v>
      </x:c>
      <x:c r="C152" s="137" t="str">
        <x:v>VELCRO</x:v>
      </x:c>
      <x:c r="D152" s="137" t="str">
        <x:v>8X10</x:v>
      </x:c>
      <x:c r="E152" s="137" t="str">
        <x:v>CUTTING</x:v>
      </x:c>
      <x:c r="F152" s="137" t="str">
        <x:v>SKIN FIT 5 MM||MTR</x:v>
      </x:c>
      <x:c r="G152" s="137" t="str">
        <x:v>SKIN FIT 5 MM</x:v>
      </x:c>
      <x:c r="H152" s="137" t="str">
        <x:v>MTR</x:v>
      </x:c>
      <x:c r="I152" s="175" t="n">
        <x:v>0.0526</x:v>
      </x:c>
      <x:c r="J152" s="176" t="str"/>
      <x:c r="K152" s="177" t="str"/>
      <x:c r="L152" s="178" t="str">
        <x:f>IF(J152="","",J152*(1+IF(K152="",0,K152)) )</x:f>
      </x:c>
      <x:c r="M152" s="138" t="str"/>
      <x:c r="N152" s="137" t="str">
        <x:v>Current model BOM seed</x:v>
      </x:c>
      <x:c r="O152" s="137" t="str"/>
      <x:c r="P152" s="137" t="str">
        <x:v>To Confirm</x:v>
      </x:c>
      <x:c r="Q152" s="137" t="str"/>
    </x:row>
    <x:row r="153">
      <x:c r="A153" s="137" t="str">
        <x:v>BOM-00149</x:v>
      </x:c>
      <x:c r="B153" s="137" t="str">
        <x:v>REX GOLA (V)</x:v>
      </x:c>
      <x:c r="C153" s="137" t="str">
        <x:v>VELCRO</x:v>
      </x:c>
      <x:c r="D153" s="137" t="str">
        <x:v>8X10</x:v>
      </x:c>
      <x:c r="E153" s="137" t="str">
        <x:v>CUTTING</x:v>
      </x:c>
      <x:c r="F153" s="137" t="str">
        <x:v>FOAM 10 MM||SHEET</x:v>
      </x:c>
      <x:c r="G153" s="137" t="str">
        <x:v>FOAM 10 MM</x:v>
      </x:c>
      <x:c r="H153" s="137" t="str">
        <x:v>SHEET</x:v>
      </x:c>
      <x:c r="I153" s="175" t="n">
        <x:v>0.011333</x:v>
      </x:c>
      <x:c r="J153" s="176" t="str"/>
      <x:c r="K153" s="177" t="str"/>
      <x:c r="L153" s="178" t="str">
        <x:f>IF(J153="","",J153*(1+IF(K153="",0,K153)) )</x:f>
      </x:c>
      <x:c r="M153" s="138" t="str"/>
      <x:c r="N153" s="137" t="str">
        <x:v>Current model BOM seed</x:v>
      </x:c>
      <x:c r="O153" s="137" t="str"/>
      <x:c r="P153" s="137" t="str">
        <x:v>To Confirm</x:v>
      </x:c>
      <x:c r="Q153" s="137" t="str"/>
    </x:row>
    <x:row r="154">
      <x:c r="A154" s="137" t="str">
        <x:v>BOM-00150</x:v>
      </x:c>
      <x:c r="B154" s="137" t="str">
        <x:v>REX GOLA (V)</x:v>
      </x:c>
      <x:c r="C154" s="137" t="str">
        <x:v>VELCRO</x:v>
      </x:c>
      <x:c r="D154" s="137" t="str">
        <x:v>8X10</x:v>
      </x:c>
      <x:c r="E154" s="137" t="str">
        <x:v>CUTTING</x:v>
      </x:c>
      <x:c r="F154" s="137" t="str">
        <x:v>FOAM 20 MM||SHEET</x:v>
      </x:c>
      <x:c r="G154" s="137" t="str">
        <x:v>FOAM 20 MM</x:v>
      </x:c>
      <x:c r="H154" s="137" t="str">
        <x:v>SHEET</x:v>
      </x:c>
      <x:c r="I154" s="175" t="n">
        <x:v>0.0102</x:v>
      </x:c>
      <x:c r="J154" s="176" t="str"/>
      <x:c r="K154" s="177" t="str"/>
      <x:c r="L154" s="178" t="str">
        <x:f>IF(J154="","",J154*(1+IF(K154="",0,K154)) )</x:f>
      </x:c>
      <x:c r="M154" s="138" t="str"/>
      <x:c r="N154" s="137" t="str">
        <x:v>Current model BOM seed</x:v>
      </x:c>
      <x:c r="O154" s="137" t="str"/>
      <x:c r="P154" s="137" t="str">
        <x:v>To Confirm</x:v>
      </x:c>
      <x:c r="Q154" s="137" t="str"/>
    </x:row>
    <x:row r="155">
      <x:c r="A155" s="137" t="str">
        <x:v>BOM-00151</x:v>
      </x:c>
      <x:c r="B155" s="137" t="str">
        <x:v>REX GOLA (V)</x:v>
      </x:c>
      <x:c r="C155" s="137" t="str">
        <x:v>VELCRO</x:v>
      </x:c>
      <x:c r="D155" s="137" t="str">
        <x:v>8X10</x:v>
      </x:c>
      <x:c r="E155" s="137" t="str">
        <x:v>CUTTING</x:v>
      </x:c>
      <x:c r="F155" s="137" t="str">
        <x:v>ASTAR 3 MM Heavy||MTR</x:v>
      </x:c>
      <x:c r="G155" s="137" t="str">
        <x:v>ASTAR 3 MM Heavy</x:v>
      </x:c>
      <x:c r="H155" s="137" t="str">
        <x:v>MTR</x:v>
      </x:c>
      <x:c r="I155" s="175" t="n">
        <x:v>0.017867</x:v>
      </x:c>
      <x:c r="J155" s="176" t="str"/>
      <x:c r="K155" s="177" t="str"/>
      <x:c r="L155" s="178" t="str">
        <x:f>IF(J155="","",J155*(1+IF(K155="",0,K155)) )</x:f>
      </x:c>
      <x:c r="M155" s="138" t="str"/>
      <x:c r="N155" s="137" t="str">
        <x:v>Current model BOM seed</x:v>
      </x:c>
      <x:c r="O155" s="137" t="str"/>
      <x:c r="P155" s="137" t="str">
        <x:v>To Confirm</x:v>
      </x:c>
      <x:c r="Q155" s="137" t="str"/>
    </x:row>
    <x:row r="156">
      <x:c r="A156" s="137" t="str">
        <x:v>BOM-00152</x:v>
      </x:c>
      <x:c r="B156" s="137" t="str">
        <x:v>REX GOLA (V)</x:v>
      </x:c>
      <x:c r="C156" s="137" t="str">
        <x:v>VELCRO</x:v>
      </x:c>
      <x:c r="D156" s="137" t="str">
        <x:v>8X10</x:v>
      </x:c>
      <x:c r="E156" s="137" t="str">
        <x:v>CUTTING</x:v>
      </x:c>
      <x:c r="F156" s="137" t="str">
        <x:v>INSOLE 4 MM||MTR</x:v>
      </x:c>
      <x:c r="G156" s="137" t="str">
        <x:v>INSOLE 4 MM</x:v>
      </x:c>
      <x:c r="H156" s="137" t="str">
        <x:v>MTR</x:v>
      </x:c>
      <x:c r="I156" s="175" t="n">
        <x:v>0.016</x:v>
      </x:c>
      <x:c r="J156" s="176" t="str"/>
      <x:c r="K156" s="177" t="str"/>
      <x:c r="L156" s="178" t="str">
        <x:f>IF(J156="","",J156*(1+IF(K156="",0,K156)) )</x:f>
      </x:c>
      <x:c r="M156" s="138" t="str"/>
      <x:c r="N156" s="137" t="str">
        <x:v>Current model BOM seed</x:v>
      </x:c>
      <x:c r="O156" s="137" t="str"/>
      <x:c r="P156" s="137" t="str">
        <x:v>To Confirm</x:v>
      </x:c>
      <x:c r="Q156" s="137" t="str"/>
    </x:row>
    <x:row r="157">
      <x:c r="A157" s="137" t="str">
        <x:v>BOM-00153</x:v>
      </x:c>
      <x:c r="B157" s="137" t="str">
        <x:v>REX GOLA (V)</x:v>
      </x:c>
      <x:c r="C157" s="137" t="str">
        <x:v>VELCRO</x:v>
      </x:c>
      <x:c r="D157" s="137" t="str">
        <x:v>8X10</x:v>
      </x:c>
      <x:c r="E157" s="137" t="str">
        <x:v>CUTTING</x:v>
      </x:c>
      <x:c r="F157" s="137" t="str">
        <x:v>R.||MTR</x:v>
      </x:c>
      <x:c r="G157" s="137" t="str">
        <x:v>R.</x:v>
      </x:c>
      <x:c r="H157" s="137" t="str">
        <x:v>MTR</x:v>
      </x:c>
      <x:c r="I157" s="175" t="n">
        <x:v>0.019259</x:v>
      </x:c>
      <x:c r="J157" s="176" t="str"/>
      <x:c r="K157" s="177" t="str"/>
      <x:c r="L157" s="178" t="str">
        <x:f>IF(J157="","",J157*(1+IF(K157="",0,K157)) )</x:f>
      </x:c>
      <x:c r="M157" s="138" t="str"/>
      <x:c r="N157" s="137" t="str">
        <x:v>Current model BOM seed</x:v>
      </x:c>
      <x:c r="O157" s="137" t="str"/>
      <x:c r="P157" s="137" t="str">
        <x:v>To Confirm</x:v>
      </x:c>
      <x:c r="Q157" s="137" t="str"/>
    </x:row>
    <x:row r="158">
      <x:c r="A158" s="137" t="str">
        <x:v>BOM-00154</x:v>
      </x:c>
      <x:c r="B158" s="137" t="str">
        <x:v>REX GOLA (V)</x:v>
      </x:c>
      <x:c r="C158" s="137" t="str">
        <x:v>VELCRO</x:v>
      </x:c>
      <x:c r="D158" s="137" t="str">
        <x:v>8X10</x:v>
      </x:c>
      <x:c r="E158" s="137" t="str">
        <x:v>STITCHING</x:v>
      </x:c>
      <x:c r="F158" s="137" t="str">
        <x:v>Nylon Thread 3 Ply||CONE</x:v>
      </x:c>
      <x:c r="G158" s="137" t="str">
        <x:v>Nylon Thread 3 Ply</x:v>
      </x:c>
      <x:c r="H158" s="137" t="str">
        <x:v>CONE</x:v>
      </x:c>
      <x:c r="I158" s="175" t="n">
        <x:v>0.027667</x:v>
      </x:c>
      <x:c r="J158" s="176" t="str"/>
      <x:c r="K158" s="177" t="str"/>
      <x:c r="L158" s="178" t="str">
        <x:f>IF(J158="","",J158*(1+IF(K158="",0,K158)) )</x:f>
      </x:c>
      <x:c r="M158" s="138" t="str"/>
      <x:c r="N158" s="137" t="str">
        <x:v>Current model BOM seed</x:v>
      </x:c>
      <x:c r="O158" s="137" t="str"/>
      <x:c r="P158" s="137" t="str">
        <x:v>To Confirm</x:v>
      </x:c>
      <x:c r="Q158" s="137" t="str"/>
    </x:row>
    <x:row r="159">
      <x:c r="A159" s="137" t="str">
        <x:v>BOM-00155</x:v>
      </x:c>
      <x:c r="B159" s="137" t="str">
        <x:v>REX GOLA (V)</x:v>
      </x:c>
      <x:c r="C159" s="137" t="str">
        <x:v>VELCRO</x:v>
      </x:c>
      <x:c r="D159" s="137" t="str">
        <x:v>8X10</x:v>
      </x:c>
      <x:c r="E159" s="137" t="str">
        <x:v>STITCHING</x:v>
      </x:c>
      <x:c r="F159" s="137" t="str">
        <x:v>Polister Binding 12mm||MTR</x:v>
      </x:c>
      <x:c r="G159" s="137" t="str">
        <x:v>Polister Binding 12mm</x:v>
      </x:c>
      <x:c r="H159" s="137" t="str">
        <x:v>MTR</x:v>
      </x:c>
      <x:c r="I159" s="175" t="n">
        <x:v>0.32</x:v>
      </x:c>
      <x:c r="J159" s="176" t="str"/>
      <x:c r="K159" s="177" t="str"/>
      <x:c r="L159" s="178" t="str">
        <x:f>IF(J159="","",J159*(1+IF(K159="",0,K159)) )</x:f>
      </x:c>
      <x:c r="M159" s="138" t="str"/>
      <x:c r="N159" s="137" t="str">
        <x:v>Current model BOM seed</x:v>
      </x:c>
      <x:c r="O159" s="137" t="str"/>
      <x:c r="P159" s="137" t="str">
        <x:v>To Confirm</x:v>
      </x:c>
      <x:c r="Q159" s="137" t="str"/>
    </x:row>
    <x:row r="160">
      <x:c r="A160" s="137" t="str">
        <x:v>BOM-00156</x:v>
      </x:c>
      <x:c r="B160" s="137" t="str">
        <x:v>REX GOLA (V)</x:v>
      </x:c>
      <x:c r="C160" s="137" t="str">
        <x:v>VELCRO</x:v>
      </x:c>
      <x:c r="D160" s="137" t="str">
        <x:v>8X10</x:v>
      </x:c>
      <x:c r="E160" s="137" t="str">
        <x:v>STITCHING</x:v>
      </x:c>
      <x:c r="F160" s="137" t="str">
        <x:v>Lebel Gola||MTR</x:v>
      </x:c>
      <x:c r="G160" s="137" t="str">
        <x:v>Lebel Gola</x:v>
      </x:c>
      <x:c r="H160" s="137" t="str">
        <x:v>MTR</x:v>
      </x:c>
      <x:c r="I160" s="175" t="n">
        <x:v>2</x:v>
      </x:c>
      <x:c r="J160" s="176" t="str"/>
      <x:c r="K160" s="177" t="str"/>
      <x:c r="L160" s="178" t="str">
        <x:f>IF(J160="","",J160*(1+IF(K160="",0,K160)) )</x:f>
      </x:c>
      <x:c r="M160" s="138" t="str"/>
      <x:c r="N160" s="137" t="str">
        <x:v>Current model BOM seed</x:v>
      </x:c>
      <x:c r="O160" s="137" t="str"/>
      <x:c r="P160" s="137" t="str">
        <x:v>To Confirm</x:v>
      </x:c>
      <x:c r="Q160" s="137" t="str"/>
    </x:row>
    <x:row r="161">
      <x:c r="A161" s="137" t="str">
        <x:v>BOM-00157</x:v>
      </x:c>
      <x:c r="B161" s="137" t="str">
        <x:v>REX GOLA (V)</x:v>
      </x:c>
      <x:c r="C161" s="137" t="str">
        <x:v>VELCRO</x:v>
      </x:c>
      <x:c r="D161" s="137" t="str">
        <x:v>8X10</x:v>
      </x:c>
      <x:c r="E161" s="137" t="str">
        <x:v>STITCHING</x:v>
      </x:c>
      <x:c r="F161" s="137" t="str">
        <x:v>Velcro 20mm Hook||MTR</x:v>
      </x:c>
      <x:c r="G161" s="137" t="str">
        <x:v>Velcro 20mm Hook</x:v>
      </x:c>
      <x:c r="H161" s="137" t="str">
        <x:v>MTR</x:v>
      </x:c>
      <x:c r="I161" s="175" t="n">
        <x:v>0.3</x:v>
      </x:c>
      <x:c r="J161" s="176" t="str"/>
      <x:c r="K161" s="177" t="str"/>
      <x:c r="L161" s="178" t="str">
        <x:f>IF(J161="","",J161*(1+IF(K161="",0,K161)) )</x:f>
      </x:c>
      <x:c r="M161" s="138" t="str"/>
      <x:c r="N161" s="137" t="str">
        <x:v>Current model BOM seed</x:v>
      </x:c>
      <x:c r="O161" s="137" t="str"/>
      <x:c r="P161" s="137" t="str">
        <x:v>To Confirm</x:v>
      </x:c>
      <x:c r="Q161" s="137" t="str"/>
    </x:row>
    <x:row r="162">
      <x:c r="A162" s="137" t="str">
        <x:v>BOM-00158</x:v>
      </x:c>
      <x:c r="B162" s="137" t="str">
        <x:v>REX GOLA (V)</x:v>
      </x:c>
      <x:c r="C162" s="137" t="str">
        <x:v>VELCRO</x:v>
      </x:c>
      <x:c r="D162" s="137" t="str">
        <x:v>8X10</x:v>
      </x:c>
      <x:c r="E162" s="137" t="str">
        <x:v>STITCHING</x:v>
      </x:c>
      <x:c r="F162" s="137" t="str">
        <x:v>Velcro 20mm Loop||MTR</x:v>
      </x:c>
      <x:c r="G162" s="137" t="str">
        <x:v>Velcro 20mm Loop</x:v>
      </x:c>
      <x:c r="H162" s="137" t="str">
        <x:v>MTR</x:v>
      </x:c>
      <x:c r="I162" s="175" t="n">
        <x:v>0.3</x:v>
      </x:c>
      <x:c r="J162" s="176" t="str"/>
      <x:c r="K162" s="177" t="str"/>
      <x:c r="L162" s="178" t="str">
        <x:f>IF(J162="","",J162*(1+IF(K162="",0,K162)) )</x:f>
      </x:c>
      <x:c r="M162" s="138" t="str"/>
      <x:c r="N162" s="137" t="str">
        <x:v>Current model BOM seed</x:v>
      </x:c>
      <x:c r="O162" s="137" t="str"/>
      <x:c r="P162" s="137" t="str">
        <x:v>To Confirm</x:v>
      </x:c>
      <x:c r="Q162" s="137" t="str"/>
    </x:row>
    <x:row r="163">
      <x:c r="A163" s="137" t="str">
        <x:v>BOM-00159</x:v>
      </x:c>
      <x:c r="B163" s="137" t="str">
        <x:v>REX GOLA (V)</x:v>
      </x:c>
      <x:c r="C163" s="137" t="str">
        <x:v>VELCRO</x:v>
      </x:c>
      <x:c r="D163" s="137" t="str">
        <x:v>8X10</x:v>
      </x:c>
      <x:c r="E163" s="137" t="str">
        <x:v>STITCHING</x:v>
      </x:c>
      <x:c r="F163" s="137" t="str">
        <x:v>Buckle PF-48||PCS</x:v>
      </x:c>
      <x:c r="G163" s="137" t="str">
        <x:v>Buckle PF-48</x:v>
      </x:c>
      <x:c r="H163" s="137" t="str">
        <x:v>PCS</x:v>
      </x:c>
      <x:c r="I163" s="175" t="n">
        <x:v>4</x:v>
      </x:c>
      <x:c r="J163" s="176" t="str"/>
      <x:c r="K163" s="177" t="str"/>
      <x:c r="L163" s="178" t="str">
        <x:f>IF(J163="","",J163*(1+IF(K163="",0,K163)) )</x:f>
      </x:c>
      <x:c r="M163" s="138" t="str"/>
      <x:c r="N163" s="137" t="str">
        <x:v>Current model BOM seed</x:v>
      </x:c>
      <x:c r="O163" s="137" t="str"/>
      <x:c r="P163" s="137" t="str">
        <x:v>To Confirm</x:v>
      </x:c>
      <x:c r="Q163" s="137" t="str"/>
    </x:row>
    <x:row r="164">
      <x:c r="A164" s="137" t="str">
        <x:v>BOM-00160</x:v>
      </x:c>
      <x:c r="B164" s="137" t="str">
        <x:v>REX GOLA (V)</x:v>
      </x:c>
      <x:c r="C164" s="137" t="str">
        <x:v>VELCRO</x:v>
      </x:c>
      <x:c r="D164" s="137" t="str">
        <x:v>8X10</x:v>
      </x:c>
      <x:c r="E164" s="137" t="str">
        <x:v>STITCHING</x:v>
      </x:c>
      <x:c r="F164" s="137" t="str">
        <x:v>PP Bag 18.5x31||PCS</x:v>
      </x:c>
      <x:c r="G164" s="137" t="str">
        <x:v>PP Bag 18.5x31</x:v>
      </x:c>
      <x:c r="H164" s="137" t="str">
        <x:v>PCS</x:v>
      </x:c>
      <x:c r="I164" s="175" t="n">
        <x:v>0.066667</x:v>
      </x:c>
      <x:c r="J164" s="176" t="str"/>
      <x:c r="K164" s="177" t="str"/>
      <x:c r="L164" s="178" t="str">
        <x:f>IF(J164="","",J164*(1+IF(K164="",0,K164)) )</x:f>
      </x:c>
      <x:c r="M164" s="138" t="str"/>
      <x:c r="N164" s="137" t="str">
        <x:v>Current model BOM seed</x:v>
      </x:c>
      <x:c r="O164" s="137" t="str"/>
      <x:c r="P164" s="137" t="str">
        <x:v>To Confirm</x:v>
      </x:c>
      <x:c r="Q164" s="137" t="str"/>
    </x:row>
    <x:row r="165">
      <x:c r="A165" s="137" t="str">
        <x:v>BOM-00161</x:v>
      </x:c>
      <x:c r="B165" s="137" t="str">
        <x:v>REX GOLA (V)</x:v>
      </x:c>
      <x:c r="C165" s="137" t="str">
        <x:v>VELCRO</x:v>
      </x:c>
      <x:c r="D165" s="137" t="str">
        <x:v>11X13</x:v>
      </x:c>
      <x:c r="E165" s="137" t="str">
        <x:v>CUTTING</x:v>
      </x:c>
      <x:c r="F165" s="137" t="str">
        <x:v>REXION 1.5MM FRENZY (HEAVY)||MTR</x:v>
      </x:c>
      <x:c r="G165" s="137" t="str">
        <x:v>REXION 1.5MM FRENZY (HEAVY)</x:v>
      </x:c>
      <x:c r="H165" s="137" t="str">
        <x:v>MTR</x:v>
      </x:c>
      <x:c r="I165" s="175" t="n">
        <x:v>0.065037</x:v>
      </x:c>
      <x:c r="J165" s="176" t="str"/>
      <x:c r="K165" s="177" t="str"/>
      <x:c r="L165" s="178" t="str">
        <x:f>IF(J165="","",J165*(1+IF(K165="",0,K165)) )</x:f>
      </x:c>
      <x:c r="M165" s="138" t="str"/>
      <x:c r="N165" s="137" t="str">
        <x:v>Current model BOM seed</x:v>
      </x:c>
      <x:c r="O165" s="137" t="str"/>
      <x:c r="P165" s="137" t="str">
        <x:v>To Confirm</x:v>
      </x:c>
      <x:c r="Q165" s="137" t="str"/>
    </x:row>
    <x:row r="166">
      <x:c r="A166" s="137" t="str">
        <x:v>BOM-00162</x:v>
      </x:c>
      <x:c r="B166" s="137" t="str">
        <x:v>REX GOLA (V)</x:v>
      </x:c>
      <x:c r="C166" s="137" t="str">
        <x:v>VELCRO</x:v>
      </x:c>
      <x:c r="D166" s="137" t="str">
        <x:v>11X13</x:v>
      </x:c>
      <x:c r="E166" s="137" t="str">
        <x:v>CUTTING</x:v>
      </x:c>
      <x:c r="F166" s="137" t="str">
        <x:v>REXION 1.5MM FRENZY (LIGHT)||MTR</x:v>
      </x:c>
      <x:c r="G166" s="137" t="str">
        <x:v>REXION 1.5MM FRENZY (LIGHT)</x:v>
      </x:c>
      <x:c r="H166" s="137" t="str">
        <x:v>MTR</x:v>
      </x:c>
      <x:c r="I166" s="175" t="n">
        <x:v>0.052667</x:v>
      </x:c>
      <x:c r="J166" s="176" t="str"/>
      <x:c r="K166" s="177" t="str"/>
      <x:c r="L166" s="178" t="str">
        <x:f>IF(J166="","",J166*(1+IF(K166="",0,K166)) )</x:f>
      </x:c>
      <x:c r="M166" s="138" t="str"/>
      <x:c r="N166" s="137" t="str">
        <x:v>Current model BOM seed</x:v>
      </x:c>
      <x:c r="O166" s="137" t="str"/>
      <x:c r="P166" s="137" t="str">
        <x:v>To Confirm</x:v>
      </x:c>
      <x:c r="Q166" s="137" t="str"/>
    </x:row>
    <x:row r="167">
      <x:c r="A167" s="137" t="str">
        <x:v>BOM-00163</x:v>
      </x:c>
      <x:c r="B167" s="137" t="str">
        <x:v>REX GOLA (V)</x:v>
      </x:c>
      <x:c r="C167" s="137" t="str">
        <x:v>VELCRO</x:v>
      </x:c>
      <x:c r="D167" s="137" t="str">
        <x:v>11X13</x:v>
      </x:c>
      <x:c r="E167" s="137" t="str">
        <x:v>CUTTING</x:v>
      </x:c>
      <x:c r="F167" s="137" t="str">
        <x:v>REXION 1.5MM FOR INTOE||MTR</x:v>
      </x:c>
      <x:c r="G167" s="137" t="str">
        <x:v>REXION 1.5MM FOR INTOE</x:v>
      </x:c>
      <x:c r="H167" s="137" t="str">
        <x:v>MTR</x:v>
      </x:c>
      <x:c r="I167" s="175" t="n">
        <x:v>0.015185</x:v>
      </x:c>
      <x:c r="J167" s="176" t="str"/>
      <x:c r="K167" s="177" t="str"/>
      <x:c r="L167" s="178" t="str">
        <x:f>IF(J167="","",J167*(1+IF(K167="",0,K167)) )</x:f>
      </x:c>
      <x:c r="M167" s="138" t="str"/>
      <x:c r="N167" s="137" t="str">
        <x:v>Current model BOM seed</x:v>
      </x:c>
      <x:c r="O167" s="137" t="str"/>
      <x:c r="P167" s="137" t="str">
        <x:v>To Confirm</x:v>
      </x:c>
      <x:c r="Q167" s="137" t="str"/>
    </x:row>
    <x:row r="168">
      <x:c r="A168" s="137" t="str">
        <x:v>BOM-00164</x:v>
      </x:c>
      <x:c r="B168" s="137" t="str">
        <x:v>REX GOLA (V)</x:v>
      </x:c>
      <x:c r="C168" s="137" t="str">
        <x:v>VELCRO</x:v>
      </x:c>
      <x:c r="D168" s="137" t="str">
        <x:v>11X13</x:v>
      </x:c>
      <x:c r="E168" s="137" t="str">
        <x:v>CUTTING</x:v>
      </x:c>
      <x:c r="F168" s="137" t="str">
        <x:v>REXION 0.8MM FOR EYELET PATTI||MTR</x:v>
      </x:c>
      <x:c r="G168" s="137" t="str">
        <x:v>REXION 0.8MM FOR EYELET PATTI</x:v>
      </x:c>
      <x:c r="H168" s="137" t="str">
        <x:v>MTR</x:v>
      </x:c>
      <x:c r="I168" s="175" t="n">
        <x:v>0.00963</x:v>
      </x:c>
      <x:c r="J168" s="176" t="str"/>
      <x:c r="K168" s="177" t="str"/>
      <x:c r="L168" s="178" t="str">
        <x:f>IF(J168="","",J168*(1+IF(K168="",0,K168)) )</x:f>
      </x:c>
      <x:c r="M168" s="138" t="str"/>
      <x:c r="N168" s="137" t="str">
        <x:v>Current model BOM seed</x:v>
      </x:c>
      <x:c r="O168" s="137" t="str"/>
      <x:c r="P168" s="137" t="str">
        <x:v>To Confirm</x:v>
      </x:c>
      <x:c r="Q168" s="137" t="str"/>
    </x:row>
    <x:row r="169">
      <x:c r="A169" s="137" t="str">
        <x:v>BOM-00165</x:v>
      </x:c>
      <x:c r="B169" s="137" t="str">
        <x:v>REX GOLA (V)</x:v>
      </x:c>
      <x:c r="C169" s="137" t="str">
        <x:v>VELCRO</x:v>
      </x:c>
      <x:c r="D169" s="137" t="str">
        <x:v>11X13</x:v>
      </x:c>
      <x:c r="E169" s="137" t="str">
        <x:v>CUTTING</x:v>
      </x:c>
      <x:c r="F169" s="137" t="str">
        <x:v>STIFFNER 1.4 MM||SHEET</x:v>
      </x:c>
      <x:c r="G169" s="137" t="str">
        <x:v>STIFFNER 1.4 MM</x:v>
      </x:c>
      <x:c r="H169" s="137" t="str">
        <x:v>SHEET</x:v>
      </x:c>
      <x:c r="I169" s="175" t="n">
        <x:v>0.0122</x:v>
      </x:c>
      <x:c r="J169" s="176" t="str"/>
      <x:c r="K169" s="177" t="str"/>
      <x:c r="L169" s="178" t="str">
        <x:f>IF(J169="","",J169*(1+IF(K169="",0,K169)) )</x:f>
      </x:c>
      <x:c r="M169" s="138" t="str"/>
      <x:c r="N169" s="137" t="str">
        <x:v>Current model BOM seed</x:v>
      </x:c>
      <x:c r="O169" s="137" t="str"/>
      <x:c r="P169" s="137" t="str">
        <x:v>To Confirm</x:v>
      </x:c>
      <x:c r="Q169" s="137" t="str"/>
    </x:row>
    <x:row r="170">
      <x:c r="A170" s="137" t="str">
        <x:v>BOM-00166</x:v>
      </x:c>
      <x:c r="B170" s="137" t="str">
        <x:v>REX GOLA (V)</x:v>
      </x:c>
      <x:c r="C170" s="137" t="str">
        <x:v>VELCRO</x:v>
      </x:c>
      <x:c r="D170" s="137" t="str">
        <x:v>11X13</x:v>
      </x:c>
      <x:c r="E170" s="137" t="str">
        <x:v>CUTTING</x:v>
      </x:c>
      <x:c r="F170" s="137" t="str">
        <x:v>SKIN FIT 5 MM||MTR</x:v>
      </x:c>
      <x:c r="G170" s="137" t="str">
        <x:v>SKIN FIT 5 MM</x:v>
      </x:c>
      <x:c r="H170" s="137" t="str">
        <x:v>MTR</x:v>
      </x:c>
      <x:c r="I170" s="175" t="n">
        <x:v>0.055533</x:v>
      </x:c>
      <x:c r="J170" s="176" t="str"/>
      <x:c r="K170" s="177" t="str"/>
      <x:c r="L170" s="178" t="str">
        <x:f>IF(J170="","",J170*(1+IF(K170="",0,K170)) )</x:f>
      </x:c>
      <x:c r="M170" s="138" t="str"/>
      <x:c r="N170" s="137" t="str">
        <x:v>Current model BOM seed</x:v>
      </x:c>
      <x:c r="O170" s="137" t="str"/>
      <x:c r="P170" s="137" t="str">
        <x:v>To Confirm</x:v>
      </x:c>
      <x:c r="Q170" s="137" t="str"/>
    </x:row>
    <x:row r="171">
      <x:c r="A171" s="137" t="str">
        <x:v>BOM-00167</x:v>
      </x:c>
      <x:c r="B171" s="137" t="str">
        <x:v>REX GOLA (V)</x:v>
      </x:c>
      <x:c r="C171" s="137" t="str">
        <x:v>VELCRO</x:v>
      </x:c>
      <x:c r="D171" s="137" t="str">
        <x:v>11X13</x:v>
      </x:c>
      <x:c r="E171" s="137" t="str">
        <x:v>CUTTING</x:v>
      </x:c>
      <x:c r="F171" s="137" t="str">
        <x:v>FOAM 10 MM||SHEET</x:v>
      </x:c>
      <x:c r="G171" s="137" t="str">
        <x:v>FOAM 10 MM</x:v>
      </x:c>
      <x:c r="H171" s="137" t="str">
        <x:v>SHEET</x:v>
      </x:c>
      <x:c r="I171" s="175" t="n">
        <x:v>0.014267</x:v>
      </x:c>
      <x:c r="J171" s="176" t="str"/>
      <x:c r="K171" s="177" t="str"/>
      <x:c r="L171" s="178" t="str">
        <x:f>IF(J171="","",J171*(1+IF(K171="",0,K171)) )</x:f>
      </x:c>
      <x:c r="M171" s="138" t="str"/>
      <x:c r="N171" s="137" t="str">
        <x:v>Current model BOM seed</x:v>
      </x:c>
      <x:c r="O171" s="137" t="str"/>
      <x:c r="P171" s="137" t="str">
        <x:v>To Confirm</x:v>
      </x:c>
      <x:c r="Q171" s="137" t="str"/>
    </x:row>
    <x:row r="172">
      <x:c r="A172" s="137" t="str">
        <x:v>BOM-00168</x:v>
      </x:c>
      <x:c r="B172" s="137" t="str">
        <x:v>REX GOLA (V)</x:v>
      </x:c>
      <x:c r="C172" s="137" t="str">
        <x:v>VELCRO</x:v>
      </x:c>
      <x:c r="D172" s="137" t="str">
        <x:v>11X13</x:v>
      </x:c>
      <x:c r="E172" s="137" t="str">
        <x:v>CUTTING</x:v>
      </x:c>
      <x:c r="F172" s="137" t="str">
        <x:v>FOAM 20 MM||SHEET</x:v>
      </x:c>
      <x:c r="G172" s="137" t="str">
        <x:v>FOAM 20 MM</x:v>
      </x:c>
      <x:c r="H172" s="137" t="str">
        <x:v>SHEET</x:v>
      </x:c>
      <x:c r="I172" s="175" t="n">
        <x:v>0.0102</x:v>
      </x:c>
      <x:c r="J172" s="176" t="str"/>
      <x:c r="K172" s="177" t="str"/>
      <x:c r="L172" s="178" t="str">
        <x:f>IF(J172="","",J172*(1+IF(K172="",0,K172)) )</x:f>
      </x:c>
      <x:c r="M172" s="138" t="str"/>
      <x:c r="N172" s="137" t="str">
        <x:v>Current model BOM seed</x:v>
      </x:c>
      <x:c r="O172" s="137" t="str"/>
      <x:c r="P172" s="137" t="str">
        <x:v>To Confirm</x:v>
      </x:c>
      <x:c r="Q172" s="137" t="str"/>
    </x:row>
    <x:row r="173">
      <x:c r="A173" s="137" t="str">
        <x:v>BOM-00169</x:v>
      </x:c>
      <x:c r="B173" s="137" t="str">
        <x:v>REX GOLA (V)</x:v>
      </x:c>
      <x:c r="C173" s="137" t="str">
        <x:v>VELCRO</x:v>
      </x:c>
      <x:c r="D173" s="137" t="str">
        <x:v>11X13</x:v>
      </x:c>
      <x:c r="E173" s="137" t="str">
        <x:v>CUTTING</x:v>
      </x:c>
      <x:c r="F173" s="137" t="str">
        <x:v>ASTAR 3 MM Heavy||MTR</x:v>
      </x:c>
      <x:c r="G173" s="137" t="str">
        <x:v>ASTAR 3 MM Heavy</x:v>
      </x:c>
      <x:c r="H173" s="137" t="str">
        <x:v>MTR</x:v>
      </x:c>
      <x:c r="I173" s="175" t="n">
        <x:v>0.0222</x:v>
      </x:c>
      <x:c r="J173" s="176" t="str"/>
      <x:c r="K173" s="177" t="str"/>
      <x:c r="L173" s="178" t="str">
        <x:f>IF(J173="","",J173*(1+IF(K173="",0,K173)) )</x:f>
      </x:c>
      <x:c r="M173" s="138" t="str"/>
      <x:c r="N173" s="137" t="str">
        <x:v>Current model BOM seed</x:v>
      </x:c>
      <x:c r="O173" s="137" t="str"/>
      <x:c r="P173" s="137" t="str">
        <x:v>To Confirm</x:v>
      </x:c>
      <x:c r="Q173" s="137" t="str"/>
    </x:row>
    <x:row r="174">
      <x:c r="A174" s="137" t="str">
        <x:v>BOM-00170</x:v>
      </x:c>
      <x:c r="B174" s="137" t="str">
        <x:v>REX GOLA (V)</x:v>
      </x:c>
      <x:c r="C174" s="137" t="str">
        <x:v>VELCRO</x:v>
      </x:c>
      <x:c r="D174" s="137" t="str">
        <x:v>11X13</x:v>
      </x:c>
      <x:c r="E174" s="137" t="str">
        <x:v>CUTTING</x:v>
      </x:c>
      <x:c r="F174" s="137" t="str">
        <x:v>INSOLE 4 MM||MTR</x:v>
      </x:c>
      <x:c r="G174" s="137" t="str">
        <x:v>INSOLE 4 MM</x:v>
      </x:c>
      <x:c r="H174" s="137" t="str">
        <x:v>MTR</x:v>
      </x:c>
      <x:c r="I174" s="175" t="n">
        <x:v>0.019586</x:v>
      </x:c>
      <x:c r="J174" s="176" t="str"/>
      <x:c r="K174" s="177" t="str"/>
      <x:c r="L174" s="178" t="str">
        <x:f>IF(J174="","",J174*(1+IF(K174="",0,K174)) )</x:f>
      </x:c>
      <x:c r="M174" s="138" t="str"/>
      <x:c r="N174" s="137" t="str">
        <x:v>Current model BOM seed</x:v>
      </x:c>
      <x:c r="O174" s="137" t="str"/>
      <x:c r="P174" s="137" t="str">
        <x:v>To Confirm</x:v>
      </x:c>
      <x:c r="Q174" s="137" t="str"/>
    </x:row>
    <x:row r="175">
      <x:c r="A175" s="137" t="str">
        <x:v>BOM-00171</x:v>
      </x:c>
      <x:c r="B175" s="137" t="str">
        <x:v>REX GOLA (V)</x:v>
      </x:c>
      <x:c r="C175" s="137" t="str">
        <x:v>VELCRO</x:v>
      </x:c>
      <x:c r="D175" s="137" t="str">
        <x:v>11X13</x:v>
      </x:c>
      <x:c r="E175" s="137" t="str">
        <x:v>CUTTING</x:v>
      </x:c>
      <x:c r="F175" s="137" t="str">
        <x:v>R.||MTR</x:v>
      </x:c>
      <x:c r="G175" s="137" t="str">
        <x:v>R.</x:v>
      </x:c>
      <x:c r="H175" s="137" t="str">
        <x:v>MTR</x:v>
      </x:c>
      <x:c r="I175" s="175" t="n">
        <x:v>0.023778</x:v>
      </x:c>
      <x:c r="J175" s="176" t="str"/>
      <x:c r="K175" s="177" t="str"/>
      <x:c r="L175" s="178" t="str">
        <x:f>IF(J175="","",J175*(1+IF(K175="",0,K175)) )</x:f>
      </x:c>
      <x:c r="M175" s="138" t="str"/>
      <x:c r="N175" s="137" t="str">
        <x:v>Current model BOM seed</x:v>
      </x:c>
      <x:c r="O175" s="137" t="str"/>
      <x:c r="P175" s="137" t="str">
        <x:v>To Confirm</x:v>
      </x:c>
      <x:c r="Q175" s="137" t="str"/>
    </x:row>
    <x:row r="176">
      <x:c r="A176" s="137" t="str">
        <x:v>BOM-00172</x:v>
      </x:c>
      <x:c r="B176" s="137" t="str">
        <x:v>REX GOLA (V)</x:v>
      </x:c>
      <x:c r="C176" s="137" t="str">
        <x:v>VELCRO</x:v>
      </x:c>
      <x:c r="D176" s="137" t="str">
        <x:v>11X13</x:v>
      </x:c>
      <x:c r="E176" s="137" t="str">
        <x:v>STITCHING</x:v>
      </x:c>
      <x:c r="F176" s="137" t="str">
        <x:v>Nylon Thread 3 Ply||CONE</x:v>
      </x:c>
      <x:c r="G176" s="137" t="str">
        <x:v>Nylon Thread 3 Ply</x:v>
      </x:c>
      <x:c r="H176" s="137" t="str">
        <x:v>CONE</x:v>
      </x:c>
      <x:c r="I176" s="175" t="n">
        <x:v>0.031</x:v>
      </x:c>
      <x:c r="J176" s="176" t="str"/>
      <x:c r="K176" s="177" t="str"/>
      <x:c r="L176" s="178" t="str">
        <x:f>IF(J176="","",J176*(1+IF(K176="",0,K176)) )</x:f>
      </x:c>
      <x:c r="M176" s="138" t="str"/>
      <x:c r="N176" s="137" t="str">
        <x:v>Current model BOM seed</x:v>
      </x:c>
      <x:c r="O176" s="137" t="str"/>
      <x:c r="P176" s="137" t="str">
        <x:v>To Confirm</x:v>
      </x:c>
      <x:c r="Q176" s="137" t="str"/>
    </x:row>
    <x:row r="177">
      <x:c r="A177" s="137" t="str">
        <x:v>BOM-00173</x:v>
      </x:c>
      <x:c r="B177" s="137" t="str">
        <x:v>REX GOLA (V)</x:v>
      </x:c>
      <x:c r="C177" s="137" t="str">
        <x:v>VELCRO</x:v>
      </x:c>
      <x:c r="D177" s="137" t="str">
        <x:v>11X13</x:v>
      </x:c>
      <x:c r="E177" s="137" t="str">
        <x:v>STITCHING</x:v>
      </x:c>
      <x:c r="F177" s="137" t="str">
        <x:v>Polister Binding 12mm||MTR</x:v>
      </x:c>
      <x:c r="G177" s="137" t="str">
        <x:v>Polister Binding 12mm</x:v>
      </x:c>
      <x:c r="H177" s="137" t="str">
        <x:v>MTR</x:v>
      </x:c>
      <x:c r="I177" s="175" t="n">
        <x:v>0.36</x:v>
      </x:c>
      <x:c r="J177" s="176" t="str"/>
      <x:c r="K177" s="177" t="str"/>
      <x:c r="L177" s="178" t="str">
        <x:f>IF(J177="","",J177*(1+IF(K177="",0,K177)) )</x:f>
      </x:c>
      <x:c r="M177" s="138" t="str"/>
      <x:c r="N177" s="137" t="str">
        <x:v>Current model BOM seed</x:v>
      </x:c>
      <x:c r="O177" s="137" t="str"/>
      <x:c r="P177" s="137" t="str">
        <x:v>To Confirm</x:v>
      </x:c>
      <x:c r="Q177" s="137" t="str"/>
    </x:row>
    <x:row r="178">
      <x:c r="A178" s="137" t="str">
        <x:v>BOM-00174</x:v>
      </x:c>
      <x:c r="B178" s="137" t="str">
        <x:v>REX GOLA (V)</x:v>
      </x:c>
      <x:c r="C178" s="137" t="str">
        <x:v>VELCRO</x:v>
      </x:c>
      <x:c r="D178" s="137" t="str">
        <x:v>11X13</x:v>
      </x:c>
      <x:c r="E178" s="137" t="str">
        <x:v>STITCHING</x:v>
      </x:c>
      <x:c r="F178" s="137" t="str">
        <x:v>Lebel Gola||MTR</x:v>
      </x:c>
      <x:c r="G178" s="137" t="str">
        <x:v>Lebel Gola</x:v>
      </x:c>
      <x:c r="H178" s="137" t="str">
        <x:v>MTR</x:v>
      </x:c>
      <x:c r="I178" s="175" t="n">
        <x:v>2</x:v>
      </x:c>
      <x:c r="J178" s="176" t="str"/>
      <x:c r="K178" s="177" t="str"/>
      <x:c r="L178" s="178" t="str">
        <x:f>IF(J178="","",J178*(1+IF(K178="",0,K178)) )</x:f>
      </x:c>
      <x:c r="M178" s="138" t="str"/>
      <x:c r="N178" s="137" t="str">
        <x:v>Current model BOM seed</x:v>
      </x:c>
      <x:c r="O178" s="137" t="str"/>
      <x:c r="P178" s="137" t="str">
        <x:v>To Confirm</x:v>
      </x:c>
      <x:c r="Q178" s="137" t="str"/>
    </x:row>
    <x:row r="179">
      <x:c r="A179" s="137" t="str">
        <x:v>BOM-00175</x:v>
      </x:c>
      <x:c r="B179" s="137" t="str">
        <x:v>REX GOLA (V)</x:v>
      </x:c>
      <x:c r="C179" s="137" t="str">
        <x:v>VELCRO</x:v>
      </x:c>
      <x:c r="D179" s="137" t="str">
        <x:v>11X13</x:v>
      </x:c>
      <x:c r="E179" s="137" t="str">
        <x:v>STITCHING</x:v>
      </x:c>
      <x:c r="F179" s="137" t="str">
        <x:v>Velcro 20mm Hook||MTR</x:v>
      </x:c>
      <x:c r="G179" s="137" t="str">
        <x:v>Velcro 20mm Hook</x:v>
      </x:c>
      <x:c r="H179" s="137" t="str">
        <x:v>MTR</x:v>
      </x:c>
      <x:c r="I179" s="175" t="n">
        <x:v>0.32</x:v>
      </x:c>
      <x:c r="J179" s="176" t="str"/>
      <x:c r="K179" s="177" t="str"/>
      <x:c r="L179" s="178" t="str">
        <x:f>IF(J179="","",J179*(1+IF(K179="",0,K179)) )</x:f>
      </x:c>
      <x:c r="M179" s="138" t="str"/>
      <x:c r="N179" s="137" t="str">
        <x:v>Current model BOM seed</x:v>
      </x:c>
      <x:c r="O179" s="137" t="str"/>
      <x:c r="P179" s="137" t="str">
        <x:v>To Confirm</x:v>
      </x:c>
      <x:c r="Q179" s="137" t="str"/>
    </x:row>
    <x:row r="180">
      <x:c r="A180" s="137" t="str">
        <x:v>BOM-00176</x:v>
      </x:c>
      <x:c r="B180" s="137" t="str">
        <x:v>REX GOLA (V)</x:v>
      </x:c>
      <x:c r="C180" s="137" t="str">
        <x:v>VELCRO</x:v>
      </x:c>
      <x:c r="D180" s="137" t="str">
        <x:v>11X13</x:v>
      </x:c>
      <x:c r="E180" s="137" t="str">
        <x:v>STITCHING</x:v>
      </x:c>
      <x:c r="F180" s="137" t="str">
        <x:v>Velcro 20mm Loop||MTR</x:v>
      </x:c>
      <x:c r="G180" s="137" t="str">
        <x:v>Velcro 20mm Loop</x:v>
      </x:c>
      <x:c r="H180" s="137" t="str">
        <x:v>MTR</x:v>
      </x:c>
      <x:c r="I180" s="175" t="n">
        <x:v>0.32</x:v>
      </x:c>
      <x:c r="J180" s="176" t="str"/>
      <x:c r="K180" s="177" t="str"/>
      <x:c r="L180" s="178" t="str">
        <x:f>IF(J180="","",J180*(1+IF(K180="",0,K180)) )</x:f>
      </x:c>
      <x:c r="M180" s="138" t="str"/>
      <x:c r="N180" s="137" t="str">
        <x:v>Current model BOM seed</x:v>
      </x:c>
      <x:c r="O180" s="137" t="str"/>
      <x:c r="P180" s="137" t="str">
        <x:v>To Confirm</x:v>
      </x:c>
      <x:c r="Q180" s="137" t="str"/>
    </x:row>
    <x:row r="181">
      <x:c r="A181" s="137" t="str">
        <x:v>BOM-00177</x:v>
      </x:c>
      <x:c r="B181" s="137" t="str">
        <x:v>REX GOLA (V)</x:v>
      </x:c>
      <x:c r="C181" s="137" t="str">
        <x:v>VELCRO</x:v>
      </x:c>
      <x:c r="D181" s="137" t="str">
        <x:v>11X13</x:v>
      </x:c>
      <x:c r="E181" s="137" t="str">
        <x:v>STITCHING</x:v>
      </x:c>
      <x:c r="F181" s="137" t="str">
        <x:v>Buckle PF-48||PCS</x:v>
      </x:c>
      <x:c r="G181" s="137" t="str">
        <x:v>Buckle PF-48</x:v>
      </x:c>
      <x:c r="H181" s="137" t="str">
        <x:v>PCS</x:v>
      </x:c>
      <x:c r="I181" s="175" t="n">
        <x:v>4</x:v>
      </x:c>
      <x:c r="J181" s="176" t="str"/>
      <x:c r="K181" s="177" t="str"/>
      <x:c r="L181" s="178" t="str">
        <x:f>IF(J181="","",J181*(1+IF(K181="",0,K181)) )</x:f>
      </x:c>
      <x:c r="M181" s="138" t="str"/>
      <x:c r="N181" s="137" t="str">
        <x:v>Current model BOM seed</x:v>
      </x:c>
      <x:c r="O181" s="137" t="str"/>
      <x:c r="P181" s="137" t="str">
        <x:v>To Confirm</x:v>
      </x:c>
      <x:c r="Q181" s="137" t="str"/>
    </x:row>
    <x:row r="182">
      <x:c r="A182" s="137" t="str">
        <x:v>BOM-00178</x:v>
      </x:c>
      <x:c r="B182" s="137" t="str">
        <x:v>REX GOLA (V)</x:v>
      </x:c>
      <x:c r="C182" s="137" t="str">
        <x:v>VELCRO</x:v>
      </x:c>
      <x:c r="D182" s="137" t="str">
        <x:v>11X13</x:v>
      </x:c>
      <x:c r="E182" s="137" t="str">
        <x:v>STITCHING</x:v>
      </x:c>
      <x:c r="F182" s="137" t="str">
        <x:v>PP Bag 18.5x31||PCS</x:v>
      </x:c>
      <x:c r="G182" s="137" t="str">
        <x:v>PP Bag 18.5x31</x:v>
      </x:c>
      <x:c r="H182" s="137" t="str">
        <x:v>PCS</x:v>
      </x:c>
      <x:c r="I182" s="175" t="n">
        <x:v>0.066667</x:v>
      </x:c>
      <x:c r="J182" s="176" t="str"/>
      <x:c r="K182" s="177" t="str"/>
      <x:c r="L182" s="178" t="str">
        <x:f>IF(J182="","",J182*(1+IF(K182="",0,K182)) )</x:f>
      </x:c>
      <x:c r="M182" s="138" t="str"/>
      <x:c r="N182" s="137" t="str">
        <x:v>Current model BOM seed</x:v>
      </x:c>
      <x:c r="O182" s="137" t="str"/>
      <x:c r="P182" s="137" t="str">
        <x:v>To Confirm</x:v>
      </x:c>
      <x:c r="Q182" s="137" t="str"/>
    </x:row>
    <x:row r="183">
      <x:c r="A183" s="137" t="str">
        <x:v>BOM-00179</x:v>
      </x:c>
      <x:c r="B183" s="137" t="str">
        <x:v>REX GOLA (V)</x:v>
      </x:c>
      <x:c r="C183" s="137" t="str">
        <x:v>VELCRO</x:v>
      </x:c>
      <x:c r="D183" s="137" t="str">
        <x:v>1X3</x:v>
      </x:c>
      <x:c r="E183" s="137" t="str">
        <x:v>CUTTING</x:v>
      </x:c>
      <x:c r="F183" s="137" t="str">
        <x:v>REXION 1.5MM FRENZY (HEAVY)||MTR</x:v>
      </x:c>
      <x:c r="G183" s="137" t="str">
        <x:v>REXION 1.5MM FRENZY (HEAVY)</x:v>
      </x:c>
      <x:c r="H183" s="137" t="str">
        <x:v>MTR</x:v>
      </x:c>
      <x:c r="I183" s="175" t="n">
        <x:v>0.072593</x:v>
      </x:c>
      <x:c r="J183" s="176" t="str"/>
      <x:c r="K183" s="177" t="str"/>
      <x:c r="L183" s="178" t="str">
        <x:f>IF(J183="","",J183*(1+IF(K183="",0,K183)) )</x:f>
      </x:c>
      <x:c r="M183" s="138" t="str"/>
      <x:c r="N183" s="137" t="str">
        <x:v>Current model BOM seed</x:v>
      </x:c>
      <x:c r="O183" s="137" t="str"/>
      <x:c r="P183" s="137" t="str">
        <x:v>To Confirm</x:v>
      </x:c>
      <x:c r="Q183" s="137" t="str"/>
    </x:row>
    <x:row r="184">
      <x:c r="A184" s="137" t="str">
        <x:v>BOM-00180</x:v>
      </x:c>
      <x:c r="B184" s="137" t="str">
        <x:v>REX GOLA (V)</x:v>
      </x:c>
      <x:c r="C184" s="137" t="str">
        <x:v>VELCRO</x:v>
      </x:c>
      <x:c r="D184" s="137" t="str">
        <x:v>1X3</x:v>
      </x:c>
      <x:c r="E184" s="137" t="str">
        <x:v>CUTTING</x:v>
      </x:c>
      <x:c r="F184" s="137" t="str">
        <x:v>REXION 1.5MM FRENZY (LIGHT)||MTR</x:v>
      </x:c>
      <x:c r="G184" s="137" t="str">
        <x:v>REXION 1.5MM FRENZY (LIGHT)</x:v>
      </x:c>
      <x:c r="H184" s="137" t="str">
        <x:v>MTR</x:v>
      </x:c>
      <x:c r="I184" s="175" t="n">
        <x:v>0.066667</x:v>
      </x:c>
      <x:c r="J184" s="176" t="str"/>
      <x:c r="K184" s="177" t="str"/>
      <x:c r="L184" s="178" t="str">
        <x:f>IF(J184="","",J184*(1+IF(K184="",0,K184)) )</x:f>
      </x:c>
      <x:c r="M184" s="138" t="str"/>
      <x:c r="N184" s="137" t="str">
        <x:v>Current model BOM seed</x:v>
      </x:c>
      <x:c r="O184" s="137" t="str"/>
      <x:c r="P184" s="137" t="str">
        <x:v>To Confirm</x:v>
      </x:c>
      <x:c r="Q184" s="137" t="str"/>
    </x:row>
    <x:row r="185">
      <x:c r="A185" s="137" t="str">
        <x:v>BOM-00181</x:v>
      </x:c>
      <x:c r="B185" s="137" t="str">
        <x:v>REX GOLA (V)</x:v>
      </x:c>
      <x:c r="C185" s="137" t="str">
        <x:v>VELCRO</x:v>
      </x:c>
      <x:c r="D185" s="137" t="str">
        <x:v>1X3</x:v>
      </x:c>
      <x:c r="E185" s="137" t="str">
        <x:v>CUTTING</x:v>
      </x:c>
      <x:c r="F185" s="137" t="str">
        <x:v>REXION 1.5MM FOR INTOE||MTR</x:v>
      </x:c>
      <x:c r="G185" s="137" t="str">
        <x:v>REXION 1.5MM FOR INTOE</x:v>
      </x:c>
      <x:c r="H185" s="137" t="str">
        <x:v>MTR</x:v>
      </x:c>
      <x:c r="I185" s="175" t="n">
        <x:v>0.016667</x:v>
      </x:c>
      <x:c r="J185" s="176" t="str"/>
      <x:c r="K185" s="177" t="str"/>
      <x:c r="L185" s="178" t="str">
        <x:f>IF(J185="","",J185*(1+IF(K185="",0,K185)) )</x:f>
      </x:c>
      <x:c r="M185" s="138" t="str"/>
      <x:c r="N185" s="137" t="str">
        <x:v>Current model BOM seed</x:v>
      </x:c>
      <x:c r="O185" s="137" t="str"/>
      <x:c r="P185" s="137" t="str">
        <x:v>To Confirm</x:v>
      </x:c>
      <x:c r="Q185" s="137" t="str"/>
    </x:row>
    <x:row r="186">
      <x:c r="A186" s="137" t="str">
        <x:v>BOM-00182</x:v>
      </x:c>
      <x:c r="B186" s="137" t="str">
        <x:v>REX GOLA (V)</x:v>
      </x:c>
      <x:c r="C186" s="137" t="str">
        <x:v>VELCRO</x:v>
      </x:c>
      <x:c r="D186" s="137" t="str">
        <x:v>1X3</x:v>
      </x:c>
      <x:c r="E186" s="137" t="str">
        <x:v>CUTTING</x:v>
      </x:c>
      <x:c r="F186" s="137" t="str">
        <x:v>REXION 0.8MM FOR EYELET PATTI||MTR</x:v>
      </x:c>
      <x:c r="G186" s="137" t="str">
        <x:v>REXION 0.8MM FOR EYELET PATTI</x:v>
      </x:c>
      <x:c r="H186" s="137" t="str">
        <x:v>MTR</x:v>
      </x:c>
      <x:c r="I186" s="175" t="n">
        <x:v>0.011481</x:v>
      </x:c>
      <x:c r="J186" s="176" t="str"/>
      <x:c r="K186" s="177" t="str"/>
      <x:c r="L186" s="178" t="str">
        <x:f>IF(J186="","",J186*(1+IF(K186="",0,K186)) )</x:f>
      </x:c>
      <x:c r="M186" s="138" t="str"/>
      <x:c r="N186" s="137" t="str">
        <x:v>Current model BOM seed</x:v>
      </x:c>
      <x:c r="O186" s="137" t="str"/>
      <x:c r="P186" s="137" t="str">
        <x:v>To Confirm</x:v>
      </x:c>
      <x:c r="Q186" s="137" t="str"/>
    </x:row>
    <x:row r="187">
      <x:c r="A187" s="137" t="str">
        <x:v>BOM-00183</x:v>
      </x:c>
      <x:c r="B187" s="137" t="str">
        <x:v>REX GOLA (V)</x:v>
      </x:c>
      <x:c r="C187" s="137" t="str">
        <x:v>VELCRO</x:v>
      </x:c>
      <x:c r="D187" s="137" t="str">
        <x:v>1X3</x:v>
      </x:c>
      <x:c r="E187" s="137" t="str">
        <x:v>CUTTING</x:v>
      </x:c>
      <x:c r="F187" s="137" t="str">
        <x:v>STIFFNER 1.4 MM||SHEET</x:v>
      </x:c>
      <x:c r="G187" s="137" t="str">
        <x:v>STIFFNER 1.4 MM</x:v>
      </x:c>
      <x:c r="H187" s="137" t="str">
        <x:v>SHEET</x:v>
      </x:c>
      <x:c r="I187" s="175" t="n">
        <x:v>0.013867</x:v>
      </x:c>
      <x:c r="J187" s="176" t="str"/>
      <x:c r="K187" s="177" t="str"/>
      <x:c r="L187" s="178" t="str">
        <x:f>IF(J187="","",J187*(1+IF(K187="",0,K187)) )</x:f>
      </x:c>
      <x:c r="M187" s="138" t="str"/>
      <x:c r="N187" s="137" t="str">
        <x:v>Current model BOM seed</x:v>
      </x:c>
      <x:c r="O187" s="137" t="str"/>
      <x:c r="P187" s="137" t="str">
        <x:v>To Confirm</x:v>
      </x:c>
      <x:c r="Q187" s="137" t="str"/>
    </x:row>
    <x:row r="188">
      <x:c r="A188" s="137" t="str">
        <x:v>BOM-00184</x:v>
      </x:c>
      <x:c r="B188" s="137" t="str">
        <x:v>REX GOLA (V)</x:v>
      </x:c>
      <x:c r="C188" s="137" t="str">
        <x:v>VELCRO</x:v>
      </x:c>
      <x:c r="D188" s="137" t="str">
        <x:v>1X3</x:v>
      </x:c>
      <x:c r="E188" s="137" t="str">
        <x:v>CUTTING</x:v>
      </x:c>
      <x:c r="F188" s="137" t="str">
        <x:v>SKIN FIT 5 MM||MTR</x:v>
      </x:c>
      <x:c r="G188" s="137" t="str">
        <x:v>SKIN FIT 5 MM</x:v>
      </x:c>
      <x:c r="H188" s="137" t="str">
        <x:v>MTR</x:v>
      </x:c>
      <x:c r="I188" s="175" t="n">
        <x:v>0.076933</x:v>
      </x:c>
      <x:c r="J188" s="176" t="str"/>
      <x:c r="K188" s="177" t="str"/>
      <x:c r="L188" s="178" t="str">
        <x:f>IF(J188="","",J188*(1+IF(K188="",0,K188)) )</x:f>
      </x:c>
      <x:c r="M188" s="138" t="str"/>
      <x:c r="N188" s="137" t="str">
        <x:v>Current model BOM seed</x:v>
      </x:c>
      <x:c r="O188" s="137" t="str"/>
      <x:c r="P188" s="137" t="str">
        <x:v>To Confirm</x:v>
      </x:c>
      <x:c r="Q188" s="137" t="str"/>
    </x:row>
    <x:row r="189">
      <x:c r="A189" s="137" t="str">
        <x:v>BOM-00185</x:v>
      </x:c>
      <x:c r="B189" s="137" t="str">
        <x:v>REX GOLA (V)</x:v>
      </x:c>
      <x:c r="C189" s="137" t="str">
        <x:v>VELCRO</x:v>
      </x:c>
      <x:c r="D189" s="137" t="str">
        <x:v>1X3</x:v>
      </x:c>
      <x:c r="E189" s="137" t="str">
        <x:v>CUTTING</x:v>
      </x:c>
      <x:c r="F189" s="137" t="str">
        <x:v>FOAM 10 MM||SHEET</x:v>
      </x:c>
      <x:c r="G189" s="137" t="str">
        <x:v>FOAM 10 MM</x:v>
      </x:c>
      <x:c r="H189" s="137" t="str">
        <x:v>SHEET</x:v>
      </x:c>
      <x:c r="I189" s="175" t="n">
        <x:v>0.018533</x:v>
      </x:c>
      <x:c r="J189" s="176" t="str"/>
      <x:c r="K189" s="177" t="str"/>
      <x:c r="L189" s="178" t="str">
        <x:f>IF(J189="","",J189*(1+IF(K189="",0,K189)) )</x:f>
      </x:c>
      <x:c r="M189" s="138" t="str"/>
      <x:c r="N189" s="137" t="str">
        <x:v>Current model BOM seed</x:v>
      </x:c>
      <x:c r="O189" s="137" t="str"/>
      <x:c r="P189" s="137" t="str">
        <x:v>To Confirm</x:v>
      </x:c>
      <x:c r="Q189" s="137" t="str"/>
    </x:row>
    <x:row r="190">
      <x:c r="A190" s="137" t="str">
        <x:v>BOM-00186</x:v>
      </x:c>
      <x:c r="B190" s="137" t="str">
        <x:v>REX GOLA (V)</x:v>
      </x:c>
      <x:c r="C190" s="137" t="str">
        <x:v>VELCRO</x:v>
      </x:c>
      <x:c r="D190" s="137" t="str">
        <x:v>1X3</x:v>
      </x:c>
      <x:c r="E190" s="137" t="str">
        <x:v>CUTTING</x:v>
      </x:c>
      <x:c r="F190" s="137" t="str">
        <x:v>FOAM 20 MM||SHEET</x:v>
      </x:c>
      <x:c r="G190" s="137" t="str">
        <x:v>FOAM 20 MM</x:v>
      </x:c>
      <x:c r="H190" s="137" t="str">
        <x:v>SHEET</x:v>
      </x:c>
      <x:c r="I190" s="175" t="n">
        <x:v>0.013133</x:v>
      </x:c>
      <x:c r="J190" s="176" t="str"/>
      <x:c r="K190" s="177" t="str"/>
      <x:c r="L190" s="178" t="str">
        <x:f>IF(J190="","",J190*(1+IF(K190="",0,K190)) )</x:f>
      </x:c>
      <x:c r="M190" s="138" t="str"/>
      <x:c r="N190" s="137" t="str">
        <x:v>Current model BOM seed</x:v>
      </x:c>
      <x:c r="O190" s="137" t="str"/>
      <x:c r="P190" s="137" t="str">
        <x:v>To Confirm</x:v>
      </x:c>
      <x:c r="Q190" s="137" t="str"/>
    </x:row>
    <x:row r="191">
      <x:c r="A191" s="137" t="str">
        <x:v>BOM-00187</x:v>
      </x:c>
      <x:c r="B191" s="137" t="str">
        <x:v>REX GOLA (V)</x:v>
      </x:c>
      <x:c r="C191" s="137" t="str">
        <x:v>VELCRO</x:v>
      </x:c>
      <x:c r="D191" s="137" t="str">
        <x:v>1X3</x:v>
      </x:c>
      <x:c r="E191" s="137" t="str">
        <x:v>CUTTING</x:v>
      </x:c>
      <x:c r="F191" s="137" t="str">
        <x:v>ASTAR 3 MM light||MTR</x:v>
      </x:c>
      <x:c r="G191" s="137" t="str">
        <x:v>ASTAR 3 MM light</x:v>
      </x:c>
      <x:c r="H191" s="137" t="str">
        <x:v>MTR</x:v>
      </x:c>
      <x:c r="I191" s="175" t="n">
        <x:v>0.011133</x:v>
      </x:c>
      <x:c r="J191" s="176" t="str"/>
      <x:c r="K191" s="177" t="str"/>
      <x:c r="L191" s="178" t="str">
        <x:f>IF(J191="","",J191*(1+IF(K191="",0,K191)) )</x:f>
      </x:c>
      <x:c r="M191" s="138" t="str"/>
      <x:c r="N191" s="137" t="str">
        <x:v>Current model BOM seed</x:v>
      </x:c>
      <x:c r="O191" s="137" t="str"/>
      <x:c r="P191" s="137" t="str">
        <x:v>To Confirm</x:v>
      </x:c>
      <x:c r="Q191" s="137" t="str"/>
    </x:row>
    <x:row r="192">
      <x:c r="A192" s="137" t="str">
        <x:v>BOM-00188</x:v>
      </x:c>
      <x:c r="B192" s="137" t="str">
        <x:v>REX GOLA (V)</x:v>
      </x:c>
      <x:c r="C192" s="137" t="str">
        <x:v>VELCRO</x:v>
      </x:c>
      <x:c r="D192" s="137" t="str">
        <x:v>1X3</x:v>
      </x:c>
      <x:c r="E192" s="137" t="str">
        <x:v>CUTTING</x:v>
      </x:c>
      <x:c r="F192" s="137" t="str">
        <x:v>ASTAR 3 MM Heavy||MTR</x:v>
      </x:c>
      <x:c r="G192" s="137" t="str">
        <x:v>ASTAR 3 MM Heavy</x:v>
      </x:c>
      <x:c r="H192" s="137" t="str">
        <x:v>MTR</x:v>
      </x:c>
      <x:c r="I192" s="175" t="n">
        <x:v>0.026333</x:v>
      </x:c>
      <x:c r="J192" s="176" t="str"/>
      <x:c r="K192" s="177" t="str"/>
      <x:c r="L192" s="178" t="str">
        <x:f>IF(J192="","",J192*(1+IF(K192="",0,K192)) )</x:f>
      </x:c>
      <x:c r="M192" s="138" t="str"/>
      <x:c r="N192" s="137" t="str">
        <x:v>Current model BOM seed</x:v>
      </x:c>
      <x:c r="O192" s="137" t="str"/>
      <x:c r="P192" s="137" t="str">
        <x:v>To Confirm</x:v>
      </x:c>
      <x:c r="Q192" s="137" t="str"/>
    </x:row>
    <x:row r="193">
      <x:c r="A193" s="137" t="str">
        <x:v>BOM-00189</x:v>
      </x:c>
      <x:c r="B193" s="137" t="str">
        <x:v>REX GOLA (V)</x:v>
      </x:c>
      <x:c r="C193" s="137" t="str">
        <x:v>VELCRO</x:v>
      </x:c>
      <x:c r="D193" s="137" t="str">
        <x:v>1X3</x:v>
      </x:c>
      <x:c r="E193" s="137" t="str">
        <x:v>CUTTING</x:v>
      </x:c>
      <x:c r="F193" s="137" t="str">
        <x:v>INSOLE 4 MM||MTR</x:v>
      </x:c>
      <x:c r="G193" s="137" t="str">
        <x:v>INSOLE 4 MM</x:v>
      </x:c>
      <x:c r="H193" s="137" t="str">
        <x:v>MTR</x:v>
      </x:c>
      <x:c r="I193" s="175" t="n">
        <x:v>0.02269</x:v>
      </x:c>
      <x:c r="J193" s="176" t="str"/>
      <x:c r="K193" s="177" t="str"/>
      <x:c r="L193" s="178" t="str">
        <x:f>IF(J193="","",J193*(1+IF(K193="",0,K193)) )</x:f>
      </x:c>
      <x:c r="M193" s="138" t="str"/>
      <x:c r="N193" s="137" t="str">
        <x:v>Current model BOM seed</x:v>
      </x:c>
      <x:c r="O193" s="137" t="str"/>
      <x:c r="P193" s="137" t="str">
        <x:v>To Confirm</x:v>
      </x:c>
      <x:c r="Q193" s="137" t="str"/>
    </x:row>
    <x:row r="194">
      <x:c r="A194" s="137" t="str">
        <x:v>BOM-00190</x:v>
      </x:c>
      <x:c r="B194" s="137" t="str">
        <x:v>REX GOLA (V)</x:v>
      </x:c>
      <x:c r="C194" s="137" t="str">
        <x:v>VELCRO</x:v>
      </x:c>
      <x:c r="D194" s="137" t="str">
        <x:v>1X3</x:v>
      </x:c>
      <x:c r="E194" s="137" t="str">
        <x:v>CUTTING</x:v>
      </x:c>
      <x:c r="F194" s="137" t="str">
        <x:v>R.||MTR</x:v>
      </x:c>
      <x:c r="G194" s="137" t="str">
        <x:v>R.</x:v>
      </x:c>
      <x:c r="H194" s="137" t="str">
        <x:v>MTR</x:v>
      </x:c>
      <x:c r="I194" s="175" t="n">
        <x:v>0.030296</x:v>
      </x:c>
      <x:c r="J194" s="176" t="str"/>
      <x:c r="K194" s="177" t="str"/>
      <x:c r="L194" s="178" t="str">
        <x:f>IF(J194="","",J194*(1+IF(K194="",0,K194)) )</x:f>
      </x:c>
      <x:c r="M194" s="138" t="str"/>
      <x:c r="N194" s="137" t="str">
        <x:v>Current model BOM seed</x:v>
      </x:c>
      <x:c r="O194" s="137" t="str"/>
      <x:c r="P194" s="137" t="str">
        <x:v>To Confirm</x:v>
      </x:c>
      <x:c r="Q194" s="137" t="str"/>
    </x:row>
    <x:row r="195">
      <x:c r="A195" s="137" t="str">
        <x:v>BOM-00191</x:v>
      </x:c>
      <x:c r="B195" s="137" t="str">
        <x:v>REX GOLA (V)</x:v>
      </x:c>
      <x:c r="C195" s="137" t="str">
        <x:v>VELCRO</x:v>
      </x:c>
      <x:c r="D195" s="137" t="str">
        <x:v>1X3</x:v>
      </x:c>
      <x:c r="E195" s="137" t="str">
        <x:v>STITCHING</x:v>
      </x:c>
      <x:c r="F195" s="137" t="str">
        <x:v>Nylon Thread 3 Ply||CONE</x:v>
      </x:c>
      <x:c r="G195" s="137" t="str">
        <x:v>Nylon Thread 3 Ply</x:v>
      </x:c>
      <x:c r="H195" s="137" t="str">
        <x:v>CONE</x:v>
      </x:c>
      <x:c r="I195" s="175" t="n">
        <x:v>0.033667</x:v>
      </x:c>
      <x:c r="J195" s="176" t="str"/>
      <x:c r="K195" s="177" t="str"/>
      <x:c r="L195" s="178" t="str">
        <x:f>IF(J195="","",J195*(1+IF(K195="",0,K195)) )</x:f>
      </x:c>
      <x:c r="M195" s="138" t="str"/>
      <x:c r="N195" s="137" t="str">
        <x:v>Current model BOM seed</x:v>
      </x:c>
      <x:c r="O195" s="137" t="str"/>
      <x:c r="P195" s="137" t="str">
        <x:v>To Confirm</x:v>
      </x:c>
      <x:c r="Q195" s="137" t="str"/>
    </x:row>
    <x:row r="196">
      <x:c r="A196" s="137" t="str">
        <x:v>BOM-00192</x:v>
      </x:c>
      <x:c r="B196" s="137" t="str">
        <x:v>REX GOLA (V)</x:v>
      </x:c>
      <x:c r="C196" s="137" t="str">
        <x:v>VELCRO</x:v>
      </x:c>
      <x:c r="D196" s="137" t="str">
        <x:v>1X3</x:v>
      </x:c>
      <x:c r="E196" s="137" t="str">
        <x:v>STITCHING</x:v>
      </x:c>
      <x:c r="F196" s="137" t="str">
        <x:v>Polister Binding 12mm||MTR</x:v>
      </x:c>
      <x:c r="G196" s="137" t="str">
        <x:v>Polister Binding 12mm</x:v>
      </x:c>
      <x:c r="H196" s="137" t="str">
        <x:v>MTR</x:v>
      </x:c>
      <x:c r="I196" s="175" t="n">
        <x:v>0.38</x:v>
      </x:c>
      <x:c r="J196" s="176" t="str"/>
      <x:c r="K196" s="177" t="str"/>
      <x:c r="L196" s="178" t="str">
        <x:f>IF(J196="","",J196*(1+IF(K196="",0,K196)) )</x:f>
      </x:c>
      <x:c r="M196" s="138" t="str"/>
      <x:c r="N196" s="137" t="str">
        <x:v>Current model BOM seed</x:v>
      </x:c>
      <x:c r="O196" s="137" t="str"/>
      <x:c r="P196" s="137" t="str">
        <x:v>To Confirm</x:v>
      </x:c>
      <x:c r="Q196" s="137" t="str"/>
    </x:row>
    <x:row r="197">
      <x:c r="A197" s="137" t="str">
        <x:v>BOM-00193</x:v>
      </x:c>
      <x:c r="B197" s="137" t="str">
        <x:v>REX GOLA (V)</x:v>
      </x:c>
      <x:c r="C197" s="137" t="str">
        <x:v>VELCRO</x:v>
      </x:c>
      <x:c r="D197" s="137" t="str">
        <x:v>1X3</x:v>
      </x:c>
      <x:c r="E197" s="137" t="str">
        <x:v>STITCHING</x:v>
      </x:c>
      <x:c r="F197" s="137" t="str">
        <x:v>Lebel Gola||MTR</x:v>
      </x:c>
      <x:c r="G197" s="137" t="str">
        <x:v>Lebel Gola</x:v>
      </x:c>
      <x:c r="H197" s="137" t="str">
        <x:v>MTR</x:v>
      </x:c>
      <x:c r="I197" s="175" t="n">
        <x:v>2</x:v>
      </x:c>
      <x:c r="J197" s="176" t="str"/>
      <x:c r="K197" s="177" t="str"/>
      <x:c r="L197" s="178" t="str">
        <x:f>IF(J197="","",J197*(1+IF(K197="",0,K197)) )</x:f>
      </x:c>
      <x:c r="M197" s="138" t="str"/>
      <x:c r="N197" s="137" t="str">
        <x:v>Current model BOM seed</x:v>
      </x:c>
      <x:c r="O197" s="137" t="str"/>
      <x:c r="P197" s="137" t="str">
        <x:v>To Confirm</x:v>
      </x:c>
      <x:c r="Q197" s="137" t="str"/>
    </x:row>
    <x:row r="198">
      <x:c r="A198" s="137" t="str">
        <x:v>BOM-00194</x:v>
      </x:c>
      <x:c r="B198" s="137" t="str">
        <x:v>REX GOLA (V)</x:v>
      </x:c>
      <x:c r="C198" s="137" t="str">
        <x:v>VELCRO</x:v>
      </x:c>
      <x:c r="D198" s="137" t="str">
        <x:v>1X3</x:v>
      </x:c>
      <x:c r="E198" s="137" t="str">
        <x:v>STITCHING</x:v>
      </x:c>
      <x:c r="F198" s="137" t="str">
        <x:v>Velcro 20mm Hook||MTR</x:v>
      </x:c>
      <x:c r="G198" s="137" t="str">
        <x:v>Velcro 20mm Hook</x:v>
      </x:c>
      <x:c r="H198" s="137" t="str">
        <x:v>MTR</x:v>
      </x:c>
      <x:c r="I198" s="175" t="n">
        <x:v>0.35</x:v>
      </x:c>
      <x:c r="J198" s="176" t="str"/>
      <x:c r="K198" s="177" t="str"/>
      <x:c r="L198" s="178" t="str">
        <x:f>IF(J198="","",J198*(1+IF(K198="",0,K198)) )</x:f>
      </x:c>
      <x:c r="M198" s="138" t="str"/>
      <x:c r="N198" s="137" t="str">
        <x:v>Current model BOM seed</x:v>
      </x:c>
      <x:c r="O198" s="137" t="str"/>
      <x:c r="P198" s="137" t="str">
        <x:v>To Confirm</x:v>
      </x:c>
      <x:c r="Q198" s="137" t="str"/>
    </x:row>
    <x:row r="199">
      <x:c r="A199" s="137" t="str">
        <x:v>BOM-00195</x:v>
      </x:c>
      <x:c r="B199" s="137" t="str">
        <x:v>REX GOLA (V)</x:v>
      </x:c>
      <x:c r="C199" s="137" t="str">
        <x:v>VELCRO</x:v>
      </x:c>
      <x:c r="D199" s="137" t="str">
        <x:v>1X3</x:v>
      </x:c>
      <x:c r="E199" s="137" t="str">
        <x:v>STITCHING</x:v>
      </x:c>
      <x:c r="F199" s="137" t="str">
        <x:v>Velcro 20mm Loop||MTR</x:v>
      </x:c>
      <x:c r="G199" s="137" t="str">
        <x:v>Velcro 20mm Loop</x:v>
      </x:c>
      <x:c r="H199" s="137" t="str">
        <x:v>MTR</x:v>
      </x:c>
      <x:c r="I199" s="175" t="n">
        <x:v>0.35</x:v>
      </x:c>
      <x:c r="J199" s="176" t="str"/>
      <x:c r="K199" s="177" t="str"/>
      <x:c r="L199" s="178" t="str">
        <x:f>IF(J199="","",J199*(1+IF(K199="",0,K199)) )</x:f>
      </x:c>
      <x:c r="M199" s="138" t="str"/>
      <x:c r="N199" s="137" t="str">
        <x:v>Current model BOM seed</x:v>
      </x:c>
      <x:c r="O199" s="137" t="str"/>
      <x:c r="P199" s="137" t="str">
        <x:v>To Confirm</x:v>
      </x:c>
      <x:c r="Q199" s="137" t="str"/>
    </x:row>
    <x:row r="200">
      <x:c r="A200" s="137" t="str">
        <x:v>BOM-00196</x:v>
      </x:c>
      <x:c r="B200" s="137" t="str">
        <x:v>REX GOLA (V)</x:v>
      </x:c>
      <x:c r="C200" s="137" t="str">
        <x:v>VELCRO</x:v>
      </x:c>
      <x:c r="D200" s="137" t="str">
        <x:v>1X3</x:v>
      </x:c>
      <x:c r="E200" s="137" t="str">
        <x:v>STITCHING</x:v>
      </x:c>
      <x:c r="F200" s="137" t="str">
        <x:v>Buckle PF-48||PCS</x:v>
      </x:c>
      <x:c r="G200" s="137" t="str">
        <x:v>Buckle PF-48</x:v>
      </x:c>
      <x:c r="H200" s="137" t="str">
        <x:v>PCS</x:v>
      </x:c>
      <x:c r="I200" s="175" t="n">
        <x:v>4</x:v>
      </x:c>
      <x:c r="J200" s="176" t="str"/>
      <x:c r="K200" s="177" t="str"/>
      <x:c r="L200" s="178" t="str">
        <x:f>IF(J200="","",J200*(1+IF(K200="",0,K200)) )</x:f>
      </x:c>
      <x:c r="M200" s="138" t="str"/>
      <x:c r="N200" s="137" t="str">
        <x:v>Current model BOM seed</x:v>
      </x:c>
      <x:c r="O200" s="137" t="str"/>
      <x:c r="P200" s="137" t="str">
        <x:v>To Confirm</x:v>
      </x:c>
      <x:c r="Q200" s="137" t="str"/>
    </x:row>
    <x:row r="201">
      <x:c r="A201" s="137" t="str">
        <x:v>BOM-00197</x:v>
      </x:c>
      <x:c r="B201" s="137" t="str">
        <x:v>REX GOLA (V)</x:v>
      </x:c>
      <x:c r="C201" s="137" t="str">
        <x:v>VELCRO</x:v>
      </x:c>
      <x:c r="D201" s="137" t="str">
        <x:v>1X3</x:v>
      </x:c>
      <x:c r="E201" s="137" t="str">
        <x:v>STITCHING</x:v>
      </x:c>
      <x:c r="F201" s="137" t="str">
        <x:v>PP Bag 18.5x31||PCS</x:v>
      </x:c>
      <x:c r="G201" s="137" t="str">
        <x:v>PP Bag 18.5x31</x:v>
      </x:c>
      <x:c r="H201" s="137" t="str">
        <x:v>PCS</x:v>
      </x:c>
      <x:c r="I201" s="175" t="n">
        <x:v>0.066667</x:v>
      </x:c>
      <x:c r="J201" s="176" t="str"/>
      <x:c r="K201" s="177" t="str"/>
      <x:c r="L201" s="178" t="str">
        <x:f>IF(J201="","",J201*(1+IF(K201="",0,K201)) )</x:f>
      </x:c>
      <x:c r="M201" s="138" t="str"/>
      <x:c r="N201" s="137" t="str">
        <x:v>Current model BOM seed</x:v>
      </x:c>
      <x:c r="O201" s="137" t="str"/>
      <x:c r="P201" s="137" t="str">
        <x:v>To Confirm</x:v>
      </x:c>
      <x:c r="Q201" s="137" t="str"/>
    </x:row>
    <x:row r="202">
      <x:c r="A202" s="137" t="str">
        <x:v>BOM-00198</x:v>
      </x:c>
      <x:c r="B202" s="137" t="str">
        <x:v>REX GOLA (V)</x:v>
      </x:c>
      <x:c r="C202" s="137" t="str">
        <x:v>VELCRO</x:v>
      </x:c>
      <x:c r="D202" s="137" t="str">
        <x:v>4X5</x:v>
      </x:c>
      <x:c r="E202" s="137" t="str">
        <x:v>CUTTING</x:v>
      </x:c>
      <x:c r="F202" s="137" t="str">
        <x:v>REXION 1.5MM FRENZY (HEAVY)||MTR</x:v>
      </x:c>
      <x:c r="G202" s="137" t="str">
        <x:v>REXION 1.5MM FRENZY (HEAVY)</x:v>
      </x:c>
      <x:c r="H202" s="137" t="str">
        <x:v>MTR</x:v>
      </x:c>
      <x:c r="I202" s="175" t="n">
        <x:v>0.080667</x:v>
      </x:c>
      <x:c r="J202" s="176" t="str"/>
      <x:c r="K202" s="177" t="str"/>
      <x:c r="L202" s="178" t="str">
        <x:f>IF(J202="","",J202*(1+IF(K202="",0,K202)) )</x:f>
      </x:c>
      <x:c r="M202" s="138" t="str"/>
      <x:c r="N202" s="137" t="str">
        <x:v>Current model BOM seed</x:v>
      </x:c>
      <x:c r="O202" s="137" t="str"/>
      <x:c r="P202" s="137" t="str">
        <x:v>To Confirm</x:v>
      </x:c>
      <x:c r="Q202" s="137" t="str"/>
    </x:row>
    <x:row r="203">
      <x:c r="A203" s="137" t="str">
        <x:v>BOM-00199</x:v>
      </x:c>
      <x:c r="B203" s="137" t="str">
        <x:v>REX GOLA (V)</x:v>
      </x:c>
      <x:c r="C203" s="137" t="str">
        <x:v>VELCRO</x:v>
      </x:c>
      <x:c r="D203" s="137" t="str">
        <x:v>4X5</x:v>
      </x:c>
      <x:c r="E203" s="137" t="str">
        <x:v>CUTTING</x:v>
      </x:c>
      <x:c r="F203" s="137" t="str">
        <x:v>REXION 1.5MM FRENZY (LIGHT)||MTR</x:v>
      </x:c>
      <x:c r="G203" s="137" t="str">
        <x:v>REXION 1.5MM FRENZY (LIGHT)</x:v>
      </x:c>
      <x:c r="H203" s="137" t="str">
        <x:v>MTR</x:v>
      </x:c>
      <x:c r="I203" s="175" t="n">
        <x:v>0.074074</x:v>
      </x:c>
      <x:c r="J203" s="176" t="str"/>
      <x:c r="K203" s="177" t="str"/>
      <x:c r="L203" s="178" t="str">
        <x:f>IF(J203="","",J203*(1+IF(K203="",0,K203)) )</x:f>
      </x:c>
      <x:c r="M203" s="138" t="str"/>
      <x:c r="N203" s="137" t="str">
        <x:v>Current model BOM seed</x:v>
      </x:c>
      <x:c r="O203" s="137" t="str"/>
      <x:c r="P203" s="137" t="str">
        <x:v>To Confirm</x:v>
      </x:c>
      <x:c r="Q203" s="137" t="str"/>
    </x:row>
    <x:row r="204">
      <x:c r="A204" s="137" t="str">
        <x:v>BOM-00200</x:v>
      </x:c>
      <x:c r="B204" s="137" t="str">
        <x:v>REX GOLA (V)</x:v>
      </x:c>
      <x:c r="C204" s="137" t="str">
        <x:v>VELCRO</x:v>
      </x:c>
      <x:c r="D204" s="137" t="str">
        <x:v>4X5</x:v>
      </x:c>
      <x:c r="E204" s="137" t="str">
        <x:v>CUTTING</x:v>
      </x:c>
      <x:c r="F204" s="137" t="str">
        <x:v>REXION 1.5MM FOR INTOE||MTR</x:v>
      </x:c>
      <x:c r="G204" s="137" t="str">
        <x:v>REXION 1.5MM FOR INTOE</x:v>
      </x:c>
      <x:c r="H204" s="137" t="str">
        <x:v>MTR</x:v>
      </x:c>
      <x:c r="I204" s="175" t="n">
        <x:v>0.02</x:v>
      </x:c>
      <x:c r="J204" s="176" t="str"/>
      <x:c r="K204" s="177" t="str"/>
      <x:c r="L204" s="178" t="str">
        <x:f>IF(J204="","",J204*(1+IF(K204="",0,K204)) )</x:f>
      </x:c>
      <x:c r="M204" s="138" t="str"/>
      <x:c r="N204" s="137" t="str">
        <x:v>Current model BOM seed</x:v>
      </x:c>
      <x:c r="O204" s="137" t="str"/>
      <x:c r="P204" s="137" t="str">
        <x:v>To Confirm</x:v>
      </x:c>
      <x:c r="Q204" s="137" t="str"/>
    </x:row>
    <x:row r="205">
      <x:c r="A205" s="137" t="str">
        <x:v>BOM-00201</x:v>
      </x:c>
      <x:c r="B205" s="137" t="str">
        <x:v>REX GOLA (V)</x:v>
      </x:c>
      <x:c r="C205" s="137" t="str">
        <x:v>VELCRO</x:v>
      </x:c>
      <x:c r="D205" s="137" t="str">
        <x:v>4X5</x:v>
      </x:c>
      <x:c r="E205" s="137" t="str">
        <x:v>CUTTING</x:v>
      </x:c>
      <x:c r="F205" s="137" t="str">
        <x:v>REXION 0.8MM FOR EYELET PATTI||MTR</x:v>
      </x:c>
      <x:c r="G205" s="137" t="str">
        <x:v>REXION 0.8MM FOR EYELET PATTI</x:v>
      </x:c>
      <x:c r="H205" s="137" t="str">
        <x:v>MTR</x:v>
      </x:c>
      <x:c r="I205" s="175" t="n">
        <x:v>0.011259</x:v>
      </x:c>
      <x:c r="J205" s="176" t="str"/>
      <x:c r="K205" s="177" t="str"/>
      <x:c r="L205" s="178" t="str">
        <x:f>IF(J205="","",J205*(1+IF(K205="",0,K205)) )</x:f>
      </x:c>
      <x:c r="M205" s="138" t="str"/>
      <x:c r="N205" s="137" t="str">
        <x:v>Current model BOM seed</x:v>
      </x:c>
      <x:c r="O205" s="137" t="str"/>
      <x:c r="P205" s="137" t="str">
        <x:v>To Confirm</x:v>
      </x:c>
      <x:c r="Q205" s="137" t="str"/>
    </x:row>
    <x:row r="206">
      <x:c r="A206" s="137" t="str">
        <x:v>BOM-00202</x:v>
      </x:c>
      <x:c r="B206" s="137" t="str">
        <x:v>REX GOLA (V)</x:v>
      </x:c>
      <x:c r="C206" s="137" t="str">
        <x:v>VELCRO</x:v>
      </x:c>
      <x:c r="D206" s="137" t="str">
        <x:v>4X5</x:v>
      </x:c>
      <x:c r="E206" s="137" t="str">
        <x:v>CUTTING</x:v>
      </x:c>
      <x:c r="F206" s="137" t="str">
        <x:v>STIFFNER 1.4 MM||SHEET</x:v>
      </x:c>
      <x:c r="G206" s="137" t="str">
        <x:v>STIFFNER 1.4 MM</x:v>
      </x:c>
      <x:c r="H206" s="137" t="str">
        <x:v>SHEET</x:v>
      </x:c>
      <x:c r="I206" s="175" t="n">
        <x:v>0.015133</x:v>
      </x:c>
      <x:c r="J206" s="176" t="str"/>
      <x:c r="K206" s="177" t="str"/>
      <x:c r="L206" s="178" t="str">
        <x:f>IF(J206="","",J206*(1+IF(K206="",0,K206)) )</x:f>
      </x:c>
      <x:c r="M206" s="138" t="str"/>
      <x:c r="N206" s="137" t="str">
        <x:v>Current model BOM seed</x:v>
      </x:c>
      <x:c r="O206" s="137" t="str"/>
      <x:c r="P206" s="137" t="str">
        <x:v>To Confirm</x:v>
      </x:c>
      <x:c r="Q206" s="137" t="str"/>
    </x:row>
    <x:row r="207">
      <x:c r="A207" s="137" t="str">
        <x:v>BOM-00203</x:v>
      </x:c>
      <x:c r="B207" s="137" t="str">
        <x:v>REX GOLA (V)</x:v>
      </x:c>
      <x:c r="C207" s="137" t="str">
        <x:v>VELCRO</x:v>
      </x:c>
      <x:c r="D207" s="137" t="str">
        <x:v>4X5</x:v>
      </x:c>
      <x:c r="E207" s="137" t="str">
        <x:v>CUTTING</x:v>
      </x:c>
      <x:c r="F207" s="137" t="str">
        <x:v>SKIN FIT 5 MM||MTR</x:v>
      </x:c>
      <x:c r="G207" s="137" t="str">
        <x:v>SKIN FIT 5 MM</x:v>
      </x:c>
      <x:c r="H207" s="137" t="str">
        <x:v>MTR</x:v>
      </x:c>
      <x:c r="I207" s="175" t="n">
        <x:v>0.083333</x:v>
      </x:c>
      <x:c r="J207" s="176" t="str"/>
      <x:c r="K207" s="177" t="str"/>
      <x:c r="L207" s="178" t="str">
        <x:f>IF(J207="","",J207*(1+IF(K207="",0,K207)) )</x:f>
      </x:c>
      <x:c r="M207" s="138" t="str"/>
      <x:c r="N207" s="137" t="str">
        <x:v>Current model BOM seed</x:v>
      </x:c>
      <x:c r="O207" s="137" t="str"/>
      <x:c r="P207" s="137" t="str">
        <x:v>To Confirm</x:v>
      </x:c>
      <x:c r="Q207" s="137" t="str"/>
    </x:row>
    <x:row r="208">
      <x:c r="A208" s="137" t="str">
        <x:v>BOM-00204</x:v>
      </x:c>
      <x:c r="B208" s="137" t="str">
        <x:v>REX GOLA (V)</x:v>
      </x:c>
      <x:c r="C208" s="137" t="str">
        <x:v>VELCRO</x:v>
      </x:c>
      <x:c r="D208" s="137" t="str">
        <x:v>4X5</x:v>
      </x:c>
      <x:c r="E208" s="137" t="str">
        <x:v>CUTTING</x:v>
      </x:c>
      <x:c r="F208" s="137" t="str">
        <x:v>FOAM 10 MM||SHEET</x:v>
      </x:c>
      <x:c r="G208" s="137" t="str">
        <x:v>FOAM 10 MM</x:v>
      </x:c>
      <x:c r="H208" s="137" t="str">
        <x:v>SHEET</x:v>
      </x:c>
      <x:c r="I208" s="175" t="n">
        <x:v>0.018533</x:v>
      </x:c>
      <x:c r="J208" s="176" t="str"/>
      <x:c r="K208" s="177" t="str"/>
      <x:c r="L208" s="178" t="str">
        <x:f>IF(J208="","",J208*(1+IF(K208="",0,K208)) )</x:f>
      </x:c>
      <x:c r="M208" s="138" t="str"/>
      <x:c r="N208" s="137" t="str">
        <x:v>Current model BOM seed</x:v>
      </x:c>
      <x:c r="O208" s="137" t="str"/>
      <x:c r="P208" s="137" t="str">
        <x:v>To Confirm</x:v>
      </x:c>
      <x:c r="Q208" s="137" t="str"/>
    </x:row>
    <x:row r="209">
      <x:c r="A209" s="137" t="str">
        <x:v>BOM-00205</x:v>
      </x:c>
      <x:c r="B209" s="137" t="str">
        <x:v>REX GOLA (V)</x:v>
      </x:c>
      <x:c r="C209" s="137" t="str">
        <x:v>VELCRO</x:v>
      </x:c>
      <x:c r="D209" s="137" t="str">
        <x:v>4X5</x:v>
      </x:c>
      <x:c r="E209" s="137" t="str">
        <x:v>CUTTING</x:v>
      </x:c>
      <x:c r="F209" s="137" t="str">
        <x:v>FOAM 20 MM||SHEET</x:v>
      </x:c>
      <x:c r="G209" s="137" t="str">
        <x:v>FOAM 20 MM</x:v>
      </x:c>
      <x:c r="H209" s="137" t="str">
        <x:v>SHEET</x:v>
      </x:c>
      <x:c r="I209" s="175" t="n">
        <x:v>0.013133</x:v>
      </x:c>
      <x:c r="J209" s="176" t="str"/>
      <x:c r="K209" s="177" t="str"/>
      <x:c r="L209" s="178" t="str">
        <x:f>IF(J209="","",J209*(1+IF(K209="",0,K209)) )</x:f>
      </x:c>
      <x:c r="M209" s="138" t="str"/>
      <x:c r="N209" s="137" t="str">
        <x:v>Current model BOM seed</x:v>
      </x:c>
      <x:c r="O209" s="137" t="str"/>
      <x:c r="P209" s="137" t="str">
        <x:v>To Confirm</x:v>
      </x:c>
      <x:c r="Q209" s="137" t="str"/>
    </x:row>
    <x:row r="210">
      <x:c r="A210" s="137" t="str">
        <x:v>BOM-00206</x:v>
      </x:c>
      <x:c r="B210" s="137" t="str">
        <x:v>REX GOLA (V)</x:v>
      </x:c>
      <x:c r="C210" s="137" t="str">
        <x:v>VELCRO</x:v>
      </x:c>
      <x:c r="D210" s="137" t="str">
        <x:v>4X5</x:v>
      </x:c>
      <x:c r="E210" s="137" t="str">
        <x:v>CUTTING</x:v>
      </x:c>
      <x:c r="F210" s="137" t="str">
        <x:v>ASTAR 3 MM light||MTR</x:v>
      </x:c>
      <x:c r="G210" s="137" t="str">
        <x:v>ASTAR 3 MM light</x:v>
      </x:c>
      <x:c r="H210" s="137" t="str">
        <x:v>MTR</x:v>
      </x:c>
      <x:c r="I210" s="175" t="n">
        <x:v>0.013533</x:v>
      </x:c>
      <x:c r="J210" s="176" t="str"/>
      <x:c r="K210" s="177" t="str"/>
      <x:c r="L210" s="178" t="str">
        <x:f>IF(J210="","",J210*(1+IF(K210="",0,K210)) )</x:f>
      </x:c>
      <x:c r="M210" s="138" t="str"/>
      <x:c r="N210" s="137" t="str">
        <x:v>Current model BOM seed</x:v>
      </x:c>
      <x:c r="O210" s="137" t="str"/>
      <x:c r="P210" s="137" t="str">
        <x:v>To Confirm</x:v>
      </x:c>
      <x:c r="Q210" s="137" t="str"/>
    </x:row>
    <x:row r="211">
      <x:c r="A211" s="137" t="str">
        <x:v>BOM-00207</x:v>
      </x:c>
      <x:c r="B211" s="137" t="str">
        <x:v>REX GOLA (V)</x:v>
      </x:c>
      <x:c r="C211" s="137" t="str">
        <x:v>VELCRO</x:v>
      </x:c>
      <x:c r="D211" s="137" t="str">
        <x:v>4X5</x:v>
      </x:c>
      <x:c r="E211" s="137" t="str">
        <x:v>CUTTING</x:v>
      </x:c>
      <x:c r="F211" s="137" t="str">
        <x:v>ASTAR 3 MM Heavy||MTR</x:v>
      </x:c>
      <x:c r="G211" s="137" t="str">
        <x:v>ASTAR 3 MM Heavy</x:v>
      </x:c>
      <x:c r="H211" s="137" t="str">
        <x:v>MTR</x:v>
      </x:c>
      <x:c r="I211" s="175" t="n">
        <x:v>0.026333</x:v>
      </x:c>
      <x:c r="J211" s="176" t="str"/>
      <x:c r="K211" s="177" t="str"/>
      <x:c r="L211" s="178" t="str">
        <x:f>IF(J211="","",J211*(1+IF(K211="",0,K211)) )</x:f>
      </x:c>
      <x:c r="M211" s="138" t="str"/>
      <x:c r="N211" s="137" t="str">
        <x:v>Current model BOM seed</x:v>
      </x:c>
      <x:c r="O211" s="137" t="str"/>
      <x:c r="P211" s="137" t="str">
        <x:v>To Confirm</x:v>
      </x:c>
      <x:c r="Q211" s="137" t="str"/>
    </x:row>
    <x:row r="212">
      <x:c r="A212" s="137" t="str">
        <x:v>BOM-00208</x:v>
      </x:c>
      <x:c r="B212" s="137" t="str">
        <x:v>REX GOLA (V)</x:v>
      </x:c>
      <x:c r="C212" s="137" t="str">
        <x:v>VELCRO</x:v>
      </x:c>
      <x:c r="D212" s="137" t="str">
        <x:v>4X5</x:v>
      </x:c>
      <x:c r="E212" s="137" t="str">
        <x:v>CUTTING</x:v>
      </x:c>
      <x:c r="F212" s="137" t="str">
        <x:v>INSOLE 4 MM||MTR</x:v>
      </x:c>
      <x:c r="G212" s="137" t="str">
        <x:v>INSOLE 4 MM</x:v>
      </x:c>
      <x:c r="H212" s="137" t="str">
        <x:v>MTR</x:v>
      </x:c>
      <x:c r="I212" s="175" t="n">
        <x:v>0.025034</x:v>
      </x:c>
      <x:c r="J212" s="176" t="str"/>
      <x:c r="K212" s="177" t="str"/>
      <x:c r="L212" s="178" t="str">
        <x:f>IF(J212="","",J212*(1+IF(K212="",0,K212)) )</x:f>
      </x:c>
      <x:c r="M212" s="138" t="str"/>
      <x:c r="N212" s="137" t="str">
        <x:v>Current model BOM seed</x:v>
      </x:c>
      <x:c r="O212" s="137" t="str"/>
      <x:c r="P212" s="137" t="str">
        <x:v>To Confirm</x:v>
      </x:c>
      <x:c r="Q212" s="137" t="str"/>
    </x:row>
    <x:row r="213">
      <x:c r="A213" s="137" t="str">
        <x:v>BOM-00209</x:v>
      </x:c>
      <x:c r="B213" s="137" t="str">
        <x:v>REX GOLA (V)</x:v>
      </x:c>
      <x:c r="C213" s="137" t="str">
        <x:v>VELCRO</x:v>
      </x:c>
      <x:c r="D213" s="137" t="str">
        <x:v>4X5</x:v>
      </x:c>
      <x:c r="E213" s="137" t="str">
        <x:v>CUTTING</x:v>
      </x:c>
      <x:c r="F213" s="137" t="str">
        <x:v>R.||MTR</x:v>
      </x:c>
      <x:c r="G213" s="137" t="str">
        <x:v>R.</x:v>
      </x:c>
      <x:c r="H213" s="137" t="str">
        <x:v>MTR</x:v>
      </x:c>
      <x:c r="I213" s="175" t="n">
        <x:v>0.030296</x:v>
      </x:c>
      <x:c r="J213" s="176" t="str"/>
      <x:c r="K213" s="177" t="str"/>
      <x:c r="L213" s="178" t="str">
        <x:f>IF(J213="","",J213*(1+IF(K213="",0,K213)) )</x:f>
      </x:c>
      <x:c r="M213" s="138" t="str"/>
      <x:c r="N213" s="137" t="str">
        <x:v>Current model BOM seed</x:v>
      </x:c>
      <x:c r="O213" s="137" t="str"/>
      <x:c r="P213" s="137" t="str">
        <x:v>To Confirm</x:v>
      </x:c>
      <x:c r="Q213" s="137" t="str"/>
    </x:row>
    <x:row r="214">
      <x:c r="A214" s="137" t="str">
        <x:v>BOM-00210</x:v>
      </x:c>
      <x:c r="B214" s="137" t="str">
        <x:v>REX GOLA (V)</x:v>
      </x:c>
      <x:c r="C214" s="137" t="str">
        <x:v>VELCRO</x:v>
      </x:c>
      <x:c r="D214" s="137" t="str">
        <x:v>4X5</x:v>
      </x:c>
      <x:c r="E214" s="137" t="str">
        <x:v>STITCHING</x:v>
      </x:c>
      <x:c r="F214" s="137" t="str">
        <x:v>Nylon Thread 3 Ply||CONE</x:v>
      </x:c>
      <x:c r="G214" s="137" t="str">
        <x:v>Nylon Thread 3 Ply</x:v>
      </x:c>
      <x:c r="H214" s="137" t="str">
        <x:v>CONE</x:v>
      </x:c>
      <x:c r="I214" s="175" t="n">
        <x:v>0.033667</x:v>
      </x:c>
      <x:c r="J214" s="176" t="str"/>
      <x:c r="K214" s="177" t="str"/>
      <x:c r="L214" s="178" t="str">
        <x:f>IF(J214="","",J214*(1+IF(K214="",0,K214)) )</x:f>
      </x:c>
      <x:c r="M214" s="138" t="str"/>
      <x:c r="N214" s="137" t="str">
        <x:v>Current model BOM seed</x:v>
      </x:c>
      <x:c r="O214" s="137" t="str"/>
      <x:c r="P214" s="137" t="str">
        <x:v>To Confirm</x:v>
      </x:c>
      <x:c r="Q214" s="137" t="str"/>
    </x:row>
    <x:row r="215">
      <x:c r="A215" s="137" t="str">
        <x:v>BOM-00211</x:v>
      </x:c>
      <x:c r="B215" s="137" t="str">
        <x:v>REX GOLA (V)</x:v>
      </x:c>
      <x:c r="C215" s="137" t="str">
        <x:v>VELCRO</x:v>
      </x:c>
      <x:c r="D215" s="137" t="str">
        <x:v>4X5</x:v>
      </x:c>
      <x:c r="E215" s="137" t="str">
        <x:v>STITCHING</x:v>
      </x:c>
      <x:c r="F215" s="137" t="str">
        <x:v>Polister Binding 12mm||MTR</x:v>
      </x:c>
      <x:c r="G215" s="137" t="str">
        <x:v>Polister Binding 12mm</x:v>
      </x:c>
      <x:c r="H215" s="137" t="str">
        <x:v>MTR</x:v>
      </x:c>
      <x:c r="I215" s="175" t="n">
        <x:v>0.38</x:v>
      </x:c>
      <x:c r="J215" s="176" t="str"/>
      <x:c r="K215" s="177" t="str"/>
      <x:c r="L215" s="178" t="str">
        <x:f>IF(J215="","",J215*(1+IF(K215="",0,K215)) )</x:f>
      </x:c>
      <x:c r="M215" s="138" t="str"/>
      <x:c r="N215" s="137" t="str">
        <x:v>Current model BOM seed</x:v>
      </x:c>
      <x:c r="O215" s="137" t="str"/>
      <x:c r="P215" s="137" t="str">
        <x:v>To Confirm</x:v>
      </x:c>
      <x:c r="Q215" s="137" t="str"/>
    </x:row>
    <x:row r="216">
      <x:c r="A216" s="137" t="str">
        <x:v>BOM-00212</x:v>
      </x:c>
      <x:c r="B216" s="137" t="str">
        <x:v>REX GOLA (V)</x:v>
      </x:c>
      <x:c r="C216" s="137" t="str">
        <x:v>VELCRO</x:v>
      </x:c>
      <x:c r="D216" s="137" t="str">
        <x:v>4X5</x:v>
      </x:c>
      <x:c r="E216" s="137" t="str">
        <x:v>STITCHING</x:v>
      </x:c>
      <x:c r="F216" s="137" t="str">
        <x:v>Lebel Gola||MTR</x:v>
      </x:c>
      <x:c r="G216" s="137" t="str">
        <x:v>Lebel Gola</x:v>
      </x:c>
      <x:c r="H216" s="137" t="str">
        <x:v>MTR</x:v>
      </x:c>
      <x:c r="I216" s="175" t="n">
        <x:v>2</x:v>
      </x:c>
      <x:c r="J216" s="176" t="str"/>
      <x:c r="K216" s="177" t="str"/>
      <x:c r="L216" s="178" t="str">
        <x:f>IF(J216="","",J216*(1+IF(K216="",0,K216)) )</x:f>
      </x:c>
      <x:c r="M216" s="138" t="str"/>
      <x:c r="N216" s="137" t="str">
        <x:v>Current model BOM seed</x:v>
      </x:c>
      <x:c r="O216" s="137" t="str"/>
      <x:c r="P216" s="137" t="str">
        <x:v>To Confirm</x:v>
      </x:c>
      <x:c r="Q216" s="137" t="str"/>
    </x:row>
    <x:row r="217">
      <x:c r="A217" s="137" t="str">
        <x:v>BOM-00213</x:v>
      </x:c>
      <x:c r="B217" s="137" t="str">
        <x:v>REX GOLA (V)</x:v>
      </x:c>
      <x:c r="C217" s="137" t="str">
        <x:v>VELCRO</x:v>
      </x:c>
      <x:c r="D217" s="137" t="str">
        <x:v>4X5</x:v>
      </x:c>
      <x:c r="E217" s="137" t="str">
        <x:v>STITCHING</x:v>
      </x:c>
      <x:c r="F217" s="137" t="str">
        <x:v>Velcro 20mm Hook||MTR</x:v>
      </x:c>
      <x:c r="G217" s="137" t="str">
        <x:v>Velcro 20mm Hook</x:v>
      </x:c>
      <x:c r="H217" s="137" t="str">
        <x:v>MTR</x:v>
      </x:c>
      <x:c r="I217" s="175" t="n">
        <x:v>0.35</x:v>
      </x:c>
      <x:c r="J217" s="176" t="str"/>
      <x:c r="K217" s="177" t="str"/>
      <x:c r="L217" s="178" t="str">
        <x:f>IF(J217="","",J217*(1+IF(K217="",0,K217)) )</x:f>
      </x:c>
      <x:c r="M217" s="138" t="str"/>
      <x:c r="N217" s="137" t="str">
        <x:v>Current model BOM seed</x:v>
      </x:c>
      <x:c r="O217" s="137" t="str"/>
      <x:c r="P217" s="137" t="str">
        <x:v>To Confirm</x:v>
      </x:c>
      <x:c r="Q217" s="137" t="str"/>
    </x:row>
    <x:row r="218">
      <x:c r="A218" s="137" t="str">
        <x:v>BOM-00214</x:v>
      </x:c>
      <x:c r="B218" s="137" t="str">
        <x:v>REX GOLA (V)</x:v>
      </x:c>
      <x:c r="C218" s="137" t="str">
        <x:v>VELCRO</x:v>
      </x:c>
      <x:c r="D218" s="137" t="str">
        <x:v>4X5</x:v>
      </x:c>
      <x:c r="E218" s="137" t="str">
        <x:v>STITCHING</x:v>
      </x:c>
      <x:c r="F218" s="137" t="str">
        <x:v>Velcro 20mm Loop||MTR</x:v>
      </x:c>
      <x:c r="G218" s="137" t="str">
        <x:v>Velcro 20mm Loop</x:v>
      </x:c>
      <x:c r="H218" s="137" t="str">
        <x:v>MTR</x:v>
      </x:c>
      <x:c r="I218" s="175" t="n">
        <x:v>0.35</x:v>
      </x:c>
      <x:c r="J218" s="176" t="str"/>
      <x:c r="K218" s="177" t="str"/>
      <x:c r="L218" s="178" t="str">
        <x:f>IF(J218="","",J218*(1+IF(K218="",0,K218)) )</x:f>
      </x:c>
      <x:c r="M218" s="138" t="str"/>
      <x:c r="N218" s="137" t="str">
        <x:v>Current model BOM seed</x:v>
      </x:c>
      <x:c r="O218" s="137" t="str"/>
      <x:c r="P218" s="137" t="str">
        <x:v>To Confirm</x:v>
      </x:c>
      <x:c r="Q218" s="137" t="str"/>
    </x:row>
    <x:row r="219">
      <x:c r="A219" s="137" t="str">
        <x:v>BOM-00215</x:v>
      </x:c>
      <x:c r="B219" s="137" t="str">
        <x:v>REX GOLA (V)</x:v>
      </x:c>
      <x:c r="C219" s="137" t="str">
        <x:v>VELCRO</x:v>
      </x:c>
      <x:c r="D219" s="137" t="str">
        <x:v>4X5</x:v>
      </x:c>
      <x:c r="E219" s="137" t="str">
        <x:v>STITCHING</x:v>
      </x:c>
      <x:c r="F219" s="137" t="str">
        <x:v>Buckle PF-48||PCS</x:v>
      </x:c>
      <x:c r="G219" s="137" t="str">
        <x:v>Buckle PF-48</x:v>
      </x:c>
      <x:c r="H219" s="137" t="str">
        <x:v>PCS</x:v>
      </x:c>
      <x:c r="I219" s="175" t="n">
        <x:v>4</x:v>
      </x:c>
      <x:c r="J219" s="176" t="str"/>
      <x:c r="K219" s="177" t="str"/>
      <x:c r="L219" s="178" t="str">
        <x:f>IF(J219="","",J219*(1+IF(K219="",0,K219)) )</x:f>
      </x:c>
      <x:c r="M219" s="138" t="str"/>
      <x:c r="N219" s="137" t="str">
        <x:v>Current model BOM seed</x:v>
      </x:c>
      <x:c r="O219" s="137" t="str"/>
      <x:c r="P219" s="137" t="str">
        <x:v>To Confirm</x:v>
      </x:c>
      <x:c r="Q219" s="137" t="str"/>
    </x:row>
    <x:row r="220">
      <x:c r="A220" s="137" t="str">
        <x:v>BOM-00216</x:v>
      </x:c>
      <x:c r="B220" s="137" t="str">
        <x:v>REX GOLA (V)</x:v>
      </x:c>
      <x:c r="C220" s="137" t="str">
        <x:v>VELCRO</x:v>
      </x:c>
      <x:c r="D220" s="137" t="str">
        <x:v>4X5</x:v>
      </x:c>
      <x:c r="E220" s="137" t="str">
        <x:v>STITCHING</x:v>
      </x:c>
      <x:c r="F220" s="137" t="str">
        <x:v>PP Bag 18.5x31||PCS</x:v>
      </x:c>
      <x:c r="G220" s="137" t="str">
        <x:v>PP Bag 18.5x31</x:v>
      </x:c>
      <x:c r="H220" s="137" t="str">
        <x:v>PCS</x:v>
      </x:c>
      <x:c r="I220" s="175" t="n">
        <x:v>0.066667</x:v>
      </x:c>
      <x:c r="J220" s="176" t="str"/>
      <x:c r="K220" s="177" t="str"/>
      <x:c r="L220" s="178" t="str">
        <x:f>IF(J220="","",J220*(1+IF(K220="",0,K220)) )</x:f>
      </x:c>
      <x:c r="M220" s="138" t="str"/>
      <x:c r="N220" s="137" t="str">
        <x:v>Current model BOM seed</x:v>
      </x:c>
      <x:c r="O220" s="137" t="str"/>
      <x:c r="P220" s="137" t="str">
        <x:v>To Confirm</x:v>
      </x:c>
      <x:c r="Q220" s="137" t="str"/>
    </x:row>
    <x:row r="221">
      <x:c r="A221" s="137" t="str">
        <x:v>BOM-00217</x:v>
      </x:c>
      <x:c r="B221" s="137" t="str">
        <x:v>REX GOLA (V)</x:v>
      </x:c>
      <x:c r="C221" s="137" t="str">
        <x:v>VELCRO</x:v>
      </x:c>
      <x:c r="D221" s="137" t="str">
        <x:v>6X7B</x:v>
      </x:c>
      <x:c r="E221" s="137" t="str">
        <x:v>CUTTING</x:v>
      </x:c>
      <x:c r="F221" s="137" t="str">
        <x:v>REXION 1.5MM FRENZY (HEAVY)||MTR</x:v>
      </x:c>
      <x:c r="G221" s="137" t="str">
        <x:v>REXION 1.5MM FRENZY (HEAVY)</x:v>
      </x:c>
      <x:c r="H221" s="137" t="str">
        <x:v>MTR</x:v>
      </x:c>
      <x:c r="I221" s="175" t="n">
        <x:v>0.087556</x:v>
      </x:c>
      <x:c r="J221" s="176" t="str"/>
      <x:c r="K221" s="177" t="str"/>
      <x:c r="L221" s="178" t="str">
        <x:f>IF(J221="","",J221*(1+IF(K221="",0,K221)) )</x:f>
      </x:c>
      <x:c r="M221" s="138" t="str"/>
      <x:c r="N221" s="137" t="str">
        <x:v>Current model BOM seed</x:v>
      </x:c>
      <x:c r="O221" s="137" t="str"/>
      <x:c r="P221" s="137" t="str">
        <x:v>To Confirm</x:v>
      </x:c>
      <x:c r="Q221" s="137" t="str"/>
    </x:row>
    <x:row r="222">
      <x:c r="A222" s="137" t="str">
        <x:v>BOM-00218</x:v>
      </x:c>
      <x:c r="B222" s="137" t="str">
        <x:v>REX GOLA (V)</x:v>
      </x:c>
      <x:c r="C222" s="137" t="str">
        <x:v>VELCRO</x:v>
      </x:c>
      <x:c r="D222" s="137" t="str">
        <x:v>6X7B</x:v>
      </x:c>
      <x:c r="E222" s="137" t="str">
        <x:v>CUTTING</x:v>
      </x:c>
      <x:c r="F222" s="137" t="str">
        <x:v>REXION 1.5MM FRENZY (LIGHT)||MTR</x:v>
      </x:c>
      <x:c r="G222" s="137" t="str">
        <x:v>REXION 1.5MM FRENZY (LIGHT)</x:v>
      </x:c>
      <x:c r="H222" s="137" t="str">
        <x:v>MTR</x:v>
      </x:c>
      <x:c r="I222" s="175" t="n">
        <x:v>0.077037</x:v>
      </x:c>
      <x:c r="J222" s="176" t="str"/>
      <x:c r="K222" s="177" t="str"/>
      <x:c r="L222" s="178" t="str">
        <x:f>IF(J222="","",J222*(1+IF(K222="",0,K222)) )</x:f>
      </x:c>
      <x:c r="M222" s="138" t="str"/>
      <x:c r="N222" s="137" t="str">
        <x:v>Current model BOM seed</x:v>
      </x:c>
      <x:c r="O222" s="137" t="str"/>
      <x:c r="P222" s="137" t="str">
        <x:v>To Confirm</x:v>
      </x:c>
      <x:c r="Q222" s="137" t="str"/>
    </x:row>
    <x:row r="223">
      <x:c r="A223" s="137" t="str">
        <x:v>BOM-00219</x:v>
      </x:c>
      <x:c r="B223" s="137" t="str">
        <x:v>REX GOLA (V)</x:v>
      </x:c>
      <x:c r="C223" s="137" t="str">
        <x:v>VELCRO</x:v>
      </x:c>
      <x:c r="D223" s="137" t="str">
        <x:v>6X7B</x:v>
      </x:c>
      <x:c r="E223" s="137" t="str">
        <x:v>CUTTING</x:v>
      </x:c>
      <x:c r="F223" s="137" t="str">
        <x:v>REXION 1.5MM FOR INTOE||MTR</x:v>
      </x:c>
      <x:c r="G223" s="137" t="str">
        <x:v>REXION 1.5MM FOR INTOE</x:v>
      </x:c>
      <x:c r="H223" s="137" t="str">
        <x:v>MTR</x:v>
      </x:c>
      <x:c r="I223" s="175" t="n">
        <x:v>0.026296</x:v>
      </x:c>
      <x:c r="J223" s="176" t="str"/>
      <x:c r="K223" s="177" t="str"/>
      <x:c r="L223" s="178" t="str">
        <x:f>IF(J223="","",J223*(1+IF(K223="",0,K223)) )</x:f>
      </x:c>
      <x:c r="M223" s="138" t="str"/>
      <x:c r="N223" s="137" t="str">
        <x:v>Current model BOM seed</x:v>
      </x:c>
      <x:c r="O223" s="137" t="str"/>
      <x:c r="P223" s="137" t="str">
        <x:v>To Confirm</x:v>
      </x:c>
      <x:c r="Q223" s="137" t="str"/>
    </x:row>
    <x:row r="224">
      <x:c r="A224" s="137" t="str">
        <x:v>BOM-00220</x:v>
      </x:c>
      <x:c r="B224" s="137" t="str">
        <x:v>REX GOLA (V)</x:v>
      </x:c>
      <x:c r="C224" s="137" t="str">
        <x:v>VELCRO</x:v>
      </x:c>
      <x:c r="D224" s="137" t="str">
        <x:v>6X7B</x:v>
      </x:c>
      <x:c r="E224" s="137" t="str">
        <x:v>CUTTING</x:v>
      </x:c>
      <x:c r="F224" s="137" t="str">
        <x:v>REXION 0.8MM FOR EYELET PATTI||MTR</x:v>
      </x:c>
      <x:c r="G224" s="137" t="str">
        <x:v>REXION 0.8MM FOR EYELET PATTI</x:v>
      </x:c>
      <x:c r="H224" s="137" t="str">
        <x:v>MTR</x:v>
      </x:c>
      <x:c r="I224" s="175" t="n">
        <x:v>0.01037</x:v>
      </x:c>
      <x:c r="J224" s="176" t="str"/>
      <x:c r="K224" s="177" t="str"/>
      <x:c r="L224" s="178" t="str">
        <x:f>IF(J224="","",J224*(1+IF(K224="",0,K224)) )</x:f>
      </x:c>
      <x:c r="M224" s="138" t="str"/>
      <x:c r="N224" s="137" t="str">
        <x:v>Current model BOM seed</x:v>
      </x:c>
      <x:c r="O224" s="137" t="str"/>
      <x:c r="P224" s="137" t="str">
        <x:v>To Confirm</x:v>
      </x:c>
      <x:c r="Q224" s="137" t="str"/>
    </x:row>
    <x:row r="225">
      <x:c r="A225" s="137" t="str">
        <x:v>BOM-00221</x:v>
      </x:c>
      <x:c r="B225" s="137" t="str">
        <x:v>REX GOLA (V)</x:v>
      </x:c>
      <x:c r="C225" s="137" t="str">
        <x:v>VELCRO</x:v>
      </x:c>
      <x:c r="D225" s="137" t="str">
        <x:v>6X7B</x:v>
      </x:c>
      <x:c r="E225" s="137" t="str">
        <x:v>CUTTING</x:v>
      </x:c>
      <x:c r="F225" s="137" t="str">
        <x:v>STIFFNER 1.4 MM||SHEET</x:v>
      </x:c>
      <x:c r="G225" s="137" t="str">
        <x:v>STIFFNER 1.4 MM</x:v>
      </x:c>
      <x:c r="H225" s="137" t="str">
        <x:v>SHEET</x:v>
      </x:c>
      <x:c r="I225" s="175" t="n">
        <x:v>0.017067</x:v>
      </x:c>
      <x:c r="J225" s="176" t="str"/>
      <x:c r="K225" s="177" t="str"/>
      <x:c r="L225" s="178" t="str">
        <x:f>IF(J225="","",J225*(1+IF(K225="",0,K225)) )</x:f>
      </x:c>
      <x:c r="M225" s="138" t="str"/>
      <x:c r="N225" s="137" t="str">
        <x:v>Current model BOM seed</x:v>
      </x:c>
      <x:c r="O225" s="137" t="str"/>
      <x:c r="P225" s="137" t="str">
        <x:v>To Confirm</x:v>
      </x:c>
      <x:c r="Q225" s="137" t="str"/>
    </x:row>
    <x:row r="226">
      <x:c r="A226" s="137" t="str">
        <x:v>BOM-00222</x:v>
      </x:c>
      <x:c r="B226" s="137" t="str">
        <x:v>REX GOLA (V)</x:v>
      </x:c>
      <x:c r="C226" s="137" t="str">
        <x:v>VELCRO</x:v>
      </x:c>
      <x:c r="D226" s="137" t="str">
        <x:v>6X7B</x:v>
      </x:c>
      <x:c r="E226" s="137" t="str">
        <x:v>CUTTING</x:v>
      </x:c>
      <x:c r="F226" s="137" t="str">
        <x:v>SKIN FIT 5 MM||MTR</x:v>
      </x:c>
      <x:c r="G226" s="137" t="str">
        <x:v>SKIN FIT 5 MM</x:v>
      </x:c>
      <x:c r="H226" s="137" t="str">
        <x:v>MTR</x:v>
      </x:c>
      <x:c r="I226" s="175" t="n">
        <x:v>0.083333</x:v>
      </x:c>
      <x:c r="J226" s="176" t="str"/>
      <x:c r="K226" s="177" t="str"/>
      <x:c r="L226" s="178" t="str">
        <x:f>IF(J226="","",J226*(1+IF(K226="",0,K226)) )</x:f>
      </x:c>
      <x:c r="M226" s="138" t="str"/>
      <x:c r="N226" s="137" t="str">
        <x:v>Current model BOM seed</x:v>
      </x:c>
      <x:c r="O226" s="137" t="str"/>
      <x:c r="P226" s="137" t="str">
        <x:v>To Confirm</x:v>
      </x:c>
      <x:c r="Q226" s="137" t="str"/>
    </x:row>
    <x:row r="227">
      <x:c r="A227" s="137" t="str">
        <x:v>BOM-00223</x:v>
      </x:c>
      <x:c r="B227" s="137" t="str">
        <x:v>REX GOLA (V)</x:v>
      </x:c>
      <x:c r="C227" s="137" t="str">
        <x:v>VELCRO</x:v>
      </x:c>
      <x:c r="D227" s="137" t="str">
        <x:v>6X7B</x:v>
      </x:c>
      <x:c r="E227" s="137" t="str">
        <x:v>CUTTING</x:v>
      </x:c>
      <x:c r="F227" s="137" t="str">
        <x:v>FOAM 10 MM||SHEET</x:v>
      </x:c>
      <x:c r="G227" s="137" t="str">
        <x:v>FOAM 10 MM</x:v>
      </x:c>
      <x:c r="H227" s="137" t="str">
        <x:v>SHEET</x:v>
      </x:c>
      <x:c r="I227" s="175" t="n">
        <x:v>0.021733</x:v>
      </x:c>
      <x:c r="J227" s="176" t="str"/>
      <x:c r="K227" s="177" t="str"/>
      <x:c r="L227" s="178" t="str">
        <x:f>IF(J227="","",J227*(1+IF(K227="",0,K227)) )</x:f>
      </x:c>
      <x:c r="M227" s="138" t="str"/>
      <x:c r="N227" s="137" t="str">
        <x:v>Current model BOM seed</x:v>
      </x:c>
      <x:c r="O227" s="137" t="str"/>
      <x:c r="P227" s="137" t="str">
        <x:v>To Confirm</x:v>
      </x:c>
      <x:c r="Q227" s="137" t="str"/>
    </x:row>
    <x:row r="228">
      <x:c r="A228" s="137" t="str">
        <x:v>BOM-00224</x:v>
      </x:c>
      <x:c r="B228" s="137" t="str">
        <x:v>REX GOLA (V)</x:v>
      </x:c>
      <x:c r="C228" s="137" t="str">
        <x:v>VELCRO</x:v>
      </x:c>
      <x:c r="D228" s="137" t="str">
        <x:v>6X7B</x:v>
      </x:c>
      <x:c r="E228" s="137" t="str">
        <x:v>CUTTING</x:v>
      </x:c>
      <x:c r="F228" s="137" t="str">
        <x:v>FOAM 20 MM||SHEET</x:v>
      </x:c>
      <x:c r="G228" s="137" t="str">
        <x:v>FOAM 20 MM</x:v>
      </x:c>
      <x:c r="H228" s="137" t="str">
        <x:v>SHEET</x:v>
      </x:c>
      <x:c r="I228" s="175" t="n">
        <x:v>0.0156</x:v>
      </x:c>
      <x:c r="J228" s="176" t="str"/>
      <x:c r="K228" s="177" t="str"/>
      <x:c r="L228" s="178" t="str">
        <x:f>IF(J228="","",J228*(1+IF(K228="",0,K228)) )</x:f>
      </x:c>
      <x:c r="M228" s="138" t="str"/>
      <x:c r="N228" s="137" t="str">
        <x:v>Current model BOM seed</x:v>
      </x:c>
      <x:c r="O228" s="137" t="str"/>
      <x:c r="P228" s="137" t="str">
        <x:v>To Confirm</x:v>
      </x:c>
      <x:c r="Q228" s="137" t="str"/>
    </x:row>
    <x:row r="229">
      <x:c r="A229" s="137" t="str">
        <x:v>BOM-00225</x:v>
      </x:c>
      <x:c r="B229" s="137" t="str">
        <x:v>REX GOLA (V)</x:v>
      </x:c>
      <x:c r="C229" s="137" t="str">
        <x:v>VELCRO</x:v>
      </x:c>
      <x:c r="D229" s="137" t="str">
        <x:v>6X7B</x:v>
      </x:c>
      <x:c r="E229" s="137" t="str">
        <x:v>CUTTING</x:v>
      </x:c>
      <x:c r="F229" s="137" t="str">
        <x:v>ASTAR 3 MM light||MTR</x:v>
      </x:c>
      <x:c r="G229" s="137" t="str">
        <x:v>ASTAR 3 MM light</x:v>
      </x:c>
      <x:c r="H229" s="137" t="str">
        <x:v>MTR</x:v>
      </x:c>
      <x:c r="I229" s="175" t="n">
        <x:v>0.015133</x:v>
      </x:c>
      <x:c r="J229" s="176" t="str"/>
      <x:c r="K229" s="177" t="str"/>
      <x:c r="L229" s="178" t="str">
        <x:f>IF(J229="","",J229*(1+IF(K229="",0,K229)) )</x:f>
      </x:c>
      <x:c r="M229" s="138" t="str"/>
      <x:c r="N229" s="137" t="str">
        <x:v>Current model BOM seed</x:v>
      </x:c>
      <x:c r="O229" s="137" t="str"/>
      <x:c r="P229" s="137" t="str">
        <x:v>To Confirm</x:v>
      </x:c>
      <x:c r="Q229" s="137" t="str"/>
    </x:row>
    <x:row r="230">
      <x:c r="A230" s="137" t="str">
        <x:v>BOM-00226</x:v>
      </x:c>
      <x:c r="B230" s="137" t="str">
        <x:v>REX GOLA (V)</x:v>
      </x:c>
      <x:c r="C230" s="137" t="str">
        <x:v>VELCRO</x:v>
      </x:c>
      <x:c r="D230" s="137" t="str">
        <x:v>6X7B</x:v>
      </x:c>
      <x:c r="E230" s="137" t="str">
        <x:v>CUTTING</x:v>
      </x:c>
      <x:c r="F230" s="137" t="str">
        <x:v>ASTAR 3 MM Heavy||MTR</x:v>
      </x:c>
      <x:c r="G230" s="137" t="str">
        <x:v>ASTAR 3 MM Heavy</x:v>
      </x:c>
      <x:c r="H230" s="137" t="str">
        <x:v>MTR</x:v>
      </x:c>
      <x:c r="I230" s="175" t="n">
        <x:v>0.033333</x:v>
      </x:c>
      <x:c r="J230" s="176" t="str"/>
      <x:c r="K230" s="177" t="str"/>
      <x:c r="L230" s="178" t="str">
        <x:f>IF(J230="","",J230*(1+IF(K230="",0,K230)) )</x:f>
      </x:c>
      <x:c r="M230" s="138" t="str"/>
      <x:c r="N230" s="137" t="str">
        <x:v>Current model BOM seed</x:v>
      </x:c>
      <x:c r="O230" s="137" t="str"/>
      <x:c r="P230" s="137" t="str">
        <x:v>To Confirm</x:v>
      </x:c>
      <x:c r="Q230" s="137" t="str"/>
    </x:row>
    <x:row r="231">
      <x:c r="A231" s="137" t="str">
        <x:v>BOM-00227</x:v>
      </x:c>
      <x:c r="B231" s="137" t="str">
        <x:v>REX GOLA (V)</x:v>
      </x:c>
      <x:c r="C231" s="137" t="str">
        <x:v>VELCRO</x:v>
      </x:c>
      <x:c r="D231" s="137" t="str">
        <x:v>6X7B</x:v>
      </x:c>
      <x:c r="E231" s="137" t="str">
        <x:v>CUTTING</x:v>
      </x:c>
      <x:c r="F231" s="137" t="str">
        <x:v>INSOLE 4 MM||MTR</x:v>
      </x:c>
      <x:c r="G231" s="137" t="str">
        <x:v>INSOLE 4 MM</x:v>
      </x:c>
      <x:c r="H231" s="137" t="str">
        <x:v>MTR</x:v>
      </x:c>
      <x:c r="I231" s="175" t="n">
        <x:v>0.031241</x:v>
      </x:c>
      <x:c r="J231" s="176" t="str"/>
      <x:c r="K231" s="177" t="str"/>
      <x:c r="L231" s="178" t="str">
        <x:f>IF(J231="","",J231*(1+IF(K231="",0,K231)) )</x:f>
      </x:c>
      <x:c r="M231" s="138" t="str"/>
      <x:c r="N231" s="137" t="str">
        <x:v>Current model BOM seed</x:v>
      </x:c>
      <x:c r="O231" s="137" t="str"/>
      <x:c r="P231" s="137" t="str">
        <x:v>To Confirm</x:v>
      </x:c>
      <x:c r="Q231" s="137" t="str"/>
    </x:row>
    <x:row r="232">
      <x:c r="A232" s="137" t="str">
        <x:v>BOM-00228</x:v>
      </x:c>
      <x:c r="B232" s="137" t="str">
        <x:v>REX GOLA (V)</x:v>
      </x:c>
      <x:c r="C232" s="137" t="str">
        <x:v>VELCRO</x:v>
      </x:c>
      <x:c r="D232" s="137" t="str">
        <x:v>6X7B</x:v>
      </x:c>
      <x:c r="E232" s="137" t="str">
        <x:v>CUTTING</x:v>
      </x:c>
      <x:c r="F232" s="137" t="str">
        <x:v>R.||MTR</x:v>
      </x:c>
      <x:c r="G232" s="137" t="str">
        <x:v>R.</x:v>
      </x:c>
      <x:c r="H232" s="137" t="str">
        <x:v>MTR</x:v>
      </x:c>
      <x:c r="I232" s="175" t="n">
        <x:v>0.04</x:v>
      </x:c>
      <x:c r="J232" s="176" t="str"/>
      <x:c r="K232" s="177" t="str"/>
      <x:c r="L232" s="178" t="str">
        <x:f>IF(J232="","",J232*(1+IF(K232="",0,K232)) )</x:f>
      </x:c>
      <x:c r="M232" s="138" t="str"/>
      <x:c r="N232" s="137" t="str">
        <x:v>Current model BOM seed</x:v>
      </x:c>
      <x:c r="O232" s="137" t="str"/>
      <x:c r="P232" s="137" t="str">
        <x:v>To Confirm</x:v>
      </x:c>
      <x:c r="Q232" s="137" t="str"/>
    </x:row>
    <x:row r="233">
      <x:c r="A233" s="137" t="str">
        <x:v>BOM-00229</x:v>
      </x:c>
      <x:c r="B233" s="137" t="str">
        <x:v>REX GOLA (V)</x:v>
      </x:c>
      <x:c r="C233" s="137" t="str">
        <x:v>VELCRO</x:v>
      </x:c>
      <x:c r="D233" s="137" t="str">
        <x:v>6X7B</x:v>
      </x:c>
      <x:c r="E233" s="137" t="str">
        <x:v>STITCHING</x:v>
      </x:c>
      <x:c r="F233" s="137" t="str">
        <x:v>Nylon Thread 3 Ply||CONE</x:v>
      </x:c>
      <x:c r="G233" s="137" t="str">
        <x:v>Nylon Thread 3 Ply</x:v>
      </x:c>
      <x:c r="H233" s="137" t="str">
        <x:v>CONE</x:v>
      </x:c>
      <x:c r="I233" s="175" t="n">
        <x:v>0.034667</x:v>
      </x:c>
      <x:c r="J233" s="176" t="str"/>
      <x:c r="K233" s="177" t="str"/>
      <x:c r="L233" s="178" t="str">
        <x:f>IF(J233="","",J233*(1+IF(K233="",0,K233)) )</x:f>
      </x:c>
      <x:c r="M233" s="138" t="str"/>
      <x:c r="N233" s="137" t="str">
        <x:v>Current model BOM seed</x:v>
      </x:c>
      <x:c r="O233" s="137" t="str"/>
      <x:c r="P233" s="137" t="str">
        <x:v>To Confirm</x:v>
      </x:c>
      <x:c r="Q233" s="137" t="str"/>
    </x:row>
    <x:row r="234">
      <x:c r="A234" s="137" t="str">
        <x:v>BOM-00230</x:v>
      </x:c>
      <x:c r="B234" s="137" t="str">
        <x:v>REX GOLA (V)</x:v>
      </x:c>
      <x:c r="C234" s="137" t="str">
        <x:v>VELCRO</x:v>
      </x:c>
      <x:c r="D234" s="137" t="str">
        <x:v>6X7B</x:v>
      </x:c>
      <x:c r="E234" s="137" t="str">
        <x:v>STITCHING</x:v>
      </x:c>
      <x:c r="F234" s="137" t="str">
        <x:v>Polister Binding 12mm||MTR</x:v>
      </x:c>
      <x:c r="G234" s="137" t="str">
        <x:v>Polister Binding 12mm</x:v>
      </x:c>
      <x:c r="H234" s="137" t="str">
        <x:v>MTR</x:v>
      </x:c>
      <x:c r="I234" s="175" t="n">
        <x:v>0.38</x:v>
      </x:c>
      <x:c r="J234" s="176" t="str"/>
      <x:c r="K234" s="177" t="str"/>
      <x:c r="L234" s="178" t="str">
        <x:f>IF(J234="","",J234*(1+IF(K234="",0,K234)) )</x:f>
      </x:c>
      <x:c r="M234" s="138" t="str"/>
      <x:c r="N234" s="137" t="str">
        <x:v>Current model BOM seed</x:v>
      </x:c>
      <x:c r="O234" s="137" t="str"/>
      <x:c r="P234" s="137" t="str">
        <x:v>To Confirm</x:v>
      </x:c>
      <x:c r="Q234" s="137" t="str"/>
    </x:row>
    <x:row r="235">
      <x:c r="A235" s="137" t="str">
        <x:v>BOM-00231</x:v>
      </x:c>
      <x:c r="B235" s="137" t="str">
        <x:v>REX GOLA (V)</x:v>
      </x:c>
      <x:c r="C235" s="137" t="str">
        <x:v>VELCRO</x:v>
      </x:c>
      <x:c r="D235" s="137" t="str">
        <x:v>6X7B</x:v>
      </x:c>
      <x:c r="E235" s="137" t="str">
        <x:v>STITCHING</x:v>
      </x:c>
      <x:c r="F235" s="137" t="str">
        <x:v>Lebel Gola||MTR</x:v>
      </x:c>
      <x:c r="G235" s="137" t="str">
        <x:v>Lebel Gola</x:v>
      </x:c>
      <x:c r="H235" s="137" t="str">
        <x:v>MTR</x:v>
      </x:c>
      <x:c r="I235" s="175" t="n">
        <x:v>2</x:v>
      </x:c>
      <x:c r="J235" s="176" t="str"/>
      <x:c r="K235" s="177" t="str"/>
      <x:c r="L235" s="178" t="str">
        <x:f>IF(J235="","",J235*(1+IF(K235="",0,K235)) )</x:f>
      </x:c>
      <x:c r="M235" s="138" t="str"/>
      <x:c r="N235" s="137" t="str">
        <x:v>Current model BOM seed</x:v>
      </x:c>
      <x:c r="O235" s="137" t="str"/>
      <x:c r="P235" s="137" t="str">
        <x:v>To Confirm</x:v>
      </x:c>
      <x:c r="Q235" s="137" t="str"/>
    </x:row>
    <x:row r="236">
      <x:c r="A236" s="137" t="str">
        <x:v>BOM-00232</x:v>
      </x:c>
      <x:c r="B236" s="137" t="str">
        <x:v>REX GOLA (V)</x:v>
      </x:c>
      <x:c r="C236" s="137" t="str">
        <x:v>VELCRO</x:v>
      </x:c>
      <x:c r="D236" s="137" t="str">
        <x:v>6X7B</x:v>
      </x:c>
      <x:c r="E236" s="137" t="str">
        <x:v>STITCHING</x:v>
      </x:c>
      <x:c r="F236" s="137" t="str">
        <x:v>PP Bag 18.5x31||PCS</x:v>
      </x:c>
      <x:c r="G236" s="137" t="str">
        <x:v>PP Bag 18.5x31</x:v>
      </x:c>
      <x:c r="H236" s="137" t="str">
        <x:v>PCS</x:v>
      </x:c>
      <x:c r="I236" s="175" t="n">
        <x:v>0.066667</x:v>
      </x:c>
      <x:c r="J236" s="176" t="str"/>
      <x:c r="K236" s="177" t="str"/>
      <x:c r="L236" s="178" t="str">
        <x:f>IF(J236="","",J236*(1+IF(K236="",0,K236)) )</x:f>
      </x:c>
      <x:c r="M236" s="138" t="str"/>
      <x:c r="N236" s="137" t="str">
        <x:v>Current model BOM seed</x:v>
      </x:c>
      <x:c r="O236" s="137" t="str"/>
      <x:c r="P236" s="137" t="str">
        <x:v>To Confirm</x:v>
      </x:c>
      <x:c r="Q236" s="137" t="str"/>
    </x:row>
    <x:row r="237">
      <x:c r="A237" s="137" t="str">
        <x:v>BOM-00233</x:v>
      </x:c>
      <x:c r="B237" s="137" t="str">
        <x:v>REX GOLA (V)</x:v>
      </x:c>
      <x:c r="C237" s="137" t="str">
        <x:v>VELCRO</x:v>
      </x:c>
      <x:c r="D237" s="137" t="str">
        <x:v>6X7B</x:v>
      </x:c>
      <x:c r="E237" s="137" t="str">
        <x:v>STITCHING</x:v>
      </x:c>
      <x:c r="F237" s="137" t="str">
        <x:v>VELCRO 25 MM HOOK||MTR</x:v>
      </x:c>
      <x:c r="G237" s="137" t="str">
        <x:v>VELCRO 25 MM HOOK</x:v>
      </x:c>
      <x:c r="H237" s="137" t="str">
        <x:v>MTR</x:v>
      </x:c>
      <x:c r="I237" s="175" t="n">
        <x:v>0.4</x:v>
      </x:c>
      <x:c r="J237" s="176" t="str"/>
      <x:c r="K237" s="177" t="str"/>
      <x:c r="L237" s="178" t="str">
        <x:f>IF(J237="","",J237*(1+IF(K237="",0,K237)) )</x:f>
      </x:c>
      <x:c r="M237" s="138" t="str"/>
      <x:c r="N237" s="137" t="str">
        <x:v>Current model BOM seed</x:v>
      </x:c>
      <x:c r="O237" s="137" t="str"/>
      <x:c r="P237" s="137" t="str">
        <x:v>To Confirm</x:v>
      </x:c>
      <x:c r="Q237" s="137" t="str"/>
    </x:row>
    <x:row r="238">
      <x:c r="A238" s="137" t="str">
        <x:v>BOM-00234</x:v>
      </x:c>
      <x:c r="B238" s="137" t="str">
        <x:v>REX GOLA (V)</x:v>
      </x:c>
      <x:c r="C238" s="137" t="str">
        <x:v>VELCRO</x:v>
      </x:c>
      <x:c r="D238" s="137" t="str">
        <x:v>6X7B</x:v>
      </x:c>
      <x:c r="E238" s="137" t="str">
        <x:v>STITCHING</x:v>
      </x:c>
      <x:c r="F238" s="137" t="str">
        <x:v>VELCRO 25 MM LOOP||MTR</x:v>
      </x:c>
      <x:c r="G238" s="137" t="str">
        <x:v>VELCRO 25 MM LOOP</x:v>
      </x:c>
      <x:c r="H238" s="137" t="str">
        <x:v>MTR</x:v>
      </x:c>
      <x:c r="I238" s="175" t="n">
        <x:v>0.4</x:v>
      </x:c>
      <x:c r="J238" s="176" t="str"/>
      <x:c r="K238" s="177" t="str"/>
      <x:c r="L238" s="178" t="str">
        <x:f>IF(J238="","",J238*(1+IF(K238="",0,K238)) )</x:f>
      </x:c>
      <x:c r="M238" s="138" t="str"/>
      <x:c r="N238" s="137" t="str">
        <x:v>Current model BOM seed</x:v>
      </x:c>
      <x:c r="O238" s="137" t="str"/>
      <x:c r="P238" s="137" t="str">
        <x:v>To Confirm</x:v>
      </x:c>
      <x:c r="Q238" s="137" t="str"/>
    </x:row>
    <x:row r="239">
      <x:c r="A239" s="137" t="str">
        <x:v>BOM-00235</x:v>
      </x:c>
      <x:c r="B239" s="137" t="str">
        <x:v>REX GOLA (V)</x:v>
      </x:c>
      <x:c r="C239" s="137" t="str">
        <x:v>VELCRO</x:v>
      </x:c>
      <x:c r="D239" s="137" t="str">
        <x:v>6X7B</x:v>
      </x:c>
      <x:c r="E239" s="137" t="str">
        <x:v>STITCHING</x:v>
      </x:c>
      <x:c r="F239" s="137" t="str">
        <x:v>BUCKLE PF-3||PCS</x:v>
      </x:c>
      <x:c r="G239" s="137" t="str">
        <x:v>BUCKLE PF-3</x:v>
      </x:c>
      <x:c r="H239" s="137" t="str">
        <x:v>PCS</x:v>
      </x:c>
      <x:c r="I239" s="175" t="n">
        <x:v>4</x:v>
      </x:c>
      <x:c r="J239" s="176" t="str"/>
      <x:c r="K239" s="177" t="str"/>
      <x:c r="L239" s="178" t="str">
        <x:f>IF(J239="","",J239*(1+IF(K239="",0,K239)) )</x:f>
      </x:c>
      <x:c r="M239" s="138" t="str"/>
      <x:c r="N239" s="137" t="str">
        <x:v>Current model BOM seed</x:v>
      </x:c>
      <x:c r="O239" s="137" t="str"/>
      <x:c r="P239" s="137" t="str">
        <x:v>To Confirm</x:v>
      </x:c>
      <x:c r="Q239" s="137" t="str"/>
    </x:row>
    <x:row r="240">
      <x:c r="A240" s="137" t="str">
        <x:v>BOM-00236</x:v>
      </x:c>
      <x:c r="B240" s="137" t="str">
        <x:v>REX GOLA (V)</x:v>
      </x:c>
      <x:c r="C240" s="137" t="str">
        <x:v>VELCRO</x:v>
      </x:c>
      <x:c r="D240" s="137" t="str">
        <x:v>8X10B</x:v>
      </x:c>
      <x:c r="E240" s="137" t="str">
        <x:v>CUTTING</x:v>
      </x:c>
      <x:c r="F240" s="137" t="str">
        <x:v>REXION 1.5MM FRENZY (HEAVY)||MTR</x:v>
      </x:c>
      <x:c r="G240" s="137" t="str">
        <x:v>REXION 1.5MM FRENZY (HEAVY)</x:v>
      </x:c>
      <x:c r="H240" s="137" t="str">
        <x:v>MTR</x:v>
      </x:c>
      <x:c r="I240" s="175" t="n">
        <x:v>0.094963</x:v>
      </x:c>
      <x:c r="J240" s="176" t="str"/>
      <x:c r="K240" s="177" t="str"/>
      <x:c r="L240" s="178" t="str">
        <x:f>IF(J240="","",J240*(1+IF(K240="",0,K240)) )</x:f>
      </x:c>
      <x:c r="M240" s="138" t="str"/>
      <x:c r="N240" s="137" t="str">
        <x:v>Current model BOM seed</x:v>
      </x:c>
      <x:c r="O240" s="137" t="str"/>
      <x:c r="P240" s="137" t="str">
        <x:v>To Confirm</x:v>
      </x:c>
      <x:c r="Q240" s="137" t="str"/>
    </x:row>
    <x:row r="241">
      <x:c r="A241" s="137" t="str">
        <x:v>BOM-00237</x:v>
      </x:c>
      <x:c r="B241" s="137" t="str">
        <x:v>REX GOLA (V)</x:v>
      </x:c>
      <x:c r="C241" s="137" t="str">
        <x:v>VELCRO</x:v>
      </x:c>
      <x:c r="D241" s="137" t="str">
        <x:v>8X10B</x:v>
      </x:c>
      <x:c r="E241" s="137" t="str">
        <x:v>CUTTING</x:v>
      </x:c>
      <x:c r="F241" s="137" t="str">
        <x:v>REXION 1.5MM FRENZY (LIGHT)||MTR</x:v>
      </x:c>
      <x:c r="G241" s="137" t="str">
        <x:v>REXION 1.5MM FRENZY (LIGHT)</x:v>
      </x:c>
      <x:c r="H241" s="137" t="str">
        <x:v>MTR</x:v>
      </x:c>
      <x:c r="I241" s="175" t="n">
        <x:v>0.08</x:v>
      </x:c>
      <x:c r="J241" s="176" t="str"/>
      <x:c r="K241" s="177" t="str"/>
      <x:c r="L241" s="178" t="str">
        <x:f>IF(J241="","",J241*(1+IF(K241="",0,K241)) )</x:f>
      </x:c>
      <x:c r="M241" s="138" t="str"/>
      <x:c r="N241" s="137" t="str">
        <x:v>Current model BOM seed</x:v>
      </x:c>
      <x:c r="O241" s="137" t="str"/>
      <x:c r="P241" s="137" t="str">
        <x:v>To Confirm</x:v>
      </x:c>
      <x:c r="Q241" s="137" t="str"/>
    </x:row>
    <x:row r="242">
      <x:c r="A242" s="137" t="str">
        <x:v>BOM-00238</x:v>
      </x:c>
      <x:c r="B242" s="137" t="str">
        <x:v>REX GOLA (V)</x:v>
      </x:c>
      <x:c r="C242" s="137" t="str">
        <x:v>VELCRO</x:v>
      </x:c>
      <x:c r="D242" s="137" t="str">
        <x:v>8X10B</x:v>
      </x:c>
      <x:c r="E242" s="137" t="str">
        <x:v>CUTTING</x:v>
      </x:c>
      <x:c r="F242" s="137" t="str">
        <x:v>REXION 1.5MM FOR INTOE||MTR</x:v>
      </x:c>
      <x:c r="G242" s="137" t="str">
        <x:v>REXION 1.5MM FOR INTOE</x:v>
      </x:c>
      <x:c r="H242" s="137" t="str">
        <x:v>MTR</x:v>
      </x:c>
      <x:c r="I242" s="175" t="n">
        <x:v>0.026296</x:v>
      </x:c>
      <x:c r="J242" s="176" t="str"/>
      <x:c r="K242" s="177" t="str"/>
      <x:c r="L242" s="178" t="str">
        <x:f>IF(J242="","",J242*(1+IF(K242="",0,K242)) )</x:f>
      </x:c>
      <x:c r="M242" s="138" t="str"/>
      <x:c r="N242" s="137" t="str">
        <x:v>Current model BOM seed</x:v>
      </x:c>
      <x:c r="O242" s="137" t="str"/>
      <x:c r="P242" s="137" t="str">
        <x:v>To Confirm</x:v>
      </x:c>
      <x:c r="Q242" s="137" t="str"/>
    </x:row>
    <x:row r="243">
      <x:c r="A243" s="137" t="str">
        <x:v>BOM-00239</x:v>
      </x:c>
      <x:c r="B243" s="137" t="str">
        <x:v>REX GOLA (V)</x:v>
      </x:c>
      <x:c r="C243" s="137" t="str">
        <x:v>VELCRO</x:v>
      </x:c>
      <x:c r="D243" s="137" t="str">
        <x:v>8X10B</x:v>
      </x:c>
      <x:c r="E243" s="137" t="str">
        <x:v>CUTTING</x:v>
      </x:c>
      <x:c r="F243" s="137" t="str">
        <x:v>REXION 0.8MM FOR EYELET PATTI||MTR</x:v>
      </x:c>
      <x:c r="G243" s="137" t="str">
        <x:v>REXION 0.8MM FOR EYELET PATTI</x:v>
      </x:c>
      <x:c r="H243" s="137" t="str">
        <x:v>MTR</x:v>
      </x:c>
      <x:c r="I243" s="175" t="n">
        <x:v>0.009778</x:v>
      </x:c>
      <x:c r="J243" s="176" t="str"/>
      <x:c r="K243" s="177" t="str"/>
      <x:c r="L243" s="178" t="str">
        <x:f>IF(J243="","",J243*(1+IF(K243="",0,K243)) )</x:f>
      </x:c>
      <x:c r="M243" s="138" t="str"/>
      <x:c r="N243" s="137" t="str">
        <x:v>Current model BOM seed</x:v>
      </x:c>
      <x:c r="O243" s="137" t="str"/>
      <x:c r="P243" s="137" t="str">
        <x:v>To Confirm</x:v>
      </x:c>
      <x:c r="Q243" s="137" t="str"/>
    </x:row>
    <x:row r="244">
      <x:c r="A244" s="137" t="str">
        <x:v>BOM-00240</x:v>
      </x:c>
      <x:c r="B244" s="137" t="str">
        <x:v>REX GOLA (V)</x:v>
      </x:c>
      <x:c r="C244" s="137" t="str">
        <x:v>VELCRO</x:v>
      </x:c>
      <x:c r="D244" s="137" t="str">
        <x:v>8X10B</x:v>
      </x:c>
      <x:c r="E244" s="137" t="str">
        <x:v>CUTTING</x:v>
      </x:c>
      <x:c r="F244" s="137" t="str">
        <x:v>STIFFNER 1.4 MM||SHEET</x:v>
      </x:c>
      <x:c r="G244" s="137" t="str">
        <x:v>STIFFNER 1.4 MM</x:v>
      </x:c>
      <x:c r="H244" s="137" t="str">
        <x:v>SHEET</x:v>
      </x:c>
      <x:c r="I244" s="175" t="n">
        <x:v>0.0182</x:v>
      </x:c>
      <x:c r="J244" s="176" t="str"/>
      <x:c r="K244" s="177" t="str"/>
      <x:c r="L244" s="178" t="str">
        <x:f>IF(J244="","",J244*(1+IF(K244="",0,K244)) )</x:f>
      </x:c>
      <x:c r="M244" s="138" t="str"/>
      <x:c r="N244" s="137" t="str">
        <x:v>Current model BOM seed</x:v>
      </x:c>
      <x:c r="O244" s="137" t="str"/>
      <x:c r="P244" s="137" t="str">
        <x:v>To Confirm</x:v>
      </x:c>
      <x:c r="Q244" s="137" t="str"/>
    </x:row>
    <x:row r="245">
      <x:c r="A245" s="137" t="str">
        <x:v>BOM-00241</x:v>
      </x:c>
      <x:c r="B245" s="137" t="str">
        <x:v>REX GOLA (V)</x:v>
      </x:c>
      <x:c r="C245" s="137" t="str">
        <x:v>VELCRO</x:v>
      </x:c>
      <x:c r="D245" s="137" t="str">
        <x:v>8X10B</x:v>
      </x:c>
      <x:c r="E245" s="137" t="str">
        <x:v>CUTTING</x:v>
      </x:c>
      <x:c r="F245" s="137" t="str">
        <x:v>SKIN FIT 5 MM||MTR</x:v>
      </x:c>
      <x:c r="G245" s="137" t="str">
        <x:v>SKIN FIT 5 MM</x:v>
      </x:c>
      <x:c r="H245" s="137" t="str">
        <x:v>MTR</x:v>
      </x:c>
      <x:c r="I245" s="175" t="n">
        <x:v>0.095267</x:v>
      </x:c>
      <x:c r="J245" s="176" t="str"/>
      <x:c r="K245" s="177" t="str"/>
      <x:c r="L245" s="178" t="str">
        <x:f>IF(J245="","",J245*(1+IF(K245="",0,K245)) )</x:f>
      </x:c>
      <x:c r="M245" s="138" t="str"/>
      <x:c r="N245" s="137" t="str">
        <x:v>Current model BOM seed</x:v>
      </x:c>
      <x:c r="O245" s="137" t="str"/>
      <x:c r="P245" s="137" t="str">
        <x:v>To Confirm</x:v>
      </x:c>
      <x:c r="Q245" s="137" t="str"/>
    </x:row>
    <x:row r="246">
      <x:c r="A246" s="137" t="str">
        <x:v>BOM-00242</x:v>
      </x:c>
      <x:c r="B246" s="137" t="str">
        <x:v>REX GOLA (V)</x:v>
      </x:c>
      <x:c r="C246" s="137" t="str">
        <x:v>VELCRO</x:v>
      </x:c>
      <x:c r="D246" s="137" t="str">
        <x:v>8X10B</x:v>
      </x:c>
      <x:c r="E246" s="137" t="str">
        <x:v>CUTTING</x:v>
      </x:c>
      <x:c r="F246" s="137" t="str">
        <x:v>FOAM 10 MM||SHEET</x:v>
      </x:c>
      <x:c r="G246" s="137" t="str">
        <x:v>FOAM 10 MM</x:v>
      </x:c>
      <x:c r="H246" s="137" t="str">
        <x:v>SHEET</x:v>
      </x:c>
      <x:c r="I246" s="175" t="n">
        <x:v>0.021733</x:v>
      </x:c>
      <x:c r="J246" s="176" t="str"/>
      <x:c r="K246" s="177" t="str"/>
      <x:c r="L246" s="178" t="str">
        <x:f>IF(J246="","",J246*(1+IF(K246="",0,K246)) )</x:f>
      </x:c>
      <x:c r="M246" s="138" t="str"/>
      <x:c r="N246" s="137" t="str">
        <x:v>Current model BOM seed</x:v>
      </x:c>
      <x:c r="O246" s="137" t="str"/>
      <x:c r="P246" s="137" t="str">
        <x:v>To Confirm</x:v>
      </x:c>
      <x:c r="Q246" s="137" t="str"/>
    </x:row>
    <x:row r="247">
      <x:c r="A247" s="137" t="str">
        <x:v>BOM-00243</x:v>
      </x:c>
      <x:c r="B247" s="137" t="str">
        <x:v>REX GOLA (V)</x:v>
      </x:c>
      <x:c r="C247" s="137" t="str">
        <x:v>VELCRO</x:v>
      </x:c>
      <x:c r="D247" s="137" t="str">
        <x:v>8X10B</x:v>
      </x:c>
      <x:c r="E247" s="137" t="str">
        <x:v>CUTTING</x:v>
      </x:c>
      <x:c r="F247" s="137" t="str">
        <x:v>FOAM 20 MM||SHEET</x:v>
      </x:c>
      <x:c r="G247" s="137" t="str">
        <x:v>FOAM 20 MM</x:v>
      </x:c>
      <x:c r="H247" s="137" t="str">
        <x:v>SHEET</x:v>
      </x:c>
      <x:c r="I247" s="175" t="n">
        <x:v>0.013533</x:v>
      </x:c>
      <x:c r="J247" s="176" t="str"/>
      <x:c r="K247" s="177" t="str"/>
      <x:c r="L247" s="178" t="str">
        <x:f>IF(J247="","",J247*(1+IF(K247="",0,K247)) )</x:f>
      </x:c>
      <x:c r="M247" s="138" t="str"/>
      <x:c r="N247" s="137" t="str">
        <x:v>Current model BOM seed</x:v>
      </x:c>
      <x:c r="O247" s="137" t="str"/>
      <x:c r="P247" s="137" t="str">
        <x:v>To Confirm</x:v>
      </x:c>
      <x:c r="Q247" s="137" t="str"/>
    </x:row>
    <x:row r="248">
      <x:c r="A248" s="137" t="str">
        <x:v>BOM-00244</x:v>
      </x:c>
      <x:c r="B248" s="137" t="str">
        <x:v>REX GOLA (V)</x:v>
      </x:c>
      <x:c r="C248" s="137" t="str">
        <x:v>VELCRO</x:v>
      </x:c>
      <x:c r="D248" s="137" t="str">
        <x:v>8X10B</x:v>
      </x:c>
      <x:c r="E248" s="137" t="str">
        <x:v>CUTTING</x:v>
      </x:c>
      <x:c r="F248" s="137" t="str">
        <x:v>ASTAR 3 MM light||MTR</x:v>
      </x:c>
      <x:c r="G248" s="137" t="str">
        <x:v>ASTAR 3 MM light</x:v>
      </x:c>
      <x:c r="H248" s="137" t="str">
        <x:v>MTR</x:v>
      </x:c>
      <x:c r="I248" s="175" t="n">
        <x:v>0.017267</x:v>
      </x:c>
      <x:c r="J248" s="176" t="str"/>
      <x:c r="K248" s="177" t="str"/>
      <x:c r="L248" s="178" t="str">
        <x:f>IF(J248="","",J248*(1+IF(K248="",0,K248)) )</x:f>
      </x:c>
      <x:c r="M248" s="138" t="str"/>
      <x:c r="N248" s="137" t="str">
        <x:v>Current model BOM seed</x:v>
      </x:c>
      <x:c r="O248" s="137" t="str"/>
      <x:c r="P248" s="137" t="str">
        <x:v>To Confirm</x:v>
      </x:c>
      <x:c r="Q248" s="137" t="str"/>
    </x:row>
    <x:row r="249">
      <x:c r="A249" s="137" t="str">
        <x:v>BOM-00245</x:v>
      </x:c>
      <x:c r="B249" s="137" t="str">
        <x:v>REX GOLA (V)</x:v>
      </x:c>
      <x:c r="C249" s="137" t="str">
        <x:v>VELCRO</x:v>
      </x:c>
      <x:c r="D249" s="137" t="str">
        <x:v>8X10B</x:v>
      </x:c>
      <x:c r="E249" s="137" t="str">
        <x:v>CUTTING</x:v>
      </x:c>
      <x:c r="F249" s="137" t="str">
        <x:v>ASTAR 3 MM Heavy||MTR</x:v>
      </x:c>
      <x:c r="G249" s="137" t="str">
        <x:v>ASTAR 3 MM Heavy</x:v>
      </x:c>
      <x:c r="H249" s="137" t="str">
        <x:v>MTR</x:v>
      </x:c>
      <x:c r="I249" s="175" t="n">
        <x:v>0.033333</x:v>
      </x:c>
      <x:c r="J249" s="176" t="str"/>
      <x:c r="K249" s="177" t="str"/>
      <x:c r="L249" s="178" t="str">
        <x:f>IF(J249="","",J249*(1+IF(K249="",0,K249)) )</x:f>
      </x:c>
      <x:c r="M249" s="138" t="str"/>
      <x:c r="N249" s="137" t="str">
        <x:v>Current model BOM seed</x:v>
      </x:c>
      <x:c r="O249" s="137" t="str"/>
      <x:c r="P249" s="137" t="str">
        <x:v>To Confirm</x:v>
      </x:c>
      <x:c r="Q249" s="137" t="str"/>
    </x:row>
    <x:row r="250">
      <x:c r="A250" s="137" t="str">
        <x:v>BOM-00246</x:v>
      </x:c>
      <x:c r="B250" s="137" t="str">
        <x:v>REX GOLA (V)</x:v>
      </x:c>
      <x:c r="C250" s="137" t="str">
        <x:v>VELCRO</x:v>
      </x:c>
      <x:c r="D250" s="137" t="str">
        <x:v>8X10B</x:v>
      </x:c>
      <x:c r="E250" s="137" t="str">
        <x:v>CUTTING</x:v>
      </x:c>
      <x:c r="F250" s="137" t="str">
        <x:v>INSOLE 4 MM||MTR</x:v>
      </x:c>
      <x:c r="G250" s="137" t="str">
        <x:v>INSOLE 4 MM</x:v>
      </x:c>
      <x:c r="H250" s="137" t="str">
        <x:v>MTR</x:v>
      </x:c>
      <x:c r="I250" s="175" t="n">
        <x:v>0.036345</x:v>
      </x:c>
      <x:c r="J250" s="176" t="str"/>
      <x:c r="K250" s="177" t="str"/>
      <x:c r="L250" s="178" t="str">
        <x:f>IF(J250="","",J250*(1+IF(K250="",0,K250)) )</x:f>
      </x:c>
      <x:c r="M250" s="138" t="str"/>
      <x:c r="N250" s="137" t="str">
        <x:v>Current model BOM seed</x:v>
      </x:c>
      <x:c r="O250" s="137" t="str"/>
      <x:c r="P250" s="137" t="str">
        <x:v>To Confirm</x:v>
      </x:c>
      <x:c r="Q250" s="137" t="str"/>
    </x:row>
    <x:row r="251">
      <x:c r="A251" s="137" t="str">
        <x:v>BOM-00247</x:v>
      </x:c>
      <x:c r="B251" s="137" t="str">
        <x:v>REX GOLA (V)</x:v>
      </x:c>
      <x:c r="C251" s="137" t="str">
        <x:v>VELCRO</x:v>
      </x:c>
      <x:c r="D251" s="137" t="str">
        <x:v>8X10B</x:v>
      </x:c>
      <x:c r="E251" s="137" t="str">
        <x:v>CUTTING</x:v>
      </x:c>
      <x:c r="F251" s="137" t="str">
        <x:v>R.||MTR</x:v>
      </x:c>
      <x:c r="G251" s="137" t="str">
        <x:v>R.</x:v>
      </x:c>
      <x:c r="H251" s="137" t="str">
        <x:v>MTR</x:v>
      </x:c>
      <x:c r="I251" s="175" t="n">
        <x:v>0.037037</x:v>
      </x:c>
      <x:c r="J251" s="176" t="str"/>
      <x:c r="K251" s="177" t="str"/>
      <x:c r="L251" s="178" t="str">
        <x:f>IF(J251="","",J251*(1+IF(K251="",0,K251)) )</x:f>
      </x:c>
      <x:c r="M251" s="138" t="str"/>
      <x:c r="N251" s="137" t="str">
        <x:v>Current model BOM seed</x:v>
      </x:c>
      <x:c r="O251" s="137" t="str"/>
      <x:c r="P251" s="137" t="str">
        <x:v>To Confirm</x:v>
      </x:c>
      <x:c r="Q251" s="137" t="str"/>
    </x:row>
    <x:row r="252">
      <x:c r="A252" s="137" t="str">
        <x:v>BOM-00248</x:v>
      </x:c>
      <x:c r="B252" s="137" t="str">
        <x:v>REX GOLA (V)</x:v>
      </x:c>
      <x:c r="C252" s="137" t="str">
        <x:v>VELCRO</x:v>
      </x:c>
      <x:c r="D252" s="137" t="str">
        <x:v>8X10B</x:v>
      </x:c>
      <x:c r="E252" s="137" t="str">
        <x:v>STITCHING</x:v>
      </x:c>
      <x:c r="F252" s="137" t="str">
        <x:v>Nylon Thread 3 Ply||CONE</x:v>
      </x:c>
      <x:c r="G252" s="137" t="str">
        <x:v>Nylon Thread 3 Ply</x:v>
      </x:c>
      <x:c r="H252" s="137" t="str">
        <x:v>CONE</x:v>
      </x:c>
      <x:c r="I252" s="175" t="n">
        <x:v>0.035333</x:v>
      </x:c>
      <x:c r="J252" s="176" t="str"/>
      <x:c r="K252" s="177" t="str"/>
      <x:c r="L252" s="178" t="str">
        <x:f>IF(J252="","",J252*(1+IF(K252="",0,K252)) )</x:f>
      </x:c>
      <x:c r="M252" s="138" t="str"/>
      <x:c r="N252" s="137" t="str">
        <x:v>Current model BOM seed</x:v>
      </x:c>
      <x:c r="O252" s="137" t="str"/>
      <x:c r="P252" s="137" t="str">
        <x:v>To Confirm</x:v>
      </x:c>
      <x:c r="Q252" s="137" t="str"/>
    </x:row>
    <x:row r="253">
      <x:c r="A253" s="137" t="str">
        <x:v>BOM-00249</x:v>
      </x:c>
      <x:c r="B253" s="137" t="str">
        <x:v>REX GOLA (V)</x:v>
      </x:c>
      <x:c r="C253" s="137" t="str">
        <x:v>VELCRO</x:v>
      </x:c>
      <x:c r="D253" s="137" t="str">
        <x:v>8X10B</x:v>
      </x:c>
      <x:c r="E253" s="137" t="str">
        <x:v>STITCHING</x:v>
      </x:c>
      <x:c r="F253" s="137" t="str">
        <x:v>Polister Binding 12mm||MTR</x:v>
      </x:c>
      <x:c r="G253" s="137" t="str">
        <x:v>Polister Binding 12mm</x:v>
      </x:c>
      <x:c r="H253" s="137" t="str">
        <x:v>MTR</x:v>
      </x:c>
      <x:c r="I253" s="175" t="n">
        <x:v>0.4</x:v>
      </x:c>
      <x:c r="J253" s="176" t="str"/>
      <x:c r="K253" s="177" t="str"/>
      <x:c r="L253" s="178" t="str">
        <x:f>IF(J253="","",J253*(1+IF(K253="",0,K253)) )</x:f>
      </x:c>
      <x:c r="M253" s="138" t="str"/>
      <x:c r="N253" s="137" t="str">
        <x:v>Current model BOM seed</x:v>
      </x:c>
      <x:c r="O253" s="137" t="str"/>
      <x:c r="P253" s="137" t="str">
        <x:v>To Confirm</x:v>
      </x:c>
      <x:c r="Q253" s="137" t="str"/>
    </x:row>
    <x:row r="254">
      <x:c r="A254" s="137" t="str">
        <x:v>BOM-00250</x:v>
      </x:c>
      <x:c r="B254" s="137" t="str">
        <x:v>REX GOLA (V)</x:v>
      </x:c>
      <x:c r="C254" s="137" t="str">
        <x:v>VELCRO</x:v>
      </x:c>
      <x:c r="D254" s="137" t="str">
        <x:v>8X10B</x:v>
      </x:c>
      <x:c r="E254" s="137" t="str">
        <x:v>STITCHING</x:v>
      </x:c>
      <x:c r="F254" s="137" t="str">
        <x:v>Lebel Gola||MTR</x:v>
      </x:c>
      <x:c r="G254" s="137" t="str">
        <x:v>Lebel Gola</x:v>
      </x:c>
      <x:c r="H254" s="137" t="str">
        <x:v>MTR</x:v>
      </x:c>
      <x:c r="I254" s="175" t="n">
        <x:v>2</x:v>
      </x:c>
      <x:c r="J254" s="176" t="str"/>
      <x:c r="K254" s="177" t="str"/>
      <x:c r="L254" s="178" t="str">
        <x:f>IF(J254="","",J254*(1+IF(K254="",0,K254)) )</x:f>
      </x:c>
      <x:c r="M254" s="138" t="str"/>
      <x:c r="N254" s="137" t="str">
        <x:v>Current model BOM seed</x:v>
      </x:c>
      <x:c r="O254" s="137" t="str"/>
      <x:c r="P254" s="137" t="str">
        <x:v>To Confirm</x:v>
      </x:c>
      <x:c r="Q254" s="137" t="str"/>
    </x:row>
    <x:row r="255">
      <x:c r="A255" s="137" t="str">
        <x:v>BOM-00251</x:v>
      </x:c>
      <x:c r="B255" s="137" t="str">
        <x:v>REX GOLA (V)</x:v>
      </x:c>
      <x:c r="C255" s="137" t="str">
        <x:v>VELCRO</x:v>
      </x:c>
      <x:c r="D255" s="137" t="str">
        <x:v>8X10B</x:v>
      </x:c>
      <x:c r="E255" s="137" t="str">
        <x:v>STITCHING</x:v>
      </x:c>
      <x:c r="F255" s="137" t="str">
        <x:v>PP Bag 18.5x31||PCS</x:v>
      </x:c>
      <x:c r="G255" s="137" t="str">
        <x:v>PP Bag 18.5x31</x:v>
      </x:c>
      <x:c r="H255" s="137" t="str">
        <x:v>PCS</x:v>
      </x:c>
      <x:c r="I255" s="175" t="n">
        <x:v>0.066667</x:v>
      </x:c>
      <x:c r="J255" s="176" t="str"/>
      <x:c r="K255" s="177" t="str"/>
      <x:c r="L255" s="178" t="str">
        <x:f>IF(J255="","",J255*(1+IF(K255="",0,K255)) )</x:f>
      </x:c>
      <x:c r="M255" s="138" t="str"/>
      <x:c r="N255" s="137" t="str">
        <x:v>Current model BOM seed</x:v>
      </x:c>
      <x:c r="O255" s="137" t="str"/>
      <x:c r="P255" s="137" t="str">
        <x:v>To Confirm</x:v>
      </x:c>
      <x:c r="Q255" s="137" t="str"/>
    </x:row>
    <x:row r="256">
      <x:c r="A256" s="137" t="str">
        <x:v>BOM-00252</x:v>
      </x:c>
      <x:c r="B256" s="137" t="str">
        <x:v>REX GOLA (V)</x:v>
      </x:c>
      <x:c r="C256" s="137" t="str">
        <x:v>VELCRO</x:v>
      </x:c>
      <x:c r="D256" s="137" t="str">
        <x:v>8X10B</x:v>
      </x:c>
      <x:c r="E256" s="137" t="str">
        <x:v>STITCHING</x:v>
      </x:c>
      <x:c r="F256" s="137" t="str">
        <x:v>VELCRO 25 MM HOOK||MTR</x:v>
      </x:c>
      <x:c r="G256" s="137" t="str">
        <x:v>VELCRO 25 MM HOOK</x:v>
      </x:c>
      <x:c r="H256" s="137" t="str">
        <x:v>MTR</x:v>
      </x:c>
      <x:c r="I256" s="175" t="n">
        <x:v>0.4</x:v>
      </x:c>
      <x:c r="J256" s="176" t="str"/>
      <x:c r="K256" s="177" t="str"/>
      <x:c r="L256" s="178" t="str">
        <x:f>IF(J256="","",J256*(1+IF(K256="",0,K256)) )</x:f>
      </x:c>
      <x:c r="M256" s="138" t="str"/>
      <x:c r="N256" s="137" t="str">
        <x:v>Current model BOM seed</x:v>
      </x:c>
      <x:c r="O256" s="137" t="str"/>
      <x:c r="P256" s="137" t="str">
        <x:v>To Confirm</x:v>
      </x:c>
      <x:c r="Q256" s="137" t="str"/>
    </x:row>
    <x:row r="257">
      <x:c r="A257" s="137" t="str">
        <x:v>BOM-00253</x:v>
      </x:c>
      <x:c r="B257" s="137" t="str">
        <x:v>REX GOLA (V)</x:v>
      </x:c>
      <x:c r="C257" s="137" t="str">
        <x:v>VELCRO</x:v>
      </x:c>
      <x:c r="D257" s="137" t="str">
        <x:v>8X10B</x:v>
      </x:c>
      <x:c r="E257" s="137" t="str">
        <x:v>STITCHING</x:v>
      </x:c>
      <x:c r="F257" s="137" t="str">
        <x:v>VELCRO 25 MM LOOP||MTR</x:v>
      </x:c>
      <x:c r="G257" s="137" t="str">
        <x:v>VELCRO 25 MM LOOP</x:v>
      </x:c>
      <x:c r="H257" s="137" t="str">
        <x:v>MTR</x:v>
      </x:c>
      <x:c r="I257" s="175" t="n">
        <x:v>0.4</x:v>
      </x:c>
      <x:c r="J257" s="176" t="str"/>
      <x:c r="K257" s="177" t="str"/>
      <x:c r="L257" s="178" t="str">
        <x:f>IF(J257="","",J257*(1+IF(K257="",0,K257)) )</x:f>
      </x:c>
      <x:c r="M257" s="138" t="str"/>
      <x:c r="N257" s="137" t="str">
        <x:v>Current model BOM seed</x:v>
      </x:c>
      <x:c r="O257" s="137" t="str"/>
      <x:c r="P257" s="137" t="str">
        <x:v>To Confirm</x:v>
      </x:c>
      <x:c r="Q257" s="137" t="str"/>
    </x:row>
    <x:row r="258">
      <x:c r="A258" s="137" t="str">
        <x:v>BOM-00254</x:v>
      </x:c>
      <x:c r="B258" s="137" t="str">
        <x:v>REX GOLA (V)</x:v>
      </x:c>
      <x:c r="C258" s="137" t="str">
        <x:v>VELCRO</x:v>
      </x:c>
      <x:c r="D258" s="137" t="str">
        <x:v>8X10B</x:v>
      </x:c>
      <x:c r="E258" s="137" t="str">
        <x:v>STITCHING</x:v>
      </x:c>
      <x:c r="F258" s="137" t="str">
        <x:v>BUCKLE PF-3||PCS</x:v>
      </x:c>
      <x:c r="G258" s="137" t="str">
        <x:v>BUCKLE PF-3</x:v>
      </x:c>
      <x:c r="H258" s="137" t="str">
        <x:v>PCS</x:v>
      </x:c>
      <x:c r="I258" s="175" t="n">
        <x:v>4</x:v>
      </x:c>
      <x:c r="J258" s="176" t="str"/>
      <x:c r="K258" s="177" t="str"/>
      <x:c r="L258" s="178" t="str">
        <x:f>IF(J258="","",J258*(1+IF(K258="",0,K258)) )</x:f>
      </x:c>
      <x:c r="M258" s="138" t="str"/>
      <x:c r="N258" s="137" t="str">
        <x:v>Current model BOM seed</x:v>
      </x:c>
      <x:c r="O258" s="137" t="str"/>
      <x:c r="P258" s="137" t="str">
        <x:v>To Confirm</x:v>
      </x:c>
      <x:c r="Q258" s="137" t="str"/>
    </x:row>
    <x:row r="259">
      <x:c r="A259" s="137" t="str">
        <x:v>BOM-00255</x:v>
      </x:c>
      <x:c r="B259" s="137" t="str">
        <x:v>REX GOLA (L)</x:v>
      </x:c>
      <x:c r="C259" s="137" t="str">
        <x:v>LACE</x:v>
      </x:c>
      <x:c r="D259" s="137" t="str">
        <x:v>8X10</x:v>
      </x:c>
      <x:c r="E259" s="137" t="str">
        <x:v>CUTTING</x:v>
      </x:c>
      <x:c r="F259" s="137" t="str">
        <x:v>REXION 1.5MM FRENZY (HEAVY)||MTR</x:v>
      </x:c>
      <x:c r="G259" s="137" t="str">
        <x:v>REXION 1.5MM FRENZY (HEAVY)</x:v>
      </x:c>
      <x:c r="H259" s="137" t="str">
        <x:v>MTR</x:v>
      </x:c>
      <x:c r="I259" s="175" t="n">
        <x:v>0.043259</x:v>
      </x:c>
      <x:c r="J259" s="176" t="str"/>
      <x:c r="K259" s="177" t="str"/>
      <x:c r="L259" s="178" t="str">
        <x:f>IF(J259="","",J259*(1+IF(K259="",0,K259)) )</x:f>
      </x:c>
      <x:c r="M259" s="138" t="str"/>
      <x:c r="N259" s="137" t="str">
        <x:v>Current model BOM seed</x:v>
      </x:c>
      <x:c r="O259" s="137" t="str"/>
      <x:c r="P259" s="137" t="str">
        <x:v>To Confirm</x:v>
      </x:c>
      <x:c r="Q259" s="137" t="str"/>
    </x:row>
    <x:row r="260">
      <x:c r="A260" s="137" t="str">
        <x:v>BOM-00256</x:v>
      </x:c>
      <x:c r="B260" s="137" t="str">
        <x:v>REX GOLA (L)</x:v>
      </x:c>
      <x:c r="C260" s="137" t="str">
        <x:v>LACE</x:v>
      </x:c>
      <x:c r="D260" s="137" t="str">
        <x:v>8X10</x:v>
      </x:c>
      <x:c r="E260" s="137" t="str">
        <x:v>CUTTING</x:v>
      </x:c>
      <x:c r="F260" s="137" t="str">
        <x:v>REXION 1.5MM FRENZY (LIGHT)||MTR</x:v>
      </x:c>
      <x:c r="G260" s="137" t="str">
        <x:v>REXION 1.5MM FRENZY (LIGHT)</x:v>
      </x:c>
      <x:c r="H260" s="137" t="str">
        <x:v>MTR</x:v>
      </x:c>
      <x:c r="I260" s="175" t="n">
        <x:v>0.058296</x:v>
      </x:c>
      <x:c r="J260" s="176" t="str"/>
      <x:c r="K260" s="177" t="str"/>
      <x:c r="L260" s="178" t="str">
        <x:f>IF(J260="","",J260*(1+IF(K260="",0,K260)) )</x:f>
      </x:c>
      <x:c r="M260" s="138" t="str"/>
      <x:c r="N260" s="137" t="str">
        <x:v>Current model BOM seed</x:v>
      </x:c>
      <x:c r="O260" s="137" t="str"/>
      <x:c r="P260" s="137" t="str">
        <x:v>To Confirm</x:v>
      </x:c>
      <x:c r="Q260" s="137" t="str"/>
    </x:row>
    <x:row r="261">
      <x:c r="A261" s="137" t="str">
        <x:v>BOM-00257</x:v>
      </x:c>
      <x:c r="B261" s="137" t="str">
        <x:v>REX GOLA (L)</x:v>
      </x:c>
      <x:c r="C261" s="137" t="str">
        <x:v>LACE</x:v>
      </x:c>
      <x:c r="D261" s="137" t="str">
        <x:v>8X10</x:v>
      </x:c>
      <x:c r="E261" s="137" t="str">
        <x:v>CUTTING</x:v>
      </x:c>
      <x:c r="F261" s="137" t="str">
        <x:v>REXION 1.5MM FOR INTOE||MTR</x:v>
      </x:c>
      <x:c r="G261" s="137" t="str">
        <x:v>REXION 1.5MM FOR INTOE</x:v>
      </x:c>
      <x:c r="H261" s="137" t="str">
        <x:v>MTR</x:v>
      </x:c>
      <x:c r="I261" s="175" t="n">
        <x:v>0.013926</x:v>
      </x:c>
      <x:c r="J261" s="176" t="str"/>
      <x:c r="K261" s="177" t="str"/>
      <x:c r="L261" s="178" t="str">
        <x:f>IF(J261="","",J261*(1+IF(K261="",0,K261)) )</x:f>
      </x:c>
      <x:c r="M261" s="138" t="str"/>
      <x:c r="N261" s="137" t="str">
        <x:v>Current model BOM seed</x:v>
      </x:c>
      <x:c r="O261" s="137" t="str"/>
      <x:c r="P261" s="137" t="str">
        <x:v>To Confirm</x:v>
      </x:c>
      <x:c r="Q261" s="137" t="str"/>
    </x:row>
    <x:row r="262">
      <x:c r="A262" s="137" t="str">
        <x:v>BOM-00258</x:v>
      </x:c>
      <x:c r="B262" s="137" t="str">
        <x:v>REX GOLA (L)</x:v>
      </x:c>
      <x:c r="C262" s="137" t="str">
        <x:v>LACE</x:v>
      </x:c>
      <x:c r="D262" s="137" t="str">
        <x:v>8X10</x:v>
      </x:c>
      <x:c r="E262" s="137" t="str">
        <x:v>CUTTING</x:v>
      </x:c>
      <x:c r="F262" s="137" t="str">
        <x:v>STIFFNER 1.4 MM||MTR</x:v>
      </x:c>
      <x:c r="G262" s="137" t="str">
        <x:v>STIFFNER 1.4 MM</x:v>
      </x:c>
      <x:c r="H262" s="137" t="str">
        <x:v>MTR</x:v>
      </x:c>
      <x:c r="I262" s="175" t="n">
        <x:v>0.0104</x:v>
      </x:c>
      <x:c r="J262" s="176" t="str"/>
      <x:c r="K262" s="177" t="str"/>
      <x:c r="L262" s="178" t="str">
        <x:f>IF(J262="","",J262*(1+IF(K262="",0,K262)) )</x:f>
      </x:c>
      <x:c r="M262" s="138" t="str"/>
      <x:c r="N262" s="137" t="str">
        <x:v>Current model BOM seed</x:v>
      </x:c>
      <x:c r="O262" s="137" t="str"/>
      <x:c r="P262" s="137" t="str">
        <x:v>To Confirm</x:v>
      </x:c>
      <x:c r="Q262" s="137" t="str"/>
    </x:row>
    <x:row r="263">
      <x:c r="A263" s="137" t="str">
        <x:v>BOM-00259</x:v>
      </x:c>
      <x:c r="B263" s="137" t="str">
        <x:v>REX GOLA (L)</x:v>
      </x:c>
      <x:c r="C263" s="137" t="str">
        <x:v>LACE</x:v>
      </x:c>
      <x:c r="D263" s="137" t="str">
        <x:v>8X10</x:v>
      </x:c>
      <x:c r="E263" s="137" t="str">
        <x:v>CUTTING</x:v>
      </x:c>
      <x:c r="F263" s="137" t="str">
        <x:v>SKIN FIT 5 MM||MTR</x:v>
      </x:c>
      <x:c r="G263" s="137" t="str">
        <x:v>SKIN FIT 5 MM</x:v>
      </x:c>
      <x:c r="H263" s="137" t="str">
        <x:v>MTR</x:v>
      </x:c>
      <x:c r="I263" s="175" t="n">
        <x:v>0.0526</x:v>
      </x:c>
      <x:c r="J263" s="176" t="str"/>
      <x:c r="K263" s="177" t="str"/>
      <x:c r="L263" s="178" t="str">
        <x:f>IF(J263="","",J263*(1+IF(K263="",0,K263)) )</x:f>
      </x:c>
      <x:c r="M263" s="138" t="str"/>
      <x:c r="N263" s="137" t="str">
        <x:v>Current model BOM seed</x:v>
      </x:c>
      <x:c r="O263" s="137" t="str"/>
      <x:c r="P263" s="137" t="str">
        <x:v>To Confirm</x:v>
      </x:c>
      <x:c r="Q263" s="137" t="str"/>
    </x:row>
    <x:row r="264">
      <x:c r="A264" s="137" t="str">
        <x:v>BOM-00260</x:v>
      </x:c>
      <x:c r="B264" s="137" t="str">
        <x:v>REX GOLA (L)</x:v>
      </x:c>
      <x:c r="C264" s="137" t="str">
        <x:v>LACE</x:v>
      </x:c>
      <x:c r="D264" s="137" t="str">
        <x:v>8X10</x:v>
      </x:c>
      <x:c r="E264" s="137" t="str">
        <x:v>CUTTING</x:v>
      </x:c>
      <x:c r="F264" s="137" t="str">
        <x:v>FOAM 10 MM||SHEET</x:v>
      </x:c>
      <x:c r="G264" s="137" t="str">
        <x:v>FOAM 10 MM</x:v>
      </x:c>
      <x:c r="H264" s="137" t="str">
        <x:v>SHEET</x:v>
      </x:c>
      <x:c r="I264" s="175" t="n">
        <x:v>0.011333</x:v>
      </x:c>
      <x:c r="J264" s="176" t="str"/>
      <x:c r="K264" s="177" t="str"/>
      <x:c r="L264" s="178" t="str">
        <x:f>IF(J264="","",J264*(1+IF(K264="",0,K264)) )</x:f>
      </x:c>
      <x:c r="M264" s="138" t="str"/>
      <x:c r="N264" s="137" t="str">
        <x:v>Current model BOM seed</x:v>
      </x:c>
      <x:c r="O264" s="137" t="str"/>
      <x:c r="P264" s="137" t="str">
        <x:v>To Confirm</x:v>
      </x:c>
      <x:c r="Q264" s="137" t="str"/>
    </x:row>
    <x:row r="265">
      <x:c r="A265" s="137" t="str">
        <x:v>BOM-00261</x:v>
      </x:c>
      <x:c r="B265" s="137" t="str">
        <x:v>REX GOLA (L)</x:v>
      </x:c>
      <x:c r="C265" s="137" t="str">
        <x:v>LACE</x:v>
      </x:c>
      <x:c r="D265" s="137" t="str">
        <x:v>8X10</x:v>
      </x:c>
      <x:c r="E265" s="137" t="str">
        <x:v>CUTTING</x:v>
      </x:c>
      <x:c r="F265" s="137" t="str">
        <x:v>FOAM 20 MM||SHEET</x:v>
      </x:c>
      <x:c r="G265" s="137" t="str">
        <x:v>FOAM 20 MM</x:v>
      </x:c>
      <x:c r="H265" s="137" t="str">
        <x:v>SHEET</x:v>
      </x:c>
      <x:c r="I265" s="175" t="n">
        <x:v>0.0102</x:v>
      </x:c>
      <x:c r="J265" s="176" t="str"/>
      <x:c r="K265" s="177" t="str"/>
      <x:c r="L265" s="178" t="str">
        <x:f>IF(J265="","",J265*(1+IF(K265="",0,K265)) )</x:f>
      </x:c>
      <x:c r="M265" s="138" t="str"/>
      <x:c r="N265" s="137" t="str">
        <x:v>Current model BOM seed</x:v>
      </x:c>
      <x:c r="O265" s="137" t="str"/>
      <x:c r="P265" s="137" t="str">
        <x:v>To Confirm</x:v>
      </x:c>
      <x:c r="Q265" s="137" t="str"/>
    </x:row>
    <x:row r="266">
      <x:c r="A266" s="137" t="str">
        <x:v>BOM-00262</x:v>
      </x:c>
      <x:c r="B266" s="137" t="str">
        <x:v>REX GOLA (L)</x:v>
      </x:c>
      <x:c r="C266" s="137" t="str">
        <x:v>LACE</x:v>
      </x:c>
      <x:c r="D266" s="137" t="str">
        <x:v>8X10</x:v>
      </x:c>
      <x:c r="E266" s="137" t="str">
        <x:v>CUTTING</x:v>
      </x:c>
      <x:c r="F266" s="137" t="str">
        <x:v>ASTAR 3 MM Heavy||MTR</x:v>
      </x:c>
      <x:c r="G266" s="137" t="str">
        <x:v>ASTAR 3 MM Heavy</x:v>
      </x:c>
      <x:c r="H266" s="137" t="str">
        <x:v>MTR</x:v>
      </x:c>
      <x:c r="I266" s="175" t="n">
        <x:v>0.017867</x:v>
      </x:c>
      <x:c r="J266" s="176" t="str"/>
      <x:c r="K266" s="177" t="str"/>
      <x:c r="L266" s="178" t="str">
        <x:f>IF(J266="","",J266*(1+IF(K266="",0,K266)) )</x:f>
      </x:c>
      <x:c r="M266" s="138" t="str"/>
      <x:c r="N266" s="137" t="str">
        <x:v>Current model BOM seed</x:v>
      </x:c>
      <x:c r="O266" s="137" t="str"/>
      <x:c r="P266" s="137" t="str">
        <x:v>To Confirm</x:v>
      </x:c>
      <x:c r="Q266" s="137" t="str"/>
    </x:row>
    <x:row r="267">
      <x:c r="A267" s="137" t="str">
        <x:v>BOM-00263</x:v>
      </x:c>
      <x:c r="B267" s="137" t="str">
        <x:v>REX GOLA (L)</x:v>
      </x:c>
      <x:c r="C267" s="137" t="str">
        <x:v>LACE</x:v>
      </x:c>
      <x:c r="D267" s="137" t="str">
        <x:v>8X10</x:v>
      </x:c>
      <x:c r="E267" s="137" t="str">
        <x:v>CUTTING</x:v>
      </x:c>
      <x:c r="F267" s="137" t="str">
        <x:v>INSOLE 4 MM||MTR</x:v>
      </x:c>
      <x:c r="G267" s="137" t="str">
        <x:v>INSOLE 4 MM</x:v>
      </x:c>
      <x:c r="H267" s="137" t="str">
        <x:v>MTR</x:v>
      </x:c>
      <x:c r="I267" s="175" t="n">
        <x:v>0.019172</x:v>
      </x:c>
      <x:c r="J267" s="176" t="str"/>
      <x:c r="K267" s="177" t="str"/>
      <x:c r="L267" s="178" t="str">
        <x:f>IF(J267="","",J267*(1+IF(K267="",0,K267)) )</x:f>
      </x:c>
      <x:c r="M267" s="138" t="str"/>
      <x:c r="N267" s="137" t="str">
        <x:v>Current model BOM seed</x:v>
      </x:c>
      <x:c r="O267" s="137" t="str"/>
      <x:c r="P267" s="137" t="str">
        <x:v>To Confirm</x:v>
      </x:c>
      <x:c r="Q267" s="137" t="str"/>
    </x:row>
    <x:row r="268">
      <x:c r="A268" s="137" t="str">
        <x:v>BOM-00264</x:v>
      </x:c>
      <x:c r="B268" s="137" t="str">
        <x:v>REX GOLA (L)</x:v>
      </x:c>
      <x:c r="C268" s="137" t="str">
        <x:v>LACE</x:v>
      </x:c>
      <x:c r="D268" s="137" t="str">
        <x:v>8X10</x:v>
      </x:c>
      <x:c r="E268" s="137" t="str">
        <x:v>CUTTING</x:v>
      </x:c>
      <x:c r="F268" s="137" t="str">
        <x:v>R.||MTR</x:v>
      </x:c>
      <x:c r="G268" s="137" t="str">
        <x:v>R.</x:v>
      </x:c>
      <x:c r="H268" s="137" t="str">
        <x:v>MTR</x:v>
      </x:c>
      <x:c r="I268" s="175" t="n">
        <x:v>0.019259</x:v>
      </x:c>
      <x:c r="J268" s="176" t="str"/>
      <x:c r="K268" s="177" t="str"/>
      <x:c r="L268" s="178" t="str">
        <x:f>IF(J268="","",J268*(1+IF(K268="",0,K268)) )</x:f>
      </x:c>
      <x:c r="M268" s="138" t="str"/>
      <x:c r="N268" s="137" t="str">
        <x:v>Current model BOM seed</x:v>
      </x:c>
      <x:c r="O268" s="137" t="str"/>
      <x:c r="P268" s="137" t="str">
        <x:v>To Confirm</x:v>
      </x:c>
      <x:c r="Q268" s="137" t="str"/>
    </x:row>
    <x:row r="269">
      <x:c r="A269" s="137" t="str">
        <x:v>BOM-00265</x:v>
      </x:c>
      <x:c r="B269" s="137" t="str">
        <x:v>REX GOLA (L)</x:v>
      </x:c>
      <x:c r="C269" s="137" t="str">
        <x:v>LACE</x:v>
      </x:c>
      <x:c r="D269" s="137" t="str">
        <x:v>8X10</x:v>
      </x:c>
      <x:c r="E269" s="137" t="str">
        <x:v>STITCHING</x:v>
      </x:c>
      <x:c r="F269" s="137" t="str">
        <x:v>Nylonthread 3 ply||CONE</x:v>
      </x:c>
      <x:c r="G269" s="137" t="str">
        <x:v>Nylonthread 3 ply</x:v>
      </x:c>
      <x:c r="H269" s="137" t="str">
        <x:v>CONE</x:v>
      </x:c>
      <x:c r="I269" s="175" t="n">
        <x:v>0.021333</x:v>
      </x:c>
      <x:c r="J269" s="176" t="str"/>
      <x:c r="K269" s="177" t="str"/>
      <x:c r="L269" s="178" t="str">
        <x:f>IF(J269="","",J269*(1+IF(K269="",0,K269)) )</x:f>
      </x:c>
      <x:c r="M269" s="138" t="str"/>
      <x:c r="N269" s="137" t="str">
        <x:v>Current model BOM seed</x:v>
      </x:c>
      <x:c r="O269" s="137" t="str"/>
      <x:c r="P269" s="137" t="str">
        <x:v>To Confirm</x:v>
      </x:c>
      <x:c r="Q269" s="137" t="str"/>
    </x:row>
    <x:row r="270">
      <x:c r="A270" s="137" t="str">
        <x:v>BOM-00266</x:v>
      </x:c>
      <x:c r="B270" s="137" t="str">
        <x:v>REX GOLA (L)</x:v>
      </x:c>
      <x:c r="C270" s="137" t="str">
        <x:v>LACE</x:v>
      </x:c>
      <x:c r="D270" s="137" t="str">
        <x:v>8X10</x:v>
      </x:c>
      <x:c r="E270" s="137" t="str">
        <x:v>STITCHING</x:v>
      </x:c>
      <x:c r="F270" s="137" t="str">
        <x:v>Polister Binding 12mm||MTR</x:v>
      </x:c>
      <x:c r="G270" s="137" t="str">
        <x:v>Polister Binding 12mm</x:v>
      </x:c>
      <x:c r="H270" s="137" t="str">
        <x:v>MTR</x:v>
      </x:c>
      <x:c r="I270" s="175" t="n">
        <x:v>0.32</x:v>
      </x:c>
      <x:c r="J270" s="176" t="str"/>
      <x:c r="K270" s="177" t="str"/>
      <x:c r="L270" s="178" t="str">
        <x:f>IF(J270="","",J270*(1+IF(K270="",0,K270)) )</x:f>
      </x:c>
      <x:c r="M270" s="138" t="str"/>
      <x:c r="N270" s="137" t="str">
        <x:v>Current model BOM seed</x:v>
      </x:c>
      <x:c r="O270" s="137" t="str"/>
      <x:c r="P270" s="137" t="str">
        <x:v>To Confirm</x:v>
      </x:c>
      <x:c r="Q270" s="137" t="str"/>
    </x:row>
    <x:row r="271">
      <x:c r="A271" s="137" t="str">
        <x:v>BOM-00267</x:v>
      </x:c>
      <x:c r="B271" s="137" t="str">
        <x:v>REX GOLA (L)</x:v>
      </x:c>
      <x:c r="C271" s="137" t="str">
        <x:v>LACE</x:v>
      </x:c>
      <x:c r="D271" s="137" t="str">
        <x:v>8X10</x:v>
      </x:c>
      <x:c r="E271" s="137" t="str">
        <x:v>STITCHING</x:v>
      </x:c>
      <x:c r="F271" s="137" t="str">
        <x:v>Lebel Gola||PCS</x:v>
      </x:c>
      <x:c r="G271" s="137" t="str">
        <x:v>Lebel Gola</x:v>
      </x:c>
      <x:c r="H271" s="137" t="str">
        <x:v>PCS</x:v>
      </x:c>
      <x:c r="I271" s="175" t="n">
        <x:v>2</x:v>
      </x:c>
      <x:c r="J271" s="176" t="str"/>
      <x:c r="K271" s="177" t="str"/>
      <x:c r="L271" s="178" t="str">
        <x:f>IF(J271="","",J271*(1+IF(K271="",0,K271)) )</x:f>
      </x:c>
      <x:c r="M271" s="138" t="str"/>
      <x:c r="N271" s="137" t="str">
        <x:v>Current model BOM seed</x:v>
      </x:c>
      <x:c r="O271" s="137" t="str"/>
      <x:c r="P271" s="137" t="str">
        <x:v>To Confirm</x:v>
      </x:c>
      <x:c r="Q271" s="137" t="str"/>
    </x:row>
    <x:row r="272">
      <x:c r="A272" s="137" t="str">
        <x:v>BOM-00268</x:v>
      </x:c>
      <x:c r="B272" s="137" t="str">
        <x:v>REX GOLA (L)</x:v>
      </x:c>
      <x:c r="C272" s="137" t="str">
        <x:v>LACE</x:v>
      </x:c>
      <x:c r="D272" s="137" t="str">
        <x:v>8X10</x:v>
      </x:c>
      <x:c r="E272" s="137" t="str">
        <x:v>STITCHING</x:v>
      </x:c>
      <x:c r="F272" s="137" t="str">
        <x:v>PP Bag 18.5x31||PCS</x:v>
      </x:c>
      <x:c r="G272" s="137" t="str">
        <x:v>PP Bag 18.5x31</x:v>
      </x:c>
      <x:c r="H272" s="137" t="str">
        <x:v>PCS</x:v>
      </x:c>
      <x:c r="I272" s="175" t="n">
        <x:v>0.05</x:v>
      </x:c>
      <x:c r="J272" s="176" t="str"/>
      <x:c r="K272" s="177" t="str"/>
      <x:c r="L272" s="178" t="str">
        <x:f>IF(J272="","",J272*(1+IF(K272="",0,K272)) )</x:f>
      </x:c>
      <x:c r="M272" s="138" t="str"/>
      <x:c r="N272" s="137" t="str">
        <x:v>Current model BOM seed</x:v>
      </x:c>
      <x:c r="O272" s="137" t="str"/>
      <x:c r="P272" s="137" t="str">
        <x:v>To Confirm</x:v>
      </x:c>
      <x:c r="Q272" s="137" t="str"/>
    </x:row>
    <x:row r="273">
      <x:c r="A273" s="137" t="str">
        <x:v>BOM-00269</x:v>
      </x:c>
      <x:c r="B273" s="137" t="str">
        <x:v>REX GOLA (L)</x:v>
      </x:c>
      <x:c r="C273" s="137" t="str">
        <x:v>LACE</x:v>
      </x:c>
      <x:c r="D273" s="137" t="str">
        <x:v>11X13</x:v>
      </x:c>
      <x:c r="E273" s="137" t="str">
        <x:v>CUTTING</x:v>
      </x:c>
      <x:c r="F273" s="137" t="str">
        <x:v>REXION 1.5MM FRENZY (HEAVY)||MTR</x:v>
      </x:c>
      <x:c r="G273" s="137" t="str">
        <x:v>REXION 1.5MM FRENZY (HEAVY)</x:v>
      </x:c>
      <x:c r="H273" s="137" t="str">
        <x:v>MTR</x:v>
      </x:c>
      <x:c r="I273" s="175" t="n">
        <x:v>0.049704</x:v>
      </x:c>
      <x:c r="J273" s="176" t="str"/>
      <x:c r="K273" s="177" t="str"/>
      <x:c r="L273" s="178" t="str">
        <x:f>IF(J273="","",J273*(1+IF(K273="",0,K273)) )</x:f>
      </x:c>
      <x:c r="M273" s="138" t="str"/>
      <x:c r="N273" s="137" t="str">
        <x:v>Current model BOM seed</x:v>
      </x:c>
      <x:c r="O273" s="137" t="str"/>
      <x:c r="P273" s="137" t="str">
        <x:v>To Confirm</x:v>
      </x:c>
      <x:c r="Q273" s="137" t="str"/>
    </x:row>
    <x:row r="274">
      <x:c r="A274" s="137" t="str">
        <x:v>BOM-00270</x:v>
      </x:c>
      <x:c r="B274" s="137" t="str">
        <x:v>REX GOLA (L)</x:v>
      </x:c>
      <x:c r="C274" s="137" t="str">
        <x:v>LACE</x:v>
      </x:c>
      <x:c r="D274" s="137" t="str">
        <x:v>11X13</x:v>
      </x:c>
      <x:c r="E274" s="137" t="str">
        <x:v>CUTTING</x:v>
      </x:c>
      <x:c r="F274" s="137" t="str">
        <x:v>REXION 1.5MM FRENZY (LIGHT)||MTR</x:v>
      </x:c>
      <x:c r="G274" s="137" t="str">
        <x:v>REXION 1.5MM FRENZY (LIGHT)</x:v>
      </x:c>
      <x:c r="H274" s="137" t="str">
        <x:v>MTR</x:v>
      </x:c>
      <x:c r="I274" s="175" t="n">
        <x:v>0.064222</x:v>
      </x:c>
      <x:c r="J274" s="176" t="str"/>
      <x:c r="K274" s="177" t="str"/>
      <x:c r="L274" s="178" t="str">
        <x:f>IF(J274="","",J274*(1+IF(K274="",0,K274)) )</x:f>
      </x:c>
      <x:c r="M274" s="138" t="str"/>
      <x:c r="N274" s="137" t="str">
        <x:v>Current model BOM seed</x:v>
      </x:c>
      <x:c r="O274" s="137" t="str"/>
      <x:c r="P274" s="137" t="str">
        <x:v>To Confirm</x:v>
      </x:c>
      <x:c r="Q274" s="137" t="str"/>
    </x:row>
    <x:row r="275">
      <x:c r="A275" s="137" t="str">
        <x:v>BOM-00271</x:v>
      </x:c>
      <x:c r="B275" s="137" t="str">
        <x:v>REX GOLA (L)</x:v>
      </x:c>
      <x:c r="C275" s="137" t="str">
        <x:v>LACE</x:v>
      </x:c>
      <x:c r="D275" s="137" t="str">
        <x:v>11X13</x:v>
      </x:c>
      <x:c r="E275" s="137" t="str">
        <x:v>CUTTING</x:v>
      </x:c>
      <x:c r="F275" s="137" t="str">
        <x:v>REXION 1.5MM FOR INTOE||MTR</x:v>
      </x:c>
      <x:c r="G275" s="137" t="str">
        <x:v>REXION 1.5MM FOR INTOE</x:v>
      </x:c>
      <x:c r="H275" s="137" t="str">
        <x:v>MTR</x:v>
      </x:c>
      <x:c r="I275" s="175" t="n">
        <x:v>0.015185</x:v>
      </x:c>
      <x:c r="J275" s="176" t="str"/>
      <x:c r="K275" s="177" t="str"/>
      <x:c r="L275" s="178" t="str">
        <x:f>IF(J275="","",J275*(1+IF(K275="",0,K275)) )</x:f>
      </x:c>
      <x:c r="M275" s="138" t="str"/>
      <x:c r="N275" s="137" t="str">
        <x:v>Current model BOM seed</x:v>
      </x:c>
      <x:c r="O275" s="137" t="str"/>
      <x:c r="P275" s="137" t="str">
        <x:v>To Confirm</x:v>
      </x:c>
      <x:c r="Q275" s="137" t="str"/>
    </x:row>
    <x:row r="276">
      <x:c r="A276" s="137" t="str">
        <x:v>BOM-00272</x:v>
      </x:c>
      <x:c r="B276" s="137" t="str">
        <x:v>REX GOLA (L)</x:v>
      </x:c>
      <x:c r="C276" s="137" t="str">
        <x:v>LACE</x:v>
      </x:c>
      <x:c r="D276" s="137" t="str">
        <x:v>11X13</x:v>
      </x:c>
      <x:c r="E276" s="137" t="str">
        <x:v>CUTTING</x:v>
      </x:c>
      <x:c r="F276" s="137" t="str">
        <x:v>STIFFNER 1.4 MM||MTR</x:v>
      </x:c>
      <x:c r="G276" s="137" t="str">
        <x:v>STIFFNER 1.4 MM</x:v>
      </x:c>
      <x:c r="H276" s="137" t="str">
        <x:v>MTR</x:v>
      </x:c>
      <x:c r="I276" s="175" t="n">
        <x:v>0.0122</x:v>
      </x:c>
      <x:c r="J276" s="176" t="str"/>
      <x:c r="K276" s="177" t="str"/>
      <x:c r="L276" s="178" t="str">
        <x:f>IF(J276="","",J276*(1+IF(K276="",0,K276)) )</x:f>
      </x:c>
      <x:c r="M276" s="138" t="str"/>
      <x:c r="N276" s="137" t="str">
        <x:v>Current model BOM seed</x:v>
      </x:c>
      <x:c r="O276" s="137" t="str"/>
      <x:c r="P276" s="137" t="str">
        <x:v>To Confirm</x:v>
      </x:c>
      <x:c r="Q276" s="137" t="str"/>
    </x:row>
    <x:row r="277">
      <x:c r="A277" s="137" t="str">
        <x:v>BOM-00273</x:v>
      </x:c>
      <x:c r="B277" s="137" t="str">
        <x:v>REX GOLA (L)</x:v>
      </x:c>
      <x:c r="C277" s="137" t="str">
        <x:v>LACE</x:v>
      </x:c>
      <x:c r="D277" s="137" t="str">
        <x:v>11X13</x:v>
      </x:c>
      <x:c r="E277" s="137" t="str">
        <x:v>CUTTING</x:v>
      </x:c>
      <x:c r="F277" s="137" t="str">
        <x:v>SKIN FIT 5 MM||MTR</x:v>
      </x:c>
      <x:c r="G277" s="137" t="str">
        <x:v>SKIN FIT 5 MM</x:v>
      </x:c>
      <x:c r="H277" s="137" t="str">
        <x:v>MTR</x:v>
      </x:c>
      <x:c r="I277" s="175" t="n">
        <x:v>0.055533</x:v>
      </x:c>
      <x:c r="J277" s="176" t="str"/>
      <x:c r="K277" s="177" t="str"/>
      <x:c r="L277" s="178" t="str">
        <x:f>IF(J277="","",J277*(1+IF(K277="",0,K277)) )</x:f>
      </x:c>
      <x:c r="M277" s="138" t="str"/>
      <x:c r="N277" s="137" t="str">
        <x:v>Current model BOM seed</x:v>
      </x:c>
      <x:c r="O277" s="137" t="str"/>
      <x:c r="P277" s="137" t="str">
        <x:v>To Confirm</x:v>
      </x:c>
      <x:c r="Q277" s="137" t="str"/>
    </x:row>
    <x:row r="278">
      <x:c r="A278" s="137" t="str">
        <x:v>BOM-00274</x:v>
      </x:c>
      <x:c r="B278" s="137" t="str">
        <x:v>REX GOLA (L)</x:v>
      </x:c>
      <x:c r="C278" s="137" t="str">
        <x:v>LACE</x:v>
      </x:c>
      <x:c r="D278" s="137" t="str">
        <x:v>11X13</x:v>
      </x:c>
      <x:c r="E278" s="137" t="str">
        <x:v>CUTTING</x:v>
      </x:c>
      <x:c r="F278" s="137" t="str">
        <x:v>FOAM 10 MM||SHEET</x:v>
      </x:c>
      <x:c r="G278" s="137" t="str">
        <x:v>FOAM 10 MM</x:v>
      </x:c>
      <x:c r="H278" s="137" t="str">
        <x:v>SHEET</x:v>
      </x:c>
      <x:c r="I278" s="175" t="n">
        <x:v>0.014267</x:v>
      </x:c>
      <x:c r="J278" s="176" t="str"/>
      <x:c r="K278" s="177" t="str"/>
      <x:c r="L278" s="178" t="str">
        <x:f>IF(J278="","",J278*(1+IF(K278="",0,K278)) )</x:f>
      </x:c>
      <x:c r="M278" s="138" t="str"/>
      <x:c r="N278" s="137" t="str">
        <x:v>Current model BOM seed</x:v>
      </x:c>
      <x:c r="O278" s="137" t="str"/>
      <x:c r="P278" s="137" t="str">
        <x:v>To Confirm</x:v>
      </x:c>
      <x:c r="Q278" s="137" t="str"/>
    </x:row>
    <x:row r="279">
      <x:c r="A279" s="137" t="str">
        <x:v>BOM-00275</x:v>
      </x:c>
      <x:c r="B279" s="137" t="str">
        <x:v>REX GOLA (L)</x:v>
      </x:c>
      <x:c r="C279" s="137" t="str">
        <x:v>LACE</x:v>
      </x:c>
      <x:c r="D279" s="137" t="str">
        <x:v>11X13</x:v>
      </x:c>
      <x:c r="E279" s="137" t="str">
        <x:v>CUTTING</x:v>
      </x:c>
      <x:c r="F279" s="137" t="str">
        <x:v>FOAM 20 MM||SHEET</x:v>
      </x:c>
      <x:c r="G279" s="137" t="str">
        <x:v>FOAM 20 MM</x:v>
      </x:c>
      <x:c r="H279" s="137" t="str">
        <x:v>SHEET</x:v>
      </x:c>
      <x:c r="I279" s="175" t="n">
        <x:v>0.0102</x:v>
      </x:c>
      <x:c r="J279" s="176" t="str"/>
      <x:c r="K279" s="177" t="str"/>
      <x:c r="L279" s="178" t="str">
        <x:f>IF(J279="","",J279*(1+IF(K279="",0,K279)) )</x:f>
      </x:c>
      <x:c r="M279" s="138" t="str"/>
      <x:c r="N279" s="137" t="str">
        <x:v>Current model BOM seed</x:v>
      </x:c>
      <x:c r="O279" s="137" t="str"/>
      <x:c r="P279" s="137" t="str">
        <x:v>To Confirm</x:v>
      </x:c>
      <x:c r="Q279" s="137" t="str"/>
    </x:row>
    <x:row r="280">
      <x:c r="A280" s="137" t="str">
        <x:v>BOM-00276</x:v>
      </x:c>
      <x:c r="B280" s="137" t="str">
        <x:v>REX GOLA (L)</x:v>
      </x:c>
      <x:c r="C280" s="137" t="str">
        <x:v>LACE</x:v>
      </x:c>
      <x:c r="D280" s="137" t="str">
        <x:v>11X13</x:v>
      </x:c>
      <x:c r="E280" s="137" t="str">
        <x:v>CUTTING</x:v>
      </x:c>
      <x:c r="F280" s="137" t="str">
        <x:v>ASTAR 3 MM Heavy||MTR</x:v>
      </x:c>
      <x:c r="G280" s="137" t="str">
        <x:v>ASTAR 3 MM Heavy</x:v>
      </x:c>
      <x:c r="H280" s="137" t="str">
        <x:v>MTR</x:v>
      </x:c>
      <x:c r="I280" s="175" t="n">
        <x:v>0.0222</x:v>
      </x:c>
      <x:c r="J280" s="176" t="str"/>
      <x:c r="K280" s="177" t="str"/>
      <x:c r="L280" s="178" t="str">
        <x:f>IF(J280="","",J280*(1+IF(K280="",0,K280)) )</x:f>
      </x:c>
      <x:c r="M280" s="138" t="str"/>
      <x:c r="N280" s="137" t="str">
        <x:v>Current model BOM seed</x:v>
      </x:c>
      <x:c r="O280" s="137" t="str"/>
      <x:c r="P280" s="137" t="str">
        <x:v>To Confirm</x:v>
      </x:c>
      <x:c r="Q280" s="137" t="str"/>
    </x:row>
    <x:row r="281">
      <x:c r="A281" s="137" t="str">
        <x:v>BOM-00277</x:v>
      </x:c>
      <x:c r="B281" s="137" t="str">
        <x:v>REX GOLA (L)</x:v>
      </x:c>
      <x:c r="C281" s="137" t="str">
        <x:v>LACE</x:v>
      </x:c>
      <x:c r="D281" s="137" t="str">
        <x:v>11X13</x:v>
      </x:c>
      <x:c r="E281" s="137" t="str">
        <x:v>CUTTING</x:v>
      </x:c>
      <x:c r="F281" s="137" t="str">
        <x:v>INSOLE 4 MM||MTR</x:v>
      </x:c>
      <x:c r="G281" s="137" t="str">
        <x:v>INSOLE 4 MM</x:v>
      </x:c>
      <x:c r="H281" s="137" t="str">
        <x:v>MTR</x:v>
      </x:c>
      <x:c r="I281" s="175" t="n">
        <x:v>0.022207</x:v>
      </x:c>
      <x:c r="J281" s="176" t="str"/>
      <x:c r="K281" s="177" t="str"/>
      <x:c r="L281" s="178" t="str">
        <x:f>IF(J281="","",J281*(1+IF(K281="",0,K281)) )</x:f>
      </x:c>
      <x:c r="M281" s="138" t="str"/>
      <x:c r="N281" s="137" t="str">
        <x:v>Current model BOM seed</x:v>
      </x:c>
      <x:c r="O281" s="137" t="str"/>
      <x:c r="P281" s="137" t="str">
        <x:v>To Confirm</x:v>
      </x:c>
      <x:c r="Q281" s="137" t="str"/>
    </x:row>
    <x:row r="282">
      <x:c r="A282" s="137" t="str">
        <x:v>BOM-00278</x:v>
      </x:c>
      <x:c r="B282" s="137" t="str">
        <x:v>REX GOLA (L)</x:v>
      </x:c>
      <x:c r="C282" s="137" t="str">
        <x:v>LACE</x:v>
      </x:c>
      <x:c r="D282" s="137" t="str">
        <x:v>11X13</x:v>
      </x:c>
      <x:c r="E282" s="137" t="str">
        <x:v>CUTTING</x:v>
      </x:c>
      <x:c r="F282" s="137" t="str">
        <x:v>R.||MTR</x:v>
      </x:c>
      <x:c r="G282" s="137" t="str">
        <x:v>R.</x:v>
      </x:c>
      <x:c r="H282" s="137" t="str">
        <x:v>MTR</x:v>
      </x:c>
      <x:c r="I282" s="175" t="n">
        <x:v>0.023778</x:v>
      </x:c>
      <x:c r="J282" s="176" t="str"/>
      <x:c r="K282" s="177" t="str"/>
      <x:c r="L282" s="178" t="str">
        <x:f>IF(J282="","",J282*(1+IF(K282="",0,K282)) )</x:f>
      </x:c>
      <x:c r="M282" s="138" t="str"/>
      <x:c r="N282" s="137" t="str">
        <x:v>Current model BOM seed</x:v>
      </x:c>
      <x:c r="O282" s="137" t="str"/>
      <x:c r="P282" s="137" t="str">
        <x:v>To Confirm</x:v>
      </x:c>
      <x:c r="Q282" s="137" t="str"/>
    </x:row>
    <x:row r="283">
      <x:c r="A283" s="137" t="str">
        <x:v>BOM-00279</x:v>
      </x:c>
      <x:c r="B283" s="137" t="str">
        <x:v>REX GOLA (L)</x:v>
      </x:c>
      <x:c r="C283" s="137" t="str">
        <x:v>LACE</x:v>
      </x:c>
      <x:c r="D283" s="137" t="str">
        <x:v>11X13</x:v>
      </x:c>
      <x:c r="E283" s="137" t="str">
        <x:v>STITCHING</x:v>
      </x:c>
      <x:c r="F283" s="137" t="str">
        <x:v>Nylonthread 3 ply||CONE</x:v>
      </x:c>
      <x:c r="G283" s="137" t="str">
        <x:v>Nylonthread 3 ply</x:v>
      </x:c>
      <x:c r="H283" s="137" t="str">
        <x:v>CONE</x:v>
      </x:c>
      <x:c r="I283" s="175" t="n">
        <x:v>0.024667</x:v>
      </x:c>
      <x:c r="J283" s="176" t="str"/>
      <x:c r="K283" s="177" t="str"/>
      <x:c r="L283" s="178" t="str">
        <x:f>IF(J283="","",J283*(1+IF(K283="",0,K283)) )</x:f>
      </x:c>
      <x:c r="M283" s="138" t="str"/>
      <x:c r="N283" s="137" t="str">
        <x:v>Current model BOM seed</x:v>
      </x:c>
      <x:c r="O283" s="137" t="str"/>
      <x:c r="P283" s="137" t="str">
        <x:v>To Confirm</x:v>
      </x:c>
      <x:c r="Q283" s="137" t="str"/>
    </x:row>
    <x:row r="284">
      <x:c r="A284" s="137" t="str">
        <x:v>BOM-00280</x:v>
      </x:c>
      <x:c r="B284" s="137" t="str">
        <x:v>REX GOLA (L)</x:v>
      </x:c>
      <x:c r="C284" s="137" t="str">
        <x:v>LACE</x:v>
      </x:c>
      <x:c r="D284" s="137" t="str">
        <x:v>11X13</x:v>
      </x:c>
      <x:c r="E284" s="137" t="str">
        <x:v>STITCHING</x:v>
      </x:c>
      <x:c r="F284" s="137" t="str">
        <x:v>Polister Binding 12mm||MTR</x:v>
      </x:c>
      <x:c r="G284" s="137" t="str">
        <x:v>Polister Binding 12mm</x:v>
      </x:c>
      <x:c r="H284" s="137" t="str">
        <x:v>MTR</x:v>
      </x:c>
      <x:c r="I284" s="175" t="n">
        <x:v>0.36</x:v>
      </x:c>
      <x:c r="J284" s="176" t="str"/>
      <x:c r="K284" s="177" t="str"/>
      <x:c r="L284" s="178" t="str">
        <x:f>IF(J284="","",J284*(1+IF(K284="",0,K284)) )</x:f>
      </x:c>
      <x:c r="M284" s="138" t="str"/>
      <x:c r="N284" s="137" t="str">
        <x:v>Current model BOM seed</x:v>
      </x:c>
      <x:c r="O284" s="137" t="str"/>
      <x:c r="P284" s="137" t="str">
        <x:v>To Confirm</x:v>
      </x:c>
      <x:c r="Q284" s="137" t="str"/>
    </x:row>
    <x:row r="285">
      <x:c r="A285" s="137" t="str">
        <x:v>BOM-00281</x:v>
      </x:c>
      <x:c r="B285" s="137" t="str">
        <x:v>REX GOLA (L)</x:v>
      </x:c>
      <x:c r="C285" s="137" t="str">
        <x:v>LACE</x:v>
      </x:c>
      <x:c r="D285" s="137" t="str">
        <x:v>11X13</x:v>
      </x:c>
      <x:c r="E285" s="137" t="str">
        <x:v>STITCHING</x:v>
      </x:c>
      <x:c r="F285" s="137" t="str">
        <x:v>Lebel Gola||PCS</x:v>
      </x:c>
      <x:c r="G285" s="137" t="str">
        <x:v>Lebel Gola</x:v>
      </x:c>
      <x:c r="H285" s="137" t="str">
        <x:v>PCS</x:v>
      </x:c>
      <x:c r="I285" s="175" t="n">
        <x:v>2</x:v>
      </x:c>
      <x:c r="J285" s="176" t="str"/>
      <x:c r="K285" s="177" t="str"/>
      <x:c r="L285" s="178" t="str">
        <x:f>IF(J285="","",J285*(1+IF(K285="",0,K285)) )</x:f>
      </x:c>
      <x:c r="M285" s="138" t="str"/>
      <x:c r="N285" s="137" t="str">
        <x:v>Current model BOM seed</x:v>
      </x:c>
      <x:c r="O285" s="137" t="str"/>
      <x:c r="P285" s="137" t="str">
        <x:v>To Confirm</x:v>
      </x:c>
      <x:c r="Q285" s="137" t="str"/>
    </x:row>
    <x:row r="286">
      <x:c r="A286" s="137" t="str">
        <x:v>BOM-00282</x:v>
      </x:c>
      <x:c r="B286" s="137" t="str">
        <x:v>REX GOLA (L)</x:v>
      </x:c>
      <x:c r="C286" s="137" t="str">
        <x:v>LACE</x:v>
      </x:c>
      <x:c r="D286" s="137" t="str">
        <x:v>11X13</x:v>
      </x:c>
      <x:c r="E286" s="137" t="str">
        <x:v>STITCHING</x:v>
      </x:c>
      <x:c r="F286" s="137" t="str">
        <x:v>PP Bag 18.5x31||PCS</x:v>
      </x:c>
      <x:c r="G286" s="137" t="str">
        <x:v>PP Bag 18.5x31</x:v>
      </x:c>
      <x:c r="H286" s="137" t="str">
        <x:v>PCS</x:v>
      </x:c>
      <x:c r="I286" s="175" t="n">
        <x:v>0.05</x:v>
      </x:c>
      <x:c r="J286" s="176" t="str"/>
      <x:c r="K286" s="177" t="str"/>
      <x:c r="L286" s="178" t="str">
        <x:f>IF(J286="","",J286*(1+IF(K286="",0,K286)) )</x:f>
      </x:c>
      <x:c r="M286" s="138" t="str"/>
      <x:c r="N286" s="137" t="str">
        <x:v>Current model BOM seed</x:v>
      </x:c>
      <x:c r="O286" s="137" t="str"/>
      <x:c r="P286" s="137" t="str">
        <x:v>To Confirm</x:v>
      </x:c>
      <x:c r="Q286" s="137" t="str"/>
    </x:row>
    <x:row r="287">
      <x:c r="A287" s="137" t="str">
        <x:v>BOM-00283</x:v>
      </x:c>
      <x:c r="B287" s="137" t="str">
        <x:v>REX GOLA (L)</x:v>
      </x:c>
      <x:c r="C287" s="137" t="str">
        <x:v>LACE</x:v>
      </x:c>
      <x:c r="D287" s="137" t="str">
        <x:v>1X3</x:v>
      </x:c>
      <x:c r="E287" s="137" t="str">
        <x:v>CUTTING</x:v>
      </x:c>
      <x:c r="F287" s="137" t="str">
        <x:v>REXION 1.5MM FRENZY (HEAVY)||MTR</x:v>
      </x:c>
      <x:c r="G287" s="137" t="str">
        <x:v>REXION 1.5MM FRENZY (HEAVY)</x:v>
      </x:c>
      <x:c r="H287" s="137" t="str">
        <x:v>MTR</x:v>
      </x:c>
      <x:c r="I287" s="175" t="n">
        <x:v>0.057407</x:v>
      </x:c>
      <x:c r="J287" s="176" t="str"/>
      <x:c r="K287" s="177" t="str"/>
      <x:c r="L287" s="178" t="str">
        <x:f>IF(J287="","",J287*(1+IF(K287="",0,K287)) )</x:f>
      </x:c>
      <x:c r="M287" s="138" t="str"/>
      <x:c r="N287" s="137" t="str">
        <x:v>Current model BOM seed</x:v>
      </x:c>
      <x:c r="O287" s="137" t="str"/>
      <x:c r="P287" s="137" t="str">
        <x:v>To Confirm</x:v>
      </x:c>
      <x:c r="Q287" s="137" t="str"/>
    </x:row>
    <x:row r="288">
      <x:c r="A288" s="137" t="str">
        <x:v>BOM-00284</x:v>
      </x:c>
      <x:c r="B288" s="137" t="str">
        <x:v>REX GOLA (L)</x:v>
      </x:c>
      <x:c r="C288" s="137" t="str">
        <x:v>LACE</x:v>
      </x:c>
      <x:c r="D288" s="137" t="str">
        <x:v>1X3</x:v>
      </x:c>
      <x:c r="E288" s="137" t="str">
        <x:v>CUTTING</x:v>
      </x:c>
      <x:c r="F288" s="137" t="str">
        <x:v>REXION 1.5MM FRENZY (LIGHT)||MTR</x:v>
      </x:c>
      <x:c r="G288" s="137" t="str">
        <x:v>REXION 1.5MM FRENZY (LIGHT)</x:v>
      </x:c>
      <x:c r="H288" s="137" t="str">
        <x:v>MTR</x:v>
      </x:c>
      <x:c r="I288" s="175" t="n">
        <x:v>0.077926</x:v>
      </x:c>
      <x:c r="J288" s="176" t="str"/>
      <x:c r="K288" s="177" t="str"/>
      <x:c r="L288" s="178" t="str">
        <x:f>IF(J288="","",J288*(1+IF(K288="",0,K288)) )</x:f>
      </x:c>
      <x:c r="M288" s="138" t="str"/>
      <x:c r="N288" s="137" t="str">
        <x:v>Current model BOM seed</x:v>
      </x:c>
      <x:c r="O288" s="137" t="str"/>
      <x:c r="P288" s="137" t="str">
        <x:v>To Confirm</x:v>
      </x:c>
      <x:c r="Q288" s="137" t="str"/>
    </x:row>
    <x:row r="289">
      <x:c r="A289" s="137" t="str">
        <x:v>BOM-00285</x:v>
      </x:c>
      <x:c r="B289" s="137" t="str">
        <x:v>REX GOLA (L)</x:v>
      </x:c>
      <x:c r="C289" s="137" t="str">
        <x:v>LACE</x:v>
      </x:c>
      <x:c r="D289" s="137" t="str">
        <x:v>1X3</x:v>
      </x:c>
      <x:c r="E289" s="137" t="str">
        <x:v>CUTTING</x:v>
      </x:c>
      <x:c r="F289" s="137" t="str">
        <x:v>REXION 1.5MM FOR INTOE||MTR</x:v>
      </x:c>
      <x:c r="G289" s="137" t="str">
        <x:v>REXION 1.5MM FOR INTOE</x:v>
      </x:c>
      <x:c r="H289" s="137" t="str">
        <x:v>MTR</x:v>
      </x:c>
      <x:c r="I289" s="175" t="n">
        <x:v>0.016667</x:v>
      </x:c>
      <x:c r="J289" s="176" t="str"/>
      <x:c r="K289" s="177" t="str"/>
      <x:c r="L289" s="178" t="str">
        <x:f>IF(J289="","",J289*(1+IF(K289="",0,K289)) )</x:f>
      </x:c>
      <x:c r="M289" s="138" t="str"/>
      <x:c r="N289" s="137" t="str">
        <x:v>Current model BOM seed</x:v>
      </x:c>
      <x:c r="O289" s="137" t="str"/>
      <x:c r="P289" s="137" t="str">
        <x:v>To Confirm</x:v>
      </x:c>
      <x:c r="Q289" s="137" t="str"/>
    </x:row>
    <x:row r="290">
      <x:c r="A290" s="137" t="str">
        <x:v>BOM-00286</x:v>
      </x:c>
      <x:c r="B290" s="137" t="str">
        <x:v>REX GOLA (L)</x:v>
      </x:c>
      <x:c r="C290" s="137" t="str">
        <x:v>LACE</x:v>
      </x:c>
      <x:c r="D290" s="137" t="str">
        <x:v>1X3</x:v>
      </x:c>
      <x:c r="E290" s="137" t="str">
        <x:v>CUTTING</x:v>
      </x:c>
      <x:c r="F290" s="137" t="str">
        <x:v>STIFFNER 1.4 MM||MTR</x:v>
      </x:c>
      <x:c r="G290" s="137" t="str">
        <x:v>STIFFNER 1.4 MM</x:v>
      </x:c>
      <x:c r="H290" s="137" t="str">
        <x:v>MTR</x:v>
      </x:c>
      <x:c r="I290" s="175" t="n">
        <x:v>0.013867</x:v>
      </x:c>
      <x:c r="J290" s="176" t="str"/>
      <x:c r="K290" s="177" t="str"/>
      <x:c r="L290" s="178" t="str">
        <x:f>IF(J290="","",J290*(1+IF(K290="",0,K290)) )</x:f>
      </x:c>
      <x:c r="M290" s="138" t="str"/>
      <x:c r="N290" s="137" t="str">
        <x:v>Current model BOM seed</x:v>
      </x:c>
      <x:c r="O290" s="137" t="str"/>
      <x:c r="P290" s="137" t="str">
        <x:v>To Confirm</x:v>
      </x:c>
      <x:c r="Q290" s="137" t="str"/>
    </x:row>
    <x:row r="291">
      <x:c r="A291" s="137" t="str">
        <x:v>BOM-00287</x:v>
      </x:c>
      <x:c r="B291" s="137" t="str">
        <x:v>REX GOLA (L)</x:v>
      </x:c>
      <x:c r="C291" s="137" t="str">
        <x:v>LACE</x:v>
      </x:c>
      <x:c r="D291" s="137" t="str">
        <x:v>1X3</x:v>
      </x:c>
      <x:c r="E291" s="137" t="str">
        <x:v>CUTTING</x:v>
      </x:c>
      <x:c r="F291" s="137" t="str">
        <x:v>SKIN FIT 5 MM||MTR</x:v>
      </x:c>
      <x:c r="G291" s="137" t="str">
        <x:v>SKIN FIT 5 MM</x:v>
      </x:c>
      <x:c r="H291" s="137" t="str">
        <x:v>MTR</x:v>
      </x:c>
      <x:c r="I291" s="175" t="n">
        <x:v>0.076933</x:v>
      </x:c>
      <x:c r="J291" s="176" t="str"/>
      <x:c r="K291" s="177" t="str"/>
      <x:c r="L291" s="178" t="str">
        <x:f>IF(J291="","",J291*(1+IF(K291="",0,K291)) )</x:f>
      </x:c>
      <x:c r="M291" s="138" t="str"/>
      <x:c r="N291" s="137" t="str">
        <x:v>Current model BOM seed</x:v>
      </x:c>
      <x:c r="O291" s="137" t="str"/>
      <x:c r="P291" s="137" t="str">
        <x:v>To Confirm</x:v>
      </x:c>
      <x:c r="Q291" s="137" t="str"/>
    </x:row>
    <x:row r="292">
      <x:c r="A292" s="137" t="str">
        <x:v>BOM-00288</x:v>
      </x:c>
      <x:c r="B292" s="137" t="str">
        <x:v>REX GOLA (L)</x:v>
      </x:c>
      <x:c r="C292" s="137" t="str">
        <x:v>LACE</x:v>
      </x:c>
      <x:c r="D292" s="137" t="str">
        <x:v>1X3</x:v>
      </x:c>
      <x:c r="E292" s="137" t="str">
        <x:v>CUTTING</x:v>
      </x:c>
      <x:c r="F292" s="137" t="str">
        <x:v>FOAM 10 MM||SHEET</x:v>
      </x:c>
      <x:c r="G292" s="137" t="str">
        <x:v>FOAM 10 MM</x:v>
      </x:c>
      <x:c r="H292" s="137" t="str">
        <x:v>SHEET</x:v>
      </x:c>
      <x:c r="I292" s="175" t="n">
        <x:v>0.018533</x:v>
      </x:c>
      <x:c r="J292" s="176" t="str"/>
      <x:c r="K292" s="177" t="str"/>
      <x:c r="L292" s="178" t="str">
        <x:f>IF(J292="","",J292*(1+IF(K292="",0,K292)) )</x:f>
      </x:c>
      <x:c r="M292" s="138" t="str"/>
      <x:c r="N292" s="137" t="str">
        <x:v>Current model BOM seed</x:v>
      </x:c>
      <x:c r="O292" s="137" t="str"/>
      <x:c r="P292" s="137" t="str">
        <x:v>To Confirm</x:v>
      </x:c>
      <x:c r="Q292" s="137" t="str"/>
    </x:row>
    <x:row r="293">
      <x:c r="A293" s="137" t="str">
        <x:v>BOM-00289</x:v>
      </x:c>
      <x:c r="B293" s="137" t="str">
        <x:v>REX GOLA (L)</x:v>
      </x:c>
      <x:c r="C293" s="137" t="str">
        <x:v>LACE</x:v>
      </x:c>
      <x:c r="D293" s="137" t="str">
        <x:v>1X3</x:v>
      </x:c>
      <x:c r="E293" s="137" t="str">
        <x:v>CUTTING</x:v>
      </x:c>
      <x:c r="F293" s="137" t="str">
        <x:v>FOAM 20 MM||SHEET</x:v>
      </x:c>
      <x:c r="G293" s="137" t="str">
        <x:v>FOAM 20 MM</x:v>
      </x:c>
      <x:c r="H293" s="137" t="str">
        <x:v>SHEET</x:v>
      </x:c>
      <x:c r="I293" s="175" t="n">
        <x:v>0.013133</x:v>
      </x:c>
      <x:c r="J293" s="176" t="str"/>
      <x:c r="K293" s="177" t="str"/>
      <x:c r="L293" s="178" t="str">
        <x:f>IF(J293="","",J293*(1+IF(K293="",0,K293)) )</x:f>
      </x:c>
      <x:c r="M293" s="138" t="str"/>
      <x:c r="N293" s="137" t="str">
        <x:v>Current model BOM seed</x:v>
      </x:c>
      <x:c r="O293" s="137" t="str"/>
      <x:c r="P293" s="137" t="str">
        <x:v>To Confirm</x:v>
      </x:c>
      <x:c r="Q293" s="137" t="str"/>
    </x:row>
    <x:row r="294">
      <x:c r="A294" s="137" t="str">
        <x:v>BOM-00290</x:v>
      </x:c>
      <x:c r="B294" s="137" t="str">
        <x:v>REX GOLA (L)</x:v>
      </x:c>
      <x:c r="C294" s="137" t="str">
        <x:v>LACE</x:v>
      </x:c>
      <x:c r="D294" s="137" t="str">
        <x:v>1X3</x:v>
      </x:c>
      <x:c r="E294" s="137" t="str">
        <x:v>CUTTING</x:v>
      </x:c>
      <x:c r="F294" s="137" t="str">
        <x:v>ASTAR 3 MM light||MTR</x:v>
      </x:c>
      <x:c r="G294" s="137" t="str">
        <x:v>ASTAR 3 MM light</x:v>
      </x:c>
      <x:c r="H294" s="137" t="str">
        <x:v>MTR</x:v>
      </x:c>
      <x:c r="I294" s="175" t="n">
        <x:v>0.011133</x:v>
      </x:c>
      <x:c r="J294" s="176" t="str"/>
      <x:c r="K294" s="177" t="str"/>
      <x:c r="L294" s="178" t="str">
        <x:f>IF(J294="","",J294*(1+IF(K294="",0,K294)) )</x:f>
      </x:c>
      <x:c r="M294" s="138" t="str"/>
      <x:c r="N294" s="137" t="str">
        <x:v>Current model BOM seed</x:v>
      </x:c>
      <x:c r="O294" s="137" t="str"/>
      <x:c r="P294" s="137" t="str">
        <x:v>To Confirm</x:v>
      </x:c>
      <x:c r="Q294" s="137" t="str"/>
    </x:row>
    <x:row r="295">
      <x:c r="A295" s="137" t="str">
        <x:v>BOM-00291</x:v>
      </x:c>
      <x:c r="B295" s="137" t="str">
        <x:v>REX GOLA (L)</x:v>
      </x:c>
      <x:c r="C295" s="137" t="str">
        <x:v>LACE</x:v>
      </x:c>
      <x:c r="D295" s="137" t="str">
        <x:v>1X3</x:v>
      </x:c>
      <x:c r="E295" s="137" t="str">
        <x:v>CUTTING</x:v>
      </x:c>
      <x:c r="F295" s="137" t="str">
        <x:v>ASTAR 3 MM Heavy||MTR</x:v>
      </x:c>
      <x:c r="G295" s="137" t="str">
        <x:v>ASTAR 3 MM Heavy</x:v>
      </x:c>
      <x:c r="H295" s="137" t="str">
        <x:v>MTR</x:v>
      </x:c>
      <x:c r="I295" s="175" t="n">
        <x:v>0.026333</x:v>
      </x:c>
      <x:c r="J295" s="176" t="str"/>
      <x:c r="K295" s="177" t="str"/>
      <x:c r="L295" s="178" t="str">
        <x:f>IF(J295="","",J295*(1+IF(K295="",0,K295)) )</x:f>
      </x:c>
      <x:c r="M295" s="138" t="str"/>
      <x:c r="N295" s="137" t="str">
        <x:v>Current model BOM seed</x:v>
      </x:c>
      <x:c r="O295" s="137" t="str"/>
      <x:c r="P295" s="137" t="str">
        <x:v>To Confirm</x:v>
      </x:c>
      <x:c r="Q295" s="137" t="str"/>
    </x:row>
    <x:row r="296">
      <x:c r="A296" s="137" t="str">
        <x:v>BOM-00292</x:v>
      </x:c>
      <x:c r="B296" s="137" t="str">
        <x:v>REX GOLA (L)</x:v>
      </x:c>
      <x:c r="C296" s="137" t="str">
        <x:v>LACE</x:v>
      </x:c>
      <x:c r="D296" s="137" t="str">
        <x:v>1X3</x:v>
      </x:c>
      <x:c r="E296" s="137" t="str">
        <x:v>CUTTING</x:v>
      </x:c>
      <x:c r="F296" s="137" t="str">
        <x:v>INSOLE 4 MM||MTR</x:v>
      </x:c>
      <x:c r="G296" s="137" t="str">
        <x:v>INSOLE 4 MM</x:v>
      </x:c>
      <x:c r="H296" s="137" t="str">
        <x:v>MTR</x:v>
      </x:c>
      <x:c r="I296" s="175" t="n">
        <x:v>0.028552</x:v>
      </x:c>
      <x:c r="J296" s="176" t="str"/>
      <x:c r="K296" s="177" t="str"/>
      <x:c r="L296" s="178" t="str">
        <x:f>IF(J296="","",J296*(1+IF(K296="",0,K296)) )</x:f>
      </x:c>
      <x:c r="M296" s="138" t="str"/>
      <x:c r="N296" s="137" t="str">
        <x:v>Current model BOM seed</x:v>
      </x:c>
      <x:c r="O296" s="137" t="str"/>
      <x:c r="P296" s="137" t="str">
        <x:v>To Confirm</x:v>
      </x:c>
      <x:c r="Q296" s="137" t="str"/>
    </x:row>
    <x:row r="297">
      <x:c r="A297" s="137" t="str">
        <x:v>BOM-00293</x:v>
      </x:c>
      <x:c r="B297" s="137" t="str">
        <x:v>REX GOLA (L)</x:v>
      </x:c>
      <x:c r="C297" s="137" t="str">
        <x:v>LACE</x:v>
      </x:c>
      <x:c r="D297" s="137" t="str">
        <x:v>1X3</x:v>
      </x:c>
      <x:c r="E297" s="137" t="str">
        <x:v>CUTTING</x:v>
      </x:c>
      <x:c r="F297" s="137" t="str">
        <x:v>R.||MTR</x:v>
      </x:c>
      <x:c r="G297" s="137" t="str">
        <x:v>R.</x:v>
      </x:c>
      <x:c r="H297" s="137" t="str">
        <x:v>MTR</x:v>
      </x:c>
      <x:c r="I297" s="175" t="n">
        <x:v>0.030296</x:v>
      </x:c>
      <x:c r="J297" s="176" t="str"/>
      <x:c r="K297" s="177" t="str"/>
      <x:c r="L297" s="178" t="str">
        <x:f>IF(J297="","",J297*(1+IF(K297="",0,K297)) )</x:f>
      </x:c>
      <x:c r="M297" s="138" t="str"/>
      <x:c r="N297" s="137" t="str">
        <x:v>Current model BOM seed</x:v>
      </x:c>
      <x:c r="O297" s="137" t="str"/>
      <x:c r="P297" s="137" t="str">
        <x:v>To Confirm</x:v>
      </x:c>
      <x:c r="Q297" s="137" t="str"/>
    </x:row>
    <x:row r="298">
      <x:c r="A298" s="137" t="str">
        <x:v>BOM-00294</x:v>
      </x:c>
      <x:c r="B298" s="137" t="str">
        <x:v>REX GOLA (L)</x:v>
      </x:c>
      <x:c r="C298" s="137" t="str">
        <x:v>LACE</x:v>
      </x:c>
      <x:c r="D298" s="137" t="str">
        <x:v>1X3</x:v>
      </x:c>
      <x:c r="E298" s="137" t="str">
        <x:v>STITCHING</x:v>
      </x:c>
      <x:c r="F298" s="137" t="str">
        <x:v>Nylonthread 3 ply||CONE</x:v>
      </x:c>
      <x:c r="G298" s="137" t="str">
        <x:v>Nylonthread 3 ply</x:v>
      </x:c>
      <x:c r="H298" s="137" t="str">
        <x:v>CONE</x:v>
      </x:c>
      <x:c r="I298" s="175" t="n">
        <x:v>0.027333</x:v>
      </x:c>
      <x:c r="J298" s="176" t="str"/>
      <x:c r="K298" s="177" t="str"/>
      <x:c r="L298" s="178" t="str">
        <x:f>IF(J298="","",J298*(1+IF(K298="",0,K298)) )</x:f>
      </x:c>
      <x:c r="M298" s="138" t="str"/>
      <x:c r="N298" s="137" t="str">
        <x:v>Current model BOM seed</x:v>
      </x:c>
      <x:c r="O298" s="137" t="str"/>
      <x:c r="P298" s="137" t="str">
        <x:v>To Confirm</x:v>
      </x:c>
      <x:c r="Q298" s="137" t="str"/>
    </x:row>
    <x:row r="299">
      <x:c r="A299" s="137" t="str">
        <x:v>BOM-00295</x:v>
      </x:c>
      <x:c r="B299" s="137" t="str">
        <x:v>REX GOLA (L)</x:v>
      </x:c>
      <x:c r="C299" s="137" t="str">
        <x:v>LACE</x:v>
      </x:c>
      <x:c r="D299" s="137" t="str">
        <x:v>1X3</x:v>
      </x:c>
      <x:c r="E299" s="137" t="str">
        <x:v>STITCHING</x:v>
      </x:c>
      <x:c r="F299" s="137" t="str">
        <x:v>Polister Binding 12mm||MTR</x:v>
      </x:c>
      <x:c r="G299" s="137" t="str">
        <x:v>Polister Binding 12mm</x:v>
      </x:c>
      <x:c r="H299" s="137" t="str">
        <x:v>MTR</x:v>
      </x:c>
      <x:c r="I299" s="175" t="n">
        <x:v>0.38</x:v>
      </x:c>
      <x:c r="J299" s="176" t="str"/>
      <x:c r="K299" s="177" t="str"/>
      <x:c r="L299" s="178" t="str">
        <x:f>IF(J299="","",J299*(1+IF(K299="",0,K299)) )</x:f>
      </x:c>
      <x:c r="M299" s="138" t="str"/>
      <x:c r="N299" s="137" t="str">
        <x:v>Current model BOM seed</x:v>
      </x:c>
      <x:c r="O299" s="137" t="str"/>
      <x:c r="P299" s="137" t="str">
        <x:v>To Confirm</x:v>
      </x:c>
      <x:c r="Q299" s="137" t="str"/>
    </x:row>
    <x:row r="300">
      <x:c r="A300" s="137" t="str">
        <x:v>BOM-00296</x:v>
      </x:c>
      <x:c r="B300" s="137" t="str">
        <x:v>REX GOLA (L)</x:v>
      </x:c>
      <x:c r="C300" s="137" t="str">
        <x:v>LACE</x:v>
      </x:c>
      <x:c r="D300" s="137" t="str">
        <x:v>1X3</x:v>
      </x:c>
      <x:c r="E300" s="137" t="str">
        <x:v>STITCHING</x:v>
      </x:c>
      <x:c r="F300" s="137" t="str">
        <x:v>Lebel Gola||PCS</x:v>
      </x:c>
      <x:c r="G300" s="137" t="str">
        <x:v>Lebel Gola</x:v>
      </x:c>
      <x:c r="H300" s="137" t="str">
        <x:v>PCS</x:v>
      </x:c>
      <x:c r="I300" s="175" t="n">
        <x:v>2</x:v>
      </x:c>
      <x:c r="J300" s="176" t="str"/>
      <x:c r="K300" s="177" t="str"/>
      <x:c r="L300" s="178" t="str">
        <x:f>IF(J300="","",J300*(1+IF(K300="",0,K300)) )</x:f>
      </x:c>
      <x:c r="M300" s="138" t="str"/>
      <x:c r="N300" s="137" t="str">
        <x:v>Current model BOM seed</x:v>
      </x:c>
      <x:c r="O300" s="137" t="str"/>
      <x:c r="P300" s="137" t="str">
        <x:v>To Confirm</x:v>
      </x:c>
      <x:c r="Q300" s="137" t="str"/>
    </x:row>
    <x:row r="301">
      <x:c r="A301" s="137" t="str">
        <x:v>BOM-00297</x:v>
      </x:c>
      <x:c r="B301" s="137" t="str">
        <x:v>REX GOLA (L)</x:v>
      </x:c>
      <x:c r="C301" s="137" t="str">
        <x:v>LACE</x:v>
      </x:c>
      <x:c r="D301" s="137" t="str">
        <x:v>1X3</x:v>
      </x:c>
      <x:c r="E301" s="137" t="str">
        <x:v>STITCHING</x:v>
      </x:c>
      <x:c r="F301" s="137" t="str">
        <x:v>PP Bag 18.5x31||PCS</x:v>
      </x:c>
      <x:c r="G301" s="137" t="str">
        <x:v>PP Bag 18.5x31</x:v>
      </x:c>
      <x:c r="H301" s="137" t="str">
        <x:v>PCS</x:v>
      </x:c>
      <x:c r="I301" s="175" t="n">
        <x:v>0.05</x:v>
      </x:c>
      <x:c r="J301" s="176" t="str"/>
      <x:c r="K301" s="177" t="str"/>
      <x:c r="L301" s="178" t="str">
        <x:f>IF(J301="","",J301*(1+IF(K301="",0,K301)) )</x:f>
      </x:c>
      <x:c r="M301" s="138" t="str"/>
      <x:c r="N301" s="137" t="str">
        <x:v>Current model BOM seed</x:v>
      </x:c>
      <x:c r="O301" s="137" t="str"/>
      <x:c r="P301" s="137" t="str">
        <x:v>To Confirm</x:v>
      </x:c>
      <x:c r="Q301" s="137" t="str"/>
    </x:row>
    <x:row r="302">
      <x:c r="A302" s="137" t="str">
        <x:v>BOM-00298</x:v>
      </x:c>
      <x:c r="B302" s="137" t="str">
        <x:v>REX GOLA (L)</x:v>
      </x:c>
      <x:c r="C302" s="137" t="str">
        <x:v>LACE</x:v>
      </x:c>
      <x:c r="D302" s="137" t="str">
        <x:v>4X5</x:v>
      </x:c>
      <x:c r="E302" s="137" t="str">
        <x:v>CUTTING</x:v>
      </x:c>
      <x:c r="F302" s="137" t="str">
        <x:v>REXION 1.5MM FRENZY (HEAVY)||MTR</x:v>
      </x:c>
      <x:c r="G302" s="137" t="str">
        <x:v>REXION 1.5MM FRENZY (HEAVY)</x:v>
      </x:c>
      <x:c r="H302" s="137" t="str">
        <x:v>MTR</x:v>
      </x:c>
      <x:c r="I302" s="175" t="n">
        <x:v>0.064815</x:v>
      </x:c>
      <x:c r="J302" s="176" t="str"/>
      <x:c r="K302" s="177" t="str"/>
      <x:c r="L302" s="178" t="str">
        <x:f>IF(J302="","",J302*(1+IF(K302="",0,K302)) )</x:f>
      </x:c>
      <x:c r="M302" s="138" t="str"/>
      <x:c r="N302" s="137" t="str">
        <x:v>Current model BOM seed</x:v>
      </x:c>
      <x:c r="O302" s="137" t="str"/>
      <x:c r="P302" s="137" t="str">
        <x:v>To Confirm</x:v>
      </x:c>
      <x:c r="Q302" s="137" t="str"/>
    </x:row>
    <x:row r="303">
      <x:c r="A303" s="137" t="str">
        <x:v>BOM-00299</x:v>
      </x:c>
      <x:c r="B303" s="137" t="str">
        <x:v>REX GOLA (L)</x:v>
      </x:c>
      <x:c r="C303" s="137" t="str">
        <x:v>LACE</x:v>
      </x:c>
      <x:c r="D303" s="137" t="str">
        <x:v>4X5</x:v>
      </x:c>
      <x:c r="E303" s="137" t="str">
        <x:v>CUTTING</x:v>
      </x:c>
      <x:c r="F303" s="137" t="str">
        <x:v>REXION 1.5MM FRENZY (LIGHT)||MTR</x:v>
      </x:c>
      <x:c r="G303" s="137" t="str">
        <x:v>REXION 1.5MM FRENZY (LIGHT)</x:v>
      </x:c>
      <x:c r="H303" s="137" t="str">
        <x:v>MTR</x:v>
      </x:c>
      <x:c r="I303" s="175" t="n">
        <x:v>0.085556</x:v>
      </x:c>
      <x:c r="J303" s="176" t="str"/>
      <x:c r="K303" s="177" t="str"/>
      <x:c r="L303" s="178" t="str">
        <x:f>IF(J303="","",J303*(1+IF(K303="",0,K303)) )</x:f>
      </x:c>
      <x:c r="M303" s="138" t="str"/>
      <x:c r="N303" s="137" t="str">
        <x:v>Current model BOM seed</x:v>
      </x:c>
      <x:c r="O303" s="137" t="str"/>
      <x:c r="P303" s="137" t="str">
        <x:v>To Confirm</x:v>
      </x:c>
      <x:c r="Q303" s="137" t="str"/>
    </x:row>
    <x:row r="304">
      <x:c r="A304" s="137" t="str">
        <x:v>BOM-00300</x:v>
      </x:c>
      <x:c r="B304" s="137" t="str">
        <x:v>REX GOLA (L)</x:v>
      </x:c>
      <x:c r="C304" s="137" t="str">
        <x:v>LACE</x:v>
      </x:c>
      <x:c r="D304" s="137" t="str">
        <x:v>4X5</x:v>
      </x:c>
      <x:c r="E304" s="137" t="str">
        <x:v>CUTTING</x:v>
      </x:c>
      <x:c r="F304" s="137" t="str">
        <x:v>REXION 1.5MM FOR INTOE||MTR</x:v>
      </x:c>
      <x:c r="G304" s="137" t="str">
        <x:v>REXION 1.5MM FOR INTOE</x:v>
      </x:c>
      <x:c r="H304" s="137" t="str">
        <x:v>MTR</x:v>
      </x:c>
      <x:c r="I304" s="175" t="n">
        <x:v>0.02</x:v>
      </x:c>
      <x:c r="J304" s="176" t="str"/>
      <x:c r="K304" s="177" t="str"/>
      <x:c r="L304" s="178" t="str">
        <x:f>IF(J304="","",J304*(1+IF(K304="",0,K304)) )</x:f>
      </x:c>
      <x:c r="M304" s="138" t="str"/>
      <x:c r="N304" s="137" t="str">
        <x:v>Current model BOM seed</x:v>
      </x:c>
      <x:c r="O304" s="137" t="str"/>
      <x:c r="P304" s="137" t="str">
        <x:v>To Confirm</x:v>
      </x:c>
      <x:c r="Q304" s="137" t="str"/>
    </x:row>
    <x:row r="305">
      <x:c r="A305" s="137" t="str">
        <x:v>BOM-00301</x:v>
      </x:c>
      <x:c r="B305" s="137" t="str">
        <x:v>REX GOLA (L)</x:v>
      </x:c>
      <x:c r="C305" s="137" t="str">
        <x:v>LACE</x:v>
      </x:c>
      <x:c r="D305" s="137" t="str">
        <x:v>4X5</x:v>
      </x:c>
      <x:c r="E305" s="137" t="str">
        <x:v>CUTTING</x:v>
      </x:c>
      <x:c r="F305" s="137" t="str">
        <x:v>STIFFNER 1.4 MM||MTR</x:v>
      </x:c>
      <x:c r="G305" s="137" t="str">
        <x:v>STIFFNER 1.4 MM</x:v>
      </x:c>
      <x:c r="H305" s="137" t="str">
        <x:v>MTR</x:v>
      </x:c>
      <x:c r="I305" s="175" t="n">
        <x:v>0.015133</x:v>
      </x:c>
      <x:c r="J305" s="176" t="str"/>
      <x:c r="K305" s="177" t="str"/>
      <x:c r="L305" s="178" t="str">
        <x:f>IF(J305="","",J305*(1+IF(K305="",0,K305)) )</x:f>
      </x:c>
      <x:c r="M305" s="138" t="str"/>
      <x:c r="N305" s="137" t="str">
        <x:v>Current model BOM seed</x:v>
      </x:c>
      <x:c r="O305" s="137" t="str"/>
      <x:c r="P305" s="137" t="str">
        <x:v>To Confirm</x:v>
      </x:c>
      <x:c r="Q305" s="137" t="str"/>
    </x:row>
    <x:row r="306">
      <x:c r="A306" s="137" t="str">
        <x:v>BOM-00302</x:v>
      </x:c>
      <x:c r="B306" s="137" t="str">
        <x:v>REX GOLA (L)</x:v>
      </x:c>
      <x:c r="C306" s="137" t="str">
        <x:v>LACE</x:v>
      </x:c>
      <x:c r="D306" s="137" t="str">
        <x:v>4X5</x:v>
      </x:c>
      <x:c r="E306" s="137" t="str">
        <x:v>CUTTING</x:v>
      </x:c>
      <x:c r="F306" s="137" t="str">
        <x:v>SKIN FIT 5 MM||MTR</x:v>
      </x:c>
      <x:c r="G306" s="137" t="str">
        <x:v>SKIN FIT 5 MM</x:v>
      </x:c>
      <x:c r="H306" s="137" t="str">
        <x:v>MTR</x:v>
      </x:c>
      <x:c r="I306" s="175" t="n">
        <x:v>0.083333</x:v>
      </x:c>
      <x:c r="J306" s="176" t="str"/>
      <x:c r="K306" s="177" t="str"/>
      <x:c r="L306" s="178" t="str">
        <x:f>IF(J306="","",J306*(1+IF(K306="",0,K306)) )</x:f>
      </x:c>
      <x:c r="M306" s="138" t="str"/>
      <x:c r="N306" s="137" t="str">
        <x:v>Current model BOM seed</x:v>
      </x:c>
      <x:c r="O306" s="137" t="str"/>
      <x:c r="P306" s="137" t="str">
        <x:v>To Confirm</x:v>
      </x:c>
      <x:c r="Q306" s="137" t="str"/>
    </x:row>
    <x:row r="307">
      <x:c r="A307" s="137" t="str">
        <x:v>BOM-00303</x:v>
      </x:c>
      <x:c r="B307" s="137" t="str">
        <x:v>REX GOLA (L)</x:v>
      </x:c>
      <x:c r="C307" s="137" t="str">
        <x:v>LACE</x:v>
      </x:c>
      <x:c r="D307" s="137" t="str">
        <x:v>4X5</x:v>
      </x:c>
      <x:c r="E307" s="137" t="str">
        <x:v>CUTTING</x:v>
      </x:c>
      <x:c r="F307" s="137" t="str">
        <x:v>FOAM 10 MM||SHEET</x:v>
      </x:c>
      <x:c r="G307" s="137" t="str">
        <x:v>FOAM 10 MM</x:v>
      </x:c>
      <x:c r="H307" s="137" t="str">
        <x:v>SHEET</x:v>
      </x:c>
      <x:c r="I307" s="175" t="n">
        <x:v>0.018533</x:v>
      </x:c>
      <x:c r="J307" s="176" t="str"/>
      <x:c r="K307" s="177" t="str"/>
      <x:c r="L307" s="178" t="str">
        <x:f>IF(J307="","",J307*(1+IF(K307="",0,K307)) )</x:f>
      </x:c>
      <x:c r="M307" s="138" t="str"/>
      <x:c r="N307" s="137" t="str">
        <x:v>Current model BOM seed</x:v>
      </x:c>
      <x:c r="O307" s="137" t="str"/>
      <x:c r="P307" s="137" t="str">
        <x:v>To Confirm</x:v>
      </x:c>
      <x:c r="Q307" s="137" t="str"/>
    </x:row>
    <x:row r="308">
      <x:c r="A308" s="137" t="str">
        <x:v>BOM-00304</x:v>
      </x:c>
      <x:c r="B308" s="137" t="str">
        <x:v>REX GOLA (L)</x:v>
      </x:c>
      <x:c r="C308" s="137" t="str">
        <x:v>LACE</x:v>
      </x:c>
      <x:c r="D308" s="137" t="str">
        <x:v>4X5</x:v>
      </x:c>
      <x:c r="E308" s="137" t="str">
        <x:v>CUTTING</x:v>
      </x:c>
      <x:c r="F308" s="137" t="str">
        <x:v>FOAM 20 MM||SHEET</x:v>
      </x:c>
      <x:c r="G308" s="137" t="str">
        <x:v>FOAM 20 MM</x:v>
      </x:c>
      <x:c r="H308" s="137" t="str">
        <x:v>SHEET</x:v>
      </x:c>
      <x:c r="I308" s="175" t="n">
        <x:v>0.013133</x:v>
      </x:c>
      <x:c r="J308" s="176" t="str"/>
      <x:c r="K308" s="177" t="str"/>
      <x:c r="L308" s="178" t="str">
        <x:f>IF(J308="","",J308*(1+IF(K308="",0,K308)) )</x:f>
      </x:c>
      <x:c r="M308" s="138" t="str"/>
      <x:c r="N308" s="137" t="str">
        <x:v>Current model BOM seed</x:v>
      </x:c>
      <x:c r="O308" s="137" t="str"/>
      <x:c r="P308" s="137" t="str">
        <x:v>To Confirm</x:v>
      </x:c>
      <x:c r="Q308" s="137" t="str"/>
    </x:row>
    <x:row r="309">
      <x:c r="A309" s="137" t="str">
        <x:v>BOM-00305</x:v>
      </x:c>
      <x:c r="B309" s="137" t="str">
        <x:v>REX GOLA (L)</x:v>
      </x:c>
      <x:c r="C309" s="137" t="str">
        <x:v>LACE</x:v>
      </x:c>
      <x:c r="D309" s="137" t="str">
        <x:v>4X5</x:v>
      </x:c>
      <x:c r="E309" s="137" t="str">
        <x:v>CUTTING</x:v>
      </x:c>
      <x:c r="F309" s="137" t="str">
        <x:v>ASTAR 3 MM light||MTR</x:v>
      </x:c>
      <x:c r="G309" s="137" t="str">
        <x:v>ASTAR 3 MM light</x:v>
      </x:c>
      <x:c r="H309" s="137" t="str">
        <x:v>MTR</x:v>
      </x:c>
      <x:c r="I309" s="175" t="n">
        <x:v>0.013533</x:v>
      </x:c>
      <x:c r="J309" s="176" t="str"/>
      <x:c r="K309" s="177" t="str"/>
      <x:c r="L309" s="178" t="str">
        <x:f>IF(J309="","",J309*(1+IF(K309="",0,K309)) )</x:f>
      </x:c>
      <x:c r="M309" s="138" t="str"/>
      <x:c r="N309" s="137" t="str">
        <x:v>Current model BOM seed</x:v>
      </x:c>
      <x:c r="O309" s="137" t="str"/>
      <x:c r="P309" s="137" t="str">
        <x:v>To Confirm</x:v>
      </x:c>
      <x:c r="Q309" s="137" t="str"/>
    </x:row>
    <x:row r="310">
      <x:c r="A310" s="137" t="str">
        <x:v>BOM-00306</x:v>
      </x:c>
      <x:c r="B310" s="137" t="str">
        <x:v>REX GOLA (L)</x:v>
      </x:c>
      <x:c r="C310" s="137" t="str">
        <x:v>LACE</x:v>
      </x:c>
      <x:c r="D310" s="137" t="str">
        <x:v>4X5</x:v>
      </x:c>
      <x:c r="E310" s="137" t="str">
        <x:v>CUTTING</x:v>
      </x:c>
      <x:c r="F310" s="137" t="str">
        <x:v>ASTAR 3 MM Heavy||MTR</x:v>
      </x:c>
      <x:c r="G310" s="137" t="str">
        <x:v>ASTAR 3 MM Heavy</x:v>
      </x:c>
      <x:c r="H310" s="137" t="str">
        <x:v>MTR</x:v>
      </x:c>
      <x:c r="I310" s="175" t="n">
        <x:v>0.026333</x:v>
      </x:c>
      <x:c r="J310" s="176" t="str"/>
      <x:c r="K310" s="177" t="str"/>
      <x:c r="L310" s="178" t="str">
        <x:f>IF(J310="","",J310*(1+IF(K310="",0,K310)) )</x:f>
      </x:c>
      <x:c r="M310" s="138" t="str"/>
      <x:c r="N310" s="137" t="str">
        <x:v>Current model BOM seed</x:v>
      </x:c>
      <x:c r="O310" s="137" t="str"/>
      <x:c r="P310" s="137" t="str">
        <x:v>To Confirm</x:v>
      </x:c>
      <x:c r="Q310" s="137" t="str"/>
    </x:row>
    <x:row r="311">
      <x:c r="A311" s="137" t="str">
        <x:v>BOM-00307</x:v>
      </x:c>
      <x:c r="B311" s="137" t="str">
        <x:v>REX GOLA (L)</x:v>
      </x:c>
      <x:c r="C311" s="137" t="str">
        <x:v>LACE</x:v>
      </x:c>
      <x:c r="D311" s="137" t="str">
        <x:v>4X5</x:v>
      </x:c>
      <x:c r="E311" s="137" t="str">
        <x:v>CUTTING</x:v>
      </x:c>
      <x:c r="F311" s="137" t="str">
        <x:v>INSOLE 4 MM||MTR</x:v>
      </x:c>
      <x:c r="G311" s="137" t="str">
        <x:v>INSOLE 4 MM</x:v>
      </x:c>
      <x:c r="H311" s="137" t="str">
        <x:v>MTR</x:v>
      </x:c>
      <x:c r="I311" s="175" t="n">
        <x:v>0.030276</x:v>
      </x:c>
      <x:c r="J311" s="176" t="str"/>
      <x:c r="K311" s="177" t="str"/>
      <x:c r="L311" s="178" t="str">
        <x:f>IF(J311="","",J311*(1+IF(K311="",0,K311)) )</x:f>
      </x:c>
      <x:c r="M311" s="138" t="str"/>
      <x:c r="N311" s="137" t="str">
        <x:v>Current model BOM seed</x:v>
      </x:c>
      <x:c r="O311" s="137" t="str"/>
      <x:c r="P311" s="137" t="str">
        <x:v>To Confirm</x:v>
      </x:c>
      <x:c r="Q311" s="137" t="str"/>
    </x:row>
    <x:row r="312">
      <x:c r="A312" s="137" t="str">
        <x:v>BOM-00308</x:v>
      </x:c>
      <x:c r="B312" s="137" t="str">
        <x:v>REX GOLA (L)</x:v>
      </x:c>
      <x:c r="C312" s="137" t="str">
        <x:v>LACE</x:v>
      </x:c>
      <x:c r="D312" s="137" t="str">
        <x:v>4X5</x:v>
      </x:c>
      <x:c r="E312" s="137" t="str">
        <x:v>CUTTING</x:v>
      </x:c>
      <x:c r="F312" s="137" t="str">
        <x:v>R.||MTR</x:v>
      </x:c>
      <x:c r="G312" s="137" t="str">
        <x:v>R.</x:v>
      </x:c>
      <x:c r="H312" s="137" t="str">
        <x:v>MTR</x:v>
      </x:c>
      <x:c r="I312" s="175" t="n">
        <x:v>0.030296</x:v>
      </x:c>
      <x:c r="J312" s="176" t="str"/>
      <x:c r="K312" s="177" t="str"/>
      <x:c r="L312" s="178" t="str">
        <x:f>IF(J312="","",J312*(1+IF(K312="",0,K312)) )</x:f>
      </x:c>
      <x:c r="M312" s="138" t="str"/>
      <x:c r="N312" s="137" t="str">
        <x:v>Current model BOM seed</x:v>
      </x:c>
      <x:c r="O312" s="137" t="str"/>
      <x:c r="P312" s="137" t="str">
        <x:v>To Confirm</x:v>
      </x:c>
      <x:c r="Q312" s="137" t="str"/>
    </x:row>
    <x:row r="313">
      <x:c r="A313" s="137" t="str">
        <x:v>BOM-00309</x:v>
      </x:c>
      <x:c r="B313" s="137" t="str">
        <x:v>REX GOLA (L)</x:v>
      </x:c>
      <x:c r="C313" s="137" t="str">
        <x:v>LACE</x:v>
      </x:c>
      <x:c r="D313" s="137" t="str">
        <x:v>4X5</x:v>
      </x:c>
      <x:c r="E313" s="137" t="str">
        <x:v>STITCHING</x:v>
      </x:c>
      <x:c r="F313" s="137" t="str">
        <x:v>Nylonthread 3 ply||CONE</x:v>
      </x:c>
      <x:c r="G313" s="137" t="str">
        <x:v>Nylonthread 3 ply</x:v>
      </x:c>
      <x:c r="H313" s="137" t="str">
        <x:v>CONE</x:v>
      </x:c>
      <x:c r="I313" s="175" t="n">
        <x:v>0.027333</x:v>
      </x:c>
      <x:c r="J313" s="176" t="str"/>
      <x:c r="K313" s="177" t="str"/>
      <x:c r="L313" s="178" t="str">
        <x:f>IF(J313="","",J313*(1+IF(K313="",0,K313)) )</x:f>
      </x:c>
      <x:c r="M313" s="138" t="str"/>
      <x:c r="N313" s="137" t="str">
        <x:v>Current model BOM seed</x:v>
      </x:c>
      <x:c r="O313" s="137" t="str"/>
      <x:c r="P313" s="137" t="str">
        <x:v>To Confirm</x:v>
      </x:c>
      <x:c r="Q313" s="137" t="str"/>
    </x:row>
    <x:row r="314">
      <x:c r="A314" s="137" t="str">
        <x:v>BOM-00310</x:v>
      </x:c>
      <x:c r="B314" s="137" t="str">
        <x:v>REX GOLA (L)</x:v>
      </x:c>
      <x:c r="C314" s="137" t="str">
        <x:v>LACE</x:v>
      </x:c>
      <x:c r="D314" s="137" t="str">
        <x:v>4X5</x:v>
      </x:c>
      <x:c r="E314" s="137" t="str">
        <x:v>STITCHING</x:v>
      </x:c>
      <x:c r="F314" s="137" t="str">
        <x:v>Polister Binding 12mm||MTR</x:v>
      </x:c>
      <x:c r="G314" s="137" t="str">
        <x:v>Polister Binding 12mm</x:v>
      </x:c>
      <x:c r="H314" s="137" t="str">
        <x:v>MTR</x:v>
      </x:c>
      <x:c r="I314" s="175" t="n">
        <x:v>0.38</x:v>
      </x:c>
      <x:c r="J314" s="176" t="str"/>
      <x:c r="K314" s="177" t="str"/>
      <x:c r="L314" s="178" t="str">
        <x:f>IF(J314="","",J314*(1+IF(K314="",0,K314)) )</x:f>
      </x:c>
      <x:c r="M314" s="138" t="str"/>
      <x:c r="N314" s="137" t="str">
        <x:v>Current model BOM seed</x:v>
      </x:c>
      <x:c r="O314" s="137" t="str"/>
      <x:c r="P314" s="137" t="str">
        <x:v>To Confirm</x:v>
      </x:c>
      <x:c r="Q314" s="137" t="str"/>
    </x:row>
    <x:row r="315">
      <x:c r="A315" s="137" t="str">
        <x:v>BOM-00311</x:v>
      </x:c>
      <x:c r="B315" s="137" t="str">
        <x:v>REX GOLA (L)</x:v>
      </x:c>
      <x:c r="C315" s="137" t="str">
        <x:v>LACE</x:v>
      </x:c>
      <x:c r="D315" s="137" t="str">
        <x:v>4X5</x:v>
      </x:c>
      <x:c r="E315" s="137" t="str">
        <x:v>STITCHING</x:v>
      </x:c>
      <x:c r="F315" s="137" t="str">
        <x:v>Lebel Gola||PCS</x:v>
      </x:c>
      <x:c r="G315" s="137" t="str">
        <x:v>Lebel Gola</x:v>
      </x:c>
      <x:c r="H315" s="137" t="str">
        <x:v>PCS</x:v>
      </x:c>
      <x:c r="I315" s="175" t="n">
        <x:v>2</x:v>
      </x:c>
      <x:c r="J315" s="176" t="str"/>
      <x:c r="K315" s="177" t="str"/>
      <x:c r="L315" s="178" t="str">
        <x:f>IF(J315="","",J315*(1+IF(K315="",0,K315)) )</x:f>
      </x:c>
      <x:c r="M315" s="138" t="str"/>
      <x:c r="N315" s="137" t="str">
        <x:v>Current model BOM seed</x:v>
      </x:c>
      <x:c r="O315" s="137" t="str"/>
      <x:c r="P315" s="137" t="str">
        <x:v>To Confirm</x:v>
      </x:c>
      <x:c r="Q315" s="137" t="str"/>
    </x:row>
    <x:row r="316">
      <x:c r="A316" s="137" t="str">
        <x:v>BOM-00312</x:v>
      </x:c>
      <x:c r="B316" s="137" t="str">
        <x:v>REX GOLA (L)</x:v>
      </x:c>
      <x:c r="C316" s="137" t="str">
        <x:v>LACE</x:v>
      </x:c>
      <x:c r="D316" s="137" t="str">
        <x:v>4X5</x:v>
      </x:c>
      <x:c r="E316" s="137" t="str">
        <x:v>STITCHING</x:v>
      </x:c>
      <x:c r="F316" s="137" t="str">
        <x:v>PP Bag 18.5x31||PCS</x:v>
      </x:c>
      <x:c r="G316" s="137" t="str">
        <x:v>PP Bag 18.5x31</x:v>
      </x:c>
      <x:c r="H316" s="137" t="str">
        <x:v>PCS</x:v>
      </x:c>
      <x:c r="I316" s="175" t="n">
        <x:v>0.05</x:v>
      </x:c>
      <x:c r="J316" s="176" t="str"/>
      <x:c r="K316" s="177" t="str"/>
      <x:c r="L316" s="178" t="str">
        <x:f>IF(J316="","",J316*(1+IF(K316="",0,K316)) )</x:f>
      </x:c>
      <x:c r="M316" s="138" t="str"/>
      <x:c r="N316" s="137" t="str">
        <x:v>Current model BOM seed</x:v>
      </x:c>
      <x:c r="O316" s="137" t="str"/>
      <x:c r="P316" s="137" t="str">
        <x:v>To Confirm</x:v>
      </x:c>
      <x:c r="Q316" s="137" t="str"/>
    </x:row>
    <x:row r="317">
      <x:c r="A317" s="137" t="str">
        <x:v>BOM-00313</x:v>
      </x:c>
      <x:c r="B317" s="137" t="str">
        <x:v>REX GOLA (L)</x:v>
      </x:c>
      <x:c r="C317" s="137" t="str">
        <x:v>LACE</x:v>
      </x:c>
      <x:c r="D317" s="137" t="str">
        <x:v>6X7B</x:v>
      </x:c>
      <x:c r="E317" s="137" t="str">
        <x:v>CUTTING</x:v>
      </x:c>
      <x:c r="F317" s="137" t="str">
        <x:v>REXION 1.5MM FRENZY (HEAVY)||MTR</x:v>
      </x:c>
      <x:c r="G317" s="137" t="str">
        <x:v>REXION 1.5MM FRENZY (HEAVY)</x:v>
      </x:c>
      <x:c r="H317" s="137" t="str">
        <x:v>MTR</x:v>
      </x:c>
      <x:c r="I317" s="175" t="n">
        <x:v>0.066296</x:v>
      </x:c>
      <x:c r="J317" s="176" t="str"/>
      <x:c r="K317" s="177" t="str"/>
      <x:c r="L317" s="178" t="str">
        <x:f>IF(J317="","",J317*(1+IF(K317="",0,K317)) )</x:f>
      </x:c>
      <x:c r="M317" s="138" t="str"/>
      <x:c r="N317" s="137" t="str">
        <x:v>Current model BOM seed</x:v>
      </x:c>
      <x:c r="O317" s="137" t="str"/>
      <x:c r="P317" s="137" t="str">
        <x:v>To Confirm</x:v>
      </x:c>
      <x:c r="Q317" s="137" t="str"/>
    </x:row>
    <x:row r="318">
      <x:c r="A318" s="137" t="str">
        <x:v>BOM-00314</x:v>
      </x:c>
      <x:c r="B318" s="137" t="str">
        <x:v>REX GOLA (L)</x:v>
      </x:c>
      <x:c r="C318" s="137" t="str">
        <x:v>LACE</x:v>
      </x:c>
      <x:c r="D318" s="137" t="str">
        <x:v>6X7B</x:v>
      </x:c>
      <x:c r="E318" s="137" t="str">
        <x:v>CUTTING</x:v>
      </x:c>
      <x:c r="F318" s="137" t="str">
        <x:v>REXION 1.5MM FRENZY (LIGHT)||MTR</x:v>
      </x:c>
      <x:c r="G318" s="137" t="str">
        <x:v>REXION 1.5MM FRENZY (LIGHT)</x:v>
      </x:c>
      <x:c r="H318" s="137" t="str">
        <x:v>MTR</x:v>
      </x:c>
      <x:c r="I318" s="175" t="n">
        <x:v>0.083185</x:v>
      </x:c>
      <x:c r="J318" s="176" t="str"/>
      <x:c r="K318" s="177" t="str"/>
      <x:c r="L318" s="178" t="str">
        <x:f>IF(J318="","",J318*(1+IF(K318="",0,K318)) )</x:f>
      </x:c>
      <x:c r="M318" s="138" t="str"/>
      <x:c r="N318" s="137" t="str">
        <x:v>Current model BOM seed</x:v>
      </x:c>
      <x:c r="O318" s="137" t="str"/>
      <x:c r="P318" s="137" t="str">
        <x:v>To Confirm</x:v>
      </x:c>
      <x:c r="Q318" s="137" t="str"/>
    </x:row>
    <x:row r="319">
      <x:c r="A319" s="137" t="str">
        <x:v>BOM-00315</x:v>
      </x:c>
      <x:c r="B319" s="137" t="str">
        <x:v>REX GOLA (L)</x:v>
      </x:c>
      <x:c r="C319" s="137" t="str">
        <x:v>LACE</x:v>
      </x:c>
      <x:c r="D319" s="137" t="str">
        <x:v>6X7B</x:v>
      </x:c>
      <x:c r="E319" s="137" t="str">
        <x:v>CUTTING</x:v>
      </x:c>
      <x:c r="F319" s="137" t="str">
        <x:v>REXION 1.5MM FOR INTOE||MTR</x:v>
      </x:c>
      <x:c r="G319" s="137" t="str">
        <x:v>REXION 1.5MM FOR INTOE</x:v>
      </x:c>
      <x:c r="H319" s="137" t="str">
        <x:v>MTR</x:v>
      </x:c>
      <x:c r="I319" s="175" t="n">
        <x:v>0.026296</x:v>
      </x:c>
      <x:c r="J319" s="176" t="str"/>
      <x:c r="K319" s="177" t="str"/>
      <x:c r="L319" s="178" t="str">
        <x:f>IF(J319="","",J319*(1+IF(K319="",0,K319)) )</x:f>
      </x:c>
      <x:c r="M319" s="138" t="str"/>
      <x:c r="N319" s="137" t="str">
        <x:v>Current model BOM seed</x:v>
      </x:c>
      <x:c r="O319" s="137" t="str"/>
      <x:c r="P319" s="137" t="str">
        <x:v>To Confirm</x:v>
      </x:c>
      <x:c r="Q319" s="137" t="str"/>
    </x:row>
    <x:row r="320">
      <x:c r="A320" s="137" t="str">
        <x:v>BOM-00316</x:v>
      </x:c>
      <x:c r="B320" s="137" t="str">
        <x:v>REX GOLA (L)</x:v>
      </x:c>
      <x:c r="C320" s="137" t="str">
        <x:v>LACE</x:v>
      </x:c>
      <x:c r="D320" s="137" t="str">
        <x:v>6X7B</x:v>
      </x:c>
      <x:c r="E320" s="137" t="str">
        <x:v>CUTTING</x:v>
      </x:c>
      <x:c r="F320" s="137" t="str">
        <x:v>STIFFNER 1.4 MM||MTR</x:v>
      </x:c>
      <x:c r="G320" s="137" t="str">
        <x:v>STIFFNER 1.4 MM</x:v>
      </x:c>
      <x:c r="H320" s="137" t="str">
        <x:v>MTR</x:v>
      </x:c>
      <x:c r="I320" s="175" t="n">
        <x:v>0.017067</x:v>
      </x:c>
      <x:c r="J320" s="176" t="str"/>
      <x:c r="K320" s="177" t="str"/>
      <x:c r="L320" s="178" t="str">
        <x:f>IF(J320="","",J320*(1+IF(K320="",0,K320)) )</x:f>
      </x:c>
      <x:c r="M320" s="138" t="str"/>
      <x:c r="N320" s="137" t="str">
        <x:v>Current model BOM seed</x:v>
      </x:c>
      <x:c r="O320" s="137" t="str"/>
      <x:c r="P320" s="137" t="str">
        <x:v>To Confirm</x:v>
      </x:c>
      <x:c r="Q320" s="137" t="str"/>
    </x:row>
    <x:row r="321">
      <x:c r="A321" s="137" t="str">
        <x:v>BOM-00317</x:v>
      </x:c>
      <x:c r="B321" s="137" t="str">
        <x:v>REX GOLA (L)</x:v>
      </x:c>
      <x:c r="C321" s="137" t="str">
        <x:v>LACE</x:v>
      </x:c>
      <x:c r="D321" s="137" t="str">
        <x:v>6X7B</x:v>
      </x:c>
      <x:c r="E321" s="137" t="str">
        <x:v>CUTTING</x:v>
      </x:c>
      <x:c r="F321" s="137" t="str">
        <x:v>SKIN FIT 5 MM||MTR</x:v>
      </x:c>
      <x:c r="G321" s="137" t="str">
        <x:v>SKIN FIT 5 MM</x:v>
      </x:c>
      <x:c r="H321" s="137" t="str">
        <x:v>MTR</x:v>
      </x:c>
      <x:c r="I321" s="175" t="n">
        <x:v>0.083333</x:v>
      </x:c>
      <x:c r="J321" s="176" t="str"/>
      <x:c r="K321" s="177" t="str"/>
      <x:c r="L321" s="178" t="str">
        <x:f>IF(J321="","",J321*(1+IF(K321="",0,K321)) )</x:f>
      </x:c>
      <x:c r="M321" s="138" t="str"/>
      <x:c r="N321" s="137" t="str">
        <x:v>Current model BOM seed</x:v>
      </x:c>
      <x:c r="O321" s="137" t="str"/>
      <x:c r="P321" s="137" t="str">
        <x:v>To Confirm</x:v>
      </x:c>
      <x:c r="Q321" s="137" t="str"/>
    </x:row>
    <x:row r="322">
      <x:c r="A322" s="137" t="str">
        <x:v>BOM-00318</x:v>
      </x:c>
      <x:c r="B322" s="137" t="str">
        <x:v>REX GOLA (L)</x:v>
      </x:c>
      <x:c r="C322" s="137" t="str">
        <x:v>LACE</x:v>
      </x:c>
      <x:c r="D322" s="137" t="str">
        <x:v>6X7B</x:v>
      </x:c>
      <x:c r="E322" s="137" t="str">
        <x:v>CUTTING</x:v>
      </x:c>
      <x:c r="F322" s="137" t="str">
        <x:v>FOAM 10 MM||SHEET</x:v>
      </x:c>
      <x:c r="G322" s="137" t="str">
        <x:v>FOAM 10 MM</x:v>
      </x:c>
      <x:c r="H322" s="137" t="str">
        <x:v>SHEET</x:v>
      </x:c>
      <x:c r="I322" s="175" t="n">
        <x:v>0.021733</x:v>
      </x:c>
      <x:c r="J322" s="176" t="str"/>
      <x:c r="K322" s="177" t="str"/>
      <x:c r="L322" s="178" t="str">
        <x:f>IF(J322="","",J322*(1+IF(K322="",0,K322)) )</x:f>
      </x:c>
      <x:c r="M322" s="138" t="str"/>
      <x:c r="N322" s="137" t="str">
        <x:v>Current model BOM seed</x:v>
      </x:c>
      <x:c r="O322" s="137" t="str"/>
      <x:c r="P322" s="137" t="str">
        <x:v>To Confirm</x:v>
      </x:c>
      <x:c r="Q322" s="137" t="str"/>
    </x:row>
    <x:row r="323">
      <x:c r="A323" s="137" t="str">
        <x:v>BOM-00319</x:v>
      </x:c>
      <x:c r="B323" s="137" t="str">
        <x:v>REX GOLA (L)</x:v>
      </x:c>
      <x:c r="C323" s="137" t="str">
        <x:v>LACE</x:v>
      </x:c>
      <x:c r="D323" s="137" t="str">
        <x:v>6X7B</x:v>
      </x:c>
      <x:c r="E323" s="137" t="str">
        <x:v>CUTTING</x:v>
      </x:c>
      <x:c r="F323" s="137" t="str">
        <x:v>FOAM 20 MM||SHEET</x:v>
      </x:c>
      <x:c r="G323" s="137" t="str">
        <x:v>FOAM 20 MM</x:v>
      </x:c>
      <x:c r="H323" s="137" t="str">
        <x:v>SHEET</x:v>
      </x:c>
      <x:c r="I323" s="175" t="n">
        <x:v>0.0156</x:v>
      </x:c>
      <x:c r="J323" s="176" t="str"/>
      <x:c r="K323" s="177" t="str"/>
      <x:c r="L323" s="178" t="str">
        <x:f>IF(J323="","",J323*(1+IF(K323="",0,K323)) )</x:f>
      </x:c>
      <x:c r="M323" s="138" t="str"/>
      <x:c r="N323" s="137" t="str">
        <x:v>Current model BOM seed</x:v>
      </x:c>
      <x:c r="O323" s="137" t="str"/>
      <x:c r="P323" s="137" t="str">
        <x:v>To Confirm</x:v>
      </x:c>
      <x:c r="Q323" s="137" t="str"/>
    </x:row>
    <x:row r="324">
      <x:c r="A324" s="137" t="str">
        <x:v>BOM-00320</x:v>
      </x:c>
      <x:c r="B324" s="137" t="str">
        <x:v>REX GOLA (L)</x:v>
      </x:c>
      <x:c r="C324" s="137" t="str">
        <x:v>LACE</x:v>
      </x:c>
      <x:c r="D324" s="137" t="str">
        <x:v>6X7B</x:v>
      </x:c>
      <x:c r="E324" s="137" t="str">
        <x:v>CUTTING</x:v>
      </x:c>
      <x:c r="F324" s="137" t="str">
        <x:v>ASTAR 3 MM light||MTR</x:v>
      </x:c>
      <x:c r="G324" s="137" t="str">
        <x:v>ASTAR 3 MM light</x:v>
      </x:c>
      <x:c r="H324" s="137" t="str">
        <x:v>MTR</x:v>
      </x:c>
      <x:c r="I324" s="175" t="n">
        <x:v>0.015133</x:v>
      </x:c>
      <x:c r="J324" s="176" t="str"/>
      <x:c r="K324" s="177" t="str"/>
      <x:c r="L324" s="178" t="str">
        <x:f>IF(J324="","",J324*(1+IF(K324="",0,K324)) )</x:f>
      </x:c>
      <x:c r="M324" s="138" t="str"/>
      <x:c r="N324" s="137" t="str">
        <x:v>Current model BOM seed</x:v>
      </x:c>
      <x:c r="O324" s="137" t="str"/>
      <x:c r="P324" s="137" t="str">
        <x:v>To Confirm</x:v>
      </x:c>
      <x:c r="Q324" s="137" t="str"/>
    </x:row>
    <x:row r="325">
      <x:c r="A325" s="137" t="str">
        <x:v>BOM-00321</x:v>
      </x:c>
      <x:c r="B325" s="137" t="str">
        <x:v>REX GOLA (L)</x:v>
      </x:c>
      <x:c r="C325" s="137" t="str">
        <x:v>LACE</x:v>
      </x:c>
      <x:c r="D325" s="137" t="str">
        <x:v>6X7B</x:v>
      </x:c>
      <x:c r="E325" s="137" t="str">
        <x:v>CUTTING</x:v>
      </x:c>
      <x:c r="F325" s="137" t="str">
        <x:v>ASTAR 3 MM Heavy||MTR</x:v>
      </x:c>
      <x:c r="G325" s="137" t="str">
        <x:v>ASTAR 3 MM Heavy</x:v>
      </x:c>
      <x:c r="H325" s="137" t="str">
        <x:v>MTR</x:v>
      </x:c>
      <x:c r="I325" s="175" t="n">
        <x:v>0.033333</x:v>
      </x:c>
      <x:c r="J325" s="176" t="str"/>
      <x:c r="K325" s="177" t="str"/>
      <x:c r="L325" s="178" t="str">
        <x:f>IF(J325="","",J325*(1+IF(K325="",0,K325)) )</x:f>
      </x:c>
      <x:c r="M325" s="138" t="str"/>
      <x:c r="N325" s="137" t="str">
        <x:v>Current model BOM seed</x:v>
      </x:c>
      <x:c r="O325" s="137" t="str"/>
      <x:c r="P325" s="137" t="str">
        <x:v>To Confirm</x:v>
      </x:c>
      <x:c r="Q325" s="137" t="str"/>
    </x:row>
    <x:row r="326">
      <x:c r="A326" s="137" t="str">
        <x:v>BOM-00322</x:v>
      </x:c>
      <x:c r="B326" s="137" t="str">
        <x:v>REX GOLA (L)</x:v>
      </x:c>
      <x:c r="C326" s="137" t="str">
        <x:v>LACE</x:v>
      </x:c>
      <x:c r="D326" s="137" t="str">
        <x:v>6X7B</x:v>
      </x:c>
      <x:c r="E326" s="137" t="str">
        <x:v>CUTTING</x:v>
      </x:c>
      <x:c r="F326" s="137" t="str">
        <x:v>INSOLE 4 MM||MTR</x:v>
      </x:c>
      <x:c r="G326" s="137" t="str">
        <x:v>INSOLE 4 MM</x:v>
      </x:c>
      <x:c r="H326" s="137" t="str">
        <x:v>MTR</x:v>
      </x:c>
      <x:c r="I326" s="175" t="n">
        <x:v>0.036345</x:v>
      </x:c>
      <x:c r="J326" s="176" t="str"/>
      <x:c r="K326" s="177" t="str"/>
      <x:c r="L326" s="178" t="str">
        <x:f>IF(J326="","",J326*(1+IF(K326="",0,K326)) )</x:f>
      </x:c>
      <x:c r="M326" s="138" t="str"/>
      <x:c r="N326" s="137" t="str">
        <x:v>Current model BOM seed</x:v>
      </x:c>
      <x:c r="O326" s="137" t="str"/>
      <x:c r="P326" s="137" t="str">
        <x:v>To Confirm</x:v>
      </x:c>
      <x:c r="Q326" s="137" t="str"/>
    </x:row>
    <x:row r="327">
      <x:c r="A327" s="137" t="str">
        <x:v>BOM-00323</x:v>
      </x:c>
      <x:c r="B327" s="137" t="str">
        <x:v>REX GOLA (L)</x:v>
      </x:c>
      <x:c r="C327" s="137" t="str">
        <x:v>LACE</x:v>
      </x:c>
      <x:c r="D327" s="137" t="str">
        <x:v>6X7B</x:v>
      </x:c>
      <x:c r="E327" s="137" t="str">
        <x:v>CUTTING</x:v>
      </x:c>
      <x:c r="F327" s="137" t="str">
        <x:v>R.||MTR</x:v>
      </x:c>
      <x:c r="G327" s="137" t="str">
        <x:v>R.</x:v>
      </x:c>
      <x:c r="H327" s="137" t="str">
        <x:v>MTR</x:v>
      </x:c>
      <x:c r="I327" s="175" t="n">
        <x:v>0.04</x:v>
      </x:c>
      <x:c r="J327" s="176" t="str"/>
      <x:c r="K327" s="177" t="str"/>
      <x:c r="L327" s="178" t="str">
        <x:f>IF(J327="","",J327*(1+IF(K327="",0,K327)) )</x:f>
      </x:c>
      <x:c r="M327" s="138" t="str"/>
      <x:c r="N327" s="137" t="str">
        <x:v>Current model BOM seed</x:v>
      </x:c>
      <x:c r="O327" s="137" t="str"/>
      <x:c r="P327" s="137" t="str">
        <x:v>To Confirm</x:v>
      </x:c>
      <x:c r="Q327" s="137" t="str"/>
    </x:row>
    <x:row r="328">
      <x:c r="A328" s="137" t="str">
        <x:v>BOM-00324</x:v>
      </x:c>
      <x:c r="B328" s="137" t="str">
        <x:v>REX GOLA (L)</x:v>
      </x:c>
      <x:c r="C328" s="137" t="str">
        <x:v>LACE</x:v>
      </x:c>
      <x:c r="D328" s="137" t="str">
        <x:v>6X7B</x:v>
      </x:c>
      <x:c r="E328" s="137" t="str">
        <x:v>STITCHING</x:v>
      </x:c>
      <x:c r="F328" s="137" t="str">
        <x:v>Nylonthread 3 ply||CONE</x:v>
      </x:c>
      <x:c r="G328" s="137" t="str">
        <x:v>Nylonthread 3 ply</x:v>
      </x:c>
      <x:c r="H328" s="137" t="str">
        <x:v>CONE</x:v>
      </x:c>
      <x:c r="I328" s="175" t="n">
        <x:v>0.031333</x:v>
      </x:c>
      <x:c r="J328" s="176" t="str"/>
      <x:c r="K328" s="177" t="str"/>
      <x:c r="L328" s="178" t="str">
        <x:f>IF(J328="","",J328*(1+IF(K328="",0,K328)) )</x:f>
      </x:c>
      <x:c r="M328" s="138" t="str"/>
      <x:c r="N328" s="137" t="str">
        <x:v>Current model BOM seed</x:v>
      </x:c>
      <x:c r="O328" s="137" t="str"/>
      <x:c r="P328" s="137" t="str">
        <x:v>To Confirm</x:v>
      </x:c>
      <x:c r="Q328" s="137" t="str"/>
    </x:row>
    <x:row r="329">
      <x:c r="A329" s="137" t="str">
        <x:v>BOM-00325</x:v>
      </x:c>
      <x:c r="B329" s="137" t="str">
        <x:v>REX GOLA (L)</x:v>
      </x:c>
      <x:c r="C329" s="137" t="str">
        <x:v>LACE</x:v>
      </x:c>
      <x:c r="D329" s="137" t="str">
        <x:v>6X7B</x:v>
      </x:c>
      <x:c r="E329" s="137" t="str">
        <x:v>STITCHING</x:v>
      </x:c>
      <x:c r="F329" s="137" t="str">
        <x:v>Polister Binding 12mm||MTR</x:v>
      </x:c>
      <x:c r="G329" s="137" t="str">
        <x:v>Polister Binding 12mm</x:v>
      </x:c>
      <x:c r="H329" s="137" t="str">
        <x:v>MTR</x:v>
      </x:c>
      <x:c r="I329" s="175" t="n">
        <x:v>0.4</x:v>
      </x:c>
      <x:c r="J329" s="176" t="str"/>
      <x:c r="K329" s="177" t="str"/>
      <x:c r="L329" s="178" t="str">
        <x:f>IF(J329="","",J329*(1+IF(K329="",0,K329)) )</x:f>
      </x:c>
      <x:c r="M329" s="138" t="str"/>
      <x:c r="N329" s="137" t="str">
        <x:v>Current model BOM seed</x:v>
      </x:c>
      <x:c r="O329" s="137" t="str"/>
      <x:c r="P329" s="137" t="str">
        <x:v>To Confirm</x:v>
      </x:c>
      <x:c r="Q329" s="137" t="str"/>
    </x:row>
    <x:row r="330">
      <x:c r="A330" s="137" t="str">
        <x:v>BOM-00326</x:v>
      </x:c>
      <x:c r="B330" s="137" t="str">
        <x:v>REX GOLA (L)</x:v>
      </x:c>
      <x:c r="C330" s="137" t="str">
        <x:v>LACE</x:v>
      </x:c>
      <x:c r="D330" s="137" t="str">
        <x:v>6X7B</x:v>
      </x:c>
      <x:c r="E330" s="137" t="str">
        <x:v>STITCHING</x:v>
      </x:c>
      <x:c r="F330" s="137" t="str">
        <x:v>Lebel Gola||PCS</x:v>
      </x:c>
      <x:c r="G330" s="137" t="str">
        <x:v>Lebel Gola</x:v>
      </x:c>
      <x:c r="H330" s="137" t="str">
        <x:v>PCS</x:v>
      </x:c>
      <x:c r="I330" s="175" t="n">
        <x:v>2</x:v>
      </x:c>
      <x:c r="J330" s="176" t="str"/>
      <x:c r="K330" s="177" t="str"/>
      <x:c r="L330" s="178" t="str">
        <x:f>IF(J330="","",J330*(1+IF(K330="",0,K330)) )</x:f>
      </x:c>
      <x:c r="M330" s="138" t="str"/>
      <x:c r="N330" s="137" t="str">
        <x:v>Current model BOM seed</x:v>
      </x:c>
      <x:c r="O330" s="137" t="str"/>
      <x:c r="P330" s="137" t="str">
        <x:v>To Confirm</x:v>
      </x:c>
      <x:c r="Q330" s="137" t="str"/>
    </x:row>
    <x:row r="331">
      <x:c r="A331" s="137" t="str">
        <x:v>BOM-00327</x:v>
      </x:c>
      <x:c r="B331" s="137" t="str">
        <x:v>REX GOLA (L)</x:v>
      </x:c>
      <x:c r="C331" s="137" t="str">
        <x:v>LACE</x:v>
      </x:c>
      <x:c r="D331" s="137" t="str">
        <x:v>6X7B</x:v>
      </x:c>
      <x:c r="E331" s="137" t="str">
        <x:v>STITCHING</x:v>
      </x:c>
      <x:c r="F331" s="137" t="str">
        <x:v>PP Bag 18.5x31||PCS</x:v>
      </x:c>
      <x:c r="G331" s="137" t="str">
        <x:v>PP Bag 18.5x31</x:v>
      </x:c>
      <x:c r="H331" s="137" t="str">
        <x:v>PCS</x:v>
      </x:c>
      <x:c r="I331" s="175" t="n">
        <x:v>0.05</x:v>
      </x:c>
      <x:c r="J331" s="176" t="str"/>
      <x:c r="K331" s="177" t="str"/>
      <x:c r="L331" s="178" t="str">
        <x:f>IF(J331="","",J331*(1+IF(K331="",0,K331)) )</x:f>
      </x:c>
      <x:c r="M331" s="138" t="str"/>
      <x:c r="N331" s="137" t="str">
        <x:v>Current model BOM seed</x:v>
      </x:c>
      <x:c r="O331" s="137" t="str"/>
      <x:c r="P331" s="137" t="str">
        <x:v>To Confirm</x:v>
      </x:c>
      <x:c r="Q331" s="137" t="str"/>
    </x:row>
    <x:row r="332">
      <x:c r="A332" s="137" t="str">
        <x:v>BOM-00328</x:v>
      </x:c>
      <x:c r="B332" s="137" t="str">
        <x:v>REX GOLA (L)</x:v>
      </x:c>
      <x:c r="C332" s="137" t="str">
        <x:v>LACE</x:v>
      </x:c>
      <x:c r="D332" s="137" t="str">
        <x:v>8X10B</x:v>
      </x:c>
      <x:c r="E332" s="137" t="str">
        <x:v>CUTTING</x:v>
      </x:c>
      <x:c r="F332" s="137" t="str">
        <x:v>REXION 1.5MM FRENZY (HEAVY)||MTR</x:v>
      </x:c>
      <x:c r="G332" s="137" t="str">
        <x:v>REXION 1.5MM FRENZY (HEAVY)</x:v>
      </x:c>
      <x:c r="H332" s="137" t="str">
        <x:v>MTR</x:v>
      </x:c>
      <x:c r="I332" s="175" t="n">
        <x:v>0.074074</x:v>
      </x:c>
      <x:c r="J332" s="176" t="str"/>
      <x:c r="K332" s="177" t="str"/>
      <x:c r="L332" s="178" t="str">
        <x:f>IF(J332="","",J332*(1+IF(K332="",0,K332)) )</x:f>
      </x:c>
      <x:c r="M332" s="138" t="str"/>
      <x:c r="N332" s="137" t="str">
        <x:v>Current model BOM seed</x:v>
      </x:c>
      <x:c r="O332" s="137" t="str"/>
      <x:c r="P332" s="137" t="str">
        <x:v>To Confirm</x:v>
      </x:c>
      <x:c r="Q332" s="137" t="str"/>
    </x:row>
    <x:row r="333">
      <x:c r="A333" s="137" t="str">
        <x:v>BOM-00329</x:v>
      </x:c>
      <x:c r="B333" s="137" t="str">
        <x:v>REX GOLA (L)</x:v>
      </x:c>
      <x:c r="C333" s="137" t="str">
        <x:v>LACE</x:v>
      </x:c>
      <x:c r="D333" s="137" t="str">
        <x:v>8X10B</x:v>
      </x:c>
      <x:c r="E333" s="137" t="str">
        <x:v>CUTTING</x:v>
      </x:c>
      <x:c r="F333" s="137" t="str">
        <x:v>REXION 1.5MM FRENZY (LIGHT)||MTR</x:v>
      </x:c>
      <x:c r="G333" s="137" t="str">
        <x:v>REXION 1.5MM FRENZY (LIGHT)</x:v>
      </x:c>
      <x:c r="H333" s="137" t="str">
        <x:v>MTR</x:v>
      </x:c>
      <x:c r="I333" s="175" t="n">
        <x:v>0.092074</x:v>
      </x:c>
      <x:c r="J333" s="176" t="str"/>
      <x:c r="K333" s="177" t="str"/>
      <x:c r="L333" s="178" t="str">
        <x:f>IF(J333="","",J333*(1+IF(K333="",0,K333)) )</x:f>
      </x:c>
      <x:c r="M333" s="138" t="str"/>
      <x:c r="N333" s="137" t="str">
        <x:v>Current model BOM seed</x:v>
      </x:c>
      <x:c r="O333" s="137" t="str"/>
      <x:c r="P333" s="137" t="str">
        <x:v>To Confirm</x:v>
      </x:c>
      <x:c r="Q333" s="137" t="str"/>
    </x:row>
    <x:row r="334">
      <x:c r="A334" s="137" t="str">
        <x:v>BOM-00330</x:v>
      </x:c>
      <x:c r="B334" s="137" t="str">
        <x:v>REX GOLA (L)</x:v>
      </x:c>
      <x:c r="C334" s="137" t="str">
        <x:v>LACE</x:v>
      </x:c>
      <x:c r="D334" s="137" t="str">
        <x:v>8X10B</x:v>
      </x:c>
      <x:c r="E334" s="137" t="str">
        <x:v>CUTTING</x:v>
      </x:c>
      <x:c r="F334" s="137" t="str">
        <x:v>REXION 1.5MM FOR INTOE||MTR</x:v>
      </x:c>
      <x:c r="G334" s="137" t="str">
        <x:v>REXION 1.5MM FOR INTOE</x:v>
      </x:c>
      <x:c r="H334" s="137" t="str">
        <x:v>MTR</x:v>
      </x:c>
      <x:c r="I334" s="175" t="n">
        <x:v>0.026296</x:v>
      </x:c>
      <x:c r="J334" s="176" t="str"/>
      <x:c r="K334" s="177" t="str"/>
      <x:c r="L334" s="178" t="str">
        <x:f>IF(J334="","",J334*(1+IF(K334="",0,K334)) )</x:f>
      </x:c>
      <x:c r="M334" s="138" t="str"/>
      <x:c r="N334" s="137" t="str">
        <x:v>Current model BOM seed</x:v>
      </x:c>
      <x:c r="O334" s="137" t="str"/>
      <x:c r="P334" s="137" t="str">
        <x:v>To Confirm</x:v>
      </x:c>
      <x:c r="Q334" s="137" t="str"/>
    </x:row>
    <x:row r="335">
      <x:c r="A335" s="137" t="str">
        <x:v>BOM-00331</x:v>
      </x:c>
      <x:c r="B335" s="137" t="str">
        <x:v>REX GOLA (L)</x:v>
      </x:c>
      <x:c r="C335" s="137" t="str">
        <x:v>LACE</x:v>
      </x:c>
      <x:c r="D335" s="137" t="str">
        <x:v>8X10B</x:v>
      </x:c>
      <x:c r="E335" s="137" t="str">
        <x:v>CUTTING</x:v>
      </x:c>
      <x:c r="F335" s="137" t="str">
        <x:v>STIFFNER 1.4 MM||MTR</x:v>
      </x:c>
      <x:c r="G335" s="137" t="str">
        <x:v>STIFFNER 1.4 MM</x:v>
      </x:c>
      <x:c r="H335" s="137" t="str">
        <x:v>MTR</x:v>
      </x:c>
      <x:c r="I335" s="175" t="n">
        <x:v>0.0182</x:v>
      </x:c>
      <x:c r="J335" s="176" t="str"/>
      <x:c r="K335" s="177" t="str"/>
      <x:c r="L335" s="178" t="str">
        <x:f>IF(J335="","",J335*(1+IF(K335="",0,K335)) )</x:f>
      </x:c>
      <x:c r="M335" s="138" t="str"/>
      <x:c r="N335" s="137" t="str">
        <x:v>Current model BOM seed</x:v>
      </x:c>
      <x:c r="O335" s="137" t="str"/>
      <x:c r="P335" s="137" t="str">
        <x:v>To Confirm</x:v>
      </x:c>
      <x:c r="Q335" s="137" t="str"/>
    </x:row>
    <x:row r="336">
      <x:c r="A336" s="137" t="str">
        <x:v>BOM-00332</x:v>
      </x:c>
      <x:c r="B336" s="137" t="str">
        <x:v>REX GOLA (L)</x:v>
      </x:c>
      <x:c r="C336" s="137" t="str">
        <x:v>LACE</x:v>
      </x:c>
      <x:c r="D336" s="137" t="str">
        <x:v>8X10B</x:v>
      </x:c>
      <x:c r="E336" s="137" t="str">
        <x:v>CUTTING</x:v>
      </x:c>
      <x:c r="F336" s="137" t="str">
        <x:v>SKIN FIT 5 MM||MTR</x:v>
      </x:c>
      <x:c r="G336" s="137" t="str">
        <x:v>SKIN FIT 5 MM</x:v>
      </x:c>
      <x:c r="H336" s="137" t="str">
        <x:v>MTR</x:v>
      </x:c>
      <x:c r="I336" s="175" t="n">
        <x:v>0.095267</x:v>
      </x:c>
      <x:c r="J336" s="176" t="str"/>
      <x:c r="K336" s="177" t="str"/>
      <x:c r="L336" s="178" t="str">
        <x:f>IF(J336="","",J336*(1+IF(K336="",0,K336)) )</x:f>
      </x:c>
      <x:c r="M336" s="138" t="str"/>
      <x:c r="N336" s="137" t="str">
        <x:v>Current model BOM seed</x:v>
      </x:c>
      <x:c r="O336" s="137" t="str"/>
      <x:c r="P336" s="137" t="str">
        <x:v>To Confirm</x:v>
      </x:c>
      <x:c r="Q336" s="137" t="str"/>
    </x:row>
    <x:row r="337">
      <x:c r="A337" s="137" t="str">
        <x:v>BOM-00333</x:v>
      </x:c>
      <x:c r="B337" s="137" t="str">
        <x:v>REX GOLA (L)</x:v>
      </x:c>
      <x:c r="C337" s="137" t="str">
        <x:v>LACE</x:v>
      </x:c>
      <x:c r="D337" s="137" t="str">
        <x:v>8X10B</x:v>
      </x:c>
      <x:c r="E337" s="137" t="str">
        <x:v>CUTTING</x:v>
      </x:c>
      <x:c r="F337" s="137" t="str">
        <x:v>FOAM 10 MM||SHEET</x:v>
      </x:c>
      <x:c r="G337" s="137" t="str">
        <x:v>FOAM 10 MM</x:v>
      </x:c>
      <x:c r="H337" s="137" t="str">
        <x:v>SHEET</x:v>
      </x:c>
      <x:c r="I337" s="175" t="n">
        <x:v>0.021733</x:v>
      </x:c>
      <x:c r="J337" s="176" t="str"/>
      <x:c r="K337" s="177" t="str"/>
      <x:c r="L337" s="178" t="str">
        <x:f>IF(J337="","",J337*(1+IF(K337="",0,K337)) )</x:f>
      </x:c>
      <x:c r="M337" s="138" t="str"/>
      <x:c r="N337" s="137" t="str">
        <x:v>Current model BOM seed</x:v>
      </x:c>
      <x:c r="O337" s="137" t="str"/>
      <x:c r="P337" s="137" t="str">
        <x:v>To Confirm</x:v>
      </x:c>
      <x:c r="Q337" s="137" t="str"/>
    </x:row>
    <x:row r="338">
      <x:c r="A338" s="137" t="str">
        <x:v>BOM-00334</x:v>
      </x:c>
      <x:c r="B338" s="137" t="str">
        <x:v>REX GOLA (L)</x:v>
      </x:c>
      <x:c r="C338" s="137" t="str">
        <x:v>LACE</x:v>
      </x:c>
      <x:c r="D338" s="137" t="str">
        <x:v>8X10B</x:v>
      </x:c>
      <x:c r="E338" s="137" t="str">
        <x:v>CUTTING</x:v>
      </x:c>
      <x:c r="F338" s="137" t="str">
        <x:v>FOAM 20 MM||SHEET</x:v>
      </x:c>
      <x:c r="G338" s="137" t="str">
        <x:v>FOAM 20 MM</x:v>
      </x:c>
      <x:c r="H338" s="137" t="str">
        <x:v>SHEET</x:v>
      </x:c>
      <x:c r="I338" s="175" t="n">
        <x:v>0.013533</x:v>
      </x:c>
      <x:c r="J338" s="176" t="str"/>
      <x:c r="K338" s="177" t="str"/>
      <x:c r="L338" s="178" t="str">
        <x:f>IF(J338="","",J338*(1+IF(K338="",0,K338)) )</x:f>
      </x:c>
      <x:c r="M338" s="138" t="str"/>
      <x:c r="N338" s="137" t="str">
        <x:v>Current model BOM seed</x:v>
      </x:c>
      <x:c r="O338" s="137" t="str"/>
      <x:c r="P338" s="137" t="str">
        <x:v>To Confirm</x:v>
      </x:c>
      <x:c r="Q338" s="137" t="str"/>
    </x:row>
    <x:row r="339">
      <x:c r="A339" s="137" t="str">
        <x:v>BOM-00335</x:v>
      </x:c>
      <x:c r="B339" s="137" t="str">
        <x:v>REX GOLA (L)</x:v>
      </x:c>
      <x:c r="C339" s="137" t="str">
        <x:v>LACE</x:v>
      </x:c>
      <x:c r="D339" s="137" t="str">
        <x:v>8X10B</x:v>
      </x:c>
      <x:c r="E339" s="137" t="str">
        <x:v>CUTTING</x:v>
      </x:c>
      <x:c r="F339" s="137" t="str">
        <x:v>ASTAR 3 MM light||MTR</x:v>
      </x:c>
      <x:c r="G339" s="137" t="str">
        <x:v>ASTAR 3 MM light</x:v>
      </x:c>
      <x:c r="H339" s="137" t="str">
        <x:v>MTR</x:v>
      </x:c>
      <x:c r="I339" s="175" t="n">
        <x:v>0.017267</x:v>
      </x:c>
      <x:c r="J339" s="176" t="str"/>
      <x:c r="K339" s="177" t="str"/>
      <x:c r="L339" s="178" t="str">
        <x:f>IF(J339="","",J339*(1+IF(K339="",0,K339)) )</x:f>
      </x:c>
      <x:c r="M339" s="138" t="str"/>
      <x:c r="N339" s="137" t="str">
        <x:v>Current model BOM seed</x:v>
      </x:c>
      <x:c r="O339" s="137" t="str"/>
      <x:c r="P339" s="137" t="str">
        <x:v>To Confirm</x:v>
      </x:c>
      <x:c r="Q339" s="137" t="str"/>
    </x:row>
    <x:row r="340">
      <x:c r="A340" s="137" t="str">
        <x:v>BOM-00336</x:v>
      </x:c>
      <x:c r="B340" s="137" t="str">
        <x:v>REX GOLA (L)</x:v>
      </x:c>
      <x:c r="C340" s="137" t="str">
        <x:v>LACE</x:v>
      </x:c>
      <x:c r="D340" s="137" t="str">
        <x:v>8X10B</x:v>
      </x:c>
      <x:c r="E340" s="137" t="str">
        <x:v>CUTTING</x:v>
      </x:c>
      <x:c r="F340" s="137" t="str">
        <x:v>ASTAR 3 MM Heavy||MTR</x:v>
      </x:c>
      <x:c r="G340" s="137" t="str">
        <x:v>ASTAR 3 MM Heavy</x:v>
      </x:c>
      <x:c r="H340" s="137" t="str">
        <x:v>MTR</x:v>
      </x:c>
      <x:c r="I340" s="175" t="n">
        <x:v>0.033333</x:v>
      </x:c>
      <x:c r="J340" s="176" t="str"/>
      <x:c r="K340" s="177" t="str"/>
      <x:c r="L340" s="178" t="str">
        <x:f>IF(J340="","",J340*(1+IF(K340="",0,K340)) )</x:f>
      </x:c>
      <x:c r="M340" s="138" t="str"/>
      <x:c r="N340" s="137" t="str">
        <x:v>Current model BOM seed</x:v>
      </x:c>
      <x:c r="O340" s="137" t="str"/>
      <x:c r="P340" s="137" t="str">
        <x:v>To Confirm</x:v>
      </x:c>
      <x:c r="Q340" s="137" t="str"/>
    </x:row>
    <x:row r="341">
      <x:c r="A341" s="137" t="str">
        <x:v>BOM-00337</x:v>
      </x:c>
      <x:c r="B341" s="137" t="str">
        <x:v>REX GOLA (L)</x:v>
      </x:c>
      <x:c r="C341" s="137" t="str">
        <x:v>LACE</x:v>
      </x:c>
      <x:c r="D341" s="137" t="str">
        <x:v>8X10B</x:v>
      </x:c>
      <x:c r="E341" s="137" t="str">
        <x:v>CUTTING</x:v>
      </x:c>
      <x:c r="F341" s="137" t="str">
        <x:v>INSOLE 4 MM||MTR</x:v>
      </x:c>
      <x:c r="G341" s="137" t="str">
        <x:v>INSOLE 4 MM</x:v>
      </x:c>
      <x:c r="H341" s="137" t="str">
        <x:v>MTR</x:v>
      </x:c>
      <x:c r="I341" s="175" t="n">
        <x:v>0.041655</x:v>
      </x:c>
      <x:c r="J341" s="176" t="str"/>
      <x:c r="K341" s="177" t="str"/>
      <x:c r="L341" s="178" t="str">
        <x:f>IF(J341="","",J341*(1+IF(K341="",0,K341)) )</x:f>
      </x:c>
      <x:c r="M341" s="138" t="str"/>
      <x:c r="N341" s="137" t="str">
        <x:v>Current model BOM seed</x:v>
      </x:c>
      <x:c r="O341" s="137" t="str"/>
      <x:c r="P341" s="137" t="str">
        <x:v>To Confirm</x:v>
      </x:c>
      <x:c r="Q341" s="137" t="str"/>
    </x:row>
    <x:row r="342">
      <x:c r="A342" s="137" t="str">
        <x:v>BOM-00338</x:v>
      </x:c>
      <x:c r="B342" s="137" t="str">
        <x:v>REX GOLA (L)</x:v>
      </x:c>
      <x:c r="C342" s="137" t="str">
        <x:v>LACE</x:v>
      </x:c>
      <x:c r="D342" s="137" t="str">
        <x:v>8X10B</x:v>
      </x:c>
      <x:c r="E342" s="137" t="str">
        <x:v>CUTTING</x:v>
      </x:c>
      <x:c r="F342" s="137" t="str">
        <x:v>R.||MTR</x:v>
      </x:c>
      <x:c r="G342" s="137" t="str">
        <x:v>R.</x:v>
      </x:c>
      <x:c r="H342" s="137" t="str">
        <x:v>MTR</x:v>
      </x:c>
      <x:c r="I342" s="175" t="n">
        <x:v>0.037037</x:v>
      </x:c>
      <x:c r="J342" s="176" t="str"/>
      <x:c r="K342" s="177" t="str"/>
      <x:c r="L342" s="178" t="str">
        <x:f>IF(J342="","",J342*(1+IF(K342="",0,K342)) )</x:f>
      </x:c>
      <x:c r="M342" s="138" t="str"/>
      <x:c r="N342" s="137" t="str">
        <x:v>Current model BOM seed</x:v>
      </x:c>
      <x:c r="O342" s="137" t="str"/>
      <x:c r="P342" s="137" t="str">
        <x:v>To Confirm</x:v>
      </x:c>
      <x:c r="Q342" s="137" t="str"/>
    </x:row>
    <x:row r="343">
      <x:c r="A343" s="137" t="str">
        <x:v>BOM-00339</x:v>
      </x:c>
      <x:c r="B343" s="137" t="str">
        <x:v>REX GOLA (L)</x:v>
      </x:c>
      <x:c r="C343" s="137" t="str">
        <x:v>LACE</x:v>
      </x:c>
      <x:c r="D343" s="137" t="str">
        <x:v>8X10B</x:v>
      </x:c>
      <x:c r="E343" s="137" t="str">
        <x:v>STITCHING</x:v>
      </x:c>
      <x:c r="F343" s="137" t="str">
        <x:v>Nylonthread 3 ply||CONE</x:v>
      </x:c>
      <x:c r="G343" s="137" t="str">
        <x:v>Nylonthread 3 ply</x:v>
      </x:c>
      <x:c r="H343" s="137" t="str">
        <x:v>CONE</x:v>
      </x:c>
      <x:c r="I343" s="175" t="n">
        <x:v>0.031333</x:v>
      </x:c>
      <x:c r="J343" s="176" t="str"/>
      <x:c r="K343" s="177" t="str"/>
      <x:c r="L343" s="178" t="str">
        <x:f>IF(J343="","",J343*(1+IF(K343="",0,K343)) )</x:f>
      </x:c>
      <x:c r="M343" s="138" t="str"/>
      <x:c r="N343" s="137" t="str">
        <x:v>Current model BOM seed</x:v>
      </x:c>
      <x:c r="O343" s="137" t="str"/>
      <x:c r="P343" s="137" t="str">
        <x:v>To Confirm</x:v>
      </x:c>
      <x:c r="Q343" s="137" t="str"/>
    </x:row>
    <x:row r="344">
      <x:c r="A344" s="137" t="str">
        <x:v>BOM-00340</x:v>
      </x:c>
      <x:c r="B344" s="137" t="str">
        <x:v>REX GOLA (L)</x:v>
      </x:c>
      <x:c r="C344" s="137" t="str">
        <x:v>LACE</x:v>
      </x:c>
      <x:c r="D344" s="137" t="str">
        <x:v>8X10B</x:v>
      </x:c>
      <x:c r="E344" s="137" t="str">
        <x:v>STITCHING</x:v>
      </x:c>
      <x:c r="F344" s="137" t="str">
        <x:v>Polister Binding 12mm||MTR</x:v>
      </x:c>
      <x:c r="G344" s="137" t="str">
        <x:v>Polister Binding 12mm</x:v>
      </x:c>
      <x:c r="H344" s="137" t="str">
        <x:v>MTR</x:v>
      </x:c>
      <x:c r="I344" s="175" t="n">
        <x:v>0.4</x:v>
      </x:c>
      <x:c r="J344" s="176" t="str"/>
      <x:c r="K344" s="177" t="str"/>
      <x:c r="L344" s="178" t="str">
        <x:f>IF(J344="","",J344*(1+IF(K344="",0,K344)) )</x:f>
      </x:c>
      <x:c r="M344" s="138" t="str"/>
      <x:c r="N344" s="137" t="str">
        <x:v>Current model BOM seed</x:v>
      </x:c>
      <x:c r="O344" s="137" t="str"/>
      <x:c r="P344" s="137" t="str">
        <x:v>To Confirm</x:v>
      </x:c>
      <x:c r="Q344" s="137" t="str"/>
    </x:row>
    <x:row r="345">
      <x:c r="A345" s="137" t="str">
        <x:v>BOM-00341</x:v>
      </x:c>
      <x:c r="B345" s="137" t="str">
        <x:v>REX GOLA (L)</x:v>
      </x:c>
      <x:c r="C345" s="137" t="str">
        <x:v>LACE</x:v>
      </x:c>
      <x:c r="D345" s="137" t="str">
        <x:v>8X10B</x:v>
      </x:c>
      <x:c r="E345" s="137" t="str">
        <x:v>STITCHING</x:v>
      </x:c>
      <x:c r="F345" s="137" t="str">
        <x:v>Lebel Gola||PCS</x:v>
      </x:c>
      <x:c r="G345" s="137" t="str">
        <x:v>Lebel Gola</x:v>
      </x:c>
      <x:c r="H345" s="137" t="str">
        <x:v>PCS</x:v>
      </x:c>
      <x:c r="I345" s="175" t="n">
        <x:v>2</x:v>
      </x:c>
      <x:c r="J345" s="176" t="str"/>
      <x:c r="K345" s="177" t="str"/>
      <x:c r="L345" s="178" t="str">
        <x:f>IF(J345="","",J345*(1+IF(K345="",0,K345)) )</x:f>
      </x:c>
      <x:c r="M345" s="138" t="str"/>
      <x:c r="N345" s="137" t="str">
        <x:v>Current model BOM seed</x:v>
      </x:c>
      <x:c r="O345" s="137" t="str"/>
      <x:c r="P345" s="137" t="str">
        <x:v>To Confirm</x:v>
      </x:c>
      <x:c r="Q345" s="137" t="str"/>
    </x:row>
    <x:row r="346">
      <x:c r="A346" s="137" t="str">
        <x:v>BOM-00342</x:v>
      </x:c>
      <x:c r="B346" s="137" t="str">
        <x:v>REX GOLA (L)</x:v>
      </x:c>
      <x:c r="C346" s="137" t="str">
        <x:v>LACE</x:v>
      </x:c>
      <x:c r="D346" s="137" t="str">
        <x:v>8X10B</x:v>
      </x:c>
      <x:c r="E346" s="137" t="str">
        <x:v>STITCHING</x:v>
      </x:c>
      <x:c r="F346" s="137" t="str">
        <x:v>PP Bag 18.5x31||PCS</x:v>
      </x:c>
      <x:c r="G346" s="137" t="str">
        <x:v>PP Bag 18.5x31</x:v>
      </x:c>
      <x:c r="H346" s="137" t="str">
        <x:v>PCS</x:v>
      </x:c>
      <x:c r="I346" s="175" t="n">
        <x:v>0.05</x:v>
      </x:c>
      <x:c r="J346" s="176" t="str"/>
      <x:c r="K346" s="177" t="str"/>
      <x:c r="L346" s="178" t="str">
        <x:f>IF(J346="","",J346*(1+IF(K346="",0,K346)) )</x:f>
      </x:c>
      <x:c r="M346" s="138" t="str"/>
      <x:c r="N346" s="137" t="str">
        <x:v>Current model BOM seed</x:v>
      </x:c>
      <x:c r="O346" s="137" t="str"/>
      <x:c r="P346" s="137" t="str">
        <x:v>To Confirm</x:v>
      </x:c>
      <x:c r="Q346" s="137" t="str"/>
    </x:row>
    <x:row r="347">
      <x:c r="A347" s="137" t="str">
        <x:v>BOM-00343</x:v>
      </x:c>
      <x:c r="B347" s="137" t="str">
        <x:v>SILKY BELLY BLACK</x:v>
      </x:c>
      <x:c r="C347" s="137" t="str">
        <x:v>TO CONFIRM</x:v>
      </x:c>
      <x:c r="D347" s="137" t="str">
        <x:v>6X8</x:v>
      </x:c>
      <x:c r="E347" s="137" t="str">
        <x:v>CUTTING</x:v>
      </x:c>
      <x:c r="F347" s="137" t="str">
        <x:v>REXION 1.5MM FRENZY (HEAVY) BLACK||MTR</x:v>
      </x:c>
      <x:c r="G347" s="137" t="str">
        <x:v>REXION 1.5MM FRENZY (HEAVY) BLACK</x:v>
      </x:c>
      <x:c r="H347" s="137" t="str">
        <x:v>MTR</x:v>
      </x:c>
      <x:c r="I347" s="175" t="n">
        <x:v>0.04437</x:v>
      </x:c>
      <x:c r="J347" s="176" t="str"/>
      <x:c r="K347" s="177" t="str"/>
      <x:c r="L347" s="178" t="str">
        <x:f>IF(J347="","",J347*(1+IF(K347="",0,K347)) )</x:f>
      </x:c>
      <x:c r="M347" s="138" t="str"/>
      <x:c r="N347" s="137" t="str">
        <x:v>Current model BOM seed</x:v>
      </x:c>
      <x:c r="O347" s="137" t="str"/>
      <x:c r="P347" s="137" t="str">
        <x:v>To Confirm</x:v>
      </x:c>
      <x:c r="Q347" s="137" t="str"/>
    </x:row>
    <x:row r="348">
      <x:c r="A348" s="137" t="str">
        <x:v>BOM-00344</x:v>
      </x:c>
      <x:c r="B348" s="137" t="str">
        <x:v>SILKY BELLY BLACK</x:v>
      </x:c>
      <x:c r="C348" s="137" t="str">
        <x:v>TO CONFIRM</x:v>
      </x:c>
      <x:c r="D348" s="137" t="str">
        <x:v>6X8</x:v>
      </x:c>
      <x:c r="E348" s="137" t="str">
        <x:v>CUTTING</x:v>
      </x:c>
      <x:c r="F348" s="137" t="str">
        <x:v>REXION 1.5MM FRENZY (LIGHT) BLACK||MTR</x:v>
      </x:c>
      <x:c r="G348" s="137" t="str">
        <x:v>REXION 1.5MM FRENZY (LIGHT) BLACK</x:v>
      </x:c>
      <x:c r="H348" s="137" t="str">
        <x:v>MTR</x:v>
      </x:c>
      <x:c r="I348" s="175" t="n">
        <x:v>0.011556</x:v>
      </x:c>
      <x:c r="J348" s="176" t="str"/>
      <x:c r="K348" s="177" t="str"/>
      <x:c r="L348" s="178" t="str">
        <x:f>IF(J348="","",J348*(1+IF(K348="",0,K348)) )</x:f>
      </x:c>
      <x:c r="M348" s="138" t="str"/>
      <x:c r="N348" s="137" t="str">
        <x:v>Current model BOM seed</x:v>
      </x:c>
      <x:c r="O348" s="137" t="str"/>
      <x:c r="P348" s="137" t="str">
        <x:v>To Confirm</x:v>
      </x:c>
      <x:c r="Q348" s="137" t="str"/>
    </x:row>
    <x:row r="349">
      <x:c r="A349" s="137" t="str">
        <x:v>BOM-00345</x:v>
      </x:c>
      <x:c r="B349" s="137" t="str">
        <x:v>SILKY BELLY BLACK</x:v>
      </x:c>
      <x:c r="C349" s="137" t="str">
        <x:v>TO CONFIRM</x:v>
      </x:c>
      <x:c r="D349" s="137" t="str">
        <x:v>6X8</x:v>
      </x:c>
      <x:c r="E349" s="137" t="str">
        <x:v>CUTTING</x:v>
      </x:c>
      <x:c r="F349" s="137" t="str">
        <x:v>REXION 0.85 MM BLACK||MTR</x:v>
      </x:c>
      <x:c r="G349" s="137" t="str">
        <x:v>REXION 0.85 MM BLACK</x:v>
      </x:c>
      <x:c r="H349" s="137" t="str">
        <x:v>MTR</x:v>
      </x:c>
      <x:c r="I349" s="175" t="n">
        <x:v>0.003556</x:v>
      </x:c>
      <x:c r="J349" s="176" t="str"/>
      <x:c r="K349" s="177" t="str"/>
      <x:c r="L349" s="178" t="str">
        <x:f>IF(J349="","",J349*(1+IF(K349="",0,K349)) )</x:f>
      </x:c>
      <x:c r="M349" s="138" t="str"/>
      <x:c r="N349" s="137" t="str">
        <x:v>Current model BOM seed</x:v>
      </x:c>
      <x:c r="O349" s="137" t="str"/>
      <x:c r="P349" s="137" t="str">
        <x:v>To Confirm</x:v>
      </x:c>
      <x:c r="Q349" s="137" t="str"/>
    </x:row>
    <x:row r="350">
      <x:c r="A350" s="137" t="str">
        <x:v>BOM-00346</x:v>
      </x:c>
      <x:c r="B350" s="137" t="str">
        <x:v>SILKY BELLY BLACK</x:v>
      </x:c>
      <x:c r="C350" s="137" t="str">
        <x:v>TO CONFIRM</x:v>
      </x:c>
      <x:c r="D350" s="137" t="str">
        <x:v>6X8</x:v>
      </x:c>
      <x:c r="E350" s="137" t="str">
        <x:v>CUTTING</x:v>
      </x:c>
      <x:c r="F350" s="137" t="str">
        <x:v>INSOLE 2.5 MM BLACK||MTR</x:v>
      </x:c>
      <x:c r="G350" s="137" t="str">
        <x:v>INSOLE 2.5 MM BLACK</x:v>
      </x:c>
      <x:c r="H350" s="137" t="str">
        <x:v>MTR</x:v>
      </x:c>
      <x:c r="I350" s="175" t="n">
        <x:v>0.0142</x:v>
      </x:c>
      <x:c r="J350" s="176" t="str"/>
      <x:c r="K350" s="177" t="str"/>
      <x:c r="L350" s="178" t="str">
        <x:f>IF(J350="","",J350*(1+IF(K350="",0,K350)) )</x:f>
      </x:c>
      <x:c r="M350" s="138" t="str"/>
      <x:c r="N350" s="137" t="str">
        <x:v>Current model BOM seed</x:v>
      </x:c>
      <x:c r="O350" s="137" t="str"/>
      <x:c r="P350" s="137" t="str">
        <x:v>To Confirm</x:v>
      </x:c>
      <x:c r="Q350" s="137" t="str"/>
    </x:row>
    <x:row r="351">
      <x:c r="A351" s="137" t="str">
        <x:v>BOM-00347</x:v>
      </x:c>
      <x:c r="B351" s="137" t="str">
        <x:v>SILKY BELLY BLACK</x:v>
      </x:c>
      <x:c r="C351" s="137" t="str">
        <x:v>TO CONFIRM</x:v>
      </x:c>
      <x:c r="D351" s="137" t="str">
        <x:v>6X8</x:v>
      </x:c>
      <x:c r="E351" s="137" t="str">
        <x:v>STITCHING</x:v>
      </x:c>
      <x:c r="F351" s="137" t="str">
        <x:v>Nylon Thread Black 3 Ply||CONE</x:v>
      </x:c>
      <x:c r="G351" s="137" t="str">
        <x:v>Nylon Thread Black 3 Ply</x:v>
      </x:c>
      <x:c r="H351" s="137" t="str">
        <x:v>CONE</x:v>
      </x:c>
      <x:c r="I351" s="175" t="n">
        <x:v>0.008</x:v>
      </x:c>
      <x:c r="J351" s="176" t="str"/>
      <x:c r="K351" s="177" t="str"/>
      <x:c r="L351" s="178" t="str">
        <x:f>IF(J351="","",J351*(1+IF(K351="",0,K351)) )</x:f>
      </x:c>
      <x:c r="M351" s="138" t="str"/>
      <x:c r="N351" s="137" t="str">
        <x:v>Current model BOM seed</x:v>
      </x:c>
      <x:c r="O351" s="137" t="str"/>
      <x:c r="P351" s="137" t="str">
        <x:v>To Confirm</x:v>
      </x:c>
      <x:c r="Q351" s="137" t="str"/>
    </x:row>
    <x:row r="352">
      <x:c r="A352" s="137" t="str">
        <x:v>BOM-00348</x:v>
      </x:c>
      <x:c r="B352" s="137" t="str">
        <x:v>SILKY BELLY BLACK</x:v>
      </x:c>
      <x:c r="C352" s="137" t="str">
        <x:v>TO CONFIRM</x:v>
      </x:c>
      <x:c r="D352" s="137" t="str">
        <x:v>6X8</x:v>
      </x:c>
      <x:c r="E352" s="137" t="str">
        <x:v>STITCHING</x:v>
      </x:c>
      <x:c r="F352" s="137" t="str">
        <x:v>Nylon Binding Black 14mm||MTR</x:v>
      </x:c>
      <x:c r="G352" s="137" t="str">
        <x:v>Nylon Binding Black 14mm</x:v>
      </x:c>
      <x:c r="H352" s="137" t="str">
        <x:v>MTR</x:v>
      </x:c>
      <x:c r="I352" s="175" t="n">
        <x:v>0.6</x:v>
      </x:c>
      <x:c r="J352" s="176" t="str"/>
      <x:c r="K352" s="177" t="str"/>
      <x:c r="L352" s="178" t="str">
        <x:f>IF(J352="","",J352*(1+IF(K352="",0,K352)) )</x:f>
      </x:c>
      <x:c r="M352" s="138" t="str"/>
      <x:c r="N352" s="137" t="str">
        <x:v>Current model BOM seed</x:v>
      </x:c>
      <x:c r="O352" s="137" t="str"/>
      <x:c r="P352" s="137" t="str">
        <x:v>To Confirm</x:v>
      </x:c>
      <x:c r="Q352" s="137" t="str"/>
    </x:row>
    <x:row r="353">
      <x:c r="A353" s="137" t="str">
        <x:v>BOM-00349</x:v>
      </x:c>
      <x:c r="B353" s="137" t="str">
        <x:v>SILKY BELLY BLACK</x:v>
      </x:c>
      <x:c r="C353" s="137" t="str">
        <x:v>TO CONFIRM</x:v>
      </x:c>
      <x:c r="D353" s="137" t="str">
        <x:v>6X8</x:v>
      </x:c>
      <x:c r="E353" s="137" t="str">
        <x:v>STITCHING</x:v>
      </x:c>
      <x:c r="F353" s="137" t="str">
        <x:v>PP Bag 18.5x31||PCS</x:v>
      </x:c>
      <x:c r="G353" s="137" t="str">
        <x:v>PP Bag 18.5x31</x:v>
      </x:c>
      <x:c r="H353" s="137" t="str">
        <x:v>PCS</x:v>
      </x:c>
      <x:c r="I353" s="175" t="n">
        <x:v>0.033333</x:v>
      </x:c>
      <x:c r="J353" s="176" t="str"/>
      <x:c r="K353" s="177" t="str"/>
      <x:c r="L353" s="178" t="str">
        <x:f>IF(J353="","",J353*(1+IF(K353="",0,K353)) )</x:f>
      </x:c>
      <x:c r="M353" s="138" t="str"/>
      <x:c r="N353" s="137" t="str">
        <x:v>Current model BOM seed</x:v>
      </x:c>
      <x:c r="O353" s="137" t="str"/>
      <x:c r="P353" s="137" t="str">
        <x:v>To Confirm</x:v>
      </x:c>
      <x:c r="Q353" s="137" t="str"/>
    </x:row>
    <x:row r="354">
      <x:c r="A354" s="137" t="str">
        <x:v>BOM-00350</x:v>
      </x:c>
      <x:c r="B354" s="137" t="str">
        <x:v>SILKY BELLY BLACK</x:v>
      </x:c>
      <x:c r="C354" s="137" t="str">
        <x:v>TO CONFIRM</x:v>
      </x:c>
      <x:c r="D354" s="137" t="str">
        <x:v>9X11</x:v>
      </x:c>
      <x:c r="E354" s="137" t="str">
        <x:v>CUTTING</x:v>
      </x:c>
      <x:c r="F354" s="137" t="str">
        <x:v>REXION 1.5MM FRENZY (HEAVY) BLACK||MTR</x:v>
      </x:c>
      <x:c r="G354" s="137" t="str">
        <x:v>REXION 1.5MM FRENZY (HEAVY) BLACK</x:v>
      </x:c>
      <x:c r="H354" s="137" t="str">
        <x:v>MTR</x:v>
      </x:c>
      <x:c r="I354" s="175" t="n">
        <x:v>0.051185</x:v>
      </x:c>
      <x:c r="J354" s="176" t="str"/>
      <x:c r="K354" s="177" t="str"/>
      <x:c r="L354" s="178" t="str">
        <x:f>IF(J354="","",J354*(1+IF(K354="",0,K354)) )</x:f>
      </x:c>
      <x:c r="M354" s="138" t="str"/>
      <x:c r="N354" s="137" t="str">
        <x:v>Current model BOM seed</x:v>
      </x:c>
      <x:c r="O354" s="137" t="str"/>
      <x:c r="P354" s="137" t="str">
        <x:v>To Confirm</x:v>
      </x:c>
      <x:c r="Q354" s="137" t="str"/>
    </x:row>
    <x:row r="355">
      <x:c r="A355" s="137" t="str">
        <x:v>BOM-00351</x:v>
      </x:c>
      <x:c r="B355" s="137" t="str">
        <x:v>SILKY BELLY BLACK</x:v>
      </x:c>
      <x:c r="C355" s="137" t="str">
        <x:v>TO CONFIRM</x:v>
      </x:c>
      <x:c r="D355" s="137" t="str">
        <x:v>9X11</x:v>
      </x:c>
      <x:c r="E355" s="137" t="str">
        <x:v>CUTTING</x:v>
      </x:c>
      <x:c r="F355" s="137" t="str">
        <x:v>REXION 1.5MM FRENZY (LIGHT) BLACK||MTR</x:v>
      </x:c>
      <x:c r="G355" s="137" t="str">
        <x:v>REXION 1.5MM FRENZY (LIGHT) BLACK</x:v>
      </x:c>
      <x:c r="H355" s="137" t="str">
        <x:v>MTR</x:v>
      </x:c>
      <x:c r="I355" s="175" t="n">
        <x:v>0.014593</x:v>
      </x:c>
      <x:c r="J355" s="176" t="str"/>
      <x:c r="K355" s="177" t="str"/>
      <x:c r="L355" s="178" t="str">
        <x:f>IF(J355="","",J355*(1+IF(K355="",0,K355)) )</x:f>
      </x:c>
      <x:c r="M355" s="138" t="str"/>
      <x:c r="N355" s="137" t="str">
        <x:v>Current model BOM seed</x:v>
      </x:c>
      <x:c r="O355" s="137" t="str"/>
      <x:c r="P355" s="137" t="str">
        <x:v>To Confirm</x:v>
      </x:c>
      <x:c r="Q355" s="137" t="str"/>
    </x:row>
    <x:row r="356">
      <x:c r="A356" s="137" t="str">
        <x:v>BOM-00352</x:v>
      </x:c>
      <x:c r="B356" s="137" t="str">
        <x:v>SILKY BELLY BLACK</x:v>
      </x:c>
      <x:c r="C356" s="137" t="str">
        <x:v>TO CONFIRM</x:v>
      </x:c>
      <x:c r="D356" s="137" t="str">
        <x:v>9X11</x:v>
      </x:c>
      <x:c r="E356" s="137" t="str">
        <x:v>CUTTING</x:v>
      </x:c>
      <x:c r="F356" s="137" t="str">
        <x:v>REXION 0.85 MM BLACK||MTR</x:v>
      </x:c>
      <x:c r="G356" s="137" t="str">
        <x:v>REXION 0.85 MM BLACK</x:v>
      </x:c>
      <x:c r="H356" s="137" t="str">
        <x:v>MTR</x:v>
      </x:c>
      <x:c r="I356" s="175" t="n">
        <x:v>0.004593</x:v>
      </x:c>
      <x:c r="J356" s="176" t="str"/>
      <x:c r="K356" s="177" t="str"/>
      <x:c r="L356" s="178" t="str">
        <x:f>IF(J356="","",J356*(1+IF(K356="",0,K356)) )</x:f>
      </x:c>
      <x:c r="M356" s="138" t="str"/>
      <x:c r="N356" s="137" t="str">
        <x:v>Current model BOM seed</x:v>
      </x:c>
      <x:c r="O356" s="137" t="str"/>
      <x:c r="P356" s="137" t="str">
        <x:v>To Confirm</x:v>
      </x:c>
      <x:c r="Q356" s="137" t="str"/>
    </x:row>
    <x:row r="357">
      <x:c r="A357" s="137" t="str">
        <x:v>BOM-00353</x:v>
      </x:c>
      <x:c r="B357" s="137" t="str">
        <x:v>SILKY BELLY BLACK</x:v>
      </x:c>
      <x:c r="C357" s="137" t="str">
        <x:v>TO CONFIRM</x:v>
      </x:c>
      <x:c r="D357" s="137" t="str">
        <x:v>9X11</x:v>
      </x:c>
      <x:c r="E357" s="137" t="str">
        <x:v>CUTTING</x:v>
      </x:c>
      <x:c r="F357" s="137" t="str">
        <x:v>INSOLE 2.5 MM BLACK||MTR</x:v>
      </x:c>
      <x:c r="G357" s="137" t="str">
        <x:v>INSOLE 2.5 MM BLACK</x:v>
      </x:c>
      <x:c r="H357" s="137" t="str">
        <x:v>MTR</x:v>
      </x:c>
      <x:c r="I357" s="175" t="n">
        <x:v>0.018667</x:v>
      </x:c>
      <x:c r="J357" s="176" t="str"/>
      <x:c r="K357" s="177" t="str"/>
      <x:c r="L357" s="178" t="str">
        <x:f>IF(J357="","",J357*(1+IF(K357="",0,K357)) )</x:f>
      </x:c>
      <x:c r="M357" s="138" t="str"/>
      <x:c r="N357" s="137" t="str">
        <x:v>Current model BOM seed</x:v>
      </x:c>
      <x:c r="O357" s="137" t="str"/>
      <x:c r="P357" s="137" t="str">
        <x:v>To Confirm</x:v>
      </x:c>
      <x:c r="Q357" s="137" t="str"/>
    </x:row>
    <x:row r="358">
      <x:c r="A358" s="137" t="str">
        <x:v>BOM-00354</x:v>
      </x:c>
      <x:c r="B358" s="137" t="str">
        <x:v>SILKY BELLY BLACK</x:v>
      </x:c>
      <x:c r="C358" s="137" t="str">
        <x:v>TO CONFIRM</x:v>
      </x:c>
      <x:c r="D358" s="137" t="str">
        <x:v>9X11</x:v>
      </x:c>
      <x:c r="E358" s="137" t="str">
        <x:v>STITCHING</x:v>
      </x:c>
      <x:c r="F358" s="137" t="str">
        <x:v>Nylon Thread Black 3 Ply||CONE</x:v>
      </x:c>
      <x:c r="G358" s="137" t="str">
        <x:v>Nylon Thread Black 3 Ply</x:v>
      </x:c>
      <x:c r="H358" s="137" t="str">
        <x:v>CONE</x:v>
      </x:c>
      <x:c r="I358" s="175" t="n">
        <x:v>0.008667</x:v>
      </x:c>
      <x:c r="J358" s="176" t="str"/>
      <x:c r="K358" s="177" t="str"/>
      <x:c r="L358" s="178" t="str">
        <x:f>IF(J358="","",J358*(1+IF(K358="",0,K358)) )</x:f>
      </x:c>
      <x:c r="M358" s="138" t="str"/>
      <x:c r="N358" s="137" t="str">
        <x:v>Current model BOM seed</x:v>
      </x:c>
      <x:c r="O358" s="137" t="str"/>
      <x:c r="P358" s="137" t="str">
        <x:v>To Confirm</x:v>
      </x:c>
      <x:c r="Q358" s="137" t="str"/>
    </x:row>
    <x:row r="359">
      <x:c r="A359" s="137" t="str">
        <x:v>BOM-00355</x:v>
      </x:c>
      <x:c r="B359" s="137" t="str">
        <x:v>SILKY BELLY BLACK</x:v>
      </x:c>
      <x:c r="C359" s="137" t="str">
        <x:v>TO CONFIRM</x:v>
      </x:c>
      <x:c r="D359" s="137" t="str">
        <x:v>9X11</x:v>
      </x:c>
      <x:c r="E359" s="137" t="str">
        <x:v>STITCHING</x:v>
      </x:c>
      <x:c r="F359" s="137" t="str">
        <x:v>Nylon Binding Black 14mm||MTR</x:v>
      </x:c>
      <x:c r="G359" s="137" t="str">
        <x:v>Nylon Binding Black 14mm</x:v>
      </x:c>
      <x:c r="H359" s="137" t="str">
        <x:v>MTR</x:v>
      </x:c>
      <x:c r="I359" s="175" t="n">
        <x:v>0.75</x:v>
      </x:c>
      <x:c r="J359" s="176" t="str"/>
      <x:c r="K359" s="177" t="str"/>
      <x:c r="L359" s="178" t="str">
        <x:f>IF(J359="","",J359*(1+IF(K359="",0,K359)) )</x:f>
      </x:c>
      <x:c r="M359" s="138" t="str"/>
      <x:c r="N359" s="137" t="str">
        <x:v>Current model BOM seed</x:v>
      </x:c>
      <x:c r="O359" s="137" t="str"/>
      <x:c r="P359" s="137" t="str">
        <x:v>To Confirm</x:v>
      </x:c>
      <x:c r="Q359" s="137" t="str"/>
    </x:row>
    <x:row r="360">
      <x:c r="A360" s="137" t="str">
        <x:v>BOM-00356</x:v>
      </x:c>
      <x:c r="B360" s="137" t="str">
        <x:v>SILKY BELLY BLACK</x:v>
      </x:c>
      <x:c r="C360" s="137" t="str">
        <x:v>TO CONFIRM</x:v>
      </x:c>
      <x:c r="D360" s="137" t="str">
        <x:v>9X11</x:v>
      </x:c>
      <x:c r="E360" s="137" t="str">
        <x:v>STITCHING</x:v>
      </x:c>
      <x:c r="F360" s="137" t="str">
        <x:v>PP Bag 18.5x31||PCS</x:v>
      </x:c>
      <x:c r="G360" s="137" t="str">
        <x:v>PP Bag 18.5x31</x:v>
      </x:c>
      <x:c r="H360" s="137" t="str">
        <x:v>PCS</x:v>
      </x:c>
      <x:c r="I360" s="175" t="n">
        <x:v>0.033333</x:v>
      </x:c>
      <x:c r="J360" s="176" t="str"/>
      <x:c r="K360" s="177" t="str"/>
      <x:c r="L360" s="178" t="str">
        <x:f>IF(J360="","",J360*(1+IF(K360="",0,K360)) )</x:f>
      </x:c>
      <x:c r="M360" s="138" t="str"/>
      <x:c r="N360" s="137" t="str">
        <x:v>Current model BOM seed</x:v>
      </x:c>
      <x:c r="O360" s="137" t="str"/>
      <x:c r="P360" s="137" t="str">
        <x:v>To Confirm</x:v>
      </x:c>
      <x:c r="Q360" s="137" t="str"/>
    </x:row>
    <x:row r="361">
      <x:c r="A361" s="137" t="str">
        <x:v>BOM-00357</x:v>
      </x:c>
      <x:c r="B361" s="137" t="str">
        <x:v>SILKY BELLY BLACK</x:v>
      </x:c>
      <x:c r="C361" s="137" t="str">
        <x:v>TO CONFIRM</x:v>
      </x:c>
      <x:c r="D361" s="137" t="str">
        <x:v>12X1</x:v>
      </x:c>
      <x:c r="E361" s="137" t="str">
        <x:v>CUTTING</x:v>
      </x:c>
      <x:c r="F361" s="137" t="str">
        <x:v>REXION 1.5MM FRENZY (HEAVY) BLACK||MTR</x:v>
      </x:c>
      <x:c r="G361" s="137" t="str">
        <x:v>REXION 1.5MM FRENZY (HEAVY) BLACK</x:v>
      </x:c>
      <x:c r="H361" s="137" t="str">
        <x:v>MTR</x:v>
      </x:c>
      <x:c r="I361" s="175" t="n">
        <x:v>0.056</x:v>
      </x:c>
      <x:c r="J361" s="176" t="str"/>
      <x:c r="K361" s="177" t="str"/>
      <x:c r="L361" s="178" t="str">
        <x:f>IF(J361="","",J361*(1+IF(K361="",0,K361)) )</x:f>
      </x:c>
      <x:c r="M361" s="138" t="str"/>
      <x:c r="N361" s="137" t="str">
        <x:v>Current model BOM seed</x:v>
      </x:c>
      <x:c r="O361" s="137" t="str"/>
      <x:c r="P361" s="137" t="str">
        <x:v>To Confirm</x:v>
      </x:c>
      <x:c r="Q361" s="137" t="str"/>
    </x:row>
    <x:row r="362">
      <x:c r="A362" s="137" t="str">
        <x:v>BOM-00358</x:v>
      </x:c>
      <x:c r="B362" s="137" t="str">
        <x:v>SILKY BELLY BLACK</x:v>
      </x:c>
      <x:c r="C362" s="137" t="str">
        <x:v>TO CONFIRM</x:v>
      </x:c>
      <x:c r="D362" s="137" t="str">
        <x:v>12X1</x:v>
      </x:c>
      <x:c r="E362" s="137" t="str">
        <x:v>CUTTING</x:v>
      </x:c>
      <x:c r="F362" s="137" t="str">
        <x:v>REXION 1.5MM FRENZY (LIGHT) BLACK||MTR</x:v>
      </x:c>
      <x:c r="G362" s="137" t="str">
        <x:v>REXION 1.5MM FRENZY (LIGHT) BLACK</x:v>
      </x:c>
      <x:c r="H362" s="137" t="str">
        <x:v>MTR</x:v>
      </x:c>
      <x:c r="I362" s="175" t="n">
        <x:v>0.01763</x:v>
      </x:c>
      <x:c r="J362" s="176" t="str"/>
      <x:c r="K362" s="177" t="str"/>
      <x:c r="L362" s="178" t="str">
        <x:f>IF(J362="","",J362*(1+IF(K362="",0,K362)) )</x:f>
      </x:c>
      <x:c r="M362" s="138" t="str"/>
      <x:c r="N362" s="137" t="str">
        <x:v>Current model BOM seed</x:v>
      </x:c>
      <x:c r="O362" s="137" t="str"/>
      <x:c r="P362" s="137" t="str">
        <x:v>To Confirm</x:v>
      </x:c>
      <x:c r="Q362" s="137" t="str"/>
    </x:row>
    <x:row r="363">
      <x:c r="A363" s="137" t="str">
        <x:v>BOM-00359</x:v>
      </x:c>
      <x:c r="B363" s="137" t="str">
        <x:v>SILKY BELLY BLACK</x:v>
      </x:c>
      <x:c r="C363" s="137" t="str">
        <x:v>TO CONFIRM</x:v>
      </x:c>
      <x:c r="D363" s="137" t="str">
        <x:v>12X1</x:v>
      </x:c>
      <x:c r="E363" s="137" t="str">
        <x:v>CUTTING</x:v>
      </x:c>
      <x:c r="F363" s="137" t="str">
        <x:v>REXION 0.85 MM BLACK||MTR</x:v>
      </x:c>
      <x:c r="G363" s="137" t="str">
        <x:v>REXION 0.85 MM BLACK</x:v>
      </x:c>
      <x:c r="H363" s="137" t="str">
        <x:v>MTR</x:v>
      </x:c>
      <x:c r="I363" s="175" t="n">
        <x:v>0.004667</x:v>
      </x:c>
      <x:c r="J363" s="176" t="str"/>
      <x:c r="K363" s="177" t="str"/>
      <x:c r="L363" s="178" t="str">
        <x:f>IF(J363="","",J363*(1+IF(K363="",0,K363)) )</x:f>
      </x:c>
      <x:c r="M363" s="138" t="str"/>
      <x:c r="N363" s="137" t="str">
        <x:v>Current model BOM seed</x:v>
      </x:c>
      <x:c r="O363" s="137" t="str"/>
      <x:c r="P363" s="137" t="str">
        <x:v>To Confirm</x:v>
      </x:c>
      <x:c r="Q363" s="137" t="str"/>
    </x:row>
    <x:row r="364">
      <x:c r="A364" s="137" t="str">
        <x:v>BOM-00360</x:v>
      </x:c>
      <x:c r="B364" s="137" t="str">
        <x:v>SILKY BELLY BLACK</x:v>
      </x:c>
      <x:c r="C364" s="137" t="str">
        <x:v>TO CONFIRM</x:v>
      </x:c>
      <x:c r="D364" s="137" t="str">
        <x:v>12X1</x:v>
      </x:c>
      <x:c r="E364" s="137" t="str">
        <x:v>CUTTING</x:v>
      </x:c>
      <x:c r="F364" s="137" t="str">
        <x:v>INSOLE 2.5 MM BLACK||MTR</x:v>
      </x:c>
      <x:c r="G364" s="137" t="str">
        <x:v>INSOLE 2.5 MM BLACK</x:v>
      </x:c>
      <x:c r="H364" s="137" t="str">
        <x:v>MTR</x:v>
      </x:c>
      <x:c r="I364" s="175" t="n">
        <x:v>0.02</x:v>
      </x:c>
      <x:c r="J364" s="176" t="str"/>
      <x:c r="K364" s="177" t="str"/>
      <x:c r="L364" s="178" t="str">
        <x:f>IF(J364="","",J364*(1+IF(K364="",0,K364)) )</x:f>
      </x:c>
      <x:c r="M364" s="138" t="str"/>
      <x:c r="N364" s="137" t="str">
        <x:v>Current model BOM seed</x:v>
      </x:c>
      <x:c r="O364" s="137" t="str"/>
      <x:c r="P364" s="137" t="str">
        <x:v>To Confirm</x:v>
      </x:c>
      <x:c r="Q364" s="137" t="str"/>
    </x:row>
    <x:row r="365">
      <x:c r="A365" s="137" t="str">
        <x:v>BOM-00361</x:v>
      </x:c>
      <x:c r="B365" s="137" t="str">
        <x:v>SILKY BELLY BLACK</x:v>
      </x:c>
      <x:c r="C365" s="137" t="str">
        <x:v>TO CONFIRM</x:v>
      </x:c>
      <x:c r="D365" s="137" t="str">
        <x:v>12X1</x:v>
      </x:c>
      <x:c r="E365" s="137" t="str">
        <x:v>STITCHING</x:v>
      </x:c>
      <x:c r="F365" s="137" t="str">
        <x:v>Nylon Thread Black 3 Ply||CONE</x:v>
      </x:c>
      <x:c r="G365" s="137" t="str">
        <x:v>Nylon Thread Black 3 Ply</x:v>
      </x:c>
      <x:c r="H365" s="137" t="str">
        <x:v>CONE</x:v>
      </x:c>
      <x:c r="I365" s="175" t="n">
        <x:v>0.008667</x:v>
      </x:c>
      <x:c r="J365" s="176" t="str"/>
      <x:c r="K365" s="177" t="str"/>
      <x:c r="L365" s="178" t="str">
        <x:f>IF(J365="","",J365*(1+IF(K365="",0,K365)) )</x:f>
      </x:c>
      <x:c r="M365" s="138" t="str"/>
      <x:c r="N365" s="137" t="str">
        <x:v>Current model BOM seed</x:v>
      </x:c>
      <x:c r="O365" s="137" t="str"/>
      <x:c r="P365" s="137" t="str">
        <x:v>To Confirm</x:v>
      </x:c>
      <x:c r="Q365" s="137" t="str"/>
    </x:row>
    <x:row r="366">
      <x:c r="A366" s="137" t="str">
        <x:v>BOM-00362</x:v>
      </x:c>
      <x:c r="B366" s="137" t="str">
        <x:v>SILKY BELLY BLACK</x:v>
      </x:c>
      <x:c r="C366" s="137" t="str">
        <x:v>TO CONFIRM</x:v>
      </x:c>
      <x:c r="D366" s="137" t="str">
        <x:v>12X1</x:v>
      </x:c>
      <x:c r="E366" s="137" t="str">
        <x:v>STITCHING</x:v>
      </x:c>
      <x:c r="F366" s="137" t="str">
        <x:v>Nylon Binding Black 14mm||MTR</x:v>
      </x:c>
      <x:c r="G366" s="137" t="str">
        <x:v>Nylon Binding Black 14mm</x:v>
      </x:c>
      <x:c r="H366" s="137" t="str">
        <x:v>MTR</x:v>
      </x:c>
      <x:c r="I366" s="175" t="n">
        <x:v>0.75</x:v>
      </x:c>
      <x:c r="J366" s="176" t="str"/>
      <x:c r="K366" s="177" t="str"/>
      <x:c r="L366" s="178" t="str">
        <x:f>IF(J366="","",J366*(1+IF(K366="",0,K366)) )</x:f>
      </x:c>
      <x:c r="M366" s="138" t="str"/>
      <x:c r="N366" s="137" t="str">
        <x:v>Current model BOM seed</x:v>
      </x:c>
      <x:c r="O366" s="137" t="str"/>
      <x:c r="P366" s="137" t="str">
        <x:v>To Confirm</x:v>
      </x:c>
      <x:c r="Q366" s="137" t="str"/>
    </x:row>
    <x:row r="367">
      <x:c r="A367" s="137" t="str">
        <x:v>BOM-00363</x:v>
      </x:c>
      <x:c r="B367" s="137" t="str">
        <x:v>SILKY BELLY BLACK</x:v>
      </x:c>
      <x:c r="C367" s="137" t="str">
        <x:v>TO CONFIRM</x:v>
      </x:c>
      <x:c r="D367" s="137" t="str">
        <x:v>12X1</x:v>
      </x:c>
      <x:c r="E367" s="137" t="str">
        <x:v>STITCHING</x:v>
      </x:c>
      <x:c r="F367" s="137" t="str">
        <x:v>PP Bag 18.5x31||PCS</x:v>
      </x:c>
      <x:c r="G367" s="137" t="str">
        <x:v>PP Bag 18.5x31</x:v>
      </x:c>
      <x:c r="H367" s="137" t="str">
        <x:v>PCS</x:v>
      </x:c>
      <x:c r="I367" s="175" t="n">
        <x:v>0.033333</x:v>
      </x:c>
      <x:c r="J367" s="176" t="str"/>
      <x:c r="K367" s="177" t="str"/>
      <x:c r="L367" s="178" t="str">
        <x:f>IF(J367="","",J367*(1+IF(K367="",0,K367)) )</x:f>
      </x:c>
      <x:c r="M367" s="138" t="str"/>
      <x:c r="N367" s="137" t="str">
        <x:v>Current model BOM seed</x:v>
      </x:c>
      <x:c r="O367" s="137" t="str"/>
      <x:c r="P367" s="137" t="str">
        <x:v>To Confirm</x:v>
      </x:c>
      <x:c r="Q367" s="137" t="str"/>
    </x:row>
    <x:row r="368">
      <x:c r="A368" s="137" t="str">
        <x:v>BOM-00364</x:v>
      </x:c>
      <x:c r="B368" s="137" t="str">
        <x:v>SILKY BELLY BLACK</x:v>
      </x:c>
      <x:c r="C368" s="137" t="str">
        <x:v>TO CONFIRM</x:v>
      </x:c>
      <x:c r="D368" s="137" t="str">
        <x:v>2X5</x:v>
      </x:c>
      <x:c r="E368" s="137" t="str">
        <x:v>CUTTING</x:v>
      </x:c>
      <x:c r="F368" s="137" t="str">
        <x:v>REXION 1.5MM FRENZY (HEAVY) BLACK||MTR</x:v>
      </x:c>
      <x:c r="G368" s="137" t="str">
        <x:v>REXION 1.5MM FRENZY (HEAVY) BLACK</x:v>
      </x:c>
      <x:c r="H368" s="137" t="str">
        <x:v>MTR</x:v>
      </x:c>
      <x:c r="I368" s="175" t="n">
        <x:v>0.076444</x:v>
      </x:c>
      <x:c r="J368" s="176" t="str"/>
      <x:c r="K368" s="177" t="str"/>
      <x:c r="L368" s="178" t="str">
        <x:f>IF(J368="","",J368*(1+IF(K368="",0,K368)) )</x:f>
      </x:c>
      <x:c r="M368" s="138" t="str"/>
      <x:c r="N368" s="137" t="str">
        <x:v>Current model BOM seed</x:v>
      </x:c>
      <x:c r="O368" s="137" t="str"/>
      <x:c r="P368" s="137" t="str">
        <x:v>To Confirm</x:v>
      </x:c>
      <x:c r="Q368" s="137" t="str"/>
    </x:row>
    <x:row r="369">
      <x:c r="A369" s="137" t="str">
        <x:v>BOM-00365</x:v>
      </x:c>
      <x:c r="B369" s="137" t="str">
        <x:v>SILKY BELLY BLACK</x:v>
      </x:c>
      <x:c r="C369" s="137" t="str">
        <x:v>TO CONFIRM</x:v>
      </x:c>
      <x:c r="D369" s="137" t="str">
        <x:v>2X5</x:v>
      </x:c>
      <x:c r="E369" s="137" t="str">
        <x:v>CUTTING</x:v>
      </x:c>
      <x:c r="F369" s="137" t="str">
        <x:v>REXION 1.5MM FRENZY (LIGHT) BLACK||MTR</x:v>
      </x:c>
      <x:c r="G369" s="137" t="str">
        <x:v>REXION 1.5MM FRENZY (LIGHT) BLACK</x:v>
      </x:c>
      <x:c r="H369" s="137" t="str">
        <x:v>MTR</x:v>
      </x:c>
      <x:c r="I369" s="175" t="n">
        <x:v>0.022</x:v>
      </x:c>
      <x:c r="J369" s="176" t="str"/>
      <x:c r="K369" s="177" t="str"/>
      <x:c r="L369" s="178" t="str">
        <x:f>IF(J369="","",J369*(1+IF(K369="",0,K369)) )</x:f>
      </x:c>
      <x:c r="M369" s="138" t="str"/>
      <x:c r="N369" s="137" t="str">
        <x:v>Current model BOM seed</x:v>
      </x:c>
      <x:c r="O369" s="137" t="str"/>
      <x:c r="P369" s="137" t="str">
        <x:v>To Confirm</x:v>
      </x:c>
      <x:c r="Q369" s="137" t="str"/>
    </x:row>
    <x:row r="370">
      <x:c r="A370" s="137" t="str">
        <x:v>BOM-00366</x:v>
      </x:c>
      <x:c r="B370" s="137" t="str">
        <x:v>SILKY BELLY BLACK</x:v>
      </x:c>
      <x:c r="C370" s="137" t="str">
        <x:v>TO CONFIRM</x:v>
      </x:c>
      <x:c r="D370" s="137" t="str">
        <x:v>2X5</x:v>
      </x:c>
      <x:c r="E370" s="137" t="str">
        <x:v>CUTTING</x:v>
      </x:c>
      <x:c r="F370" s="137" t="str">
        <x:v>REXION 0.85 MM BLACK||MTR</x:v>
      </x:c>
      <x:c r="G370" s="137" t="str">
        <x:v>REXION 0.85 MM BLACK</x:v>
      </x:c>
      <x:c r="H370" s="137" t="str">
        <x:v>MTR</x:v>
      </x:c>
      <x:c r="I370" s="175" t="n">
        <x:v>0.005333</x:v>
      </x:c>
      <x:c r="J370" s="176" t="str"/>
      <x:c r="K370" s="177" t="str"/>
      <x:c r="L370" s="178" t="str">
        <x:f>IF(J370="","",J370*(1+IF(K370="",0,K370)) )</x:f>
      </x:c>
      <x:c r="M370" s="138" t="str"/>
      <x:c r="N370" s="137" t="str">
        <x:v>Current model BOM seed</x:v>
      </x:c>
      <x:c r="O370" s="137" t="str"/>
      <x:c r="P370" s="137" t="str">
        <x:v>To Confirm</x:v>
      </x:c>
      <x:c r="Q370" s="137" t="str"/>
    </x:row>
    <x:row r="371">
      <x:c r="A371" s="137" t="str">
        <x:v>BOM-00367</x:v>
      </x:c>
      <x:c r="B371" s="137" t="str">
        <x:v>SILKY BELLY BLACK</x:v>
      </x:c>
      <x:c r="C371" s="137" t="str">
        <x:v>TO CONFIRM</x:v>
      </x:c>
      <x:c r="D371" s="137" t="str">
        <x:v>2X5</x:v>
      </x:c>
      <x:c r="E371" s="137" t="str">
        <x:v>CUTTING</x:v>
      </x:c>
      <x:c r="F371" s="137" t="str">
        <x:v>INSOLE 2.5 MM BLACK||MTR</x:v>
      </x:c>
      <x:c r="G371" s="137" t="str">
        <x:v>INSOLE 2.5 MM BLACK</x:v>
      </x:c>
      <x:c r="H371" s="137" t="str">
        <x:v>MTR</x:v>
      </x:c>
      <x:c r="I371" s="175" t="n">
        <x:v>0.026867</x:v>
      </x:c>
      <x:c r="J371" s="176" t="str"/>
      <x:c r="K371" s="177" t="str"/>
      <x:c r="L371" s="178" t="str">
        <x:f>IF(J371="","",J371*(1+IF(K371="",0,K371)) )</x:f>
      </x:c>
      <x:c r="M371" s="138" t="str"/>
      <x:c r="N371" s="137" t="str">
        <x:v>Current model BOM seed</x:v>
      </x:c>
      <x:c r="O371" s="137" t="str"/>
      <x:c r="P371" s="137" t="str">
        <x:v>To Confirm</x:v>
      </x:c>
      <x:c r="Q371" s="137" t="str"/>
    </x:row>
    <x:row r="372">
      <x:c r="A372" s="137" t="str">
        <x:v>BOM-00368</x:v>
      </x:c>
      <x:c r="B372" s="137" t="str">
        <x:v>SILKY BELLY BLACK</x:v>
      </x:c>
      <x:c r="C372" s="137" t="str">
        <x:v>TO CONFIRM</x:v>
      </x:c>
      <x:c r="D372" s="137" t="str">
        <x:v>2X5</x:v>
      </x:c>
      <x:c r="E372" s="137" t="str">
        <x:v>STITCHING</x:v>
      </x:c>
      <x:c r="F372" s="137" t="str">
        <x:v>Nylon Thread Black 3 Ply||CONE</x:v>
      </x:c>
      <x:c r="G372" s="137" t="str">
        <x:v>Nylon Thread Black 3 Ply</x:v>
      </x:c>
      <x:c r="H372" s="137" t="str">
        <x:v>CONE</x:v>
      </x:c>
      <x:c r="I372" s="175" t="n">
        <x:v>0.009333</x:v>
      </x:c>
      <x:c r="J372" s="176" t="str"/>
      <x:c r="K372" s="177" t="str"/>
      <x:c r="L372" s="178" t="str">
        <x:f>IF(J372="","",J372*(1+IF(K372="",0,K372)) )</x:f>
      </x:c>
      <x:c r="M372" s="138" t="str"/>
      <x:c r="N372" s="137" t="str">
        <x:v>Current model BOM seed</x:v>
      </x:c>
      <x:c r="O372" s="137" t="str"/>
      <x:c r="P372" s="137" t="str">
        <x:v>To Confirm</x:v>
      </x:c>
      <x:c r="Q372" s="137" t="str"/>
    </x:row>
    <x:row r="373">
      <x:c r="A373" s="137" t="str">
        <x:v>BOM-00369</x:v>
      </x:c>
      <x:c r="B373" s="137" t="str">
        <x:v>SILKY BELLY BLACK</x:v>
      </x:c>
      <x:c r="C373" s="137" t="str">
        <x:v>TO CONFIRM</x:v>
      </x:c>
      <x:c r="D373" s="137" t="str">
        <x:v>2X5</x:v>
      </x:c>
      <x:c r="E373" s="137" t="str">
        <x:v>STITCHING</x:v>
      </x:c>
      <x:c r="F373" s="137" t="str">
        <x:v>Nylon Binding Black 14mm||MTR</x:v>
      </x:c>
      <x:c r="G373" s="137" t="str">
        <x:v>Nylon Binding Black 14mm</x:v>
      </x:c>
      <x:c r="H373" s="137" t="str">
        <x:v>MTR</x:v>
      </x:c>
      <x:c r="I373" s="175" t="n">
        <x:v>0.95</x:v>
      </x:c>
      <x:c r="J373" s="176" t="str"/>
      <x:c r="K373" s="177" t="str"/>
      <x:c r="L373" s="178" t="str">
        <x:f>IF(J373="","",J373*(1+IF(K373="",0,K373)) )</x:f>
      </x:c>
      <x:c r="M373" s="138" t="str"/>
      <x:c r="N373" s="137" t="str">
        <x:v>Current model BOM seed</x:v>
      </x:c>
      <x:c r="O373" s="137" t="str"/>
      <x:c r="P373" s="137" t="str">
        <x:v>To Confirm</x:v>
      </x:c>
      <x:c r="Q373" s="137" t="str"/>
    </x:row>
    <x:row r="374">
      <x:c r="A374" s="137" t="str">
        <x:v>BOM-00370</x:v>
      </x:c>
      <x:c r="B374" s="137" t="str">
        <x:v>SILKY BELLY BLACK</x:v>
      </x:c>
      <x:c r="C374" s="137" t="str">
        <x:v>TO CONFIRM</x:v>
      </x:c>
      <x:c r="D374" s="137" t="str">
        <x:v>2X5</x:v>
      </x:c>
      <x:c r="E374" s="137" t="str">
        <x:v>STITCHING</x:v>
      </x:c>
      <x:c r="F374" s="137" t="str">
        <x:v>PP Bag 18.5x31||PCS</x:v>
      </x:c>
      <x:c r="G374" s="137" t="str">
        <x:v>PP Bag 18.5x31</x:v>
      </x:c>
      <x:c r="H374" s="137" t="str">
        <x:v>PCS</x:v>
      </x:c>
      <x:c r="I374" s="175" t="n">
        <x:v>0.033333</x:v>
      </x:c>
      <x:c r="J374" s="176" t="str"/>
      <x:c r="K374" s="177" t="str"/>
      <x:c r="L374" s="178" t="str">
        <x:f>IF(J374="","",J374*(1+IF(K374="",0,K374)) )</x:f>
      </x:c>
      <x:c r="M374" s="138" t="str"/>
      <x:c r="N374" s="137" t="str">
        <x:v>Current model BOM seed</x:v>
      </x:c>
      <x:c r="O374" s="137" t="str"/>
      <x:c r="P374" s="137" t="str">
        <x:v>To Confirm</x:v>
      </x:c>
      <x:c r="Q374" s="137" t="str"/>
    </x:row>
    <x:row r="375">
      <x:c r="A375" s="137" t="str">
        <x:v>BOM-00371</x:v>
      </x:c>
      <x:c r="B375" s="137" t="str">
        <x:v>SILKY BELLY BLACK</x:v>
      </x:c>
      <x:c r="C375" s="137" t="str">
        <x:v>TO CONFIRM</x:v>
      </x:c>
      <x:c r="D375" s="137" t="str">
        <x:v>6X7B</x:v>
      </x:c>
      <x:c r="E375" s="137" t="str">
        <x:v>CUTTING</x:v>
      </x:c>
      <x:c r="F375" s="137" t="str">
        <x:v>REXION 1.5MM FRENZY (HEAVY) BLACK||MTR</x:v>
      </x:c>
      <x:c r="G375" s="137" t="str">
        <x:v>REXION 1.5MM FRENZY (HEAVY) BLACK</x:v>
      </x:c>
      <x:c r="H375" s="137" t="str">
        <x:v>MTR</x:v>
      </x:c>
      <x:c r="I375" s="175" t="n">
        <x:v>0.074963</x:v>
      </x:c>
      <x:c r="J375" s="176" t="str"/>
      <x:c r="K375" s="177" t="str"/>
      <x:c r="L375" s="178" t="str">
        <x:f>IF(J375="","",J375*(1+IF(K375="",0,K375)) )</x:f>
      </x:c>
      <x:c r="M375" s="138" t="str"/>
      <x:c r="N375" s="137" t="str">
        <x:v>Current model BOM seed</x:v>
      </x:c>
      <x:c r="O375" s="137" t="str"/>
      <x:c r="P375" s="137" t="str">
        <x:v>To Confirm</x:v>
      </x:c>
      <x:c r="Q375" s="137" t="str"/>
    </x:row>
    <x:row r="376">
      <x:c r="A376" s="137" t="str">
        <x:v>BOM-00372</x:v>
      </x:c>
      <x:c r="B376" s="137" t="str">
        <x:v>SILKY BELLY BLACK</x:v>
      </x:c>
      <x:c r="C376" s="137" t="str">
        <x:v>TO CONFIRM</x:v>
      </x:c>
      <x:c r="D376" s="137" t="str">
        <x:v>6X7B</x:v>
      </x:c>
      <x:c r="E376" s="137" t="str">
        <x:v>CUTTING</x:v>
      </x:c>
      <x:c r="F376" s="137" t="str">
        <x:v>REXION 1.5MM FRENZY (LIGHT) BLACK||MTR</x:v>
      </x:c>
      <x:c r="G376" s="137" t="str">
        <x:v>REXION 1.5MM FRENZY (LIGHT) BLACK</x:v>
      </x:c>
      <x:c r="H376" s="137" t="str">
        <x:v>MTR</x:v>
      </x:c>
      <x:c r="I376" s="175" t="n">
        <x:v>0.021556</x:v>
      </x:c>
      <x:c r="J376" s="176" t="str"/>
      <x:c r="K376" s="177" t="str"/>
      <x:c r="L376" s="178" t="str">
        <x:f>IF(J376="","",J376*(1+IF(K376="",0,K376)) )</x:f>
      </x:c>
      <x:c r="M376" s="138" t="str"/>
      <x:c r="N376" s="137" t="str">
        <x:v>Current model BOM seed</x:v>
      </x:c>
      <x:c r="O376" s="137" t="str"/>
      <x:c r="P376" s="137" t="str">
        <x:v>To Confirm</x:v>
      </x:c>
      <x:c r="Q376" s="137" t="str"/>
    </x:row>
    <x:row r="377">
      <x:c r="A377" s="137" t="str">
        <x:v>BOM-00373</x:v>
      </x:c>
      <x:c r="B377" s="137" t="str">
        <x:v>SILKY BELLY BLACK</x:v>
      </x:c>
      <x:c r="C377" s="137" t="str">
        <x:v>TO CONFIRM</x:v>
      </x:c>
      <x:c r="D377" s="137" t="str">
        <x:v>6X7B</x:v>
      </x:c>
      <x:c r="E377" s="137" t="str">
        <x:v>CUTTING</x:v>
      </x:c>
      <x:c r="F377" s="137" t="str">
        <x:v>REXION 0.85 MM BLACK||MTR</x:v>
      </x:c>
      <x:c r="G377" s="137" t="str">
        <x:v>REXION 0.85 MM BLACK</x:v>
      </x:c>
      <x:c r="H377" s="137" t="str">
        <x:v>MTR</x:v>
      </x:c>
      <x:c r="I377" s="175" t="n">
        <x:v>0.004889</x:v>
      </x:c>
      <x:c r="J377" s="176" t="str"/>
      <x:c r="K377" s="177" t="str"/>
      <x:c r="L377" s="178" t="str">
        <x:f>IF(J377="","",J377*(1+IF(K377="",0,K377)) )</x:f>
      </x:c>
      <x:c r="M377" s="138" t="str"/>
      <x:c r="N377" s="137" t="str">
        <x:v>Current model BOM seed</x:v>
      </x:c>
      <x:c r="O377" s="137" t="str"/>
      <x:c r="P377" s="137" t="str">
        <x:v>To Confirm</x:v>
      </x:c>
      <x:c r="Q377" s="137" t="str"/>
    </x:row>
    <x:row r="378">
      <x:c r="A378" s="137" t="str">
        <x:v>BOM-00374</x:v>
      </x:c>
      <x:c r="B378" s="137" t="str">
        <x:v>SILKY BELLY BLACK</x:v>
      </x:c>
      <x:c r="C378" s="137" t="str">
        <x:v>TO CONFIRM</x:v>
      </x:c>
      <x:c r="D378" s="137" t="str">
        <x:v>6X7B</x:v>
      </x:c>
      <x:c r="E378" s="137" t="str">
        <x:v>CUTTING</x:v>
      </x:c>
      <x:c r="F378" s="137" t="str">
        <x:v>INSOLE 2.5 MM BLACK||MTR</x:v>
      </x:c>
      <x:c r="G378" s="137" t="str">
        <x:v>INSOLE 2.5 MM BLACK</x:v>
      </x:c>
      <x:c r="H378" s="137" t="str">
        <x:v>MTR</x:v>
      </x:c>
      <x:c r="I378" s="175" t="n">
        <x:v>0.031667</x:v>
      </x:c>
      <x:c r="J378" s="176" t="str"/>
      <x:c r="K378" s="177" t="str"/>
      <x:c r="L378" s="178" t="str">
        <x:f>IF(J378="","",J378*(1+IF(K378="",0,K378)) )</x:f>
      </x:c>
      <x:c r="M378" s="138" t="str"/>
      <x:c r="N378" s="137" t="str">
        <x:v>Current model BOM seed</x:v>
      </x:c>
      <x:c r="O378" s="137" t="str"/>
      <x:c r="P378" s="137" t="str">
        <x:v>To Confirm</x:v>
      </x:c>
      <x:c r="Q378" s="137" t="str"/>
    </x:row>
    <x:row r="379">
      <x:c r="A379" s="137" t="str">
        <x:v>BOM-00375</x:v>
      </x:c>
      <x:c r="B379" s="137" t="str">
        <x:v>SILKY BELLY BLACK</x:v>
      </x:c>
      <x:c r="C379" s="137" t="str">
        <x:v>TO CONFIRM</x:v>
      </x:c>
      <x:c r="D379" s="137" t="str">
        <x:v>6X7B</x:v>
      </x:c>
      <x:c r="E379" s="137" t="str">
        <x:v>STITCHING</x:v>
      </x:c>
      <x:c r="F379" s="137" t="str">
        <x:v>Nylon Thread Black 3 Ply||CONE</x:v>
      </x:c>
      <x:c r="G379" s="137" t="str">
        <x:v>Nylon Thread Black 3 Ply</x:v>
      </x:c>
      <x:c r="H379" s="137" t="str">
        <x:v>CONE</x:v>
      </x:c>
      <x:c r="I379" s="175" t="n">
        <x:v>0.009667</x:v>
      </x:c>
      <x:c r="J379" s="176" t="str"/>
      <x:c r="K379" s="177" t="str"/>
      <x:c r="L379" s="178" t="str">
        <x:f>IF(J379="","",J379*(1+IF(K379="",0,K379)) )</x:f>
      </x:c>
      <x:c r="M379" s="138" t="str"/>
      <x:c r="N379" s="137" t="str">
        <x:v>Current model BOM seed</x:v>
      </x:c>
      <x:c r="O379" s="137" t="str"/>
      <x:c r="P379" s="137" t="str">
        <x:v>To Confirm</x:v>
      </x:c>
      <x:c r="Q379" s="137" t="str"/>
    </x:row>
    <x:row r="380">
      <x:c r="A380" s="137" t="str">
        <x:v>BOM-00376</x:v>
      </x:c>
      <x:c r="B380" s="137" t="str">
        <x:v>SILKY BELLY BLACK</x:v>
      </x:c>
      <x:c r="C380" s="137" t="str">
        <x:v>TO CONFIRM</x:v>
      </x:c>
      <x:c r="D380" s="137" t="str">
        <x:v>6X7B</x:v>
      </x:c>
      <x:c r="E380" s="137" t="str">
        <x:v>STITCHING</x:v>
      </x:c>
      <x:c r="F380" s="137" t="str">
        <x:v>Nylon Binding Black 14mm||MTR</x:v>
      </x:c>
      <x:c r="G380" s="137" t="str">
        <x:v>Nylon Binding Black 14mm</x:v>
      </x:c>
      <x:c r="H380" s="137" t="str">
        <x:v>MTR</x:v>
      </x:c>
      <x:c r="I380" s="175" t="n">
        <x:v>1.1</x:v>
      </x:c>
      <x:c r="J380" s="176" t="str"/>
      <x:c r="K380" s="177" t="str"/>
      <x:c r="L380" s="178" t="str">
        <x:f>IF(J380="","",J380*(1+IF(K380="",0,K380)) )</x:f>
      </x:c>
      <x:c r="M380" s="138" t="str"/>
      <x:c r="N380" s="137" t="str">
        <x:v>Current model BOM seed</x:v>
      </x:c>
      <x:c r="O380" s="137" t="str"/>
      <x:c r="P380" s="137" t="str">
        <x:v>To Confirm</x:v>
      </x:c>
      <x:c r="Q380" s="137" t="str"/>
    </x:row>
    <x:row r="381">
      <x:c r="A381" s="137" t="str">
        <x:v>BOM-00377</x:v>
      </x:c>
      <x:c r="B381" s="137" t="str">
        <x:v>SILKY BELLY BLACK</x:v>
      </x:c>
      <x:c r="C381" s="137" t="str">
        <x:v>TO CONFIRM</x:v>
      </x:c>
      <x:c r="D381" s="137" t="str">
        <x:v>6X7B</x:v>
      </x:c>
      <x:c r="E381" s="137" t="str">
        <x:v>STITCHING</x:v>
      </x:c>
      <x:c r="F381" s="137" t="str">
        <x:v>PP Bag 18.5x31||PCS</x:v>
      </x:c>
      <x:c r="G381" s="137" t="str">
        <x:v>PP Bag 18.5x31</x:v>
      </x:c>
      <x:c r="H381" s="137" t="str">
        <x:v>PCS</x:v>
      </x:c>
      <x:c r="I381" s="175" t="n">
        <x:v>0.033333</x:v>
      </x:c>
      <x:c r="J381" s="176" t="str"/>
      <x:c r="K381" s="177" t="str"/>
      <x:c r="L381" s="178" t="str">
        <x:f>IF(J381="","",J381*(1+IF(K381="",0,K381)) )</x:f>
      </x:c>
      <x:c r="M381" s="138" t="str"/>
      <x:c r="N381" s="137" t="str">
        <x:v>Current model BOM seed</x:v>
      </x:c>
      <x:c r="O381" s="137" t="str"/>
      <x:c r="P381" s="137" t="str">
        <x:v>To Confirm</x:v>
      </x:c>
      <x:c r="Q381" s="137" t="str"/>
    </x:row>
    <x:row r="382">
      <x:c r="A382" s="137" t="str">
        <x:v>BOM-00378</x:v>
      </x:c>
      <x:c r="B382" s="137" t="str">
        <x:v>SILKY BELLY BLACK</x:v>
      </x:c>
      <x:c r="C382" s="137" t="str">
        <x:v>TO CONFIRM</x:v>
      </x:c>
      <x:c r="D382" s="137" t="str">
        <x:v>8X9B</x:v>
      </x:c>
      <x:c r="E382" s="137" t="str">
        <x:v>CUTTING</x:v>
      </x:c>
      <x:c r="F382" s="137" t="str">
        <x:v>REXION 1.5MM FRENZY (HEAVY) BLACK||MTR</x:v>
      </x:c>
      <x:c r="G382" s="137" t="str">
        <x:v>REXION 1.5MM FRENZY (HEAVY) BLACK</x:v>
      </x:c>
      <x:c r="H382" s="137" t="str">
        <x:v>MTR</x:v>
      </x:c>
      <x:c r="I382" s="175" t="n">
        <x:v>0.087407</x:v>
      </x:c>
      <x:c r="J382" s="176" t="str"/>
      <x:c r="K382" s="177" t="str"/>
      <x:c r="L382" s="178" t="str">
        <x:f>IF(J382="","",J382*(1+IF(K382="",0,K382)) )</x:f>
      </x:c>
      <x:c r="M382" s="138" t="str"/>
      <x:c r="N382" s="137" t="str">
        <x:v>Current model BOM seed</x:v>
      </x:c>
      <x:c r="O382" s="137" t="str"/>
      <x:c r="P382" s="137" t="str">
        <x:v>To Confirm</x:v>
      </x:c>
      <x:c r="Q382" s="137" t="str"/>
    </x:row>
    <x:row r="383">
      <x:c r="A383" s="137" t="str">
        <x:v>BOM-00379</x:v>
      </x:c>
      <x:c r="B383" s="137" t="str">
        <x:v>SILKY BELLY BLACK</x:v>
      </x:c>
      <x:c r="C383" s="137" t="str">
        <x:v>TO CONFIRM</x:v>
      </x:c>
      <x:c r="D383" s="137" t="str">
        <x:v>8X9B</x:v>
      </x:c>
      <x:c r="E383" s="137" t="str">
        <x:v>CUTTING</x:v>
      </x:c>
      <x:c r="F383" s="137" t="str">
        <x:v>REXION 1.5MM FRENZY (LIGHT) BLACK||MTR</x:v>
      </x:c>
      <x:c r="G383" s="137" t="str">
        <x:v>REXION 1.5MM FRENZY (LIGHT) BLACK</x:v>
      </x:c>
      <x:c r="H383" s="137" t="str">
        <x:v>MTR</x:v>
      </x:c>
      <x:c r="I383" s="175" t="n">
        <x:v>0.022889</x:v>
      </x:c>
      <x:c r="J383" s="176" t="str"/>
      <x:c r="K383" s="177" t="str"/>
      <x:c r="L383" s="178" t="str">
        <x:f>IF(J383="","",J383*(1+IF(K383="",0,K383)) )</x:f>
      </x:c>
      <x:c r="M383" s="138" t="str"/>
      <x:c r="N383" s="137" t="str">
        <x:v>Current model BOM seed</x:v>
      </x:c>
      <x:c r="O383" s="137" t="str"/>
      <x:c r="P383" s="137" t="str">
        <x:v>To Confirm</x:v>
      </x:c>
      <x:c r="Q383" s="137" t="str"/>
    </x:row>
    <x:row r="384">
      <x:c r="A384" s="137" t="str">
        <x:v>BOM-00380</x:v>
      </x:c>
      <x:c r="B384" s="137" t="str">
        <x:v>SILKY BELLY BLACK</x:v>
      </x:c>
      <x:c r="C384" s="137" t="str">
        <x:v>TO CONFIRM</x:v>
      </x:c>
      <x:c r="D384" s="137" t="str">
        <x:v>8X9B</x:v>
      </x:c>
      <x:c r="E384" s="137" t="str">
        <x:v>CUTTING</x:v>
      </x:c>
      <x:c r="F384" s="137" t="str">
        <x:v>REXION 0.85 MM BLACK||MTR</x:v>
      </x:c>
      <x:c r="G384" s="137" t="str">
        <x:v>REXION 0.85 MM BLACK</x:v>
      </x:c>
      <x:c r="H384" s="137" t="str">
        <x:v>MTR</x:v>
      </x:c>
      <x:c r="I384" s="175" t="n">
        <x:v>0.005333</x:v>
      </x:c>
      <x:c r="J384" s="176" t="str"/>
      <x:c r="K384" s="177" t="str"/>
      <x:c r="L384" s="178" t="str">
        <x:f>IF(J384="","",J384*(1+IF(K384="",0,K384)) )</x:f>
      </x:c>
      <x:c r="M384" s="138" t="str"/>
      <x:c r="N384" s="137" t="str">
        <x:v>Current model BOM seed</x:v>
      </x:c>
      <x:c r="O384" s="137" t="str"/>
      <x:c r="P384" s="137" t="str">
        <x:v>To Confirm</x:v>
      </x:c>
      <x:c r="Q384" s="137" t="str"/>
    </x:row>
    <x:row r="385">
      <x:c r="A385" s="137" t="str">
        <x:v>BOM-00381</x:v>
      </x:c>
      <x:c r="B385" s="137" t="str">
        <x:v>SILKY BELLY BLACK</x:v>
      </x:c>
      <x:c r="C385" s="137" t="str">
        <x:v>TO CONFIRM</x:v>
      </x:c>
      <x:c r="D385" s="137" t="str">
        <x:v>8X9B</x:v>
      </x:c>
      <x:c r="E385" s="137" t="str">
        <x:v>CUTTING</x:v>
      </x:c>
      <x:c r="F385" s="137" t="str">
        <x:v>INSOLE 2.5 MM BLACK||MTR</x:v>
      </x:c>
      <x:c r="G385" s="137" t="str">
        <x:v>INSOLE 2.5 MM BLACK</x:v>
      </x:c>
      <x:c r="H385" s="137" t="str">
        <x:v>MTR</x:v>
      </x:c>
      <x:c r="I385" s="175" t="n">
        <x:v>0.031667</x:v>
      </x:c>
      <x:c r="J385" s="176" t="str"/>
      <x:c r="K385" s="177" t="str"/>
      <x:c r="L385" s="178" t="str">
        <x:f>IF(J385="","",J385*(1+IF(K385="",0,K385)) )</x:f>
      </x:c>
      <x:c r="M385" s="138" t="str"/>
      <x:c r="N385" s="137" t="str">
        <x:v>Current model BOM seed</x:v>
      </x:c>
      <x:c r="O385" s="137" t="str"/>
      <x:c r="P385" s="137" t="str">
        <x:v>To Confirm</x:v>
      </x:c>
      <x:c r="Q385" s="137" t="str"/>
    </x:row>
    <x:row r="386">
      <x:c r="A386" s="137" t="str">
        <x:v>BOM-00382</x:v>
      </x:c>
      <x:c r="B386" s="137" t="str">
        <x:v>SILKY BELLY BLACK</x:v>
      </x:c>
      <x:c r="C386" s="137" t="str">
        <x:v>TO CONFIRM</x:v>
      </x:c>
      <x:c r="D386" s="137" t="str">
        <x:v>8X9B</x:v>
      </x:c>
      <x:c r="E386" s="137" t="str">
        <x:v>STITCHING</x:v>
      </x:c>
      <x:c r="F386" s="137" t="str">
        <x:v>Nylon Thread Black 3 Ply||CONE</x:v>
      </x:c>
      <x:c r="G386" s="137" t="str">
        <x:v>Nylon Thread Black 3 Ply</x:v>
      </x:c>
      <x:c r="H386" s="137" t="str">
        <x:v>CONE</x:v>
      </x:c>
      <x:c r="I386" s="175" t="n">
        <x:v>0.009667</x:v>
      </x:c>
      <x:c r="J386" s="176" t="str"/>
      <x:c r="K386" s="177" t="str"/>
      <x:c r="L386" s="178" t="str">
        <x:f>IF(J386="","",J386*(1+IF(K386="",0,K386)) )</x:f>
      </x:c>
      <x:c r="M386" s="138" t="str"/>
      <x:c r="N386" s="137" t="str">
        <x:v>Current model BOM seed</x:v>
      </x:c>
      <x:c r="O386" s="137" t="str"/>
      <x:c r="P386" s="137" t="str">
        <x:v>To Confirm</x:v>
      </x:c>
      <x:c r="Q386" s="137" t="str"/>
    </x:row>
    <x:row r="387">
      <x:c r="A387" s="137" t="str">
        <x:v>BOM-00383</x:v>
      </x:c>
      <x:c r="B387" s="137" t="str">
        <x:v>SILKY BELLY BLACK</x:v>
      </x:c>
      <x:c r="C387" s="137" t="str">
        <x:v>TO CONFIRM</x:v>
      </x:c>
      <x:c r="D387" s="137" t="str">
        <x:v>8X9B</x:v>
      </x:c>
      <x:c r="E387" s="137" t="str">
        <x:v>STITCHING</x:v>
      </x:c>
      <x:c r="F387" s="137" t="str">
        <x:v>Nylon Binding Black 14mm||MTR</x:v>
      </x:c>
      <x:c r="G387" s="137" t="str">
        <x:v>Nylon Binding Black 14mm</x:v>
      </x:c>
      <x:c r="H387" s="137" t="str">
        <x:v>MTR</x:v>
      </x:c>
      <x:c r="I387" s="175" t="n">
        <x:v>1.1</x:v>
      </x:c>
      <x:c r="J387" s="176" t="str"/>
      <x:c r="K387" s="177" t="str"/>
      <x:c r="L387" s="178" t="str">
        <x:f>IF(J387="","",J387*(1+IF(K387="",0,K387)) )</x:f>
      </x:c>
      <x:c r="M387" s="138" t="str"/>
      <x:c r="N387" s="137" t="str">
        <x:v>Current model BOM seed</x:v>
      </x:c>
      <x:c r="O387" s="137" t="str"/>
      <x:c r="P387" s="137" t="str">
        <x:v>To Confirm</x:v>
      </x:c>
      <x:c r="Q387" s="137" t="str"/>
    </x:row>
    <x:row r="388">
      <x:c r="A388" s="137" t="str">
        <x:v>BOM-00384</x:v>
      </x:c>
      <x:c r="B388" s="137" t="str">
        <x:v>SILKY BELLY BLACK</x:v>
      </x:c>
      <x:c r="C388" s="137" t="str">
        <x:v>TO CONFIRM</x:v>
      </x:c>
      <x:c r="D388" s="137" t="str">
        <x:v>8X9B</x:v>
      </x:c>
      <x:c r="E388" s="137" t="str">
        <x:v>STITCHING</x:v>
      </x:c>
      <x:c r="F388" s="137" t="str">
        <x:v>PP Bag 18.5x31||PCS</x:v>
      </x:c>
      <x:c r="G388" s="137" t="str">
        <x:v>PP Bag 18.5x31</x:v>
      </x:c>
      <x:c r="H388" s="137" t="str">
        <x:v>PCS</x:v>
      </x:c>
      <x:c r="I388" s="175" t="n">
        <x:v>0.033333</x:v>
      </x:c>
      <x:c r="J388" s="176" t="str"/>
      <x:c r="K388" s="177" t="str"/>
      <x:c r="L388" s="178" t="str">
        <x:f>IF(J388="","",J388*(1+IF(K388="",0,K388)) )</x:f>
      </x:c>
      <x:c r="M388" s="138" t="str"/>
      <x:c r="N388" s="137" t="str">
        <x:v>Current model BOM seed</x:v>
      </x:c>
      <x:c r="O388" s="137" t="str"/>
      <x:c r="P388" s="137" t="str">
        <x:v>To Confirm</x:v>
      </x:c>
      <x:c r="Q388" s="137" t="str"/>
    </x:row>
    <x:row r="389">
      <x:c r="A389" s="137" t="str">
        <x:v>BOM-00385</x:v>
      </x:c>
      <x:c r="B389" s="137" t="str">
        <x:v>SILKY BELLY WHITE</x:v>
      </x:c>
      <x:c r="C389" s="137" t="str">
        <x:v>TO CONFIRM</x:v>
      </x:c>
      <x:c r="D389" s="137" t="str">
        <x:v>6X8</x:v>
      </x:c>
      <x:c r="E389" s="137" t="str">
        <x:v>CUTTING</x:v>
      </x:c>
      <x:c r="F389" s="137" t="str">
        <x:v>REXION 1.5MM FRENZY (HEAVY) WHITE||MTR</x:v>
      </x:c>
      <x:c r="G389" s="137" t="str">
        <x:v>REXION 1.5MM FRENZY (HEAVY) WHITE</x:v>
      </x:c>
      <x:c r="H389" s="137" t="str">
        <x:v>MTR</x:v>
      </x:c>
      <x:c r="I389" s="175" t="n">
        <x:v>0.04437</x:v>
      </x:c>
      <x:c r="J389" s="176" t="str"/>
      <x:c r="K389" s="177" t="str"/>
      <x:c r="L389" s="178" t="str">
        <x:f>IF(J389="","",J389*(1+IF(K389="",0,K389)) )</x:f>
      </x:c>
      <x:c r="M389" s="138" t="str"/>
      <x:c r="N389" s="137" t="str">
        <x:v>Current model BOM seed</x:v>
      </x:c>
      <x:c r="O389" s="137" t="str"/>
      <x:c r="P389" s="137" t="str">
        <x:v>To Confirm</x:v>
      </x:c>
      <x:c r="Q389" s="137" t="str"/>
    </x:row>
    <x:row r="390">
      <x:c r="A390" s="137" t="str">
        <x:v>BOM-00386</x:v>
      </x:c>
      <x:c r="B390" s="137" t="str">
        <x:v>SILKY BELLY WHITE</x:v>
      </x:c>
      <x:c r="C390" s="137" t="str">
        <x:v>TO CONFIRM</x:v>
      </x:c>
      <x:c r="D390" s="137" t="str">
        <x:v>6X8</x:v>
      </x:c>
      <x:c r="E390" s="137" t="str">
        <x:v>CUTTING</x:v>
      </x:c>
      <x:c r="F390" s="137" t="str">
        <x:v>REXION 1.5MM FRENZY (LIGHT) WHITE||MTR</x:v>
      </x:c>
      <x:c r="G390" s="137" t="str">
        <x:v>REXION 1.5MM FRENZY (LIGHT) WHITE</x:v>
      </x:c>
      <x:c r="H390" s="137" t="str">
        <x:v>MTR</x:v>
      </x:c>
      <x:c r="I390" s="175" t="n">
        <x:v>0.011556</x:v>
      </x:c>
      <x:c r="J390" s="176" t="str"/>
      <x:c r="K390" s="177" t="str"/>
      <x:c r="L390" s="178" t="str">
        <x:f>IF(J390="","",J390*(1+IF(K390="",0,K390)) )</x:f>
      </x:c>
      <x:c r="M390" s="138" t="str"/>
      <x:c r="N390" s="137" t="str">
        <x:v>Current model BOM seed</x:v>
      </x:c>
      <x:c r="O390" s="137" t="str"/>
      <x:c r="P390" s="137" t="str">
        <x:v>To Confirm</x:v>
      </x:c>
      <x:c r="Q390" s="137" t="str"/>
    </x:row>
    <x:row r="391">
      <x:c r="A391" s="137" t="str">
        <x:v>BOM-00387</x:v>
      </x:c>
      <x:c r="B391" s="137" t="str">
        <x:v>SILKY BELLY WHITE</x:v>
      </x:c>
      <x:c r="C391" s="137" t="str">
        <x:v>TO CONFIRM</x:v>
      </x:c>
      <x:c r="D391" s="137" t="str">
        <x:v>6X8</x:v>
      </x:c>
      <x:c r="E391" s="137" t="str">
        <x:v>CUTTING</x:v>
      </x:c>
      <x:c r="F391" s="137" t="str">
        <x:v>REXION 0.85 MM WHITE||MTR</x:v>
      </x:c>
      <x:c r="G391" s="137" t="str">
        <x:v>REXION 0.85 MM WHITE</x:v>
      </x:c>
      <x:c r="H391" s="137" t="str">
        <x:v>MTR</x:v>
      </x:c>
      <x:c r="I391" s="175" t="n">
        <x:v>0.003556</x:v>
      </x:c>
      <x:c r="J391" s="176" t="str"/>
      <x:c r="K391" s="177" t="str"/>
      <x:c r="L391" s="178" t="str">
        <x:f>IF(J391="","",J391*(1+IF(K391="",0,K391)) )</x:f>
      </x:c>
      <x:c r="M391" s="138" t="str"/>
      <x:c r="N391" s="137" t="str">
        <x:v>Current model BOM seed</x:v>
      </x:c>
      <x:c r="O391" s="137" t="str"/>
      <x:c r="P391" s="137" t="str">
        <x:v>To Confirm</x:v>
      </x:c>
      <x:c r="Q391" s="137" t="str"/>
    </x:row>
    <x:row r="392">
      <x:c r="A392" s="137" t="str">
        <x:v>BOM-00388</x:v>
      </x:c>
      <x:c r="B392" s="137" t="str">
        <x:v>SILKY BELLY WHITE</x:v>
      </x:c>
      <x:c r="C392" s="137" t="str">
        <x:v>TO CONFIRM</x:v>
      </x:c>
      <x:c r="D392" s="137" t="str">
        <x:v>6X8</x:v>
      </x:c>
      <x:c r="E392" s="137" t="str">
        <x:v>CUTTING</x:v>
      </x:c>
      <x:c r="F392" s="137" t="str">
        <x:v>INSOLE 2.5 MM WHITE||MTR</x:v>
      </x:c>
      <x:c r="G392" s="137" t="str">
        <x:v>INSOLE 2.5 MM WHITE</x:v>
      </x:c>
      <x:c r="H392" s="137" t="str">
        <x:v>MTR</x:v>
      </x:c>
      <x:c r="I392" s="175" t="n">
        <x:v>0.0142</x:v>
      </x:c>
      <x:c r="J392" s="176" t="str"/>
      <x:c r="K392" s="177" t="str"/>
      <x:c r="L392" s="178" t="str">
        <x:f>IF(J392="","",J392*(1+IF(K392="",0,K392)) )</x:f>
      </x:c>
      <x:c r="M392" s="138" t="str"/>
      <x:c r="N392" s="137" t="str">
        <x:v>Current model BOM seed</x:v>
      </x:c>
      <x:c r="O392" s="137" t="str"/>
      <x:c r="P392" s="137" t="str">
        <x:v>To Confirm</x:v>
      </x:c>
      <x:c r="Q392" s="137" t="str"/>
    </x:row>
    <x:row r="393">
      <x:c r="A393" s="137" t="str">
        <x:v>BOM-00389</x:v>
      </x:c>
      <x:c r="B393" s="137" t="str">
        <x:v>SILKY BELLY WHITE</x:v>
      </x:c>
      <x:c r="C393" s="137" t="str">
        <x:v>TO CONFIRM</x:v>
      </x:c>
      <x:c r="D393" s="137" t="str">
        <x:v>6X8</x:v>
      </x:c>
      <x:c r="E393" s="137" t="str">
        <x:v>STITCHING</x:v>
      </x:c>
      <x:c r="F393" s="137" t="str">
        <x:v>NYLON THREAD WHITE 3 PLY||CONE</x:v>
      </x:c>
      <x:c r="G393" s="137" t="str">
        <x:v>NYLON THREAD WHITE 3 PLY</x:v>
      </x:c>
      <x:c r="H393" s="137" t="str">
        <x:v>CONE</x:v>
      </x:c>
      <x:c r="I393" s="175" t="n">
        <x:v>0.008</x:v>
      </x:c>
      <x:c r="J393" s="176" t="str"/>
      <x:c r="K393" s="177" t="str"/>
      <x:c r="L393" s="178" t="str">
        <x:f>IF(J393="","",J393*(1+IF(K393="",0,K393)) )</x:f>
      </x:c>
      <x:c r="M393" s="138" t="str"/>
      <x:c r="N393" s="137" t="str">
        <x:v>Current model BOM seed</x:v>
      </x:c>
      <x:c r="O393" s="137" t="str"/>
      <x:c r="P393" s="137" t="str">
        <x:v>To Confirm</x:v>
      </x:c>
      <x:c r="Q393" s="137" t="str"/>
    </x:row>
    <x:row r="394">
      <x:c r="A394" s="137" t="str">
        <x:v>BOM-00390</x:v>
      </x:c>
      <x:c r="B394" s="137" t="str">
        <x:v>SILKY BELLY WHITE</x:v>
      </x:c>
      <x:c r="C394" s="137" t="str">
        <x:v>TO CONFIRM</x:v>
      </x:c>
      <x:c r="D394" s="137" t="str">
        <x:v>6X8</x:v>
      </x:c>
      <x:c r="E394" s="137" t="str">
        <x:v>STITCHING</x:v>
      </x:c>
      <x:c r="F394" s="137" t="str">
        <x:v>REXION BENDING 14 MM WHITE||MTR</x:v>
      </x:c>
      <x:c r="G394" s="137" t="str">
        <x:v>REXION BENDING 14 MM WHITE</x:v>
      </x:c>
      <x:c r="H394" s="137" t="str">
        <x:v>MTR</x:v>
      </x:c>
      <x:c r="I394" s="175" t="n">
        <x:v>0.6</x:v>
      </x:c>
      <x:c r="J394" s="176" t="str"/>
      <x:c r="K394" s="177" t="str"/>
      <x:c r="L394" s="178" t="str">
        <x:f>IF(J394="","",J394*(1+IF(K394="",0,K394)) )</x:f>
      </x:c>
      <x:c r="M394" s="138" t="str"/>
      <x:c r="N394" s="137" t="str">
        <x:v>Current model BOM seed</x:v>
      </x:c>
      <x:c r="O394" s="137" t="str"/>
      <x:c r="P394" s="137" t="str">
        <x:v>To Confirm</x:v>
      </x:c>
      <x:c r="Q394" s="137" t="str"/>
    </x:row>
    <x:row r="395">
      <x:c r="A395" s="137" t="str">
        <x:v>BOM-00391</x:v>
      </x:c>
      <x:c r="B395" s="137" t="str">
        <x:v>SILKY BELLY WHITE</x:v>
      </x:c>
      <x:c r="C395" s="137" t="str">
        <x:v>TO CONFIRM</x:v>
      </x:c>
      <x:c r="D395" s="137" t="str">
        <x:v>6X8</x:v>
      </x:c>
      <x:c r="E395" s="137" t="str">
        <x:v>STITCHING</x:v>
      </x:c>
      <x:c r="F395" s="137" t="str">
        <x:v>PP Bag 18.5x31||PCS</x:v>
      </x:c>
      <x:c r="G395" s="137" t="str">
        <x:v>PP Bag 18.5x31</x:v>
      </x:c>
      <x:c r="H395" s="137" t="str">
        <x:v>PCS</x:v>
      </x:c>
      <x:c r="I395" s="175" t="n">
        <x:v>0.033333</x:v>
      </x:c>
      <x:c r="J395" s="176" t="str"/>
      <x:c r="K395" s="177" t="str"/>
      <x:c r="L395" s="178" t="str">
        <x:f>IF(J395="","",J395*(1+IF(K395="",0,K395)) )</x:f>
      </x:c>
      <x:c r="M395" s="138" t="str"/>
      <x:c r="N395" s="137" t="str">
        <x:v>Current model BOM seed</x:v>
      </x:c>
      <x:c r="O395" s="137" t="str"/>
      <x:c r="P395" s="137" t="str">
        <x:v>To Confirm</x:v>
      </x:c>
      <x:c r="Q395" s="137" t="str"/>
    </x:row>
    <x:row r="396">
      <x:c r="A396" s="137" t="str">
        <x:v>BOM-00392</x:v>
      </x:c>
      <x:c r="B396" s="137" t="str">
        <x:v>SILKY BELLY WHITE</x:v>
      </x:c>
      <x:c r="C396" s="137" t="str">
        <x:v>TO CONFIRM</x:v>
      </x:c>
      <x:c r="D396" s="137" t="str">
        <x:v>9X11</x:v>
      </x:c>
      <x:c r="E396" s="137" t="str">
        <x:v>CUTTING</x:v>
      </x:c>
      <x:c r="F396" s="137" t="str">
        <x:v>REXION 1.5MM FRENZY (HEAVY) WHITE||MTR</x:v>
      </x:c>
      <x:c r="G396" s="137" t="str">
        <x:v>REXION 1.5MM FRENZY (HEAVY) WHITE</x:v>
      </x:c>
      <x:c r="H396" s="137" t="str">
        <x:v>MTR</x:v>
      </x:c>
      <x:c r="I396" s="175" t="n">
        <x:v>0.051185</x:v>
      </x:c>
      <x:c r="J396" s="176" t="str"/>
      <x:c r="K396" s="177" t="str"/>
      <x:c r="L396" s="178" t="str">
        <x:f>IF(J396="","",J396*(1+IF(K396="",0,K396)) )</x:f>
      </x:c>
      <x:c r="M396" s="138" t="str"/>
      <x:c r="N396" s="137" t="str">
        <x:v>Current model BOM seed</x:v>
      </x:c>
      <x:c r="O396" s="137" t="str"/>
      <x:c r="P396" s="137" t="str">
        <x:v>To Confirm</x:v>
      </x:c>
      <x:c r="Q396" s="137" t="str"/>
    </x:row>
    <x:row r="397">
      <x:c r="A397" s="137" t="str">
        <x:v>BOM-00393</x:v>
      </x:c>
      <x:c r="B397" s="137" t="str">
        <x:v>SILKY BELLY WHITE</x:v>
      </x:c>
      <x:c r="C397" s="137" t="str">
        <x:v>TO CONFIRM</x:v>
      </x:c>
      <x:c r="D397" s="137" t="str">
        <x:v>9X11</x:v>
      </x:c>
      <x:c r="E397" s="137" t="str">
        <x:v>CUTTING</x:v>
      </x:c>
      <x:c r="F397" s="137" t="str">
        <x:v>REXION 1.5MM FRENZY (LIGHT) WHITE||MTR</x:v>
      </x:c>
      <x:c r="G397" s="137" t="str">
        <x:v>REXION 1.5MM FRENZY (LIGHT) WHITE</x:v>
      </x:c>
      <x:c r="H397" s="137" t="str">
        <x:v>MTR</x:v>
      </x:c>
      <x:c r="I397" s="175" t="n">
        <x:v>0.014593</x:v>
      </x:c>
      <x:c r="J397" s="176" t="str"/>
      <x:c r="K397" s="177" t="str"/>
      <x:c r="L397" s="178" t="str">
        <x:f>IF(J397="","",J397*(1+IF(K397="",0,K397)) )</x:f>
      </x:c>
      <x:c r="M397" s="138" t="str"/>
      <x:c r="N397" s="137" t="str">
        <x:v>Current model BOM seed</x:v>
      </x:c>
      <x:c r="O397" s="137" t="str"/>
      <x:c r="P397" s="137" t="str">
        <x:v>To Confirm</x:v>
      </x:c>
      <x:c r="Q397" s="137" t="str"/>
    </x:row>
    <x:row r="398">
      <x:c r="A398" s="137" t="str">
        <x:v>BOM-00394</x:v>
      </x:c>
      <x:c r="B398" s="137" t="str">
        <x:v>SILKY BELLY WHITE</x:v>
      </x:c>
      <x:c r="C398" s="137" t="str">
        <x:v>TO CONFIRM</x:v>
      </x:c>
      <x:c r="D398" s="137" t="str">
        <x:v>9X11</x:v>
      </x:c>
      <x:c r="E398" s="137" t="str">
        <x:v>CUTTING</x:v>
      </x:c>
      <x:c r="F398" s="137" t="str">
        <x:v>REXION 0.85 MM WHITE||MTR</x:v>
      </x:c>
      <x:c r="G398" s="137" t="str">
        <x:v>REXION 0.85 MM WHITE</x:v>
      </x:c>
      <x:c r="H398" s="137" t="str">
        <x:v>MTR</x:v>
      </x:c>
      <x:c r="I398" s="175" t="n">
        <x:v>0.004593</x:v>
      </x:c>
      <x:c r="J398" s="176" t="str"/>
      <x:c r="K398" s="177" t="str"/>
      <x:c r="L398" s="178" t="str">
        <x:f>IF(J398="","",J398*(1+IF(K398="",0,K398)) )</x:f>
      </x:c>
      <x:c r="M398" s="138" t="str"/>
      <x:c r="N398" s="137" t="str">
        <x:v>Current model BOM seed</x:v>
      </x:c>
      <x:c r="O398" s="137" t="str"/>
      <x:c r="P398" s="137" t="str">
        <x:v>To Confirm</x:v>
      </x:c>
      <x:c r="Q398" s="137" t="str"/>
    </x:row>
    <x:row r="399">
      <x:c r="A399" s="137" t="str">
        <x:v>BOM-00395</x:v>
      </x:c>
      <x:c r="B399" s="137" t="str">
        <x:v>SILKY BELLY WHITE</x:v>
      </x:c>
      <x:c r="C399" s="137" t="str">
        <x:v>TO CONFIRM</x:v>
      </x:c>
      <x:c r="D399" s="137" t="str">
        <x:v>9X11</x:v>
      </x:c>
      <x:c r="E399" s="137" t="str">
        <x:v>CUTTING</x:v>
      </x:c>
      <x:c r="F399" s="137" t="str">
        <x:v>INSOLE 2.5 MM WHITE||MTR</x:v>
      </x:c>
      <x:c r="G399" s="137" t="str">
        <x:v>INSOLE 2.5 MM WHITE</x:v>
      </x:c>
      <x:c r="H399" s="137" t="str">
        <x:v>MTR</x:v>
      </x:c>
      <x:c r="I399" s="175" t="n">
        <x:v>0.018667</x:v>
      </x:c>
      <x:c r="J399" s="176" t="str"/>
      <x:c r="K399" s="177" t="str"/>
      <x:c r="L399" s="178" t="str">
        <x:f>IF(J399="","",J399*(1+IF(K399="",0,K399)) )</x:f>
      </x:c>
      <x:c r="M399" s="138" t="str"/>
      <x:c r="N399" s="137" t="str">
        <x:v>Current model BOM seed</x:v>
      </x:c>
      <x:c r="O399" s="137" t="str"/>
      <x:c r="P399" s="137" t="str">
        <x:v>To Confirm</x:v>
      </x:c>
      <x:c r="Q399" s="137" t="str"/>
    </x:row>
    <x:row r="400">
      <x:c r="A400" s="137" t="str">
        <x:v>BOM-00396</x:v>
      </x:c>
      <x:c r="B400" s="137" t="str">
        <x:v>SILKY BELLY WHITE</x:v>
      </x:c>
      <x:c r="C400" s="137" t="str">
        <x:v>TO CONFIRM</x:v>
      </x:c>
      <x:c r="D400" s="137" t="str">
        <x:v>9X11</x:v>
      </x:c>
      <x:c r="E400" s="137" t="str">
        <x:v>STITCHING</x:v>
      </x:c>
      <x:c r="F400" s="137" t="str">
        <x:v>NYLON THREAD WHITE 3 PLY||CONE</x:v>
      </x:c>
      <x:c r="G400" s="137" t="str">
        <x:v>NYLON THREAD WHITE 3 PLY</x:v>
      </x:c>
      <x:c r="H400" s="137" t="str">
        <x:v>CONE</x:v>
      </x:c>
      <x:c r="I400" s="175" t="n">
        <x:v>0.008667</x:v>
      </x:c>
      <x:c r="J400" s="176" t="str"/>
      <x:c r="K400" s="177" t="str"/>
      <x:c r="L400" s="178" t="str">
        <x:f>IF(J400="","",J400*(1+IF(K400="",0,K400)) )</x:f>
      </x:c>
      <x:c r="M400" s="138" t="str"/>
      <x:c r="N400" s="137" t="str">
        <x:v>Current model BOM seed</x:v>
      </x:c>
      <x:c r="O400" s="137" t="str"/>
      <x:c r="P400" s="137" t="str">
        <x:v>To Confirm</x:v>
      </x:c>
      <x:c r="Q400" s="137" t="str"/>
    </x:row>
    <x:row r="401">
      <x:c r="A401" s="137" t="str">
        <x:v>BOM-00397</x:v>
      </x:c>
      <x:c r="B401" s="137" t="str">
        <x:v>SILKY BELLY WHITE</x:v>
      </x:c>
      <x:c r="C401" s="137" t="str">
        <x:v>TO CONFIRM</x:v>
      </x:c>
      <x:c r="D401" s="137" t="str">
        <x:v>9X11</x:v>
      </x:c>
      <x:c r="E401" s="137" t="str">
        <x:v>STITCHING</x:v>
      </x:c>
      <x:c r="F401" s="137" t="str">
        <x:v>REXION BENDING 14 MM WHITE||MTR</x:v>
      </x:c>
      <x:c r="G401" s="137" t="str">
        <x:v>REXION BENDING 14 MM WHITE</x:v>
      </x:c>
      <x:c r="H401" s="137" t="str">
        <x:v>MTR</x:v>
      </x:c>
      <x:c r="I401" s="175" t="n">
        <x:v>0.75</x:v>
      </x:c>
      <x:c r="J401" s="176" t="str"/>
      <x:c r="K401" s="177" t="str"/>
      <x:c r="L401" s="178" t="str">
        <x:f>IF(J401="","",J401*(1+IF(K401="",0,K401)) )</x:f>
      </x:c>
      <x:c r="M401" s="138" t="str"/>
      <x:c r="N401" s="137" t="str">
        <x:v>Current model BOM seed</x:v>
      </x:c>
      <x:c r="O401" s="137" t="str"/>
      <x:c r="P401" s="137" t="str">
        <x:v>To Confirm</x:v>
      </x:c>
      <x:c r="Q401" s="137" t="str"/>
    </x:row>
    <x:row r="402">
      <x:c r="A402" s="137" t="str">
        <x:v>BOM-00398</x:v>
      </x:c>
      <x:c r="B402" s="137" t="str">
        <x:v>SILKY BELLY WHITE</x:v>
      </x:c>
      <x:c r="C402" s="137" t="str">
        <x:v>TO CONFIRM</x:v>
      </x:c>
      <x:c r="D402" s="137" t="str">
        <x:v>9X11</x:v>
      </x:c>
      <x:c r="E402" s="137" t="str">
        <x:v>STITCHING</x:v>
      </x:c>
      <x:c r="F402" s="137" t="str">
        <x:v>PP Bag 18.5x31||PCS</x:v>
      </x:c>
      <x:c r="G402" s="137" t="str">
        <x:v>PP Bag 18.5x31</x:v>
      </x:c>
      <x:c r="H402" s="137" t="str">
        <x:v>PCS</x:v>
      </x:c>
      <x:c r="I402" s="175" t="n">
        <x:v>0.033333</x:v>
      </x:c>
      <x:c r="J402" s="176" t="str"/>
      <x:c r="K402" s="177" t="str"/>
      <x:c r="L402" s="178" t="str">
        <x:f>IF(J402="","",J402*(1+IF(K402="",0,K402)) )</x:f>
      </x:c>
      <x:c r="M402" s="138" t="str"/>
      <x:c r="N402" s="137" t="str">
        <x:v>Current model BOM seed</x:v>
      </x:c>
      <x:c r="O402" s="137" t="str"/>
      <x:c r="P402" s="137" t="str">
        <x:v>To Confirm</x:v>
      </x:c>
      <x:c r="Q402" s="137" t="str"/>
    </x:row>
    <x:row r="403">
      <x:c r="A403" s="137" t="str">
        <x:v>BOM-00399</x:v>
      </x:c>
      <x:c r="B403" s="137" t="str">
        <x:v>SILKY BELLY WHITE</x:v>
      </x:c>
      <x:c r="C403" s="137" t="str">
        <x:v>TO CONFIRM</x:v>
      </x:c>
      <x:c r="D403" s="137" t="str">
        <x:v>12X1</x:v>
      </x:c>
      <x:c r="E403" s="137" t="str">
        <x:v>CUTTING</x:v>
      </x:c>
      <x:c r="F403" s="137" t="str">
        <x:v>REXION 1.5MM FRENZY (HEAVY) WHITE||MTR</x:v>
      </x:c>
      <x:c r="G403" s="137" t="str">
        <x:v>REXION 1.5MM FRENZY (HEAVY) WHITE</x:v>
      </x:c>
      <x:c r="H403" s="137" t="str">
        <x:v>MTR</x:v>
      </x:c>
      <x:c r="I403" s="175" t="n">
        <x:v>0.056</x:v>
      </x:c>
      <x:c r="J403" s="176" t="str"/>
      <x:c r="K403" s="177" t="str"/>
      <x:c r="L403" s="178" t="str">
        <x:f>IF(J403="","",J403*(1+IF(K403="",0,K403)) )</x:f>
      </x:c>
      <x:c r="M403" s="138" t="str"/>
      <x:c r="N403" s="137" t="str">
        <x:v>Current model BOM seed</x:v>
      </x:c>
      <x:c r="O403" s="137" t="str"/>
      <x:c r="P403" s="137" t="str">
        <x:v>To Confirm</x:v>
      </x:c>
      <x:c r="Q403" s="137" t="str"/>
    </x:row>
    <x:row r="404">
      <x:c r="A404" s="137" t="str">
        <x:v>BOM-00400</x:v>
      </x:c>
      <x:c r="B404" s="137" t="str">
        <x:v>SILKY BELLY WHITE</x:v>
      </x:c>
      <x:c r="C404" s="137" t="str">
        <x:v>TO CONFIRM</x:v>
      </x:c>
      <x:c r="D404" s="137" t="str">
        <x:v>12X1</x:v>
      </x:c>
      <x:c r="E404" s="137" t="str">
        <x:v>CUTTING</x:v>
      </x:c>
      <x:c r="F404" s="137" t="str">
        <x:v>REXION 1.5MM FRENZY (LIGHT) WHITE||MTR</x:v>
      </x:c>
      <x:c r="G404" s="137" t="str">
        <x:v>REXION 1.5MM FRENZY (LIGHT) WHITE</x:v>
      </x:c>
      <x:c r="H404" s="137" t="str">
        <x:v>MTR</x:v>
      </x:c>
      <x:c r="I404" s="175" t="n">
        <x:v>0.01763</x:v>
      </x:c>
      <x:c r="J404" s="176" t="str"/>
      <x:c r="K404" s="177" t="str"/>
      <x:c r="L404" s="178" t="str">
        <x:f>IF(J404="","",J404*(1+IF(K404="",0,K404)) )</x:f>
      </x:c>
      <x:c r="M404" s="138" t="str"/>
      <x:c r="N404" s="137" t="str">
        <x:v>Current model BOM seed</x:v>
      </x:c>
      <x:c r="O404" s="137" t="str"/>
      <x:c r="P404" s="137" t="str">
        <x:v>To Confirm</x:v>
      </x:c>
      <x:c r="Q404" s="137" t="str"/>
    </x:row>
    <x:row r="405">
      <x:c r="A405" s="137" t="str">
        <x:v>BOM-00401</x:v>
      </x:c>
      <x:c r="B405" s="137" t="str">
        <x:v>SILKY BELLY WHITE</x:v>
      </x:c>
      <x:c r="C405" s="137" t="str">
        <x:v>TO CONFIRM</x:v>
      </x:c>
      <x:c r="D405" s="137" t="str">
        <x:v>12X1</x:v>
      </x:c>
      <x:c r="E405" s="137" t="str">
        <x:v>CUTTING</x:v>
      </x:c>
      <x:c r="F405" s="137" t="str">
        <x:v>REXION 0.85 MM WHITE||MTR</x:v>
      </x:c>
      <x:c r="G405" s="137" t="str">
        <x:v>REXION 0.85 MM WHITE</x:v>
      </x:c>
      <x:c r="H405" s="137" t="str">
        <x:v>MTR</x:v>
      </x:c>
      <x:c r="I405" s="175" t="n">
        <x:v>0.004667</x:v>
      </x:c>
      <x:c r="J405" s="176" t="str"/>
      <x:c r="K405" s="177" t="str"/>
      <x:c r="L405" s="178" t="str">
        <x:f>IF(J405="","",J405*(1+IF(K405="",0,K405)) )</x:f>
      </x:c>
      <x:c r="M405" s="138" t="str"/>
      <x:c r="N405" s="137" t="str">
        <x:v>Current model BOM seed</x:v>
      </x:c>
      <x:c r="O405" s="137" t="str"/>
      <x:c r="P405" s="137" t="str">
        <x:v>To Confirm</x:v>
      </x:c>
      <x:c r="Q405" s="137" t="str"/>
    </x:row>
    <x:row r="406">
      <x:c r="A406" s="137" t="str">
        <x:v>BOM-00402</x:v>
      </x:c>
      <x:c r="B406" s="137" t="str">
        <x:v>SILKY BELLY WHITE</x:v>
      </x:c>
      <x:c r="C406" s="137" t="str">
        <x:v>TO CONFIRM</x:v>
      </x:c>
      <x:c r="D406" s="137" t="str">
        <x:v>12X1</x:v>
      </x:c>
      <x:c r="E406" s="137" t="str">
        <x:v>CUTTING</x:v>
      </x:c>
      <x:c r="F406" s="137" t="str">
        <x:v>INSOLE 2.5 MM WHITE||MTR</x:v>
      </x:c>
      <x:c r="G406" s="137" t="str">
        <x:v>INSOLE 2.5 MM WHITE</x:v>
      </x:c>
      <x:c r="H406" s="137" t="str">
        <x:v>MTR</x:v>
      </x:c>
      <x:c r="I406" s="175" t="n">
        <x:v>0.02</x:v>
      </x:c>
      <x:c r="J406" s="176" t="str"/>
      <x:c r="K406" s="177" t="str"/>
      <x:c r="L406" s="178" t="str">
        <x:f>IF(J406="","",J406*(1+IF(K406="",0,K406)) )</x:f>
      </x:c>
      <x:c r="M406" s="138" t="str"/>
      <x:c r="N406" s="137" t="str">
        <x:v>Current model BOM seed</x:v>
      </x:c>
      <x:c r="O406" s="137" t="str"/>
      <x:c r="P406" s="137" t="str">
        <x:v>To Confirm</x:v>
      </x:c>
      <x:c r="Q406" s="137" t="str"/>
    </x:row>
    <x:row r="407">
      <x:c r="A407" s="137" t="str">
        <x:v>BOM-00403</x:v>
      </x:c>
      <x:c r="B407" s="137" t="str">
        <x:v>SILKY BELLY WHITE</x:v>
      </x:c>
      <x:c r="C407" s="137" t="str">
        <x:v>TO CONFIRM</x:v>
      </x:c>
      <x:c r="D407" s="137" t="str">
        <x:v>12X1</x:v>
      </x:c>
      <x:c r="E407" s="137" t="str">
        <x:v>STITCHING</x:v>
      </x:c>
      <x:c r="F407" s="137" t="str">
        <x:v>NYLON THREAD WHITE 3 PLY||CONE</x:v>
      </x:c>
      <x:c r="G407" s="137" t="str">
        <x:v>NYLON THREAD WHITE 3 PLY</x:v>
      </x:c>
      <x:c r="H407" s="137" t="str">
        <x:v>CONE</x:v>
      </x:c>
      <x:c r="I407" s="175" t="n">
        <x:v>0.008667</x:v>
      </x:c>
      <x:c r="J407" s="176" t="str"/>
      <x:c r="K407" s="177" t="str"/>
      <x:c r="L407" s="178" t="str">
        <x:f>IF(J407="","",J407*(1+IF(K407="",0,K407)) )</x:f>
      </x:c>
      <x:c r="M407" s="138" t="str"/>
      <x:c r="N407" s="137" t="str">
        <x:v>Current model BOM seed</x:v>
      </x:c>
      <x:c r="O407" s="137" t="str"/>
      <x:c r="P407" s="137" t="str">
        <x:v>To Confirm</x:v>
      </x:c>
      <x:c r="Q407" s="137" t="str"/>
    </x:row>
    <x:row r="408">
      <x:c r="A408" s="137" t="str">
        <x:v>BOM-00404</x:v>
      </x:c>
      <x:c r="B408" s="137" t="str">
        <x:v>SILKY BELLY WHITE</x:v>
      </x:c>
      <x:c r="C408" s="137" t="str">
        <x:v>TO CONFIRM</x:v>
      </x:c>
      <x:c r="D408" s="137" t="str">
        <x:v>12X1</x:v>
      </x:c>
      <x:c r="E408" s="137" t="str">
        <x:v>STITCHING</x:v>
      </x:c>
      <x:c r="F408" s="137" t="str">
        <x:v>REXION BENDING 14 MM WHITE||MTR</x:v>
      </x:c>
      <x:c r="G408" s="137" t="str">
        <x:v>REXION BENDING 14 MM WHITE</x:v>
      </x:c>
      <x:c r="H408" s="137" t="str">
        <x:v>MTR</x:v>
      </x:c>
      <x:c r="I408" s="175" t="n">
        <x:v>0.75</x:v>
      </x:c>
      <x:c r="J408" s="176" t="str"/>
      <x:c r="K408" s="177" t="str"/>
      <x:c r="L408" s="178" t="str">
        <x:f>IF(J408="","",J408*(1+IF(K408="",0,K408)) )</x:f>
      </x:c>
      <x:c r="M408" s="138" t="str"/>
      <x:c r="N408" s="137" t="str">
        <x:v>Current model BOM seed</x:v>
      </x:c>
      <x:c r="O408" s="137" t="str"/>
      <x:c r="P408" s="137" t="str">
        <x:v>To Confirm</x:v>
      </x:c>
      <x:c r="Q408" s="137" t="str"/>
    </x:row>
    <x:row r="409">
      <x:c r="A409" s="137" t="str">
        <x:v>BOM-00405</x:v>
      </x:c>
      <x:c r="B409" s="137" t="str">
        <x:v>SILKY BELLY WHITE</x:v>
      </x:c>
      <x:c r="C409" s="137" t="str">
        <x:v>TO CONFIRM</x:v>
      </x:c>
      <x:c r="D409" s="137" t="str">
        <x:v>12X1</x:v>
      </x:c>
      <x:c r="E409" s="137" t="str">
        <x:v>STITCHING</x:v>
      </x:c>
      <x:c r="F409" s="137" t="str">
        <x:v>PP Bag 18.5x31||PCS</x:v>
      </x:c>
      <x:c r="G409" s="137" t="str">
        <x:v>PP Bag 18.5x31</x:v>
      </x:c>
      <x:c r="H409" s="137" t="str">
        <x:v>PCS</x:v>
      </x:c>
      <x:c r="I409" s="175" t="n">
        <x:v>0.033333</x:v>
      </x:c>
      <x:c r="J409" s="176" t="str"/>
      <x:c r="K409" s="177" t="str"/>
      <x:c r="L409" s="178" t="str">
        <x:f>IF(J409="","",J409*(1+IF(K409="",0,K409)) )</x:f>
      </x:c>
      <x:c r="M409" s="138" t="str"/>
      <x:c r="N409" s="137" t="str">
        <x:v>Current model BOM seed</x:v>
      </x:c>
      <x:c r="O409" s="137" t="str"/>
      <x:c r="P409" s="137" t="str">
        <x:v>To Confirm</x:v>
      </x:c>
      <x:c r="Q409" s="137" t="str"/>
    </x:row>
    <x:row r="410">
      <x:c r="A410" s="137" t="str">
        <x:v>BOM-00406</x:v>
      </x:c>
      <x:c r="B410" s="137" t="str">
        <x:v>SILKY BELLY WHITE</x:v>
      </x:c>
      <x:c r="C410" s="137" t="str">
        <x:v>TO CONFIRM</x:v>
      </x:c>
      <x:c r="D410" s="137" t="str">
        <x:v>2X5</x:v>
      </x:c>
      <x:c r="E410" s="137" t="str">
        <x:v>CUTTING</x:v>
      </x:c>
      <x:c r="F410" s="137" t="str">
        <x:v>REXION 1.5MM FRENZY (HEAVY) WHITE||MTR</x:v>
      </x:c>
      <x:c r="G410" s="137" t="str">
        <x:v>REXION 1.5MM FRENZY (HEAVY) WHITE</x:v>
      </x:c>
      <x:c r="H410" s="137" t="str">
        <x:v>MTR</x:v>
      </x:c>
      <x:c r="I410" s="175" t="n">
        <x:v>0.076444</x:v>
      </x:c>
      <x:c r="J410" s="176" t="str"/>
      <x:c r="K410" s="177" t="str"/>
      <x:c r="L410" s="178" t="str">
        <x:f>IF(J410="","",J410*(1+IF(K410="",0,K410)) )</x:f>
      </x:c>
      <x:c r="M410" s="138" t="str"/>
      <x:c r="N410" s="137" t="str">
        <x:v>Current model BOM seed</x:v>
      </x:c>
      <x:c r="O410" s="137" t="str"/>
      <x:c r="P410" s="137" t="str">
        <x:v>To Confirm</x:v>
      </x:c>
      <x:c r="Q410" s="137" t="str"/>
    </x:row>
    <x:row r="411">
      <x:c r="A411" s="137" t="str">
        <x:v>BOM-00407</x:v>
      </x:c>
      <x:c r="B411" s="137" t="str">
        <x:v>SILKY BELLY WHITE</x:v>
      </x:c>
      <x:c r="C411" s="137" t="str">
        <x:v>TO CONFIRM</x:v>
      </x:c>
      <x:c r="D411" s="137" t="str">
        <x:v>2X5</x:v>
      </x:c>
      <x:c r="E411" s="137" t="str">
        <x:v>CUTTING</x:v>
      </x:c>
      <x:c r="F411" s="137" t="str">
        <x:v>REXION 1.5MM FRENZY (LIGHT) WHITE||MTR</x:v>
      </x:c>
      <x:c r="G411" s="137" t="str">
        <x:v>REXION 1.5MM FRENZY (LIGHT) WHITE</x:v>
      </x:c>
      <x:c r="H411" s="137" t="str">
        <x:v>MTR</x:v>
      </x:c>
      <x:c r="I411" s="175" t="n">
        <x:v>0.022</x:v>
      </x:c>
      <x:c r="J411" s="176" t="str"/>
      <x:c r="K411" s="177" t="str"/>
      <x:c r="L411" s="178" t="str">
        <x:f>IF(J411="","",J411*(1+IF(K411="",0,K411)) )</x:f>
      </x:c>
      <x:c r="M411" s="138" t="str"/>
      <x:c r="N411" s="137" t="str">
        <x:v>Current model BOM seed</x:v>
      </x:c>
      <x:c r="O411" s="137" t="str"/>
      <x:c r="P411" s="137" t="str">
        <x:v>To Confirm</x:v>
      </x:c>
      <x:c r="Q411" s="137" t="str"/>
    </x:row>
    <x:row r="412">
      <x:c r="A412" s="137" t="str">
        <x:v>BOM-00408</x:v>
      </x:c>
      <x:c r="B412" s="137" t="str">
        <x:v>SILKY BELLY WHITE</x:v>
      </x:c>
      <x:c r="C412" s="137" t="str">
        <x:v>TO CONFIRM</x:v>
      </x:c>
      <x:c r="D412" s="137" t="str">
        <x:v>2X5</x:v>
      </x:c>
      <x:c r="E412" s="137" t="str">
        <x:v>CUTTING</x:v>
      </x:c>
      <x:c r="F412" s="137" t="str">
        <x:v>REXION 0.85 MM WHITE||MTR</x:v>
      </x:c>
      <x:c r="G412" s="137" t="str">
        <x:v>REXION 0.85 MM WHITE</x:v>
      </x:c>
      <x:c r="H412" s="137" t="str">
        <x:v>MTR</x:v>
      </x:c>
      <x:c r="I412" s="175" t="n">
        <x:v>0.005333</x:v>
      </x:c>
      <x:c r="J412" s="176" t="str"/>
      <x:c r="K412" s="177" t="str"/>
      <x:c r="L412" s="178" t="str">
        <x:f>IF(J412="","",J412*(1+IF(K412="",0,K412)) )</x:f>
      </x:c>
      <x:c r="M412" s="138" t="str"/>
      <x:c r="N412" s="137" t="str">
        <x:v>Current model BOM seed</x:v>
      </x:c>
      <x:c r="O412" s="137" t="str"/>
      <x:c r="P412" s="137" t="str">
        <x:v>To Confirm</x:v>
      </x:c>
      <x:c r="Q412" s="137" t="str"/>
    </x:row>
    <x:row r="413">
      <x:c r="A413" s="137" t="str">
        <x:v>BOM-00409</x:v>
      </x:c>
      <x:c r="B413" s="137" t="str">
        <x:v>SILKY BELLY WHITE</x:v>
      </x:c>
      <x:c r="C413" s="137" t="str">
        <x:v>TO CONFIRM</x:v>
      </x:c>
      <x:c r="D413" s="137" t="str">
        <x:v>2X5</x:v>
      </x:c>
      <x:c r="E413" s="137" t="str">
        <x:v>CUTTING</x:v>
      </x:c>
      <x:c r="F413" s="137" t="str">
        <x:v>INSOLE 2.5 MM WHITE||MTR</x:v>
      </x:c>
      <x:c r="G413" s="137" t="str">
        <x:v>INSOLE 2.5 MM WHITE</x:v>
      </x:c>
      <x:c r="H413" s="137" t="str">
        <x:v>MTR</x:v>
      </x:c>
      <x:c r="I413" s="175" t="n">
        <x:v>0.026867</x:v>
      </x:c>
      <x:c r="J413" s="176" t="str"/>
      <x:c r="K413" s="177" t="str"/>
      <x:c r="L413" s="178" t="str">
        <x:f>IF(J413="","",J413*(1+IF(K413="",0,K413)) )</x:f>
      </x:c>
      <x:c r="M413" s="138" t="str"/>
      <x:c r="N413" s="137" t="str">
        <x:v>Current model BOM seed</x:v>
      </x:c>
      <x:c r="O413" s="137" t="str"/>
      <x:c r="P413" s="137" t="str">
        <x:v>To Confirm</x:v>
      </x:c>
      <x:c r="Q413" s="137" t="str"/>
    </x:row>
    <x:row r="414">
      <x:c r="A414" s="137" t="str">
        <x:v>BOM-00410</x:v>
      </x:c>
      <x:c r="B414" s="137" t="str">
        <x:v>SILKY BELLY WHITE</x:v>
      </x:c>
      <x:c r="C414" s="137" t="str">
        <x:v>TO CONFIRM</x:v>
      </x:c>
      <x:c r="D414" s="137" t="str">
        <x:v>2X5</x:v>
      </x:c>
      <x:c r="E414" s="137" t="str">
        <x:v>STITCHING</x:v>
      </x:c>
      <x:c r="F414" s="137" t="str">
        <x:v>NYLON THREAD WHITE 3 PLY||CONE</x:v>
      </x:c>
      <x:c r="G414" s="137" t="str">
        <x:v>NYLON THREAD WHITE 3 PLY</x:v>
      </x:c>
      <x:c r="H414" s="137" t="str">
        <x:v>CONE</x:v>
      </x:c>
      <x:c r="I414" s="175" t="n">
        <x:v>0.009333</x:v>
      </x:c>
      <x:c r="J414" s="176" t="str"/>
      <x:c r="K414" s="177" t="str"/>
      <x:c r="L414" s="178" t="str">
        <x:f>IF(J414="","",J414*(1+IF(K414="",0,K414)) )</x:f>
      </x:c>
      <x:c r="M414" s="138" t="str"/>
      <x:c r="N414" s="137" t="str">
        <x:v>Current model BOM seed</x:v>
      </x:c>
      <x:c r="O414" s="137" t="str"/>
      <x:c r="P414" s="137" t="str">
        <x:v>To Confirm</x:v>
      </x:c>
      <x:c r="Q414" s="137" t="str"/>
    </x:row>
    <x:row r="415">
      <x:c r="A415" s="137" t="str">
        <x:v>BOM-00411</x:v>
      </x:c>
      <x:c r="B415" s="137" t="str">
        <x:v>SILKY BELLY WHITE</x:v>
      </x:c>
      <x:c r="C415" s="137" t="str">
        <x:v>TO CONFIRM</x:v>
      </x:c>
      <x:c r="D415" s="137" t="str">
        <x:v>2X5</x:v>
      </x:c>
      <x:c r="E415" s="137" t="str">
        <x:v>STITCHING</x:v>
      </x:c>
      <x:c r="F415" s="137" t="str">
        <x:v>REXION BENDING 14 MM WHITE||MTR</x:v>
      </x:c>
      <x:c r="G415" s="137" t="str">
        <x:v>REXION BENDING 14 MM WHITE</x:v>
      </x:c>
      <x:c r="H415" s="137" t="str">
        <x:v>MTR</x:v>
      </x:c>
      <x:c r="I415" s="175" t="n">
        <x:v>0.95</x:v>
      </x:c>
      <x:c r="J415" s="176" t="str"/>
      <x:c r="K415" s="177" t="str"/>
      <x:c r="L415" s="178" t="str">
        <x:f>IF(J415="","",J415*(1+IF(K415="",0,K415)) )</x:f>
      </x:c>
      <x:c r="M415" s="138" t="str"/>
      <x:c r="N415" s="137" t="str">
        <x:v>Current model BOM seed</x:v>
      </x:c>
      <x:c r="O415" s="137" t="str"/>
      <x:c r="P415" s="137" t="str">
        <x:v>To Confirm</x:v>
      </x:c>
      <x:c r="Q415" s="137" t="str"/>
    </x:row>
    <x:row r="416">
      <x:c r="A416" s="137" t="str">
        <x:v>BOM-00412</x:v>
      </x:c>
      <x:c r="B416" s="137" t="str">
        <x:v>SILKY BELLY WHITE</x:v>
      </x:c>
      <x:c r="C416" s="137" t="str">
        <x:v>TO CONFIRM</x:v>
      </x:c>
      <x:c r="D416" s="137" t="str">
        <x:v>2X5</x:v>
      </x:c>
      <x:c r="E416" s="137" t="str">
        <x:v>STITCHING</x:v>
      </x:c>
      <x:c r="F416" s="137" t="str">
        <x:v>PP Bag 18.5x31||PCS</x:v>
      </x:c>
      <x:c r="G416" s="137" t="str">
        <x:v>PP Bag 18.5x31</x:v>
      </x:c>
      <x:c r="H416" s="137" t="str">
        <x:v>PCS</x:v>
      </x:c>
      <x:c r="I416" s="175" t="n">
        <x:v>0.033333</x:v>
      </x:c>
      <x:c r="J416" s="176" t="str"/>
      <x:c r="K416" s="177" t="str"/>
      <x:c r="L416" s="178" t="str">
        <x:f>IF(J416="","",J416*(1+IF(K416="",0,K416)) )</x:f>
      </x:c>
      <x:c r="M416" s="138" t="str"/>
      <x:c r="N416" s="137" t="str">
        <x:v>Current model BOM seed</x:v>
      </x:c>
      <x:c r="O416" s="137" t="str"/>
      <x:c r="P416" s="137" t="str">
        <x:v>To Confirm</x:v>
      </x:c>
      <x:c r="Q416" s="137" t="str"/>
    </x:row>
    <x:row r="417">
      <x:c r="A417" s="137" t="str">
        <x:v>BOM-00413</x:v>
      </x:c>
      <x:c r="B417" s="137" t="str">
        <x:v>SILKY BELLY WHITE</x:v>
      </x:c>
      <x:c r="C417" s="137" t="str">
        <x:v>TO CONFIRM</x:v>
      </x:c>
      <x:c r="D417" s="137" t="str">
        <x:v>6X7B</x:v>
      </x:c>
      <x:c r="E417" s="137" t="str">
        <x:v>CUTTING</x:v>
      </x:c>
      <x:c r="F417" s="137" t="str">
        <x:v>REXION 1.5MM FRENZY (HEAVY) WHITE||MTR</x:v>
      </x:c>
      <x:c r="G417" s="137" t="str">
        <x:v>REXION 1.5MM FRENZY (HEAVY) WHITE</x:v>
      </x:c>
      <x:c r="H417" s="137" t="str">
        <x:v>MTR</x:v>
      </x:c>
      <x:c r="I417" s="175" t="n">
        <x:v>0.074963</x:v>
      </x:c>
      <x:c r="J417" s="176" t="str"/>
      <x:c r="K417" s="177" t="str"/>
      <x:c r="L417" s="178" t="str">
        <x:f>IF(J417="","",J417*(1+IF(K417="",0,K417)) )</x:f>
      </x:c>
      <x:c r="M417" s="138" t="str"/>
      <x:c r="N417" s="137" t="str">
        <x:v>Current model BOM seed</x:v>
      </x:c>
      <x:c r="O417" s="137" t="str"/>
      <x:c r="P417" s="137" t="str">
        <x:v>To Confirm</x:v>
      </x:c>
      <x:c r="Q417" s="137" t="str"/>
    </x:row>
    <x:row r="418">
      <x:c r="A418" s="137" t="str">
        <x:v>BOM-00414</x:v>
      </x:c>
      <x:c r="B418" s="137" t="str">
        <x:v>SILKY BELLY WHITE</x:v>
      </x:c>
      <x:c r="C418" s="137" t="str">
        <x:v>TO CONFIRM</x:v>
      </x:c>
      <x:c r="D418" s="137" t="str">
        <x:v>6X7B</x:v>
      </x:c>
      <x:c r="E418" s="137" t="str">
        <x:v>CUTTING</x:v>
      </x:c>
      <x:c r="F418" s="137" t="str">
        <x:v>REXION 1.5MM FRENZY (LIGHT) WHITE||MTR</x:v>
      </x:c>
      <x:c r="G418" s="137" t="str">
        <x:v>REXION 1.5MM FRENZY (LIGHT) WHITE</x:v>
      </x:c>
      <x:c r="H418" s="137" t="str">
        <x:v>MTR</x:v>
      </x:c>
      <x:c r="I418" s="175" t="n">
        <x:v>0.021556</x:v>
      </x:c>
      <x:c r="J418" s="176" t="str"/>
      <x:c r="K418" s="177" t="str"/>
      <x:c r="L418" s="178" t="str">
        <x:f>IF(J418="","",J418*(1+IF(K418="",0,K418)) )</x:f>
      </x:c>
      <x:c r="M418" s="138" t="str"/>
      <x:c r="N418" s="137" t="str">
        <x:v>Current model BOM seed</x:v>
      </x:c>
      <x:c r="O418" s="137" t="str"/>
      <x:c r="P418" s="137" t="str">
        <x:v>To Confirm</x:v>
      </x:c>
      <x:c r="Q418" s="137" t="str"/>
    </x:row>
    <x:row r="419">
      <x:c r="A419" s="137" t="str">
        <x:v>BOM-00415</x:v>
      </x:c>
      <x:c r="B419" s="137" t="str">
        <x:v>SILKY BELLY WHITE</x:v>
      </x:c>
      <x:c r="C419" s="137" t="str">
        <x:v>TO CONFIRM</x:v>
      </x:c>
      <x:c r="D419" s="137" t="str">
        <x:v>6X7B</x:v>
      </x:c>
      <x:c r="E419" s="137" t="str">
        <x:v>CUTTING</x:v>
      </x:c>
      <x:c r="F419" s="137" t="str">
        <x:v>REXION 0.85 MM WHITE||MTR</x:v>
      </x:c>
      <x:c r="G419" s="137" t="str">
        <x:v>REXION 0.85 MM WHITE</x:v>
      </x:c>
      <x:c r="H419" s="137" t="str">
        <x:v>MTR</x:v>
      </x:c>
      <x:c r="I419" s="175" t="n">
        <x:v>0.004889</x:v>
      </x:c>
      <x:c r="J419" s="176" t="str"/>
      <x:c r="K419" s="177" t="str"/>
      <x:c r="L419" s="178" t="str">
        <x:f>IF(J419="","",J419*(1+IF(K419="",0,K419)) )</x:f>
      </x:c>
      <x:c r="M419" s="138" t="str"/>
      <x:c r="N419" s="137" t="str">
        <x:v>Current model BOM seed</x:v>
      </x:c>
      <x:c r="O419" s="137" t="str"/>
      <x:c r="P419" s="137" t="str">
        <x:v>To Confirm</x:v>
      </x:c>
      <x:c r="Q419" s="137" t="str"/>
    </x:row>
    <x:row r="420">
      <x:c r="A420" s="137" t="str">
        <x:v>BOM-00416</x:v>
      </x:c>
      <x:c r="B420" s="137" t="str">
        <x:v>SILKY BELLY WHITE</x:v>
      </x:c>
      <x:c r="C420" s="137" t="str">
        <x:v>TO CONFIRM</x:v>
      </x:c>
      <x:c r="D420" s="137" t="str">
        <x:v>6X7B</x:v>
      </x:c>
      <x:c r="E420" s="137" t="str">
        <x:v>CUTTING</x:v>
      </x:c>
      <x:c r="F420" s="137" t="str">
        <x:v>INSOLE 2.5 MM WHITE||MTR</x:v>
      </x:c>
      <x:c r="G420" s="137" t="str">
        <x:v>INSOLE 2.5 MM WHITE</x:v>
      </x:c>
      <x:c r="H420" s="137" t="str">
        <x:v>MTR</x:v>
      </x:c>
      <x:c r="I420" s="175" t="n">
        <x:v>0.031667</x:v>
      </x:c>
      <x:c r="J420" s="176" t="str"/>
      <x:c r="K420" s="177" t="str"/>
      <x:c r="L420" s="178" t="str">
        <x:f>IF(J420="","",J420*(1+IF(K420="",0,K420)) )</x:f>
      </x:c>
      <x:c r="M420" s="138" t="str"/>
      <x:c r="N420" s="137" t="str">
        <x:v>Current model BOM seed</x:v>
      </x:c>
      <x:c r="O420" s="137" t="str"/>
      <x:c r="P420" s="137" t="str">
        <x:v>To Confirm</x:v>
      </x:c>
      <x:c r="Q420" s="137" t="str"/>
    </x:row>
    <x:row r="421">
      <x:c r="A421" s="137" t="str">
        <x:v>BOM-00417</x:v>
      </x:c>
      <x:c r="B421" s="137" t="str">
        <x:v>SILKY BELLY WHITE</x:v>
      </x:c>
      <x:c r="C421" s="137" t="str">
        <x:v>TO CONFIRM</x:v>
      </x:c>
      <x:c r="D421" s="137" t="str">
        <x:v>6X7B</x:v>
      </x:c>
      <x:c r="E421" s="137" t="str">
        <x:v>STITCHING</x:v>
      </x:c>
      <x:c r="F421" s="137" t="str">
        <x:v>NYLON THREAD WHITE 3 PLY||CONE</x:v>
      </x:c>
      <x:c r="G421" s="137" t="str">
        <x:v>NYLON THREAD WHITE 3 PLY</x:v>
      </x:c>
      <x:c r="H421" s="137" t="str">
        <x:v>CONE</x:v>
      </x:c>
      <x:c r="I421" s="175" t="n">
        <x:v>0.009667</x:v>
      </x:c>
      <x:c r="J421" s="176" t="str"/>
      <x:c r="K421" s="177" t="str"/>
      <x:c r="L421" s="178" t="str">
        <x:f>IF(J421="","",J421*(1+IF(K421="",0,K421)) )</x:f>
      </x:c>
      <x:c r="M421" s="138" t="str"/>
      <x:c r="N421" s="137" t="str">
        <x:v>Current model BOM seed</x:v>
      </x:c>
      <x:c r="O421" s="137" t="str"/>
      <x:c r="P421" s="137" t="str">
        <x:v>To Confirm</x:v>
      </x:c>
      <x:c r="Q421" s="137" t="str"/>
    </x:row>
    <x:row r="422">
      <x:c r="A422" s="137" t="str">
        <x:v>BOM-00418</x:v>
      </x:c>
      <x:c r="B422" s="137" t="str">
        <x:v>SILKY BELLY WHITE</x:v>
      </x:c>
      <x:c r="C422" s="137" t="str">
        <x:v>TO CONFIRM</x:v>
      </x:c>
      <x:c r="D422" s="137" t="str">
        <x:v>6X7B</x:v>
      </x:c>
      <x:c r="E422" s="137" t="str">
        <x:v>STITCHING</x:v>
      </x:c>
      <x:c r="F422" s="137" t="str">
        <x:v>REXION BENDING 14 MM WHITE||MTR</x:v>
      </x:c>
      <x:c r="G422" s="137" t="str">
        <x:v>REXION BENDING 14 MM WHITE</x:v>
      </x:c>
      <x:c r="H422" s="137" t="str">
        <x:v>MTR</x:v>
      </x:c>
      <x:c r="I422" s="175" t="n">
        <x:v>1.1</x:v>
      </x:c>
      <x:c r="J422" s="176" t="str"/>
      <x:c r="K422" s="177" t="str"/>
      <x:c r="L422" s="178" t="str">
        <x:f>IF(J422="","",J422*(1+IF(K422="",0,K422)) )</x:f>
      </x:c>
      <x:c r="M422" s="138" t="str"/>
      <x:c r="N422" s="137" t="str">
        <x:v>Current model BOM seed</x:v>
      </x:c>
      <x:c r="O422" s="137" t="str"/>
      <x:c r="P422" s="137" t="str">
        <x:v>To Confirm</x:v>
      </x:c>
      <x:c r="Q422" s="137" t="str"/>
    </x:row>
    <x:row r="423">
      <x:c r="A423" s="137" t="str">
        <x:v>BOM-00419</x:v>
      </x:c>
      <x:c r="B423" s="137" t="str">
        <x:v>SILKY BELLY WHITE</x:v>
      </x:c>
      <x:c r="C423" s="137" t="str">
        <x:v>TO CONFIRM</x:v>
      </x:c>
      <x:c r="D423" s="137" t="str">
        <x:v>6X7B</x:v>
      </x:c>
      <x:c r="E423" s="137" t="str">
        <x:v>STITCHING</x:v>
      </x:c>
      <x:c r="F423" s="137" t="str">
        <x:v>PP Bag 18.5x31||PCS</x:v>
      </x:c>
      <x:c r="G423" s="137" t="str">
        <x:v>PP Bag 18.5x31</x:v>
      </x:c>
      <x:c r="H423" s="137" t="str">
        <x:v>PCS</x:v>
      </x:c>
      <x:c r="I423" s="175" t="n">
        <x:v>0.033333</x:v>
      </x:c>
      <x:c r="J423" s="176" t="str"/>
      <x:c r="K423" s="177" t="str"/>
      <x:c r="L423" s="178" t="str">
        <x:f>IF(J423="","",J423*(1+IF(K423="",0,K423)) )</x:f>
      </x:c>
      <x:c r="M423" s="138" t="str"/>
      <x:c r="N423" s="137" t="str">
        <x:v>Current model BOM seed</x:v>
      </x:c>
      <x:c r="O423" s="137" t="str"/>
      <x:c r="P423" s="137" t="str">
        <x:v>To Confirm</x:v>
      </x:c>
      <x:c r="Q423" s="137" t="str"/>
    </x:row>
    <x:row r="424">
      <x:c r="A424" s="137" t="str">
        <x:v>BOM-00420</x:v>
      </x:c>
      <x:c r="B424" s="137" t="str">
        <x:v>SILKY BELLY WHITE</x:v>
      </x:c>
      <x:c r="C424" s="137" t="str">
        <x:v>TO CONFIRM</x:v>
      </x:c>
      <x:c r="D424" s="137" t="str">
        <x:v>8X9B</x:v>
      </x:c>
      <x:c r="E424" s="137" t="str">
        <x:v>CUTTING</x:v>
      </x:c>
      <x:c r="F424" s="137" t="str">
        <x:v>REXION 1.5MM FRENZY (HEAVY) WHITE||MTR</x:v>
      </x:c>
      <x:c r="G424" s="137" t="str">
        <x:v>REXION 1.5MM FRENZY (HEAVY) WHITE</x:v>
      </x:c>
      <x:c r="H424" s="137" t="str">
        <x:v>MTR</x:v>
      </x:c>
      <x:c r="I424" s="175" t="n">
        <x:v>0.087407</x:v>
      </x:c>
      <x:c r="J424" s="176" t="str"/>
      <x:c r="K424" s="177" t="str"/>
      <x:c r="L424" s="178" t="str">
        <x:f>IF(J424="","",J424*(1+IF(K424="",0,K424)) )</x:f>
      </x:c>
      <x:c r="M424" s="138" t="str"/>
      <x:c r="N424" s="137" t="str">
        <x:v>Current model BOM seed</x:v>
      </x:c>
      <x:c r="O424" s="137" t="str"/>
      <x:c r="P424" s="137" t="str">
        <x:v>To Confirm</x:v>
      </x:c>
      <x:c r="Q424" s="137" t="str"/>
    </x:row>
    <x:row r="425">
      <x:c r="A425" s="137" t="str">
        <x:v>BOM-00421</x:v>
      </x:c>
      <x:c r="B425" s="137" t="str">
        <x:v>SILKY BELLY WHITE</x:v>
      </x:c>
      <x:c r="C425" s="137" t="str">
        <x:v>TO CONFIRM</x:v>
      </x:c>
      <x:c r="D425" s="137" t="str">
        <x:v>8X9B</x:v>
      </x:c>
      <x:c r="E425" s="137" t="str">
        <x:v>CUTTING</x:v>
      </x:c>
      <x:c r="F425" s="137" t="str">
        <x:v>REXION 1.5MM FRENZY (LIGHT) WHITE||MTR</x:v>
      </x:c>
      <x:c r="G425" s="137" t="str">
        <x:v>REXION 1.5MM FRENZY (LIGHT) WHITE</x:v>
      </x:c>
      <x:c r="H425" s="137" t="str">
        <x:v>MTR</x:v>
      </x:c>
      <x:c r="I425" s="175" t="n">
        <x:v>0.022889</x:v>
      </x:c>
      <x:c r="J425" s="176" t="str"/>
      <x:c r="K425" s="177" t="str"/>
      <x:c r="L425" s="178" t="str">
        <x:f>IF(J425="","",J425*(1+IF(K425="",0,K425)) )</x:f>
      </x:c>
      <x:c r="M425" s="138" t="str"/>
      <x:c r="N425" s="137" t="str">
        <x:v>Current model BOM seed</x:v>
      </x:c>
      <x:c r="O425" s="137" t="str"/>
      <x:c r="P425" s="137" t="str">
        <x:v>To Confirm</x:v>
      </x:c>
      <x:c r="Q425" s="137" t="str"/>
    </x:row>
    <x:row r="426">
      <x:c r="A426" s="137" t="str">
        <x:v>BOM-00422</x:v>
      </x:c>
      <x:c r="B426" s="137" t="str">
        <x:v>SILKY BELLY WHITE</x:v>
      </x:c>
      <x:c r="C426" s="137" t="str">
        <x:v>TO CONFIRM</x:v>
      </x:c>
      <x:c r="D426" s="137" t="str">
        <x:v>8X9B</x:v>
      </x:c>
      <x:c r="E426" s="137" t="str">
        <x:v>CUTTING</x:v>
      </x:c>
      <x:c r="F426" s="137" t="str">
        <x:v>REXION 0.85 MM WHITE||MTR</x:v>
      </x:c>
      <x:c r="G426" s="137" t="str">
        <x:v>REXION 0.85 MM WHITE</x:v>
      </x:c>
      <x:c r="H426" s="137" t="str">
        <x:v>MTR</x:v>
      </x:c>
      <x:c r="I426" s="175" t="n">
        <x:v>0.005333</x:v>
      </x:c>
      <x:c r="J426" s="176" t="str"/>
      <x:c r="K426" s="177" t="str"/>
      <x:c r="L426" s="178" t="str">
        <x:f>IF(J426="","",J426*(1+IF(K426="",0,K426)) )</x:f>
      </x:c>
      <x:c r="M426" s="138" t="str"/>
      <x:c r="N426" s="137" t="str">
        <x:v>Current model BOM seed</x:v>
      </x:c>
      <x:c r="O426" s="137" t="str"/>
      <x:c r="P426" s="137" t="str">
        <x:v>To Confirm</x:v>
      </x:c>
      <x:c r="Q426" s="137" t="str"/>
    </x:row>
    <x:row r="427">
      <x:c r="A427" s="137" t="str">
        <x:v>BOM-00423</x:v>
      </x:c>
      <x:c r="B427" s="137" t="str">
        <x:v>SILKY BELLY WHITE</x:v>
      </x:c>
      <x:c r="C427" s="137" t="str">
        <x:v>TO CONFIRM</x:v>
      </x:c>
      <x:c r="D427" s="137" t="str">
        <x:v>8X9B</x:v>
      </x:c>
      <x:c r="E427" s="137" t="str">
        <x:v>CUTTING</x:v>
      </x:c>
      <x:c r="F427" s="137" t="str">
        <x:v>INSOLE 2.5 MM WHITE||MTR</x:v>
      </x:c>
      <x:c r="G427" s="137" t="str">
        <x:v>INSOLE 2.5 MM WHITE</x:v>
      </x:c>
      <x:c r="H427" s="137" t="str">
        <x:v>MTR</x:v>
      </x:c>
      <x:c r="I427" s="175" t="n">
        <x:v>0.031667</x:v>
      </x:c>
      <x:c r="J427" s="176" t="str"/>
      <x:c r="K427" s="177" t="str"/>
      <x:c r="L427" s="178" t="str">
        <x:f>IF(J427="","",J427*(1+IF(K427="",0,K427)) )</x:f>
      </x:c>
      <x:c r="M427" s="138" t="str"/>
      <x:c r="N427" s="137" t="str">
        <x:v>Current model BOM seed</x:v>
      </x:c>
      <x:c r="O427" s="137" t="str"/>
      <x:c r="P427" s="137" t="str">
        <x:v>To Confirm</x:v>
      </x:c>
      <x:c r="Q427" s="137" t="str"/>
    </x:row>
    <x:row r="428">
      <x:c r="A428" s="137" t="str">
        <x:v>BOM-00424</x:v>
      </x:c>
      <x:c r="B428" s="137" t="str">
        <x:v>SILKY BELLY WHITE</x:v>
      </x:c>
      <x:c r="C428" s="137" t="str">
        <x:v>TO CONFIRM</x:v>
      </x:c>
      <x:c r="D428" s="137" t="str">
        <x:v>8X9B</x:v>
      </x:c>
      <x:c r="E428" s="137" t="str">
        <x:v>STITCHING</x:v>
      </x:c>
      <x:c r="F428" s="137" t="str">
        <x:v>NYLON THREAD WHITE 3 PLY||CONE</x:v>
      </x:c>
      <x:c r="G428" s="137" t="str">
        <x:v>NYLON THREAD WHITE 3 PLY</x:v>
      </x:c>
      <x:c r="H428" s="137" t="str">
        <x:v>CONE</x:v>
      </x:c>
      <x:c r="I428" s="175" t="n">
        <x:v>0.009667</x:v>
      </x:c>
      <x:c r="J428" s="176" t="str"/>
      <x:c r="K428" s="177" t="str"/>
      <x:c r="L428" s="178" t="str">
        <x:f>IF(J428="","",J428*(1+IF(K428="",0,K428)) )</x:f>
      </x:c>
      <x:c r="M428" s="138" t="str"/>
      <x:c r="N428" s="137" t="str">
        <x:v>Current model BOM seed</x:v>
      </x:c>
      <x:c r="O428" s="137" t="str"/>
      <x:c r="P428" s="137" t="str">
        <x:v>To Confirm</x:v>
      </x:c>
      <x:c r="Q428" s="137" t="str"/>
    </x:row>
    <x:row r="429">
      <x:c r="A429" s="137" t="str">
        <x:v>BOM-00425</x:v>
      </x:c>
      <x:c r="B429" s="137" t="str">
        <x:v>SILKY BELLY WHITE</x:v>
      </x:c>
      <x:c r="C429" s="137" t="str">
        <x:v>TO CONFIRM</x:v>
      </x:c>
      <x:c r="D429" s="137" t="str">
        <x:v>8X9B</x:v>
      </x:c>
      <x:c r="E429" s="137" t="str">
        <x:v>STITCHING</x:v>
      </x:c>
      <x:c r="F429" s="137" t="str">
        <x:v>REXION BENDING 14 MM WHITE||MTR</x:v>
      </x:c>
      <x:c r="G429" s="137" t="str">
        <x:v>REXION BENDING 14 MM WHITE</x:v>
      </x:c>
      <x:c r="H429" s="137" t="str">
        <x:v>MTR</x:v>
      </x:c>
      <x:c r="I429" s="175" t="n">
        <x:v>1.1</x:v>
      </x:c>
      <x:c r="J429" s="176" t="str"/>
      <x:c r="K429" s="177" t="str"/>
      <x:c r="L429" s="178" t="str">
        <x:f>IF(J429="","",J429*(1+IF(K429="",0,K429)) )</x:f>
      </x:c>
      <x:c r="M429" s="138" t="str"/>
      <x:c r="N429" s="137" t="str">
        <x:v>Current model BOM seed</x:v>
      </x:c>
      <x:c r="O429" s="137" t="str"/>
      <x:c r="P429" s="137" t="str">
        <x:v>To Confirm</x:v>
      </x:c>
      <x:c r="Q429" s="137" t="str"/>
    </x:row>
    <x:row r="430">
      <x:c r="A430" s="137" t="str">
        <x:v>BOM-00426</x:v>
      </x:c>
      <x:c r="B430" s="137" t="str">
        <x:v>SILKY BELLY WHITE</x:v>
      </x:c>
      <x:c r="C430" s="137" t="str">
        <x:v>TO CONFIRM</x:v>
      </x:c>
      <x:c r="D430" s="137" t="str">
        <x:v>8X9B</x:v>
      </x:c>
      <x:c r="E430" s="137" t="str">
        <x:v>STITCHING</x:v>
      </x:c>
      <x:c r="F430" s="137" t="str">
        <x:v>PP Bag 18.5x31||PCS</x:v>
      </x:c>
      <x:c r="G430" s="137" t="str">
        <x:v>PP Bag 18.5x31</x:v>
      </x:c>
      <x:c r="H430" s="137" t="str">
        <x:v>PCS</x:v>
      </x:c>
      <x:c r="I430" s="175" t="n">
        <x:v>0.033333</x:v>
      </x:c>
      <x:c r="J430" s="176" t="str"/>
      <x:c r="K430" s="177" t="str"/>
      <x:c r="L430" s="178" t="str">
        <x:f>IF(J430="","",J430*(1+IF(K430="",0,K430)) )</x:f>
      </x:c>
      <x:c r="M430" s="138" t="str"/>
      <x:c r="N430" s="137" t="str">
        <x:v>Current model BOM seed</x:v>
      </x:c>
      <x:c r="O430" s="137" t="str"/>
      <x:c r="P430" s="137" t="str">
        <x:v>To Confirm</x:v>
      </x:c>
      <x:c r="Q430" s="137" t="str"/>
    </x:row>
    <x:row r="431">
      <x:c r="A431" s="137" t="str">
        <x:v>BOM-00427</x:v>
      </x:c>
      <x:c r="B431" s="137" t="str">
        <x:v>SMART BOY (L) BLACK</x:v>
      </x:c>
      <x:c r="C431" s="137" t="str">
        <x:v>LACE</x:v>
      </x:c>
      <x:c r="D431" s="137" t="str">
        <x:v>6X8</x:v>
      </x:c>
      <x:c r="E431" s="137" t="str">
        <x:v>CUTTING</x:v>
      </x:c>
      <x:c r="F431" s="137" t="str">
        <x:v>REXION 1.5MM FRENZY (HEAVY) BLACK||MTR</x:v>
      </x:c>
      <x:c r="G431" s="137" t="str">
        <x:v>REXION 1.5MM FRENZY (HEAVY) BLACK</x:v>
      </x:c>
      <x:c r="H431" s="137" t="str">
        <x:v>MTR</x:v>
      </x:c>
      <x:c r="I431" s="175" t="n">
        <x:v>0.065037</x:v>
      </x:c>
      <x:c r="J431" s="176" t="str"/>
      <x:c r="K431" s="177" t="str"/>
      <x:c r="L431" s="178" t="str">
        <x:f>IF(J431="","",J431*(1+IF(K431="",0,K431)) )</x:f>
      </x:c>
      <x:c r="M431" s="138" t="str"/>
      <x:c r="N431" s="137" t="str">
        <x:v>Current model BOM seed</x:v>
      </x:c>
      <x:c r="O431" s="137" t="str"/>
      <x:c r="P431" s="137" t="str">
        <x:v>To Confirm</x:v>
      </x:c>
      <x:c r="Q431" s="137" t="str"/>
    </x:row>
    <x:row r="432">
      <x:c r="A432" s="137" t="str">
        <x:v>BOM-00428</x:v>
      </x:c>
      <x:c r="B432" s="137" t="str">
        <x:v>SMART BOY (L) BLACK</x:v>
      </x:c>
      <x:c r="C432" s="137" t="str">
        <x:v>LACE</x:v>
      </x:c>
      <x:c r="D432" s="137" t="str">
        <x:v>6X8</x:v>
      </x:c>
      <x:c r="E432" s="137" t="str">
        <x:v>CUTTING</x:v>
      </x:c>
      <x:c r="F432" s="137" t="str">
        <x:v>REXION 1.5MM FRENZY (LIGHT) BLACK||MTR</x:v>
      </x:c>
      <x:c r="G432" s="137" t="str">
        <x:v>REXION 1.5MM FRENZY (LIGHT) BLACK</x:v>
      </x:c>
      <x:c r="H432" s="137" t="str">
        <x:v>MTR</x:v>
      </x:c>
      <x:c r="I432" s="175" t="n">
        <x:v>0.006667</x:v>
      </x:c>
      <x:c r="J432" s="176" t="str"/>
      <x:c r="K432" s="177" t="str"/>
      <x:c r="L432" s="178" t="str">
        <x:f>IF(J432="","",J432*(1+IF(K432="",0,K432)) )</x:f>
      </x:c>
      <x:c r="M432" s="138" t="str"/>
      <x:c r="N432" s="137" t="str">
        <x:v>Current model BOM seed</x:v>
      </x:c>
      <x:c r="O432" s="137" t="str"/>
      <x:c r="P432" s="137" t="str">
        <x:v>To Confirm</x:v>
      </x:c>
      <x:c r="Q432" s="137" t="str"/>
    </x:row>
    <x:row r="433">
      <x:c r="A433" s="137" t="str">
        <x:v>BOM-00429</x:v>
      </x:c>
      <x:c r="B433" s="137" t="str">
        <x:v>SMART BOY (L) BLACK</x:v>
      </x:c>
      <x:c r="C433" s="137" t="str">
        <x:v>LACE</x:v>
      </x:c>
      <x:c r="D433" s="137" t="str">
        <x:v>6X8</x:v>
      </x:c>
      <x:c r="E433" s="137" t="str">
        <x:v>CUTTING</x:v>
      </x:c>
      <x:c r="F433" s="137" t="str">
        <x:v>ASTER BLACK HEAVY||MTR</x:v>
      </x:c>
      <x:c r="G433" s="137" t="str">
        <x:v>ASTER BLACK HEAVY</x:v>
      </x:c>
      <x:c r="H433" s="137" t="str">
        <x:v>MTR</x:v>
      </x:c>
      <x:c r="I433" s="175" t="n">
        <x:v>0.0048</x:v>
      </x:c>
      <x:c r="J433" s="176" t="str"/>
      <x:c r="K433" s="177" t="str"/>
      <x:c r="L433" s="178" t="str">
        <x:f>IF(J433="","",J433*(1+IF(K433="",0,K433)) )</x:f>
      </x:c>
      <x:c r="M433" s="138" t="str"/>
      <x:c r="N433" s="137" t="str">
        <x:v>Current model BOM seed</x:v>
      </x:c>
      <x:c r="O433" s="137" t="str"/>
      <x:c r="P433" s="137" t="str">
        <x:v>To Confirm</x:v>
      </x:c>
      <x:c r="Q433" s="137" t="str"/>
    </x:row>
    <x:row r="434">
      <x:c r="A434" s="137" t="str">
        <x:v>BOM-00430</x:v>
      </x:c>
      <x:c r="B434" s="137" t="str">
        <x:v>SMART BOY (L) BLACK</x:v>
      </x:c>
      <x:c r="C434" s="137" t="str">
        <x:v>LACE</x:v>
      </x:c>
      <x:c r="D434" s="137" t="str">
        <x:v>6X8</x:v>
      </x:c>
      <x:c r="E434" s="137" t="str">
        <x:v>CUTTING</x:v>
      </x:c>
      <x:c r="F434" s="137" t="str">
        <x:v>INSOLE 4 MM BLACK||MTR</x:v>
      </x:c>
      <x:c r="G434" s="137" t="str">
        <x:v>INSOLE 4 MM BLACK</x:v>
      </x:c>
      <x:c r="H434" s="137" t="str">
        <x:v>MTR</x:v>
      </x:c>
      <x:c r="I434" s="175" t="n">
        <x:v>0.016897</x:v>
      </x:c>
      <x:c r="J434" s="176" t="str"/>
      <x:c r="K434" s="177" t="str"/>
      <x:c r="L434" s="178" t="str">
        <x:f>IF(J434="","",J434*(1+IF(K434="",0,K434)) )</x:f>
      </x:c>
      <x:c r="M434" s="138" t="str"/>
      <x:c r="N434" s="137" t="str">
        <x:v>Current model BOM seed</x:v>
      </x:c>
      <x:c r="O434" s="137" t="str"/>
      <x:c r="P434" s="137" t="str">
        <x:v>To Confirm</x:v>
      </x:c>
      <x:c r="Q434" s="137" t="str"/>
    </x:row>
    <x:row r="435">
      <x:c r="A435" s="137" t="str">
        <x:v>BOM-00431</x:v>
      </x:c>
      <x:c r="B435" s="137" t="str">
        <x:v>SMART BOY (L) BLACK</x:v>
      </x:c>
      <x:c r="C435" s="137" t="str">
        <x:v>LACE</x:v>
      </x:c>
      <x:c r="D435" s="137" t="str">
        <x:v>6X8</x:v>
      </x:c>
      <x:c r="E435" s="137" t="str">
        <x:v>STITCHING</x:v>
      </x:c>
      <x:c r="F435" s="137" t="str">
        <x:v>Nylon Thread Black 3 Ply||CONE</x:v>
      </x:c>
      <x:c r="G435" s="137" t="str">
        <x:v>Nylon Thread Black 3 Ply</x:v>
      </x:c>
      <x:c r="H435" s="137" t="str">
        <x:v>CONE</x:v>
      </x:c>
      <x:c r="I435" s="175" t="n">
        <x:v>0.011333</x:v>
      </x:c>
      <x:c r="J435" s="176" t="str"/>
      <x:c r="K435" s="177" t="str"/>
      <x:c r="L435" s="178" t="str">
        <x:f>IF(J435="","",J435*(1+IF(K435="",0,K435)) )</x:f>
      </x:c>
      <x:c r="M435" s="138" t="str"/>
      <x:c r="N435" s="137" t="str">
        <x:v>Current model BOM seed</x:v>
      </x:c>
      <x:c r="O435" s="137" t="str"/>
      <x:c r="P435" s="137" t="str">
        <x:v>To Confirm</x:v>
      </x:c>
      <x:c r="Q435" s="137" t="str"/>
    </x:row>
    <x:row r="436">
      <x:c r="A436" s="137" t="str">
        <x:v>BOM-00432</x:v>
      </x:c>
      <x:c r="B436" s="137" t="str">
        <x:v>SMART BOY (L) BLACK</x:v>
      </x:c>
      <x:c r="C436" s="137" t="str">
        <x:v>LACE</x:v>
      </x:c>
      <x:c r="D436" s="137" t="str">
        <x:v>6X8</x:v>
      </x:c>
      <x:c r="E436" s="137" t="str">
        <x:v>STITCHING</x:v>
      </x:c>
      <x:c r="F436" s="137" t="str">
        <x:v>Cotton Thread Black||TUBE</x:v>
      </x:c>
      <x:c r="G436" s="137" t="str">
        <x:v>Cotton Thread Black</x:v>
      </x:c>
      <x:c r="H436" s="137" t="str">
        <x:v>TUBE</x:v>
      </x:c>
      <x:c r="I436" s="175" t="n">
        <x:v>0.002222</x:v>
      </x:c>
      <x:c r="J436" s="176" t="str"/>
      <x:c r="K436" s="177" t="str"/>
      <x:c r="L436" s="178" t="str">
        <x:f>IF(J436="","",J436*(1+IF(K436="",0,K436)) )</x:f>
      </x:c>
      <x:c r="M436" s="138" t="str"/>
      <x:c r="N436" s="137" t="str">
        <x:v>Current model BOM seed</x:v>
      </x:c>
      <x:c r="O436" s="137" t="str"/>
      <x:c r="P436" s="137" t="str">
        <x:v>To Confirm</x:v>
      </x:c>
      <x:c r="Q436" s="137" t="str"/>
    </x:row>
    <x:row r="437">
      <x:c r="A437" s="137" t="str">
        <x:v>BOM-00433</x:v>
      </x:c>
      <x:c r="B437" s="137" t="str">
        <x:v>SMART BOY (L) BLACK</x:v>
      </x:c>
      <x:c r="C437" s="137" t="str">
        <x:v>LACE</x:v>
      </x:c>
      <x:c r="D437" s="137" t="str">
        <x:v>6X8</x:v>
      </x:c>
      <x:c r="E437" s="137" t="str">
        <x:v>STITCHING</x:v>
      </x:c>
      <x:c r="F437" s="137" t="str">
        <x:v>Nylon Binding Black 14mm||MTR</x:v>
      </x:c>
      <x:c r="G437" s="137" t="str">
        <x:v>Nylon Binding Black 14mm</x:v>
      </x:c>
      <x:c r="H437" s="137" t="str">
        <x:v>MTR</x:v>
      </x:c>
      <x:c r="I437" s="175" t="n">
        <x:v>1.1</x:v>
      </x:c>
      <x:c r="J437" s="176" t="str"/>
      <x:c r="K437" s="177" t="str"/>
      <x:c r="L437" s="178" t="str">
        <x:f>IF(J437="","",J437*(1+IF(K437="",0,K437)) )</x:f>
      </x:c>
      <x:c r="M437" s="138" t="str"/>
      <x:c r="N437" s="137" t="str">
        <x:v>Current model BOM seed</x:v>
      </x:c>
      <x:c r="O437" s="137" t="str"/>
      <x:c r="P437" s="137" t="str">
        <x:v>To Confirm</x:v>
      </x:c>
      <x:c r="Q437" s="137" t="str"/>
    </x:row>
    <x:row r="438">
      <x:c r="A438" s="137" t="str">
        <x:v>BOM-00434</x:v>
      </x:c>
      <x:c r="B438" s="137" t="str">
        <x:v>SMART BOY (L) BLACK</x:v>
      </x:c>
      <x:c r="C438" s="137" t="str">
        <x:v>LACE</x:v>
      </x:c>
      <x:c r="D438" s="137" t="str">
        <x:v>6X8</x:v>
      </x:c>
      <x:c r="E438" s="137" t="str">
        <x:v>STITCHING</x:v>
      </x:c>
      <x:c r="F438" s="137" t="str">
        <x:v>Lebel school shoe Black Small||PCS</x:v>
      </x:c>
      <x:c r="G438" s="137" t="str">
        <x:v>Lebel school shoe Black Small</x:v>
      </x:c>
      <x:c r="H438" s="137" t="str">
        <x:v>PCS</x:v>
      </x:c>
      <x:c r="I438" s="175" t="n">
        <x:v>2</x:v>
      </x:c>
      <x:c r="J438" s="176" t="str"/>
      <x:c r="K438" s="177" t="str"/>
      <x:c r="L438" s="178" t="str">
        <x:f>IF(J438="","",J438*(1+IF(K438="",0,K438)) )</x:f>
      </x:c>
      <x:c r="M438" s="138" t="str"/>
      <x:c r="N438" s="137" t="str">
        <x:v>Current model BOM seed</x:v>
      </x:c>
      <x:c r="O438" s="137" t="str"/>
      <x:c r="P438" s="137" t="str">
        <x:v>To Confirm</x:v>
      </x:c>
      <x:c r="Q438" s="137" t="str"/>
    </x:row>
    <x:row r="439">
      <x:c r="A439" s="137" t="str">
        <x:v>BOM-00435</x:v>
      </x:c>
      <x:c r="B439" s="137" t="str">
        <x:v>SMART BOY (L) BLACK</x:v>
      </x:c>
      <x:c r="C439" s="137" t="str">
        <x:v>LACE</x:v>
      </x:c>
      <x:c r="D439" s="137" t="str">
        <x:v>6X8</x:v>
      </x:c>
      <x:c r="E439" s="137" t="str">
        <x:v>STITCHING</x:v>
      </x:c>
      <x:c r="F439" s="137" t="str">
        <x:v>PP Bag 18.5x31||PCS</x:v>
      </x:c>
      <x:c r="G439" s="137" t="str">
        <x:v>PP Bag 18.5x31</x:v>
      </x:c>
      <x:c r="H439" s="137" t="str">
        <x:v>PCS</x:v>
      </x:c>
      <x:c r="I439" s="175" t="n">
        <x:v>0.033333</x:v>
      </x:c>
      <x:c r="J439" s="176" t="str"/>
      <x:c r="K439" s="177" t="str"/>
      <x:c r="L439" s="178" t="str">
        <x:f>IF(J439="","",J439*(1+IF(K439="",0,K439)) )</x:f>
      </x:c>
      <x:c r="M439" s="138" t="str"/>
      <x:c r="N439" s="137" t="str">
        <x:v>Current model BOM seed</x:v>
      </x:c>
      <x:c r="O439" s="137" t="str"/>
      <x:c r="P439" s="137" t="str">
        <x:v>To Confirm</x:v>
      </x:c>
      <x:c r="Q439" s="137" t="str"/>
    </x:row>
    <x:row r="440">
      <x:c r="A440" s="137" t="str">
        <x:v>BOM-00436</x:v>
      </x:c>
      <x:c r="B440" s="137" t="str">
        <x:v>SMART BOY (L) BLACK</x:v>
      </x:c>
      <x:c r="C440" s="137" t="str">
        <x:v>LACE</x:v>
      </x:c>
      <x:c r="D440" s="137" t="str">
        <x:v>6X8</x:v>
      </x:c>
      <x:c r="E440" s="137" t="str">
        <x:v>STITCHING</x:v>
      </x:c>
      <x:c r="F440" s="137" t="str">
        <x:v>DOCTOR TAPE||MTR</x:v>
      </x:c>
      <x:c r="G440" s="137" t="str">
        <x:v>DOCTOR TAPE</x:v>
      </x:c>
      <x:c r="H440" s="137" t="str">
        <x:v>MTR</x:v>
      </x:c>
      <x:c r="I440" s="175" t="n">
        <x:v>0.05</x:v>
      </x:c>
      <x:c r="J440" s="176" t="str"/>
      <x:c r="K440" s="177" t="str"/>
      <x:c r="L440" s="178" t="str">
        <x:f>IF(J440="","",J440*(1+IF(K440="",0,K440)) )</x:f>
      </x:c>
      <x:c r="M440" s="138" t="str"/>
      <x:c r="N440" s="137" t="str">
        <x:v>Current model BOM seed</x:v>
      </x:c>
      <x:c r="O440" s="137" t="str"/>
      <x:c r="P440" s="137" t="str">
        <x:v>To Confirm</x:v>
      </x:c>
      <x:c r="Q440" s="137" t="str"/>
    </x:row>
    <x:row r="441">
      <x:c r="A441" s="137" t="str">
        <x:v>BOM-00437</x:v>
      </x:c>
      <x:c r="B441" s="137" t="str">
        <x:v>SMART BOY (L) BLACK</x:v>
      </x:c>
      <x:c r="C441" s="137" t="str">
        <x:v>LACE</x:v>
      </x:c>
      <x:c r="D441" s="137" t="str">
        <x:v>9X11</x:v>
      </x:c>
      <x:c r="E441" s="137" t="str">
        <x:v>CUTTING</x:v>
      </x:c>
      <x:c r="F441" s="137" t="str">
        <x:v>REXION 1.5MM FRENZY (HEAVY) BLACK||MTR</x:v>
      </x:c>
      <x:c r="G441" s="137" t="str">
        <x:v>REXION 1.5MM FRENZY (HEAVY) BLACK</x:v>
      </x:c>
      <x:c r="H441" s="137" t="str">
        <x:v>MTR</x:v>
      </x:c>
      <x:c r="I441" s="175" t="n">
        <x:v>0.076296</x:v>
      </x:c>
      <x:c r="J441" s="176" t="str"/>
      <x:c r="K441" s="177" t="str"/>
      <x:c r="L441" s="178" t="str">
        <x:f>IF(J441="","",J441*(1+IF(K441="",0,K441)) )</x:f>
      </x:c>
      <x:c r="M441" s="138" t="str"/>
      <x:c r="N441" s="137" t="str">
        <x:v>Current model BOM seed</x:v>
      </x:c>
      <x:c r="O441" s="137" t="str"/>
      <x:c r="P441" s="137" t="str">
        <x:v>To Confirm</x:v>
      </x:c>
      <x:c r="Q441" s="137" t="str"/>
    </x:row>
    <x:row r="442">
      <x:c r="A442" s="137" t="str">
        <x:v>BOM-00438</x:v>
      </x:c>
      <x:c r="B442" s="137" t="str">
        <x:v>SMART BOY (L) BLACK</x:v>
      </x:c>
      <x:c r="C442" s="137" t="str">
        <x:v>LACE</x:v>
      </x:c>
      <x:c r="D442" s="137" t="str">
        <x:v>9X11</x:v>
      </x:c>
      <x:c r="E442" s="137" t="str">
        <x:v>CUTTING</x:v>
      </x:c>
      <x:c r="F442" s="137" t="str">
        <x:v>REXION 1.5MM FRENZY (LIGHT) BLACK||MTR</x:v>
      </x:c>
      <x:c r="G442" s="137" t="str">
        <x:v>REXION 1.5MM FRENZY (LIGHT) BLACK</x:v>
      </x:c>
      <x:c r="H442" s="137" t="str">
        <x:v>MTR</x:v>
      </x:c>
      <x:c r="I442" s="175" t="n">
        <x:v>0.017037</x:v>
      </x:c>
      <x:c r="J442" s="176" t="str"/>
      <x:c r="K442" s="177" t="str"/>
      <x:c r="L442" s="178" t="str">
        <x:f>IF(J442="","",J442*(1+IF(K442="",0,K442)) )</x:f>
      </x:c>
      <x:c r="M442" s="138" t="str"/>
      <x:c r="N442" s="137" t="str">
        <x:v>Current model BOM seed</x:v>
      </x:c>
      <x:c r="O442" s="137" t="str"/>
      <x:c r="P442" s="137" t="str">
        <x:v>To Confirm</x:v>
      </x:c>
      <x:c r="Q442" s="137" t="str"/>
    </x:row>
    <x:row r="443">
      <x:c r="A443" s="137" t="str">
        <x:v>BOM-00439</x:v>
      </x:c>
      <x:c r="B443" s="137" t="str">
        <x:v>SMART BOY (L) BLACK</x:v>
      </x:c>
      <x:c r="C443" s="137" t="str">
        <x:v>LACE</x:v>
      </x:c>
      <x:c r="D443" s="137" t="str">
        <x:v>9X11</x:v>
      </x:c>
      <x:c r="E443" s="137" t="str">
        <x:v>CUTTING</x:v>
      </x:c>
      <x:c r="F443" s="137" t="str">
        <x:v>ASTER BLACK HEAVY||MTR</x:v>
      </x:c>
      <x:c r="G443" s="137" t="str">
        <x:v>ASTER BLACK HEAVY</x:v>
      </x:c>
      <x:c r="H443" s="137" t="str">
        <x:v>MTR</x:v>
      </x:c>
      <x:c r="I443" s="175" t="n">
        <x:v>0.005133</x:v>
      </x:c>
      <x:c r="J443" s="176" t="str"/>
      <x:c r="K443" s="177" t="str"/>
      <x:c r="L443" s="178" t="str">
        <x:f>IF(J443="","",J443*(1+IF(K443="",0,K443)) )</x:f>
      </x:c>
      <x:c r="M443" s="138" t="str"/>
      <x:c r="N443" s="137" t="str">
        <x:v>Current model BOM seed</x:v>
      </x:c>
      <x:c r="O443" s="137" t="str"/>
      <x:c r="P443" s="137" t="str">
        <x:v>To Confirm</x:v>
      </x:c>
      <x:c r="Q443" s="137" t="str"/>
    </x:row>
    <x:row r="444">
      <x:c r="A444" s="137" t="str">
        <x:v>BOM-00440</x:v>
      </x:c>
      <x:c r="B444" s="137" t="str">
        <x:v>SMART BOY (L) BLACK</x:v>
      </x:c>
      <x:c r="C444" s="137" t="str">
        <x:v>LACE</x:v>
      </x:c>
      <x:c r="D444" s="137" t="str">
        <x:v>9X11</x:v>
      </x:c>
      <x:c r="E444" s="137" t="str">
        <x:v>CUTTING</x:v>
      </x:c>
      <x:c r="F444" s="137" t="str">
        <x:v>INSOLE 4 MM BLACK||MTR</x:v>
      </x:c>
      <x:c r="G444" s="137" t="str">
        <x:v>INSOLE 4 MM BLACK</x:v>
      </x:c>
      <x:c r="H444" s="137" t="str">
        <x:v>MTR</x:v>
      </x:c>
      <x:c r="I444" s="175" t="n">
        <x:v>0.020207</x:v>
      </x:c>
      <x:c r="J444" s="176" t="str"/>
      <x:c r="K444" s="177" t="str"/>
      <x:c r="L444" s="178" t="str">
        <x:f>IF(J444="","",J444*(1+IF(K444="",0,K444)) )</x:f>
      </x:c>
      <x:c r="M444" s="138" t="str"/>
      <x:c r="N444" s="137" t="str">
        <x:v>Current model BOM seed</x:v>
      </x:c>
      <x:c r="O444" s="137" t="str"/>
      <x:c r="P444" s="137" t="str">
        <x:v>To Confirm</x:v>
      </x:c>
      <x:c r="Q444" s="137" t="str"/>
    </x:row>
    <x:row r="445">
      <x:c r="A445" s="137" t="str">
        <x:v>BOM-00441</x:v>
      </x:c>
      <x:c r="B445" s="137" t="str">
        <x:v>SMART BOY (L) BLACK</x:v>
      </x:c>
      <x:c r="C445" s="137" t="str">
        <x:v>LACE</x:v>
      </x:c>
      <x:c r="D445" s="137" t="str">
        <x:v>9X11</x:v>
      </x:c>
      <x:c r="E445" s="137" t="str">
        <x:v>STITCHING</x:v>
      </x:c>
      <x:c r="F445" s="137" t="str">
        <x:v>Nylon Thread Black 3 Ply||CONE</x:v>
      </x:c>
      <x:c r="G445" s="137" t="str">
        <x:v>Nylon Thread Black 3 Ply</x:v>
      </x:c>
      <x:c r="H445" s="137" t="str">
        <x:v>CONE</x:v>
      </x:c>
      <x:c r="I445" s="175" t="n">
        <x:v>0.012667</x:v>
      </x:c>
      <x:c r="J445" s="176" t="str"/>
      <x:c r="K445" s="177" t="str"/>
      <x:c r="L445" s="178" t="str">
        <x:f>IF(J445="","",J445*(1+IF(K445="",0,K445)) )</x:f>
      </x:c>
      <x:c r="M445" s="138" t="str"/>
      <x:c r="N445" s="137" t="str">
        <x:v>Current model BOM seed</x:v>
      </x:c>
      <x:c r="O445" s="137" t="str"/>
      <x:c r="P445" s="137" t="str">
        <x:v>To Confirm</x:v>
      </x:c>
      <x:c r="Q445" s="137" t="str"/>
    </x:row>
    <x:row r="446">
      <x:c r="A446" s="137" t="str">
        <x:v>BOM-00442</x:v>
      </x:c>
      <x:c r="B446" s="137" t="str">
        <x:v>SMART BOY (L) BLACK</x:v>
      </x:c>
      <x:c r="C446" s="137" t="str">
        <x:v>LACE</x:v>
      </x:c>
      <x:c r="D446" s="137" t="str">
        <x:v>9X11</x:v>
      </x:c>
      <x:c r="E446" s="137" t="str">
        <x:v>STITCHING</x:v>
      </x:c>
      <x:c r="F446" s="137" t="str">
        <x:v>Cotton Thread Black||TUBE</x:v>
      </x:c>
      <x:c r="G446" s="137" t="str">
        <x:v>Cotton Thread Black</x:v>
      </x:c>
      <x:c r="H446" s="137" t="str">
        <x:v>TUBE</x:v>
      </x:c>
      <x:c r="I446" s="175" t="n">
        <x:v>0.002222</x:v>
      </x:c>
      <x:c r="J446" s="176" t="str"/>
      <x:c r="K446" s="177" t="str"/>
      <x:c r="L446" s="178" t="str">
        <x:f>IF(J446="","",J446*(1+IF(K446="",0,K446)) )</x:f>
      </x:c>
      <x:c r="M446" s="138" t="str"/>
      <x:c r="N446" s="137" t="str">
        <x:v>Current model BOM seed</x:v>
      </x:c>
      <x:c r="O446" s="137" t="str"/>
      <x:c r="P446" s="137" t="str">
        <x:v>To Confirm</x:v>
      </x:c>
      <x:c r="Q446" s="137" t="str"/>
    </x:row>
    <x:row r="447">
      <x:c r="A447" s="137" t="str">
        <x:v>BOM-00443</x:v>
      </x:c>
      <x:c r="B447" s="137" t="str">
        <x:v>SMART BOY (L) BLACK</x:v>
      </x:c>
      <x:c r="C447" s="137" t="str">
        <x:v>LACE</x:v>
      </x:c>
      <x:c r="D447" s="137" t="str">
        <x:v>9X11</x:v>
      </x:c>
      <x:c r="E447" s="137" t="str">
        <x:v>STITCHING</x:v>
      </x:c>
      <x:c r="F447" s="137" t="str">
        <x:v>Nylon Binding Black 14mm||MTR</x:v>
      </x:c>
      <x:c r="G447" s="137" t="str">
        <x:v>Nylon Binding Black 14mm</x:v>
      </x:c>
      <x:c r="H447" s="137" t="str">
        <x:v>MTR</x:v>
      </x:c>
      <x:c r="I447" s="175" t="n">
        <x:v>1.17</x:v>
      </x:c>
      <x:c r="J447" s="176" t="str"/>
      <x:c r="K447" s="177" t="str"/>
      <x:c r="L447" s="178" t="str">
        <x:f>IF(J447="","",J447*(1+IF(K447="",0,K447)) )</x:f>
      </x:c>
      <x:c r="M447" s="138" t="str"/>
      <x:c r="N447" s="137" t="str">
        <x:v>Current model BOM seed</x:v>
      </x:c>
      <x:c r="O447" s="137" t="str"/>
      <x:c r="P447" s="137" t="str">
        <x:v>To Confirm</x:v>
      </x:c>
      <x:c r="Q447" s="137" t="str"/>
    </x:row>
    <x:row r="448">
      <x:c r="A448" s="137" t="str">
        <x:v>BOM-00444</x:v>
      </x:c>
      <x:c r="B448" s="137" t="str">
        <x:v>SMART BOY (L) BLACK</x:v>
      </x:c>
      <x:c r="C448" s="137" t="str">
        <x:v>LACE</x:v>
      </x:c>
      <x:c r="D448" s="137" t="str">
        <x:v>9X11</x:v>
      </x:c>
      <x:c r="E448" s="137" t="str">
        <x:v>STITCHING</x:v>
      </x:c>
      <x:c r="F448" s="137" t="str">
        <x:v>Lebel school shoe Black Small||PCS</x:v>
      </x:c>
      <x:c r="G448" s="137" t="str">
        <x:v>Lebel school shoe Black Small</x:v>
      </x:c>
      <x:c r="H448" s="137" t="str">
        <x:v>PCS</x:v>
      </x:c>
      <x:c r="I448" s="175" t="n">
        <x:v>2</x:v>
      </x:c>
      <x:c r="J448" s="176" t="str"/>
      <x:c r="K448" s="177" t="str"/>
      <x:c r="L448" s="178" t="str">
        <x:f>IF(J448="","",J448*(1+IF(K448="",0,K448)) )</x:f>
      </x:c>
      <x:c r="M448" s="138" t="str"/>
      <x:c r="N448" s="137" t="str">
        <x:v>Current model BOM seed</x:v>
      </x:c>
      <x:c r="O448" s="137" t="str"/>
      <x:c r="P448" s="137" t="str">
        <x:v>To Confirm</x:v>
      </x:c>
      <x:c r="Q448" s="137" t="str"/>
    </x:row>
    <x:row r="449">
      <x:c r="A449" s="137" t="str">
        <x:v>BOM-00445</x:v>
      </x:c>
      <x:c r="B449" s="137" t="str">
        <x:v>SMART BOY (L) BLACK</x:v>
      </x:c>
      <x:c r="C449" s="137" t="str">
        <x:v>LACE</x:v>
      </x:c>
      <x:c r="D449" s="137" t="str">
        <x:v>9X11</x:v>
      </x:c>
      <x:c r="E449" s="137" t="str">
        <x:v>STITCHING</x:v>
      </x:c>
      <x:c r="F449" s="137" t="str">
        <x:v>PP Bag 18.5x31||PCS</x:v>
      </x:c>
      <x:c r="G449" s="137" t="str">
        <x:v>PP Bag 18.5x31</x:v>
      </x:c>
      <x:c r="H449" s="137" t="str">
        <x:v>PCS</x:v>
      </x:c>
      <x:c r="I449" s="175" t="n">
        <x:v>0.033333</x:v>
      </x:c>
      <x:c r="J449" s="176" t="str"/>
      <x:c r="K449" s="177" t="str"/>
      <x:c r="L449" s="178" t="str">
        <x:f>IF(J449="","",J449*(1+IF(K449="",0,K449)) )</x:f>
      </x:c>
      <x:c r="M449" s="138" t="str"/>
      <x:c r="N449" s="137" t="str">
        <x:v>Current model BOM seed</x:v>
      </x:c>
      <x:c r="O449" s="137" t="str"/>
      <x:c r="P449" s="137" t="str">
        <x:v>To Confirm</x:v>
      </x:c>
      <x:c r="Q449" s="137" t="str"/>
    </x:row>
    <x:row r="450">
      <x:c r="A450" s="137" t="str">
        <x:v>BOM-00446</x:v>
      </x:c>
      <x:c r="B450" s="137" t="str">
        <x:v>SMART BOY (L) BLACK</x:v>
      </x:c>
      <x:c r="C450" s="137" t="str">
        <x:v>LACE</x:v>
      </x:c>
      <x:c r="D450" s="137" t="str">
        <x:v>9X11</x:v>
      </x:c>
      <x:c r="E450" s="137" t="str">
        <x:v>STITCHING</x:v>
      </x:c>
      <x:c r="F450" s="137" t="str">
        <x:v>DOCTOR TAPE||MTR</x:v>
      </x:c>
      <x:c r="G450" s="137" t="str">
        <x:v>DOCTOR TAPE</x:v>
      </x:c>
      <x:c r="H450" s="137" t="str">
        <x:v>MTR</x:v>
      </x:c>
      <x:c r="I450" s="175" t="n">
        <x:v>0.05</x:v>
      </x:c>
      <x:c r="J450" s="176" t="str"/>
      <x:c r="K450" s="177" t="str"/>
      <x:c r="L450" s="178" t="str">
        <x:f>IF(J450="","",J450*(1+IF(K450="",0,K450)) )</x:f>
      </x:c>
      <x:c r="M450" s="138" t="str"/>
      <x:c r="N450" s="137" t="str">
        <x:v>Current model BOM seed</x:v>
      </x:c>
      <x:c r="O450" s="137" t="str"/>
      <x:c r="P450" s="137" t="str">
        <x:v>To Confirm</x:v>
      </x:c>
      <x:c r="Q450" s="137" t="str"/>
    </x:row>
    <x:row r="451">
      <x:c r="A451" s="137" t="str">
        <x:v>BOM-00447</x:v>
      </x:c>
      <x:c r="B451" s="137" t="str">
        <x:v>SMART BOY (L) BLACK</x:v>
      </x:c>
      <x:c r="C451" s="137" t="str">
        <x:v>LACE</x:v>
      </x:c>
      <x:c r="D451" s="137" t="str">
        <x:v>12X1</x:v>
      </x:c>
      <x:c r="E451" s="137" t="str">
        <x:v>CUTTING</x:v>
      </x:c>
      <x:c r="F451" s="137" t="str">
        <x:v>REXION 1.5MM FRENZY (HEAVY) BLACK||MTR</x:v>
      </x:c>
      <x:c r="G451" s="137" t="str">
        <x:v>REXION 1.5MM FRENZY (HEAVY) BLACK</x:v>
      </x:c>
      <x:c r="H451" s="137" t="str">
        <x:v>MTR</x:v>
      </x:c>
      <x:c r="I451" s="175" t="n">
        <x:v>0.094741</x:v>
      </x:c>
      <x:c r="J451" s="176" t="str"/>
      <x:c r="K451" s="177" t="str"/>
      <x:c r="L451" s="178" t="str">
        <x:f>IF(J451="","",J451*(1+IF(K451="",0,K451)) )</x:f>
      </x:c>
      <x:c r="M451" s="138" t="str"/>
      <x:c r="N451" s="137" t="str">
        <x:v>Current model BOM seed</x:v>
      </x:c>
      <x:c r="O451" s="137" t="str"/>
      <x:c r="P451" s="137" t="str">
        <x:v>To Confirm</x:v>
      </x:c>
      <x:c r="Q451" s="137" t="str"/>
    </x:row>
    <x:row r="452">
      <x:c r="A452" s="137" t="str">
        <x:v>BOM-00448</x:v>
      </x:c>
      <x:c r="B452" s="137" t="str">
        <x:v>SMART BOY (L) BLACK</x:v>
      </x:c>
      <x:c r="C452" s="137" t="str">
        <x:v>LACE</x:v>
      </x:c>
      <x:c r="D452" s="137" t="str">
        <x:v>12X1</x:v>
      </x:c>
      <x:c r="E452" s="137" t="str">
        <x:v>CUTTING</x:v>
      </x:c>
      <x:c r="F452" s="137" t="str">
        <x:v>REXION 1.5MM FRENZY (LIGHT) BLACK||MTR</x:v>
      </x:c>
      <x:c r="G452" s="137" t="str">
        <x:v>REXION 1.5MM FRENZY (LIGHT) BLACK</x:v>
      </x:c>
      <x:c r="H452" s="137" t="str">
        <x:v>MTR</x:v>
      </x:c>
      <x:c r="I452" s="175" t="n">
        <x:v>0.019407</x:v>
      </x:c>
      <x:c r="J452" s="176" t="str"/>
      <x:c r="K452" s="177" t="str"/>
      <x:c r="L452" s="178" t="str">
        <x:f>IF(J452="","",J452*(1+IF(K452="",0,K452)) )</x:f>
      </x:c>
      <x:c r="M452" s="138" t="str"/>
      <x:c r="N452" s="137" t="str">
        <x:v>Current model BOM seed</x:v>
      </x:c>
      <x:c r="O452" s="137" t="str"/>
      <x:c r="P452" s="137" t="str">
        <x:v>To Confirm</x:v>
      </x:c>
      <x:c r="Q452" s="137" t="str"/>
    </x:row>
    <x:row r="453">
      <x:c r="A453" s="137" t="str">
        <x:v>BOM-00449</x:v>
      </x:c>
      <x:c r="B453" s="137" t="str">
        <x:v>SMART BOY (L) BLACK</x:v>
      </x:c>
      <x:c r="C453" s="137" t="str">
        <x:v>LACE</x:v>
      </x:c>
      <x:c r="D453" s="137" t="str">
        <x:v>12X1</x:v>
      </x:c>
      <x:c r="E453" s="137" t="str">
        <x:v>CUTTING</x:v>
      </x:c>
      <x:c r="F453" s="137" t="str">
        <x:v>ASTER BLACK HEAVY||MTR</x:v>
      </x:c>
      <x:c r="G453" s="137" t="str">
        <x:v>ASTER BLACK HEAVY</x:v>
      </x:c>
      <x:c r="H453" s="137" t="str">
        <x:v>MTR</x:v>
      </x:c>
      <x:c r="I453" s="175" t="n">
        <x:v>0.005933</x:v>
      </x:c>
      <x:c r="J453" s="176" t="str"/>
      <x:c r="K453" s="177" t="str"/>
      <x:c r="L453" s="178" t="str">
        <x:f>IF(J453="","",J453*(1+IF(K453="",0,K453)) )</x:f>
      </x:c>
      <x:c r="M453" s="138" t="str"/>
      <x:c r="N453" s="137" t="str">
        <x:v>Current model BOM seed</x:v>
      </x:c>
      <x:c r="O453" s="137" t="str"/>
      <x:c r="P453" s="137" t="str">
        <x:v>To Confirm</x:v>
      </x:c>
      <x:c r="Q453" s="137" t="str"/>
    </x:row>
    <x:row r="454">
      <x:c r="A454" s="137" t="str">
        <x:v>BOM-00450</x:v>
      </x:c>
      <x:c r="B454" s="137" t="str">
        <x:v>SMART BOY (L) BLACK</x:v>
      </x:c>
      <x:c r="C454" s="137" t="str">
        <x:v>LACE</x:v>
      </x:c>
      <x:c r="D454" s="137" t="str">
        <x:v>12X1</x:v>
      </x:c>
      <x:c r="E454" s="137" t="str">
        <x:v>CUTTING</x:v>
      </x:c>
      <x:c r="F454" s="137" t="str">
        <x:v>INSOLE 4 MM BLACK||MTR</x:v>
      </x:c>
      <x:c r="G454" s="137" t="str">
        <x:v>INSOLE 4 MM BLACK</x:v>
      </x:c>
      <x:c r="H454" s="137" t="str">
        <x:v>MTR</x:v>
      </x:c>
      <x:c r="I454" s="175" t="n">
        <x:v>0.022207</x:v>
      </x:c>
      <x:c r="J454" s="176" t="str"/>
      <x:c r="K454" s="177" t="str"/>
      <x:c r="L454" s="178" t="str">
        <x:f>IF(J454="","",J454*(1+IF(K454="",0,K454)) )</x:f>
      </x:c>
      <x:c r="M454" s="138" t="str"/>
      <x:c r="N454" s="137" t="str">
        <x:v>Current model BOM seed</x:v>
      </x:c>
      <x:c r="O454" s="137" t="str"/>
      <x:c r="P454" s="137" t="str">
        <x:v>To Confirm</x:v>
      </x:c>
      <x:c r="Q454" s="137" t="str"/>
    </x:row>
    <x:row r="455">
      <x:c r="A455" s="137" t="str">
        <x:v>BOM-00451</x:v>
      </x:c>
      <x:c r="B455" s="137" t="str">
        <x:v>SMART BOY (L) BLACK</x:v>
      </x:c>
      <x:c r="C455" s="137" t="str">
        <x:v>LACE</x:v>
      </x:c>
      <x:c r="D455" s="137" t="str">
        <x:v>12X1</x:v>
      </x:c>
      <x:c r="E455" s="137" t="str">
        <x:v>STITCHING</x:v>
      </x:c>
      <x:c r="F455" s="137" t="str">
        <x:v>Nylon Thread Black 3 Ply||CONE</x:v>
      </x:c>
      <x:c r="G455" s="137" t="str">
        <x:v>Nylon Thread Black 3 Ply</x:v>
      </x:c>
      <x:c r="H455" s="137" t="str">
        <x:v>CONE</x:v>
      </x:c>
      <x:c r="I455" s="175" t="n">
        <x:v>0.012667</x:v>
      </x:c>
      <x:c r="J455" s="176" t="str"/>
      <x:c r="K455" s="177" t="str"/>
      <x:c r="L455" s="178" t="str">
        <x:f>IF(J455="","",J455*(1+IF(K455="",0,K455)) )</x:f>
      </x:c>
      <x:c r="M455" s="138" t="str"/>
      <x:c r="N455" s="137" t="str">
        <x:v>Current model BOM seed</x:v>
      </x:c>
      <x:c r="O455" s="137" t="str"/>
      <x:c r="P455" s="137" t="str">
        <x:v>To Confirm</x:v>
      </x:c>
      <x:c r="Q455" s="137" t="str"/>
    </x:row>
    <x:row r="456">
      <x:c r="A456" s="137" t="str">
        <x:v>BOM-00452</x:v>
      </x:c>
      <x:c r="B456" s="137" t="str">
        <x:v>SMART BOY (L) BLACK</x:v>
      </x:c>
      <x:c r="C456" s="137" t="str">
        <x:v>LACE</x:v>
      </x:c>
      <x:c r="D456" s="137" t="str">
        <x:v>12X1</x:v>
      </x:c>
      <x:c r="E456" s="137" t="str">
        <x:v>STITCHING</x:v>
      </x:c>
      <x:c r="F456" s="137" t="str">
        <x:v>Cotton Thread Black||TUBE</x:v>
      </x:c>
      <x:c r="G456" s="137" t="str">
        <x:v>Cotton Thread Black</x:v>
      </x:c>
      <x:c r="H456" s="137" t="str">
        <x:v>TUBE</x:v>
      </x:c>
      <x:c r="I456" s="175" t="n">
        <x:v>0.002222</x:v>
      </x:c>
      <x:c r="J456" s="176" t="str"/>
      <x:c r="K456" s="177" t="str"/>
      <x:c r="L456" s="178" t="str">
        <x:f>IF(J456="","",J456*(1+IF(K456="",0,K456)) )</x:f>
      </x:c>
      <x:c r="M456" s="138" t="str"/>
      <x:c r="N456" s="137" t="str">
        <x:v>Current model BOM seed</x:v>
      </x:c>
      <x:c r="O456" s="137" t="str"/>
      <x:c r="P456" s="137" t="str">
        <x:v>To Confirm</x:v>
      </x:c>
      <x:c r="Q456" s="137" t="str"/>
    </x:row>
    <x:row r="457">
      <x:c r="A457" s="137" t="str">
        <x:v>BOM-00453</x:v>
      </x:c>
      <x:c r="B457" s="137" t="str">
        <x:v>SMART BOY (L) BLACK</x:v>
      </x:c>
      <x:c r="C457" s="137" t="str">
        <x:v>LACE</x:v>
      </x:c>
      <x:c r="D457" s="137" t="str">
        <x:v>12X1</x:v>
      </x:c>
      <x:c r="E457" s="137" t="str">
        <x:v>STITCHING</x:v>
      </x:c>
      <x:c r="F457" s="137" t="str">
        <x:v>Nylon Binding Black 14mm||MTR</x:v>
      </x:c>
      <x:c r="G457" s="137" t="str">
        <x:v>Nylon Binding Black 14mm</x:v>
      </x:c>
      <x:c r="H457" s="137" t="str">
        <x:v>MTR</x:v>
      </x:c>
      <x:c r="I457" s="175" t="n">
        <x:v>1.17</x:v>
      </x:c>
      <x:c r="J457" s="176" t="str"/>
      <x:c r="K457" s="177" t="str"/>
      <x:c r="L457" s="178" t="str">
        <x:f>IF(J457="","",J457*(1+IF(K457="",0,K457)) )</x:f>
      </x:c>
      <x:c r="M457" s="138" t="str"/>
      <x:c r="N457" s="137" t="str">
        <x:v>Current model BOM seed</x:v>
      </x:c>
      <x:c r="O457" s="137" t="str"/>
      <x:c r="P457" s="137" t="str">
        <x:v>To Confirm</x:v>
      </x:c>
      <x:c r="Q457" s="137" t="str"/>
    </x:row>
    <x:row r="458">
      <x:c r="A458" s="137" t="str">
        <x:v>BOM-00454</x:v>
      </x:c>
      <x:c r="B458" s="137" t="str">
        <x:v>SMART BOY (L) BLACK</x:v>
      </x:c>
      <x:c r="C458" s="137" t="str">
        <x:v>LACE</x:v>
      </x:c>
      <x:c r="D458" s="137" t="str">
        <x:v>12X1</x:v>
      </x:c>
      <x:c r="E458" s="137" t="str">
        <x:v>STITCHING</x:v>
      </x:c>
      <x:c r="F458" s="137" t="str">
        <x:v>Lebel school shoe Black Small||PCS</x:v>
      </x:c>
      <x:c r="G458" s="137" t="str">
        <x:v>Lebel school shoe Black Small</x:v>
      </x:c>
      <x:c r="H458" s="137" t="str">
        <x:v>PCS</x:v>
      </x:c>
      <x:c r="I458" s="175" t="n">
        <x:v>2</x:v>
      </x:c>
      <x:c r="J458" s="176" t="str"/>
      <x:c r="K458" s="177" t="str"/>
      <x:c r="L458" s="178" t="str">
        <x:f>IF(J458="","",J458*(1+IF(K458="",0,K458)) )</x:f>
      </x:c>
      <x:c r="M458" s="138" t="str"/>
      <x:c r="N458" s="137" t="str">
        <x:v>Current model BOM seed</x:v>
      </x:c>
      <x:c r="O458" s="137" t="str"/>
      <x:c r="P458" s="137" t="str">
        <x:v>To Confirm</x:v>
      </x:c>
      <x:c r="Q458" s="137" t="str"/>
    </x:row>
    <x:row r="459">
      <x:c r="A459" s="137" t="str">
        <x:v>BOM-00455</x:v>
      </x:c>
      <x:c r="B459" s="137" t="str">
        <x:v>SMART BOY (L) BLACK</x:v>
      </x:c>
      <x:c r="C459" s="137" t="str">
        <x:v>LACE</x:v>
      </x:c>
      <x:c r="D459" s="137" t="str">
        <x:v>12X1</x:v>
      </x:c>
      <x:c r="E459" s="137" t="str">
        <x:v>STITCHING</x:v>
      </x:c>
      <x:c r="F459" s="137" t="str">
        <x:v>PP Bag 18.5x31||PCS</x:v>
      </x:c>
      <x:c r="G459" s="137" t="str">
        <x:v>PP Bag 18.5x31</x:v>
      </x:c>
      <x:c r="H459" s="137" t="str">
        <x:v>PCS</x:v>
      </x:c>
      <x:c r="I459" s="175" t="n">
        <x:v>0.033333</x:v>
      </x:c>
      <x:c r="J459" s="176" t="str"/>
      <x:c r="K459" s="177" t="str"/>
      <x:c r="L459" s="178" t="str">
        <x:f>IF(J459="","",J459*(1+IF(K459="",0,K459)) )</x:f>
      </x:c>
      <x:c r="M459" s="138" t="str"/>
      <x:c r="N459" s="137" t="str">
        <x:v>Current model BOM seed</x:v>
      </x:c>
      <x:c r="O459" s="137" t="str"/>
      <x:c r="P459" s="137" t="str">
        <x:v>To Confirm</x:v>
      </x:c>
      <x:c r="Q459" s="137" t="str"/>
    </x:row>
    <x:row r="460">
      <x:c r="A460" s="137" t="str">
        <x:v>BOM-00456</x:v>
      </x:c>
      <x:c r="B460" s="137" t="str">
        <x:v>SMART BOY (L) BLACK</x:v>
      </x:c>
      <x:c r="C460" s="137" t="str">
        <x:v>LACE</x:v>
      </x:c>
      <x:c r="D460" s="137" t="str">
        <x:v>12X1</x:v>
      </x:c>
      <x:c r="E460" s="137" t="str">
        <x:v>STITCHING</x:v>
      </x:c>
      <x:c r="F460" s="137" t="str">
        <x:v>DOCTOR TAPE||MTR</x:v>
      </x:c>
      <x:c r="G460" s="137" t="str">
        <x:v>DOCTOR TAPE</x:v>
      </x:c>
      <x:c r="H460" s="137" t="str">
        <x:v>MTR</x:v>
      </x:c>
      <x:c r="I460" s="175" t="n">
        <x:v>0.05</x:v>
      </x:c>
      <x:c r="J460" s="176" t="str"/>
      <x:c r="K460" s="177" t="str"/>
      <x:c r="L460" s="178" t="str">
        <x:f>IF(J460="","",J460*(1+IF(K460="",0,K460)) )</x:f>
      </x:c>
      <x:c r="M460" s="138" t="str"/>
      <x:c r="N460" s="137" t="str">
        <x:v>Current model BOM seed</x:v>
      </x:c>
      <x:c r="O460" s="137" t="str"/>
      <x:c r="P460" s="137" t="str">
        <x:v>To Confirm</x:v>
      </x:c>
      <x:c r="Q460" s="137" t="str"/>
    </x:row>
    <x:row r="461">
      <x:c r="A461" s="137" t="str">
        <x:v>BOM-00457</x:v>
      </x:c>
      <x:c r="B461" s="137" t="str">
        <x:v>SMART BOY (L) BLACK</x:v>
      </x:c>
      <x:c r="C461" s="137" t="str">
        <x:v>LACE</x:v>
      </x:c>
      <x:c r="D461" s="137" t="str">
        <x:v>2X5</x:v>
      </x:c>
      <x:c r="E461" s="137" t="str">
        <x:v>CUTTING</x:v>
      </x:c>
      <x:c r="F461" s="137" t="str">
        <x:v>REXION 1.5MM FRENZY (HEAVY) BLACK||MTR</x:v>
      </x:c>
      <x:c r="G461" s="137" t="str">
        <x:v>REXION 1.5MM FRENZY (HEAVY) BLACK</x:v>
      </x:c>
      <x:c r="H461" s="137" t="str">
        <x:v>MTR</x:v>
      </x:c>
      <x:c r="I461" s="175" t="n">
        <x:v>0.111704</x:v>
      </x:c>
      <x:c r="J461" s="176" t="str"/>
      <x:c r="K461" s="177" t="str"/>
      <x:c r="L461" s="178" t="str">
        <x:f>IF(J461="","",J461*(1+IF(K461="",0,K461)) )</x:f>
      </x:c>
      <x:c r="M461" s="138" t="str"/>
      <x:c r="N461" s="137" t="str">
        <x:v>Current model BOM seed</x:v>
      </x:c>
      <x:c r="O461" s="137" t="str"/>
      <x:c r="P461" s="137" t="str">
        <x:v>To Confirm</x:v>
      </x:c>
      <x:c r="Q461" s="137" t="str"/>
    </x:row>
    <x:row r="462">
      <x:c r="A462" s="137" t="str">
        <x:v>BOM-00458</x:v>
      </x:c>
      <x:c r="B462" s="137" t="str">
        <x:v>SMART BOY (L) BLACK</x:v>
      </x:c>
      <x:c r="C462" s="137" t="str">
        <x:v>LACE</x:v>
      </x:c>
      <x:c r="D462" s="137" t="str">
        <x:v>2X5</x:v>
      </x:c>
      <x:c r="E462" s="137" t="str">
        <x:v>CUTTING</x:v>
      </x:c>
      <x:c r="F462" s="137" t="str">
        <x:v>REXION 1.5MM FRENZY (LIGHT) BLACK||MTR</x:v>
      </x:c>
      <x:c r="G462" s="137" t="str">
        <x:v>REXION 1.5MM FRENZY (LIGHT) BLACK</x:v>
      </x:c>
      <x:c r="H462" s="137" t="str">
        <x:v>MTR</x:v>
      </x:c>
      <x:c r="I462" s="175" t="n">
        <x:v>0.022889</x:v>
      </x:c>
      <x:c r="J462" s="176" t="str"/>
      <x:c r="K462" s="177" t="str"/>
      <x:c r="L462" s="178" t="str">
        <x:f>IF(J462="","",J462*(1+IF(K462="",0,K462)) )</x:f>
      </x:c>
      <x:c r="M462" s="138" t="str"/>
      <x:c r="N462" s="137" t="str">
        <x:v>Current model BOM seed</x:v>
      </x:c>
      <x:c r="O462" s="137" t="str"/>
      <x:c r="P462" s="137" t="str">
        <x:v>To Confirm</x:v>
      </x:c>
      <x:c r="Q462" s="137" t="str"/>
    </x:row>
    <x:row r="463">
      <x:c r="A463" s="137" t="str">
        <x:v>BOM-00459</x:v>
      </x:c>
      <x:c r="B463" s="137" t="str">
        <x:v>SMART BOY (L) BLACK</x:v>
      </x:c>
      <x:c r="C463" s="137" t="str">
        <x:v>LACE</x:v>
      </x:c>
      <x:c r="D463" s="137" t="str">
        <x:v>2X5</x:v>
      </x:c>
      <x:c r="E463" s="137" t="str">
        <x:v>CUTTING</x:v>
      </x:c>
      <x:c r="F463" s="137" t="str">
        <x:v>ASTER BLACK HEAVY||MTR</x:v>
      </x:c>
      <x:c r="G463" s="137" t="str">
        <x:v>ASTER BLACK HEAVY</x:v>
      </x:c>
      <x:c r="H463" s="137" t="str">
        <x:v>MTR</x:v>
      </x:c>
      <x:c r="I463" s="175" t="n">
        <x:v>0.0068</x:v>
      </x:c>
      <x:c r="J463" s="176" t="str"/>
      <x:c r="K463" s="177" t="str"/>
      <x:c r="L463" s="178" t="str">
        <x:f>IF(J463="","",J463*(1+IF(K463="",0,K463)) )</x:f>
      </x:c>
      <x:c r="M463" s="138" t="str"/>
      <x:c r="N463" s="137" t="str">
        <x:v>Current model BOM seed</x:v>
      </x:c>
      <x:c r="O463" s="137" t="str"/>
      <x:c r="P463" s="137" t="str">
        <x:v>To Confirm</x:v>
      </x:c>
      <x:c r="Q463" s="137" t="str"/>
    </x:row>
    <x:row r="464">
      <x:c r="A464" s="137" t="str">
        <x:v>BOM-00460</x:v>
      </x:c>
      <x:c r="B464" s="137" t="str">
        <x:v>SMART BOY (L) BLACK</x:v>
      </x:c>
      <x:c r="C464" s="137" t="str">
        <x:v>LACE</x:v>
      </x:c>
      <x:c r="D464" s="137" t="str">
        <x:v>2X5</x:v>
      </x:c>
      <x:c r="E464" s="137" t="str">
        <x:v>CUTTING</x:v>
      </x:c>
      <x:c r="F464" s="137" t="str">
        <x:v>INSOLE 4 MM BLACK||MTR</x:v>
      </x:c>
      <x:c r="G464" s="137" t="str">
        <x:v>INSOLE 4 MM BLACK</x:v>
      </x:c>
      <x:c r="H464" s="137" t="str">
        <x:v>MTR</x:v>
      </x:c>
      <x:c r="I464" s="175" t="n">
        <x:v>0.031241</x:v>
      </x:c>
      <x:c r="J464" s="176" t="str"/>
      <x:c r="K464" s="177" t="str"/>
      <x:c r="L464" s="178" t="str">
        <x:f>IF(J464="","",J464*(1+IF(K464="",0,K464)) )</x:f>
      </x:c>
      <x:c r="M464" s="138" t="str"/>
      <x:c r="N464" s="137" t="str">
        <x:v>Current model BOM seed</x:v>
      </x:c>
      <x:c r="O464" s="137" t="str"/>
      <x:c r="P464" s="137" t="str">
        <x:v>To Confirm</x:v>
      </x:c>
      <x:c r="Q464" s="137" t="str"/>
    </x:row>
    <x:row r="465">
      <x:c r="A465" s="137" t="str">
        <x:v>BOM-00461</x:v>
      </x:c>
      <x:c r="B465" s="137" t="str">
        <x:v>SMART BOY (L) BLACK</x:v>
      </x:c>
      <x:c r="C465" s="137" t="str">
        <x:v>LACE</x:v>
      </x:c>
      <x:c r="D465" s="137" t="str">
        <x:v>2X5</x:v>
      </x:c>
      <x:c r="E465" s="137" t="str">
        <x:v>STITCHING</x:v>
      </x:c>
      <x:c r="F465" s="137" t="str">
        <x:v>Nylon Thread Black 3 Ply||CONE</x:v>
      </x:c>
      <x:c r="G465" s="137" t="str">
        <x:v>Nylon Thread Black 3 Ply</x:v>
      </x:c>
      <x:c r="H465" s="137" t="str">
        <x:v>CONE</x:v>
      </x:c>
      <x:c r="I465" s="175" t="n">
        <x:v>0.014</x:v>
      </x:c>
      <x:c r="J465" s="176" t="str"/>
      <x:c r="K465" s="177" t="str"/>
      <x:c r="L465" s="178" t="str">
        <x:f>IF(J465="","",J465*(1+IF(K465="",0,K465)) )</x:f>
      </x:c>
      <x:c r="M465" s="138" t="str"/>
      <x:c r="N465" s="137" t="str">
        <x:v>Current model BOM seed</x:v>
      </x:c>
      <x:c r="O465" s="137" t="str"/>
      <x:c r="P465" s="137" t="str">
        <x:v>To Confirm</x:v>
      </x:c>
      <x:c r="Q465" s="137" t="str"/>
    </x:row>
    <x:row r="466">
      <x:c r="A466" s="137" t="str">
        <x:v>BOM-00462</x:v>
      </x:c>
      <x:c r="B466" s="137" t="str">
        <x:v>SMART BOY (L) BLACK</x:v>
      </x:c>
      <x:c r="C466" s="137" t="str">
        <x:v>LACE</x:v>
      </x:c>
      <x:c r="D466" s="137" t="str">
        <x:v>2X5</x:v>
      </x:c>
      <x:c r="E466" s="137" t="str">
        <x:v>STITCHING</x:v>
      </x:c>
      <x:c r="F466" s="137" t="str">
        <x:v>Cotton Thread Black||TUBE</x:v>
      </x:c>
      <x:c r="G466" s="137" t="str">
        <x:v>Cotton Thread Black</x:v>
      </x:c>
      <x:c r="H466" s="137" t="str">
        <x:v>TUBE</x:v>
      </x:c>
      <x:c r="I466" s="175" t="n">
        <x:v>0.002222</x:v>
      </x:c>
      <x:c r="J466" s="176" t="str"/>
      <x:c r="K466" s="177" t="str"/>
      <x:c r="L466" s="178" t="str">
        <x:f>IF(J466="","",J466*(1+IF(K466="",0,K466)) )</x:f>
      </x:c>
      <x:c r="M466" s="138" t="str"/>
      <x:c r="N466" s="137" t="str">
        <x:v>Current model BOM seed</x:v>
      </x:c>
      <x:c r="O466" s="137" t="str"/>
      <x:c r="P466" s="137" t="str">
        <x:v>To Confirm</x:v>
      </x:c>
      <x:c r="Q466" s="137" t="str"/>
    </x:row>
    <x:row r="467">
      <x:c r="A467" s="137" t="str">
        <x:v>BOM-00463</x:v>
      </x:c>
      <x:c r="B467" s="137" t="str">
        <x:v>SMART BOY (L) BLACK</x:v>
      </x:c>
      <x:c r="C467" s="137" t="str">
        <x:v>LACE</x:v>
      </x:c>
      <x:c r="D467" s="137" t="str">
        <x:v>2X5</x:v>
      </x:c>
      <x:c r="E467" s="137" t="str">
        <x:v>STITCHING</x:v>
      </x:c>
      <x:c r="F467" s="137" t="str">
        <x:v>Nylon Binding Black 14mm||MTR</x:v>
      </x:c>
      <x:c r="G467" s="137" t="str">
        <x:v>Nylon Binding Black 14mm</x:v>
      </x:c>
      <x:c r="H467" s="137" t="str">
        <x:v>MTR</x:v>
      </x:c>
      <x:c r="I467" s="175" t="n">
        <x:v>1.32</x:v>
      </x:c>
      <x:c r="J467" s="176" t="str"/>
      <x:c r="K467" s="177" t="str"/>
      <x:c r="L467" s="178" t="str">
        <x:f>IF(J467="","",J467*(1+IF(K467="",0,K467)) )</x:f>
      </x:c>
      <x:c r="M467" s="138" t="str"/>
      <x:c r="N467" s="137" t="str">
        <x:v>Current model BOM seed</x:v>
      </x:c>
      <x:c r="O467" s="137" t="str"/>
      <x:c r="P467" s="137" t="str">
        <x:v>To Confirm</x:v>
      </x:c>
      <x:c r="Q467" s="137" t="str"/>
    </x:row>
    <x:row r="468">
      <x:c r="A468" s="137" t="str">
        <x:v>BOM-00464</x:v>
      </x:c>
      <x:c r="B468" s="137" t="str">
        <x:v>SMART BOY (L) BLACK</x:v>
      </x:c>
      <x:c r="C468" s="137" t="str">
        <x:v>LACE</x:v>
      </x:c>
      <x:c r="D468" s="137" t="str">
        <x:v>2X5</x:v>
      </x:c>
      <x:c r="E468" s="137" t="str">
        <x:v>STITCHING</x:v>
      </x:c>
      <x:c r="F468" s="137" t="str">
        <x:v>PP Bag 18.5x31||PCS</x:v>
      </x:c>
      <x:c r="G468" s="137" t="str">
        <x:v>PP Bag 18.5x31</x:v>
      </x:c>
      <x:c r="H468" s="137" t="str">
        <x:v>PCS</x:v>
      </x:c>
      <x:c r="I468" s="175" t="n">
        <x:v>0.033333</x:v>
      </x:c>
      <x:c r="J468" s="176" t="str"/>
      <x:c r="K468" s="177" t="str"/>
      <x:c r="L468" s="178" t="str">
        <x:f>IF(J468="","",J468*(1+IF(K468="",0,K468)) )</x:f>
      </x:c>
      <x:c r="M468" s="138" t="str"/>
      <x:c r="N468" s="137" t="str">
        <x:v>Current model BOM seed</x:v>
      </x:c>
      <x:c r="O468" s="137" t="str"/>
      <x:c r="P468" s="137" t="str">
        <x:v>To Confirm</x:v>
      </x:c>
      <x:c r="Q468" s="137" t="str"/>
    </x:row>
    <x:row r="469">
      <x:c r="A469" s="137" t="str">
        <x:v>BOM-00465</x:v>
      </x:c>
      <x:c r="B469" s="137" t="str">
        <x:v>SMART BOY (L) BLACK</x:v>
      </x:c>
      <x:c r="C469" s="137" t="str">
        <x:v>LACE</x:v>
      </x:c>
      <x:c r="D469" s="137" t="str">
        <x:v>2X5</x:v>
      </x:c>
      <x:c r="E469" s="137" t="str">
        <x:v>STITCHING</x:v>
      </x:c>
      <x:c r="F469" s="137" t="str">
        <x:v>tung label school shoe black big||PCS</x:v>
      </x:c>
      <x:c r="G469" s="137" t="str">
        <x:v>tung label school shoe black big</x:v>
      </x:c>
      <x:c r="H469" s="137" t="str">
        <x:v>PCS</x:v>
      </x:c>
      <x:c r="I469" s="175" t="n">
        <x:v>2</x:v>
      </x:c>
      <x:c r="J469" s="176" t="str"/>
      <x:c r="K469" s="177" t="str"/>
      <x:c r="L469" s="178" t="str">
        <x:f>IF(J469="","",J469*(1+IF(K469="",0,K469)) )</x:f>
      </x:c>
      <x:c r="M469" s="138" t="str"/>
      <x:c r="N469" s="137" t="str">
        <x:v>Current model BOM seed</x:v>
      </x:c>
      <x:c r="O469" s="137" t="str"/>
      <x:c r="P469" s="137" t="str">
        <x:v>To Confirm</x:v>
      </x:c>
      <x:c r="Q469" s="137" t="str"/>
    </x:row>
    <x:row r="470">
      <x:c r="A470" s="137" t="str">
        <x:v>BOM-00466</x:v>
      </x:c>
      <x:c r="B470" s="137" t="str">
        <x:v>SMART BOY (L) BLACK</x:v>
      </x:c>
      <x:c r="C470" s="137" t="str">
        <x:v>LACE</x:v>
      </x:c>
      <x:c r="D470" s="137" t="str">
        <x:v>2X5</x:v>
      </x:c>
      <x:c r="E470" s="137" t="str">
        <x:v>STITCHING</x:v>
      </x:c>
      <x:c r="F470" s="137" t="str">
        <x:v>DOCTOR TAPE||MTR</x:v>
      </x:c>
      <x:c r="G470" s="137" t="str">
        <x:v>DOCTOR TAPE</x:v>
      </x:c>
      <x:c r="H470" s="137" t="str">
        <x:v>MTR</x:v>
      </x:c>
      <x:c r="I470" s="175" t="n">
        <x:v>0.05</x:v>
      </x:c>
      <x:c r="J470" s="176" t="str"/>
      <x:c r="K470" s="177" t="str"/>
      <x:c r="L470" s="178" t="str">
        <x:f>IF(J470="","",J470*(1+IF(K470="",0,K470)) )</x:f>
      </x:c>
      <x:c r="M470" s="138" t="str"/>
      <x:c r="N470" s="137" t="str">
        <x:v>Current model BOM seed</x:v>
      </x:c>
      <x:c r="O470" s="137" t="str"/>
      <x:c r="P470" s="137" t="str">
        <x:v>To Confirm</x:v>
      </x:c>
      <x:c r="Q470" s="137" t="str"/>
    </x:row>
    <x:row r="471">
      <x:c r="A471" s="137" t="str">
        <x:v>BOM-00467</x:v>
      </x:c>
      <x:c r="B471" s="137" t="str">
        <x:v>SMART BOY (L) BLACK</x:v>
      </x:c>
      <x:c r="C471" s="137" t="str">
        <x:v>LACE</x:v>
      </x:c>
      <x:c r="D471" s="137" t="str">
        <x:v>6X10B</x:v>
      </x:c>
      <x:c r="E471" s="137" t="str">
        <x:v>CUTTING</x:v>
      </x:c>
      <x:c r="F471" s="137" t="str">
        <x:v>REXION 1.5MM FRENZY (HEAVY) BLACK||MTR</x:v>
      </x:c>
      <x:c r="G471" s="137" t="str">
        <x:v>REXION 1.5MM FRENZY (HEAVY) BLACK</x:v>
      </x:c>
      <x:c r="H471" s="137" t="str">
        <x:v>MTR</x:v>
      </x:c>
      <x:c r="I471" s="175" t="n">
        <x:v>0.130889</x:v>
      </x:c>
      <x:c r="J471" s="176" t="str"/>
      <x:c r="K471" s="177" t="str"/>
      <x:c r="L471" s="178" t="str">
        <x:f>IF(J471="","",J471*(1+IF(K471="",0,K471)) )</x:f>
      </x:c>
      <x:c r="M471" s="138" t="str"/>
      <x:c r="N471" s="137" t="str">
        <x:v>Current model BOM seed</x:v>
      </x:c>
      <x:c r="O471" s="137" t="str"/>
      <x:c r="P471" s="137" t="str">
        <x:v>To Confirm</x:v>
      </x:c>
      <x:c r="Q471" s="137" t="str"/>
    </x:row>
    <x:row r="472">
      <x:c r="A472" s="137" t="str">
        <x:v>BOM-00468</x:v>
      </x:c>
      <x:c r="B472" s="137" t="str">
        <x:v>SMART BOY (L) BLACK</x:v>
      </x:c>
      <x:c r="C472" s="137" t="str">
        <x:v>LACE</x:v>
      </x:c>
      <x:c r="D472" s="137" t="str">
        <x:v>6X10B</x:v>
      </x:c>
      <x:c r="E472" s="137" t="str">
        <x:v>CUTTING</x:v>
      </x:c>
      <x:c r="F472" s="137" t="str">
        <x:v>REXION 1.5MM FRENZY (LIGHT) BLACK||MTR</x:v>
      </x:c>
      <x:c r="G472" s="137" t="str">
        <x:v>REXION 1.5MM FRENZY (LIGHT) BLACK</x:v>
      </x:c>
      <x:c r="H472" s="137" t="str">
        <x:v>MTR</x:v>
      </x:c>
      <x:c r="I472" s="175" t="n">
        <x:v>0.03</x:v>
      </x:c>
      <x:c r="J472" s="176" t="str"/>
      <x:c r="K472" s="177" t="str"/>
      <x:c r="L472" s="178" t="str">
        <x:f>IF(J472="","",J472*(1+IF(K472="",0,K472)) )</x:f>
      </x:c>
      <x:c r="M472" s="138" t="str"/>
      <x:c r="N472" s="137" t="str">
        <x:v>Current model BOM seed</x:v>
      </x:c>
      <x:c r="O472" s="137" t="str"/>
      <x:c r="P472" s="137" t="str">
        <x:v>To Confirm</x:v>
      </x:c>
      <x:c r="Q472" s="137" t="str"/>
    </x:row>
    <x:row r="473">
      <x:c r="A473" s="137" t="str">
        <x:v>BOM-00469</x:v>
      </x:c>
      <x:c r="B473" s="137" t="str">
        <x:v>SMART BOY (L) BLACK</x:v>
      </x:c>
      <x:c r="C473" s="137" t="str">
        <x:v>LACE</x:v>
      </x:c>
      <x:c r="D473" s="137" t="str">
        <x:v>6X10B</x:v>
      </x:c>
      <x:c r="E473" s="137" t="str">
        <x:v>CUTTING</x:v>
      </x:c>
      <x:c r="F473" s="137" t="str">
        <x:v>ASTER BLACK HEAVY||MTR</x:v>
      </x:c>
      <x:c r="G473" s="137" t="str">
        <x:v>ASTER BLACK HEAVY</x:v>
      </x:c>
      <x:c r="H473" s="137" t="str">
        <x:v>MTR</x:v>
      </x:c>
      <x:c r="I473" s="175" t="n">
        <x:v>0.008133</x:v>
      </x:c>
      <x:c r="J473" s="176" t="str"/>
      <x:c r="K473" s="177" t="str"/>
      <x:c r="L473" s="178" t="str">
        <x:f>IF(J473="","",J473*(1+IF(K473="",0,K473)) )</x:f>
      </x:c>
      <x:c r="M473" s="138" t="str"/>
      <x:c r="N473" s="137" t="str">
        <x:v>Current model BOM seed</x:v>
      </x:c>
      <x:c r="O473" s="137" t="str"/>
      <x:c r="P473" s="137" t="str">
        <x:v>To Confirm</x:v>
      </x:c>
      <x:c r="Q473" s="137" t="str"/>
    </x:row>
    <x:row r="474">
      <x:c r="A474" s="137" t="str">
        <x:v>BOM-00470</x:v>
      </x:c>
      <x:c r="B474" s="137" t="str">
        <x:v>SMART BOY (L) BLACK</x:v>
      </x:c>
      <x:c r="C474" s="137" t="str">
        <x:v>LACE</x:v>
      </x:c>
      <x:c r="D474" s="137" t="str">
        <x:v>6X10B</x:v>
      </x:c>
      <x:c r="E474" s="137" t="str">
        <x:v>CUTTING</x:v>
      </x:c>
      <x:c r="F474" s="137" t="str">
        <x:v>INSOLE 4 MM BLACK||MTR</x:v>
      </x:c>
      <x:c r="G474" s="137" t="str">
        <x:v>INSOLE 4 MM BLACK</x:v>
      </x:c>
      <x:c r="H474" s="137" t="str">
        <x:v>MTR</x:v>
      </x:c>
      <x:c r="I474" s="175" t="n">
        <x:v>0.038483</x:v>
      </x:c>
      <x:c r="J474" s="176" t="str"/>
      <x:c r="K474" s="177" t="str"/>
      <x:c r="L474" s="178" t="str">
        <x:f>IF(J474="","",J474*(1+IF(K474="",0,K474)) )</x:f>
      </x:c>
      <x:c r="M474" s="138" t="str"/>
      <x:c r="N474" s="137" t="str">
        <x:v>Current model BOM seed</x:v>
      </x:c>
      <x:c r="O474" s="137" t="str"/>
      <x:c r="P474" s="137" t="str">
        <x:v>To Confirm</x:v>
      </x:c>
      <x:c r="Q474" s="137" t="str"/>
    </x:row>
    <x:row r="475">
      <x:c r="A475" s="137" t="str">
        <x:v>BOM-00471</x:v>
      </x:c>
      <x:c r="B475" s="137" t="str">
        <x:v>SMART BOY (L) BLACK</x:v>
      </x:c>
      <x:c r="C475" s="137" t="str">
        <x:v>LACE</x:v>
      </x:c>
      <x:c r="D475" s="137" t="str">
        <x:v>6X10B</x:v>
      </x:c>
      <x:c r="E475" s="137" t="str">
        <x:v>CUTTING</x:v>
      </x:c>
      <x:c r="F475" s="137" t="str">
        <x:v>ASTAR 3 MM black light||MTR</x:v>
      </x:c>
      <x:c r="G475" s="137" t="str">
        <x:v>ASTAR 3 MM black light</x:v>
      </x:c>
      <x:c r="H475" s="137" t="str">
        <x:v>MTR</x:v>
      </x:c>
      <x:c r="I475" s="175" t="n">
        <x:v>0.102867</x:v>
      </x:c>
      <x:c r="J475" s="176" t="str"/>
      <x:c r="K475" s="177" t="str"/>
      <x:c r="L475" s="178" t="str">
        <x:f>IF(J475="","",J475*(1+IF(K475="",0,K475)) )</x:f>
      </x:c>
      <x:c r="M475" s="138" t="str"/>
      <x:c r="N475" s="137" t="str">
        <x:v>Current model BOM seed</x:v>
      </x:c>
      <x:c r="O475" s="137" t="str"/>
      <x:c r="P475" s="137" t="str">
        <x:v>To Confirm</x:v>
      </x:c>
      <x:c r="Q475" s="137" t="str"/>
    </x:row>
    <x:row r="476">
      <x:c r="A476" s="137" t="str">
        <x:v>BOM-00472</x:v>
      </x:c>
      <x:c r="B476" s="137" t="str">
        <x:v>SMART BOY (L) BLACK</x:v>
      </x:c>
      <x:c r="C476" s="137" t="str">
        <x:v>LACE</x:v>
      </x:c>
      <x:c r="D476" s="137" t="str">
        <x:v>6X10B</x:v>
      </x:c>
      <x:c r="E476" s="137" t="str">
        <x:v>STITCHING</x:v>
      </x:c>
      <x:c r="F476" s="137" t="str">
        <x:v>Nylon Thread Black 3 Ply||CONE</x:v>
      </x:c>
      <x:c r="G476" s="137" t="str">
        <x:v>Nylon Thread Black 3 Ply</x:v>
      </x:c>
      <x:c r="H476" s="137" t="str">
        <x:v>CONE</x:v>
      </x:c>
      <x:c r="I476" s="175" t="n">
        <x:v>0.018</x:v>
      </x:c>
      <x:c r="J476" s="176" t="str"/>
      <x:c r="K476" s="177" t="str"/>
      <x:c r="L476" s="178" t="str">
        <x:f>IF(J476="","",J476*(1+IF(K476="",0,K476)) )</x:f>
      </x:c>
      <x:c r="M476" s="138" t="str"/>
      <x:c r="N476" s="137" t="str">
        <x:v>Current model BOM seed</x:v>
      </x:c>
      <x:c r="O476" s="137" t="str"/>
      <x:c r="P476" s="137" t="str">
        <x:v>To Confirm</x:v>
      </x:c>
      <x:c r="Q476" s="137" t="str"/>
    </x:row>
    <x:row r="477">
      <x:c r="A477" s="137" t="str">
        <x:v>BOM-00473</x:v>
      </x:c>
      <x:c r="B477" s="137" t="str">
        <x:v>SMART BOY (L) BLACK</x:v>
      </x:c>
      <x:c r="C477" s="137" t="str">
        <x:v>LACE</x:v>
      </x:c>
      <x:c r="D477" s="137" t="str">
        <x:v>6X10B</x:v>
      </x:c>
      <x:c r="E477" s="137" t="str">
        <x:v>STITCHING</x:v>
      </x:c>
      <x:c r="F477" s="137" t="str">
        <x:v>Cotton Thread Black||TUBE</x:v>
      </x:c>
      <x:c r="G477" s="137" t="str">
        <x:v>Cotton Thread Black</x:v>
      </x:c>
      <x:c r="H477" s="137" t="str">
        <x:v>TUBE</x:v>
      </x:c>
      <x:c r="I477" s="175" t="n">
        <x:v>0.002778</x:v>
      </x:c>
      <x:c r="J477" s="176" t="str"/>
      <x:c r="K477" s="177" t="str"/>
      <x:c r="L477" s="178" t="str">
        <x:f>IF(J477="","",J477*(1+IF(K477="",0,K477)) )</x:f>
      </x:c>
      <x:c r="M477" s="138" t="str"/>
      <x:c r="N477" s="137" t="str">
        <x:v>Current model BOM seed</x:v>
      </x:c>
      <x:c r="O477" s="137" t="str"/>
      <x:c r="P477" s="137" t="str">
        <x:v>To Confirm</x:v>
      </x:c>
      <x:c r="Q477" s="137" t="str"/>
    </x:row>
    <x:row r="478">
      <x:c r="A478" s="137" t="str">
        <x:v>BOM-00474</x:v>
      </x:c>
      <x:c r="B478" s="137" t="str">
        <x:v>SMART BOY (L) BLACK</x:v>
      </x:c>
      <x:c r="C478" s="137" t="str">
        <x:v>LACE</x:v>
      </x:c>
      <x:c r="D478" s="137" t="str">
        <x:v>6X10B</x:v>
      </x:c>
      <x:c r="E478" s="137" t="str">
        <x:v>STITCHING</x:v>
      </x:c>
      <x:c r="F478" s="137" t="str">
        <x:v>Nylon Binding Black 14mm||MTR</x:v>
      </x:c>
      <x:c r="G478" s="137" t="str">
        <x:v>Nylon Binding Black 14mm</x:v>
      </x:c>
      <x:c r="H478" s="137" t="str">
        <x:v>MTR</x:v>
      </x:c>
      <x:c r="I478" s="175" t="n">
        <x:v>1.45</x:v>
      </x:c>
      <x:c r="J478" s="176" t="str"/>
      <x:c r="K478" s="177" t="str"/>
      <x:c r="L478" s="178" t="str">
        <x:f>IF(J478="","",J478*(1+IF(K478="",0,K478)) )</x:f>
      </x:c>
      <x:c r="M478" s="138" t="str"/>
      <x:c r="N478" s="137" t="str">
        <x:v>Current model BOM seed</x:v>
      </x:c>
      <x:c r="O478" s="137" t="str"/>
      <x:c r="P478" s="137" t="str">
        <x:v>To Confirm</x:v>
      </x:c>
      <x:c r="Q478" s="137" t="str"/>
    </x:row>
    <x:row r="479">
      <x:c r="A479" s="137" t="str">
        <x:v>BOM-00475</x:v>
      </x:c>
      <x:c r="B479" s="137" t="str">
        <x:v>SMART BOY (L) BLACK</x:v>
      </x:c>
      <x:c r="C479" s="137" t="str">
        <x:v>LACE</x:v>
      </x:c>
      <x:c r="D479" s="137" t="str">
        <x:v>6X10B</x:v>
      </x:c>
      <x:c r="E479" s="137" t="str">
        <x:v>STITCHING</x:v>
      </x:c>
      <x:c r="F479" s="137" t="str">
        <x:v>PP Bag 18.5x31||PCS</x:v>
      </x:c>
      <x:c r="G479" s="137" t="str">
        <x:v>PP Bag 18.5x31</x:v>
      </x:c>
      <x:c r="H479" s="137" t="str">
        <x:v>PCS</x:v>
      </x:c>
      <x:c r="I479" s="175" t="n">
        <x:v>0.033333</x:v>
      </x:c>
      <x:c r="J479" s="176" t="str"/>
      <x:c r="K479" s="177" t="str"/>
      <x:c r="L479" s="178" t="str">
        <x:f>IF(J479="","",J479*(1+IF(K479="",0,K479)) )</x:f>
      </x:c>
      <x:c r="M479" s="138" t="str"/>
      <x:c r="N479" s="137" t="str">
        <x:v>Current model BOM seed</x:v>
      </x:c>
      <x:c r="O479" s="137" t="str"/>
      <x:c r="P479" s="137" t="str">
        <x:v>To Confirm</x:v>
      </x:c>
      <x:c r="Q479" s="137" t="str"/>
    </x:row>
    <x:row r="480">
      <x:c r="A480" s="137" t="str">
        <x:v>BOM-00476</x:v>
      </x:c>
      <x:c r="B480" s="137" t="str">
        <x:v>SMART BOY (L) BLACK</x:v>
      </x:c>
      <x:c r="C480" s="137" t="str">
        <x:v>LACE</x:v>
      </x:c>
      <x:c r="D480" s="137" t="str">
        <x:v>6X10B</x:v>
      </x:c>
      <x:c r="E480" s="137" t="str">
        <x:v>STITCHING</x:v>
      </x:c>
      <x:c r="F480" s="137" t="str">
        <x:v>tung label school shoe black big||PCS</x:v>
      </x:c>
      <x:c r="G480" s="137" t="str">
        <x:v>tung label school shoe black big</x:v>
      </x:c>
      <x:c r="H480" s="137" t="str">
        <x:v>PCS</x:v>
      </x:c>
      <x:c r="I480" s="175" t="n">
        <x:v>2</x:v>
      </x:c>
      <x:c r="J480" s="176" t="str"/>
      <x:c r="K480" s="177" t="str"/>
      <x:c r="L480" s="178" t="str">
        <x:f>IF(J480="","",J480*(1+IF(K480="",0,K480)) )</x:f>
      </x:c>
      <x:c r="M480" s="138" t="str"/>
      <x:c r="N480" s="137" t="str">
        <x:v>Current model BOM seed</x:v>
      </x:c>
      <x:c r="O480" s="137" t="str"/>
      <x:c r="P480" s="137" t="str">
        <x:v>To Confirm</x:v>
      </x:c>
      <x:c r="Q480" s="137" t="str"/>
    </x:row>
    <x:row r="481">
      <x:c r="A481" s="137" t="str">
        <x:v>BOM-00477</x:v>
      </x:c>
      <x:c r="B481" s="137" t="str">
        <x:v>SMART BOY (L) BLACK</x:v>
      </x:c>
      <x:c r="C481" s="137" t="str">
        <x:v>LACE</x:v>
      </x:c>
      <x:c r="D481" s="137" t="str">
        <x:v>6X10B</x:v>
      </x:c>
      <x:c r="E481" s="137" t="str">
        <x:v>STITCHING</x:v>
      </x:c>
      <x:c r="F481" s="137" t="str">
        <x:v>DOCTOR TAPE||MTR</x:v>
      </x:c>
      <x:c r="G481" s="137" t="str">
        <x:v>DOCTOR TAPE</x:v>
      </x:c>
      <x:c r="H481" s="137" t="str">
        <x:v>MTR</x:v>
      </x:c>
      <x:c r="I481" s="175" t="n">
        <x:v>0.05</x:v>
      </x:c>
      <x:c r="J481" s="176" t="str"/>
      <x:c r="K481" s="177" t="str"/>
      <x:c r="L481" s="178" t="str">
        <x:f>IF(J481="","",J481*(1+IF(K481="",0,K481)) )</x:f>
      </x:c>
      <x:c r="M481" s="138" t="str"/>
      <x:c r="N481" s="137" t="str">
        <x:v>Current model BOM seed</x:v>
      </x:c>
      <x:c r="O481" s="137" t="str"/>
      <x:c r="P481" s="137" t="str">
        <x:v>To Confirm</x:v>
      </x:c>
      <x:c r="Q481" s="137" t="str"/>
    </x:row>
    <x:row r="482">
      <x:c r="A482" s="137" t="str">
        <x:v>BOM-00478</x:v>
      </x:c>
      <x:c r="B482" s="137" t="str">
        <x:v>SMART BOY (L) WHITE</x:v>
      </x:c>
      <x:c r="C482" s="137" t="str">
        <x:v>LACE</x:v>
      </x:c>
      <x:c r="D482" s="137" t="str">
        <x:v>6X8</x:v>
      </x:c>
      <x:c r="E482" s="137" t="str">
        <x:v>CUTTING</x:v>
      </x:c>
      <x:c r="F482" s="137" t="str">
        <x:v>REXION 1.5MM FRENZY (HEAVY) WHITE||MTR</x:v>
      </x:c>
      <x:c r="G482" s="137" t="str">
        <x:v>REXION 1.5MM FRENZY (HEAVY) WHITE</x:v>
      </x:c>
      <x:c r="H482" s="137" t="str">
        <x:v>MTR</x:v>
      </x:c>
      <x:c r="I482" s="175" t="n">
        <x:v>0.065037</x:v>
      </x:c>
      <x:c r="J482" s="176" t="str"/>
      <x:c r="K482" s="177" t="str"/>
      <x:c r="L482" s="178" t="str">
        <x:f>IF(J482="","",J482*(1+IF(K482="",0,K482)) )</x:f>
      </x:c>
      <x:c r="M482" s="138" t="str"/>
      <x:c r="N482" s="137" t="str">
        <x:v>Current model BOM seed</x:v>
      </x:c>
      <x:c r="O482" s="137" t="str"/>
      <x:c r="P482" s="137" t="str">
        <x:v>To Confirm</x:v>
      </x:c>
      <x:c r="Q482" s="137" t="str"/>
    </x:row>
    <x:row r="483">
      <x:c r="A483" s="137" t="str">
        <x:v>BOM-00479</x:v>
      </x:c>
      <x:c r="B483" s="137" t="str">
        <x:v>SMART BOY (L) WHITE</x:v>
      </x:c>
      <x:c r="C483" s="137" t="str">
        <x:v>LACE</x:v>
      </x:c>
      <x:c r="D483" s="137" t="str">
        <x:v>6X8</x:v>
      </x:c>
      <x:c r="E483" s="137" t="str">
        <x:v>CUTTING</x:v>
      </x:c>
      <x:c r="F483" s="137" t="str">
        <x:v>REXION 1.5MM FRENZY (LIGHT) WHITE||MTR</x:v>
      </x:c>
      <x:c r="G483" s="137" t="str">
        <x:v>REXION 1.5MM FRENZY (LIGHT) WHITE</x:v>
      </x:c>
      <x:c r="H483" s="137" t="str">
        <x:v>MTR</x:v>
      </x:c>
      <x:c r="I483" s="175" t="n">
        <x:v>0.006667</x:v>
      </x:c>
      <x:c r="J483" s="176" t="str"/>
      <x:c r="K483" s="177" t="str"/>
      <x:c r="L483" s="178" t="str">
        <x:f>IF(J483="","",J483*(1+IF(K483="",0,K483)) )</x:f>
      </x:c>
      <x:c r="M483" s="138" t="str"/>
      <x:c r="N483" s="137" t="str">
        <x:v>Current model BOM seed</x:v>
      </x:c>
      <x:c r="O483" s="137" t="str"/>
      <x:c r="P483" s="137" t="str">
        <x:v>To Confirm</x:v>
      </x:c>
      <x:c r="Q483" s="137" t="str"/>
    </x:row>
    <x:row r="484">
      <x:c r="A484" s="137" t="str">
        <x:v>BOM-00480</x:v>
      </x:c>
      <x:c r="B484" s="137" t="str">
        <x:v>SMART BOY (L) WHITE</x:v>
      </x:c>
      <x:c r="C484" s="137" t="str">
        <x:v>LACE</x:v>
      </x:c>
      <x:c r="D484" s="137" t="str">
        <x:v>6X8</x:v>
      </x:c>
      <x:c r="E484" s="137" t="str">
        <x:v>CUTTING</x:v>
      </x:c>
      <x:c r="F484" s="137" t="str">
        <x:v>ASTER WHITE HEAVY||MTR</x:v>
      </x:c>
      <x:c r="G484" s="137" t="str">
        <x:v>ASTER WHITE HEAVY</x:v>
      </x:c>
      <x:c r="H484" s="137" t="str">
        <x:v>MTR</x:v>
      </x:c>
      <x:c r="I484" s="175" t="n">
        <x:v>0.0048</x:v>
      </x:c>
      <x:c r="J484" s="176" t="str"/>
      <x:c r="K484" s="177" t="str"/>
      <x:c r="L484" s="178" t="str">
        <x:f>IF(J484="","",J484*(1+IF(K484="",0,K484)) )</x:f>
      </x:c>
      <x:c r="M484" s="138" t="str"/>
      <x:c r="N484" s="137" t="str">
        <x:v>Current model BOM seed</x:v>
      </x:c>
      <x:c r="O484" s="137" t="str"/>
      <x:c r="P484" s="137" t="str">
        <x:v>To Confirm</x:v>
      </x:c>
      <x:c r="Q484" s="137" t="str"/>
    </x:row>
    <x:row r="485">
      <x:c r="A485" s="137" t="str">
        <x:v>BOM-00481</x:v>
      </x:c>
      <x:c r="B485" s="137" t="str">
        <x:v>SMART BOY (L) WHITE</x:v>
      </x:c>
      <x:c r="C485" s="137" t="str">
        <x:v>LACE</x:v>
      </x:c>
      <x:c r="D485" s="137" t="str">
        <x:v>6X8</x:v>
      </x:c>
      <x:c r="E485" s="137" t="str">
        <x:v>CUTTING</x:v>
      </x:c>
      <x:c r="F485" s="137" t="str">
        <x:v>INSOLE 4 MM WHITE||MTR</x:v>
      </x:c>
      <x:c r="G485" s="137" t="str">
        <x:v>INSOLE 4 MM WHITE</x:v>
      </x:c>
      <x:c r="H485" s="137" t="str">
        <x:v>MTR</x:v>
      </x:c>
      <x:c r="I485" s="175" t="n">
        <x:v>0.016897</x:v>
      </x:c>
      <x:c r="J485" s="176" t="str"/>
      <x:c r="K485" s="177" t="str"/>
      <x:c r="L485" s="178" t="str">
        <x:f>IF(J485="","",J485*(1+IF(K485="",0,K485)) )</x:f>
      </x:c>
      <x:c r="M485" s="138" t="str"/>
      <x:c r="N485" s="137" t="str">
        <x:v>Current model BOM seed</x:v>
      </x:c>
      <x:c r="O485" s="137" t="str"/>
      <x:c r="P485" s="137" t="str">
        <x:v>To Confirm</x:v>
      </x:c>
      <x:c r="Q485" s="137" t="str"/>
    </x:row>
    <x:row r="486">
      <x:c r="A486" s="137" t="str">
        <x:v>BOM-00482</x:v>
      </x:c>
      <x:c r="B486" s="137" t="str">
        <x:v>SMART BOY (L) WHITE</x:v>
      </x:c>
      <x:c r="C486" s="137" t="str">
        <x:v>LACE</x:v>
      </x:c>
      <x:c r="D486" s="137" t="str">
        <x:v>6X8</x:v>
      </x:c>
      <x:c r="E486" s="137" t="str">
        <x:v>STITCHING</x:v>
      </x:c>
      <x:c r="F486" s="137" t="str">
        <x:v>Nylon Thread WHITE 3 Ply||CONE</x:v>
      </x:c>
      <x:c r="G486" s="137" t="str">
        <x:v>Nylon Thread WHITE 3 Ply</x:v>
      </x:c>
      <x:c r="H486" s="137" t="str">
        <x:v>CONE</x:v>
      </x:c>
      <x:c r="I486" s="175" t="n">
        <x:v>0.011333</x:v>
      </x:c>
      <x:c r="J486" s="176" t="str"/>
      <x:c r="K486" s="177" t="str"/>
      <x:c r="L486" s="178" t="str">
        <x:f>IF(J486="","",J486*(1+IF(K486="",0,K486)) )</x:f>
      </x:c>
      <x:c r="M486" s="138" t="str"/>
      <x:c r="N486" s="137" t="str">
        <x:v>Current model BOM seed</x:v>
      </x:c>
      <x:c r="O486" s="137" t="str"/>
      <x:c r="P486" s="137" t="str">
        <x:v>To Confirm</x:v>
      </x:c>
      <x:c r="Q486" s="137" t="str"/>
    </x:row>
    <x:row r="487">
      <x:c r="A487" s="137" t="str">
        <x:v>BOM-00483</x:v>
      </x:c>
      <x:c r="B487" s="137" t="str">
        <x:v>SMART BOY (L) WHITE</x:v>
      </x:c>
      <x:c r="C487" s="137" t="str">
        <x:v>LACE</x:v>
      </x:c>
      <x:c r="D487" s="137" t="str">
        <x:v>6X8</x:v>
      </x:c>
      <x:c r="E487" s="137" t="str">
        <x:v>STITCHING</x:v>
      </x:c>
      <x:c r="F487" s="137" t="str">
        <x:v>Cotton Thread WHITE||TUBE</x:v>
      </x:c>
      <x:c r="G487" s="137" t="str">
        <x:v>Cotton Thread WHITE</x:v>
      </x:c>
      <x:c r="H487" s="137" t="str">
        <x:v>TUBE</x:v>
      </x:c>
      <x:c r="I487" s="175" t="n">
        <x:v>0.002222</x:v>
      </x:c>
      <x:c r="J487" s="176" t="str"/>
      <x:c r="K487" s="177" t="str"/>
      <x:c r="L487" s="178" t="str">
        <x:f>IF(J487="","",J487*(1+IF(K487="",0,K487)) )</x:f>
      </x:c>
      <x:c r="M487" s="138" t="str"/>
      <x:c r="N487" s="137" t="str">
        <x:v>Current model BOM seed</x:v>
      </x:c>
      <x:c r="O487" s="137" t="str"/>
      <x:c r="P487" s="137" t="str">
        <x:v>To Confirm</x:v>
      </x:c>
      <x:c r="Q487" s="137" t="str"/>
    </x:row>
    <x:row r="488">
      <x:c r="A488" s="137" t="str">
        <x:v>BOM-00484</x:v>
      </x:c>
      <x:c r="B488" s="137" t="str">
        <x:v>SMART BOY (L) WHITE</x:v>
      </x:c>
      <x:c r="C488" s="137" t="str">
        <x:v>LACE</x:v>
      </x:c>
      <x:c r="D488" s="137" t="str">
        <x:v>6X8</x:v>
      </x:c>
      <x:c r="E488" s="137" t="str">
        <x:v>STITCHING</x:v>
      </x:c>
      <x:c r="F488" s="137" t="str">
        <x:v>REXION Binding WHITE 14mm||MTR</x:v>
      </x:c>
      <x:c r="G488" s="137" t="str">
        <x:v>REXION Binding WHITE 14mm</x:v>
      </x:c>
      <x:c r="H488" s="137" t="str">
        <x:v>MTR</x:v>
      </x:c>
      <x:c r="I488" s="175" t="n">
        <x:v>1.1</x:v>
      </x:c>
      <x:c r="J488" s="176" t="str"/>
      <x:c r="K488" s="177" t="str"/>
      <x:c r="L488" s="178" t="str">
        <x:f>IF(J488="","",J488*(1+IF(K488="",0,K488)) )</x:f>
      </x:c>
      <x:c r="M488" s="138" t="str"/>
      <x:c r="N488" s="137" t="str">
        <x:v>Current model BOM seed</x:v>
      </x:c>
      <x:c r="O488" s="137" t="str"/>
      <x:c r="P488" s="137" t="str">
        <x:v>To Confirm</x:v>
      </x:c>
      <x:c r="Q488" s="137" t="str"/>
    </x:row>
    <x:row r="489">
      <x:c r="A489" s="137" t="str">
        <x:v>BOM-00485</x:v>
      </x:c>
      <x:c r="B489" s="137" t="str">
        <x:v>SMART BOY (L) WHITE</x:v>
      </x:c>
      <x:c r="C489" s="137" t="str">
        <x:v>LACE</x:v>
      </x:c>
      <x:c r="D489" s="137" t="str">
        <x:v>6X8</x:v>
      </x:c>
      <x:c r="E489" s="137" t="str">
        <x:v>STITCHING</x:v>
      </x:c>
      <x:c r="F489" s="137" t="str">
        <x:v>Lebel school shoe WHITE Small||PCS</x:v>
      </x:c>
      <x:c r="G489" s="137" t="str">
        <x:v>Lebel school shoe WHITE Small</x:v>
      </x:c>
      <x:c r="H489" s="137" t="str">
        <x:v>PCS</x:v>
      </x:c>
      <x:c r="I489" s="175" t="n">
        <x:v>2</x:v>
      </x:c>
      <x:c r="J489" s="176" t="str"/>
      <x:c r="K489" s="177" t="str"/>
      <x:c r="L489" s="178" t="str">
        <x:f>IF(J489="","",J489*(1+IF(K489="",0,K489)) )</x:f>
      </x:c>
      <x:c r="M489" s="138" t="str"/>
      <x:c r="N489" s="137" t="str">
        <x:v>Current model BOM seed</x:v>
      </x:c>
      <x:c r="O489" s="137" t="str"/>
      <x:c r="P489" s="137" t="str">
        <x:v>To Confirm</x:v>
      </x:c>
      <x:c r="Q489" s="137" t="str"/>
    </x:row>
    <x:row r="490">
      <x:c r="A490" s="137" t="str">
        <x:v>BOM-00486</x:v>
      </x:c>
      <x:c r="B490" s="137" t="str">
        <x:v>SMART BOY (L) WHITE</x:v>
      </x:c>
      <x:c r="C490" s="137" t="str">
        <x:v>LACE</x:v>
      </x:c>
      <x:c r="D490" s="137" t="str">
        <x:v>6X8</x:v>
      </x:c>
      <x:c r="E490" s="137" t="str">
        <x:v>STITCHING</x:v>
      </x:c>
      <x:c r="F490" s="137" t="str">
        <x:v>PP Bag 18.5x31||PCS</x:v>
      </x:c>
      <x:c r="G490" s="137" t="str">
        <x:v>PP Bag 18.5x31</x:v>
      </x:c>
      <x:c r="H490" s="137" t="str">
        <x:v>PCS</x:v>
      </x:c>
      <x:c r="I490" s="175" t="n">
        <x:v>0.033333</x:v>
      </x:c>
      <x:c r="J490" s="176" t="str"/>
      <x:c r="K490" s="177" t="str"/>
      <x:c r="L490" s="178" t="str">
        <x:f>IF(J490="","",J490*(1+IF(K490="",0,K490)) )</x:f>
      </x:c>
      <x:c r="M490" s="138" t="str"/>
      <x:c r="N490" s="137" t="str">
        <x:v>Current model BOM seed</x:v>
      </x:c>
      <x:c r="O490" s="137" t="str"/>
      <x:c r="P490" s="137" t="str">
        <x:v>To Confirm</x:v>
      </x:c>
      <x:c r="Q490" s="137" t="str"/>
    </x:row>
    <x:row r="491">
      <x:c r="A491" s="137" t="str">
        <x:v>BOM-00487</x:v>
      </x:c>
      <x:c r="B491" s="137" t="str">
        <x:v>SMART BOY (L) WHITE</x:v>
      </x:c>
      <x:c r="C491" s="137" t="str">
        <x:v>LACE</x:v>
      </x:c>
      <x:c r="D491" s="137" t="str">
        <x:v>6X8</x:v>
      </x:c>
      <x:c r="E491" s="137" t="str">
        <x:v>STITCHING</x:v>
      </x:c>
      <x:c r="F491" s="137" t="str">
        <x:v>DOCTOR TAPE||MTR</x:v>
      </x:c>
      <x:c r="G491" s="137" t="str">
        <x:v>DOCTOR TAPE</x:v>
      </x:c>
      <x:c r="H491" s="137" t="str">
        <x:v>MTR</x:v>
      </x:c>
      <x:c r="I491" s="175" t="n">
        <x:v>0.05</x:v>
      </x:c>
      <x:c r="J491" s="176" t="str"/>
      <x:c r="K491" s="177" t="str"/>
      <x:c r="L491" s="178" t="str">
        <x:f>IF(J491="","",J491*(1+IF(K491="",0,K491)) )</x:f>
      </x:c>
      <x:c r="M491" s="138" t="str"/>
      <x:c r="N491" s="137" t="str">
        <x:v>Current model BOM seed</x:v>
      </x:c>
      <x:c r="O491" s="137" t="str"/>
      <x:c r="P491" s="137" t="str">
        <x:v>To Confirm</x:v>
      </x:c>
      <x:c r="Q491" s="137" t="str"/>
    </x:row>
    <x:row r="492">
      <x:c r="A492" s="137" t="str">
        <x:v>BOM-00488</x:v>
      </x:c>
      <x:c r="B492" s="137" t="str">
        <x:v>SMART BOY (L) WHITE</x:v>
      </x:c>
      <x:c r="C492" s="137" t="str">
        <x:v>LACE</x:v>
      </x:c>
      <x:c r="D492" s="137" t="str">
        <x:v>9X11</x:v>
      </x:c>
      <x:c r="E492" s="137" t="str">
        <x:v>CUTTING</x:v>
      </x:c>
      <x:c r="F492" s="137" t="str">
        <x:v>REXION 1.5MM FRENZY (HEAVY) WHITE||MTR</x:v>
      </x:c>
      <x:c r="G492" s="137" t="str">
        <x:v>REXION 1.5MM FRENZY (HEAVY) WHITE</x:v>
      </x:c>
      <x:c r="H492" s="137" t="str">
        <x:v>MTR</x:v>
      </x:c>
      <x:c r="I492" s="175" t="n">
        <x:v>0.076296</x:v>
      </x:c>
      <x:c r="J492" s="176" t="str"/>
      <x:c r="K492" s="177" t="str"/>
      <x:c r="L492" s="178" t="str">
        <x:f>IF(J492="","",J492*(1+IF(K492="",0,K492)) )</x:f>
      </x:c>
      <x:c r="M492" s="138" t="str"/>
      <x:c r="N492" s="137" t="str">
        <x:v>Current model BOM seed</x:v>
      </x:c>
      <x:c r="O492" s="137" t="str"/>
      <x:c r="P492" s="137" t="str">
        <x:v>To Confirm</x:v>
      </x:c>
      <x:c r="Q492" s="137" t="str"/>
    </x:row>
    <x:row r="493">
      <x:c r="A493" s="137" t="str">
        <x:v>BOM-00489</x:v>
      </x:c>
      <x:c r="B493" s="137" t="str">
        <x:v>SMART BOY (L) WHITE</x:v>
      </x:c>
      <x:c r="C493" s="137" t="str">
        <x:v>LACE</x:v>
      </x:c>
      <x:c r="D493" s="137" t="str">
        <x:v>9X11</x:v>
      </x:c>
      <x:c r="E493" s="137" t="str">
        <x:v>CUTTING</x:v>
      </x:c>
      <x:c r="F493" s="137" t="str">
        <x:v>REXION 1.5MM FRENZY (LIGHT) WHITE||MTR</x:v>
      </x:c>
      <x:c r="G493" s="137" t="str">
        <x:v>REXION 1.5MM FRENZY (LIGHT) WHITE</x:v>
      </x:c>
      <x:c r="H493" s="137" t="str">
        <x:v>MTR</x:v>
      </x:c>
      <x:c r="I493" s="175" t="n">
        <x:v>0.017037</x:v>
      </x:c>
      <x:c r="J493" s="176" t="str"/>
      <x:c r="K493" s="177" t="str"/>
      <x:c r="L493" s="178" t="str">
        <x:f>IF(J493="","",J493*(1+IF(K493="",0,K493)) )</x:f>
      </x:c>
      <x:c r="M493" s="138" t="str"/>
      <x:c r="N493" s="137" t="str">
        <x:v>Current model BOM seed</x:v>
      </x:c>
      <x:c r="O493" s="137" t="str"/>
      <x:c r="P493" s="137" t="str">
        <x:v>To Confirm</x:v>
      </x:c>
      <x:c r="Q493" s="137" t="str"/>
    </x:row>
    <x:row r="494">
      <x:c r="A494" s="137" t="str">
        <x:v>BOM-00490</x:v>
      </x:c>
      <x:c r="B494" s="137" t="str">
        <x:v>SMART BOY (L) WHITE</x:v>
      </x:c>
      <x:c r="C494" s="137" t="str">
        <x:v>LACE</x:v>
      </x:c>
      <x:c r="D494" s="137" t="str">
        <x:v>9X11</x:v>
      </x:c>
      <x:c r="E494" s="137" t="str">
        <x:v>CUTTING</x:v>
      </x:c>
      <x:c r="F494" s="137" t="str">
        <x:v>ASTER WHITE HEAVY||MTR</x:v>
      </x:c>
      <x:c r="G494" s="137" t="str">
        <x:v>ASTER WHITE HEAVY</x:v>
      </x:c>
      <x:c r="H494" s="137" t="str">
        <x:v>MTR</x:v>
      </x:c>
      <x:c r="I494" s="175" t="n">
        <x:v>0.005133</x:v>
      </x:c>
      <x:c r="J494" s="176" t="str"/>
      <x:c r="K494" s="177" t="str"/>
      <x:c r="L494" s="178" t="str">
        <x:f>IF(J494="","",J494*(1+IF(K494="",0,K494)) )</x:f>
      </x:c>
      <x:c r="M494" s="138" t="str"/>
      <x:c r="N494" s="137" t="str">
        <x:v>Current model BOM seed</x:v>
      </x:c>
      <x:c r="O494" s="137" t="str"/>
      <x:c r="P494" s="137" t="str">
        <x:v>To Confirm</x:v>
      </x:c>
      <x:c r="Q494" s="137" t="str"/>
    </x:row>
    <x:row r="495">
      <x:c r="A495" s="137" t="str">
        <x:v>BOM-00491</x:v>
      </x:c>
      <x:c r="B495" s="137" t="str">
        <x:v>SMART BOY (L) WHITE</x:v>
      </x:c>
      <x:c r="C495" s="137" t="str">
        <x:v>LACE</x:v>
      </x:c>
      <x:c r="D495" s="137" t="str">
        <x:v>9X11</x:v>
      </x:c>
      <x:c r="E495" s="137" t="str">
        <x:v>CUTTING</x:v>
      </x:c>
      <x:c r="F495" s="137" t="str">
        <x:v>INSOLE 4 MM WHITE||MTR</x:v>
      </x:c>
      <x:c r="G495" s="137" t="str">
        <x:v>INSOLE 4 MM WHITE</x:v>
      </x:c>
      <x:c r="H495" s="137" t="str">
        <x:v>MTR</x:v>
      </x:c>
      <x:c r="I495" s="175" t="n">
        <x:v>0.020207</x:v>
      </x:c>
      <x:c r="J495" s="176" t="str"/>
      <x:c r="K495" s="177" t="str"/>
      <x:c r="L495" s="178" t="str">
        <x:f>IF(J495="","",J495*(1+IF(K495="",0,K495)) )</x:f>
      </x:c>
      <x:c r="M495" s="138" t="str"/>
      <x:c r="N495" s="137" t="str">
        <x:v>Current model BOM seed</x:v>
      </x:c>
      <x:c r="O495" s="137" t="str"/>
      <x:c r="P495" s="137" t="str">
        <x:v>To Confirm</x:v>
      </x:c>
      <x:c r="Q495" s="137" t="str"/>
    </x:row>
    <x:row r="496">
      <x:c r="A496" s="137" t="str">
        <x:v>BOM-00492</x:v>
      </x:c>
      <x:c r="B496" s="137" t="str">
        <x:v>SMART BOY (L) WHITE</x:v>
      </x:c>
      <x:c r="C496" s="137" t="str">
        <x:v>LACE</x:v>
      </x:c>
      <x:c r="D496" s="137" t="str">
        <x:v>9X11</x:v>
      </x:c>
      <x:c r="E496" s="137" t="str">
        <x:v>STITCHING</x:v>
      </x:c>
      <x:c r="F496" s="137" t="str">
        <x:v>Nylon Thread WHITE 3 Ply||CONE</x:v>
      </x:c>
      <x:c r="G496" s="137" t="str">
        <x:v>Nylon Thread WHITE 3 Ply</x:v>
      </x:c>
      <x:c r="H496" s="137" t="str">
        <x:v>CONE</x:v>
      </x:c>
      <x:c r="I496" s="175" t="n">
        <x:v>0.012667</x:v>
      </x:c>
      <x:c r="J496" s="176" t="str"/>
      <x:c r="K496" s="177" t="str"/>
      <x:c r="L496" s="178" t="str">
        <x:f>IF(J496="","",J496*(1+IF(K496="",0,K496)) )</x:f>
      </x:c>
      <x:c r="M496" s="138" t="str"/>
      <x:c r="N496" s="137" t="str">
        <x:v>Current model BOM seed</x:v>
      </x:c>
      <x:c r="O496" s="137" t="str"/>
      <x:c r="P496" s="137" t="str">
        <x:v>To Confirm</x:v>
      </x:c>
      <x:c r="Q496" s="137" t="str"/>
    </x:row>
    <x:row r="497">
      <x:c r="A497" s="137" t="str">
        <x:v>BOM-00493</x:v>
      </x:c>
      <x:c r="B497" s="137" t="str">
        <x:v>SMART BOY (L) WHITE</x:v>
      </x:c>
      <x:c r="C497" s="137" t="str">
        <x:v>LACE</x:v>
      </x:c>
      <x:c r="D497" s="137" t="str">
        <x:v>9X11</x:v>
      </x:c>
      <x:c r="E497" s="137" t="str">
        <x:v>STITCHING</x:v>
      </x:c>
      <x:c r="F497" s="137" t="str">
        <x:v>Cotton Thread WHITE||TUBE</x:v>
      </x:c>
      <x:c r="G497" s="137" t="str">
        <x:v>Cotton Thread WHITE</x:v>
      </x:c>
      <x:c r="H497" s="137" t="str">
        <x:v>TUBE</x:v>
      </x:c>
      <x:c r="I497" s="175" t="n">
        <x:v>0.002222</x:v>
      </x:c>
      <x:c r="J497" s="176" t="str"/>
      <x:c r="K497" s="177" t="str"/>
      <x:c r="L497" s="178" t="str">
        <x:f>IF(J497="","",J497*(1+IF(K497="",0,K497)) )</x:f>
      </x:c>
      <x:c r="M497" s="138" t="str"/>
      <x:c r="N497" s="137" t="str">
        <x:v>Current model BOM seed</x:v>
      </x:c>
      <x:c r="O497" s="137" t="str"/>
      <x:c r="P497" s="137" t="str">
        <x:v>To Confirm</x:v>
      </x:c>
      <x:c r="Q497" s="137" t="str"/>
    </x:row>
    <x:row r="498">
      <x:c r="A498" s="137" t="str">
        <x:v>BOM-00494</x:v>
      </x:c>
      <x:c r="B498" s="137" t="str">
        <x:v>SMART BOY (L) WHITE</x:v>
      </x:c>
      <x:c r="C498" s="137" t="str">
        <x:v>LACE</x:v>
      </x:c>
      <x:c r="D498" s="137" t="str">
        <x:v>9X11</x:v>
      </x:c>
      <x:c r="E498" s="137" t="str">
        <x:v>STITCHING</x:v>
      </x:c>
      <x:c r="F498" s="137" t="str">
        <x:v>REXION Binding WHITE 14mm||MTR</x:v>
      </x:c>
      <x:c r="G498" s="137" t="str">
        <x:v>REXION Binding WHITE 14mm</x:v>
      </x:c>
      <x:c r="H498" s="137" t="str">
        <x:v>MTR</x:v>
      </x:c>
      <x:c r="I498" s="175" t="n">
        <x:v>1.17</x:v>
      </x:c>
      <x:c r="J498" s="176" t="str"/>
      <x:c r="K498" s="177" t="str"/>
      <x:c r="L498" s="178" t="str">
        <x:f>IF(J498="","",J498*(1+IF(K498="",0,K498)) )</x:f>
      </x:c>
      <x:c r="M498" s="138" t="str"/>
      <x:c r="N498" s="137" t="str">
        <x:v>Current model BOM seed</x:v>
      </x:c>
      <x:c r="O498" s="137" t="str"/>
      <x:c r="P498" s="137" t="str">
        <x:v>To Confirm</x:v>
      </x:c>
      <x:c r="Q498" s="137" t="str"/>
    </x:row>
    <x:row r="499">
      <x:c r="A499" s="137" t="str">
        <x:v>BOM-00495</x:v>
      </x:c>
      <x:c r="B499" s="137" t="str">
        <x:v>SMART BOY (L) WHITE</x:v>
      </x:c>
      <x:c r="C499" s="137" t="str">
        <x:v>LACE</x:v>
      </x:c>
      <x:c r="D499" s="137" t="str">
        <x:v>9X11</x:v>
      </x:c>
      <x:c r="E499" s="137" t="str">
        <x:v>STITCHING</x:v>
      </x:c>
      <x:c r="F499" s="137" t="str">
        <x:v>Lebel school shoe WHITE Small||PCS</x:v>
      </x:c>
      <x:c r="G499" s="137" t="str">
        <x:v>Lebel school shoe WHITE Small</x:v>
      </x:c>
      <x:c r="H499" s="137" t="str">
        <x:v>PCS</x:v>
      </x:c>
      <x:c r="I499" s="175" t="n">
        <x:v>2</x:v>
      </x:c>
      <x:c r="J499" s="176" t="str"/>
      <x:c r="K499" s="177" t="str"/>
      <x:c r="L499" s="178" t="str">
        <x:f>IF(J499="","",J499*(1+IF(K499="",0,K499)) )</x:f>
      </x:c>
      <x:c r="M499" s="138" t="str"/>
      <x:c r="N499" s="137" t="str">
        <x:v>Current model BOM seed</x:v>
      </x:c>
      <x:c r="O499" s="137" t="str"/>
      <x:c r="P499" s="137" t="str">
        <x:v>To Confirm</x:v>
      </x:c>
      <x:c r="Q499" s="137" t="str"/>
    </x:row>
    <x:row r="500">
      <x:c r="A500" s="137" t="str">
        <x:v>BOM-00496</x:v>
      </x:c>
      <x:c r="B500" s="137" t="str">
        <x:v>SMART BOY (L) WHITE</x:v>
      </x:c>
      <x:c r="C500" s="137" t="str">
        <x:v>LACE</x:v>
      </x:c>
      <x:c r="D500" s="137" t="str">
        <x:v>9X11</x:v>
      </x:c>
      <x:c r="E500" s="137" t="str">
        <x:v>STITCHING</x:v>
      </x:c>
      <x:c r="F500" s="137" t="str">
        <x:v>PP Bag 18.5x31||PCS</x:v>
      </x:c>
      <x:c r="G500" s="137" t="str">
        <x:v>PP Bag 18.5x31</x:v>
      </x:c>
      <x:c r="H500" s="137" t="str">
        <x:v>PCS</x:v>
      </x:c>
      <x:c r="I500" s="175" t="n">
        <x:v>0.033333</x:v>
      </x:c>
      <x:c r="J500" s="176" t="str"/>
      <x:c r="K500" s="177" t="str"/>
      <x:c r="L500" s="178" t="str">
        <x:f>IF(J500="","",J500*(1+IF(K500="",0,K500)) )</x:f>
      </x:c>
      <x:c r="M500" s="138" t="str"/>
      <x:c r="N500" s="137" t="str">
        <x:v>Current model BOM seed</x:v>
      </x:c>
      <x:c r="O500" s="137" t="str"/>
      <x:c r="P500" s="137" t="str">
        <x:v>To Confirm</x:v>
      </x:c>
      <x:c r="Q500" s="137" t="str"/>
    </x:row>
    <x:row r="501">
      <x:c r="A501" s="137" t="str">
        <x:v>BOM-00497</x:v>
      </x:c>
      <x:c r="B501" s="137" t="str">
        <x:v>SMART BOY (L) WHITE</x:v>
      </x:c>
      <x:c r="C501" s="137" t="str">
        <x:v>LACE</x:v>
      </x:c>
      <x:c r="D501" s="137" t="str">
        <x:v>9X11</x:v>
      </x:c>
      <x:c r="E501" s="137" t="str">
        <x:v>STITCHING</x:v>
      </x:c>
      <x:c r="F501" s="137" t="str">
        <x:v>DOCTOR TAPE||MTR</x:v>
      </x:c>
      <x:c r="G501" s="137" t="str">
        <x:v>DOCTOR TAPE</x:v>
      </x:c>
      <x:c r="H501" s="137" t="str">
        <x:v>MTR</x:v>
      </x:c>
      <x:c r="I501" s="175" t="n">
        <x:v>0.05</x:v>
      </x:c>
      <x:c r="J501" s="176" t="str"/>
      <x:c r="K501" s="177" t="str"/>
      <x:c r="L501" s="178" t="str">
        <x:f>IF(J501="","",J501*(1+IF(K501="",0,K501)) )</x:f>
      </x:c>
      <x:c r="M501" s="138" t="str"/>
      <x:c r="N501" s="137" t="str">
        <x:v>Current model BOM seed</x:v>
      </x:c>
      <x:c r="O501" s="137" t="str"/>
      <x:c r="P501" s="137" t="str">
        <x:v>To Confirm</x:v>
      </x:c>
      <x:c r="Q501" s="137" t="str"/>
    </x:row>
    <x:row r="502">
      <x:c r="A502" s="137" t="str">
        <x:v>BOM-00498</x:v>
      </x:c>
      <x:c r="B502" s="137" t="str">
        <x:v>SMART BOY (L) WHITE</x:v>
      </x:c>
      <x:c r="C502" s="137" t="str">
        <x:v>LACE</x:v>
      </x:c>
      <x:c r="D502" s="137" t="str">
        <x:v>12X1</x:v>
      </x:c>
      <x:c r="E502" s="137" t="str">
        <x:v>CUTTING</x:v>
      </x:c>
      <x:c r="F502" s="137" t="str">
        <x:v>REXION 1.5MM FRENZY (HEAVY) WHITE||MTR</x:v>
      </x:c>
      <x:c r="G502" s="137" t="str">
        <x:v>REXION 1.5MM FRENZY (HEAVY) WHITE</x:v>
      </x:c>
      <x:c r="H502" s="137" t="str">
        <x:v>MTR</x:v>
      </x:c>
      <x:c r="I502" s="175" t="n">
        <x:v>0.094741</x:v>
      </x:c>
      <x:c r="J502" s="176" t="str"/>
      <x:c r="K502" s="177" t="str"/>
      <x:c r="L502" s="178" t="str">
        <x:f>IF(J502="","",J502*(1+IF(K502="",0,K502)) )</x:f>
      </x:c>
      <x:c r="M502" s="138" t="str"/>
      <x:c r="N502" s="137" t="str">
        <x:v>Current model BOM seed</x:v>
      </x:c>
      <x:c r="O502" s="137" t="str"/>
      <x:c r="P502" s="137" t="str">
        <x:v>To Confirm</x:v>
      </x:c>
      <x:c r="Q502" s="137" t="str"/>
    </x:row>
    <x:row r="503">
      <x:c r="A503" s="137" t="str">
        <x:v>BOM-00499</x:v>
      </x:c>
      <x:c r="B503" s="137" t="str">
        <x:v>SMART BOY (L) WHITE</x:v>
      </x:c>
      <x:c r="C503" s="137" t="str">
        <x:v>LACE</x:v>
      </x:c>
      <x:c r="D503" s="137" t="str">
        <x:v>12X1</x:v>
      </x:c>
      <x:c r="E503" s="137" t="str">
        <x:v>CUTTING</x:v>
      </x:c>
      <x:c r="F503" s="137" t="str">
        <x:v>REXION 1.5MM FRENZY (LIGHT) WHITE||MTR</x:v>
      </x:c>
      <x:c r="G503" s="137" t="str">
        <x:v>REXION 1.5MM FRENZY (LIGHT) WHITE</x:v>
      </x:c>
      <x:c r="H503" s="137" t="str">
        <x:v>MTR</x:v>
      </x:c>
      <x:c r="I503" s="175" t="n">
        <x:v>0.019407</x:v>
      </x:c>
      <x:c r="J503" s="176" t="str"/>
      <x:c r="K503" s="177" t="str"/>
      <x:c r="L503" s="178" t="str">
        <x:f>IF(J503="","",J503*(1+IF(K503="",0,K503)) )</x:f>
      </x:c>
      <x:c r="M503" s="138" t="str"/>
      <x:c r="N503" s="137" t="str">
        <x:v>Current model BOM seed</x:v>
      </x:c>
      <x:c r="O503" s="137" t="str"/>
      <x:c r="P503" s="137" t="str">
        <x:v>To Confirm</x:v>
      </x:c>
      <x:c r="Q503" s="137" t="str"/>
    </x:row>
    <x:row r="504">
      <x:c r="A504" s="137" t="str">
        <x:v>BOM-00500</x:v>
      </x:c>
      <x:c r="B504" s="137" t="str">
        <x:v>SMART BOY (L) WHITE</x:v>
      </x:c>
      <x:c r="C504" s="137" t="str">
        <x:v>LACE</x:v>
      </x:c>
      <x:c r="D504" s="137" t="str">
        <x:v>12X1</x:v>
      </x:c>
      <x:c r="E504" s="137" t="str">
        <x:v>CUTTING</x:v>
      </x:c>
      <x:c r="F504" s="137" t="str">
        <x:v>ASTER WHITE HEAVY||MTR</x:v>
      </x:c>
      <x:c r="G504" s="137" t="str">
        <x:v>ASTER WHITE HEAVY</x:v>
      </x:c>
      <x:c r="H504" s="137" t="str">
        <x:v>MTR</x:v>
      </x:c>
      <x:c r="I504" s="175" t="n">
        <x:v>0.005933</x:v>
      </x:c>
      <x:c r="J504" s="176" t="str"/>
      <x:c r="K504" s="177" t="str"/>
      <x:c r="L504" s="178" t="str">
        <x:f>IF(J504="","",J504*(1+IF(K504="",0,K504)) )</x:f>
      </x:c>
      <x:c r="M504" s="138" t="str"/>
      <x:c r="N504" s="137" t="str">
        <x:v>Current model BOM seed</x:v>
      </x:c>
      <x:c r="O504" s="137" t="str"/>
      <x:c r="P504" s="137" t="str">
        <x:v>To Confirm</x:v>
      </x:c>
      <x:c r="Q504" s="137" t="str"/>
    </x:row>
    <x:row r="505">
      <x:c r="A505" s="137" t="str">
        <x:v>BOM-00501</x:v>
      </x:c>
      <x:c r="B505" s="137" t="str">
        <x:v>SMART BOY (L) WHITE</x:v>
      </x:c>
      <x:c r="C505" s="137" t="str">
        <x:v>LACE</x:v>
      </x:c>
      <x:c r="D505" s="137" t="str">
        <x:v>12X1</x:v>
      </x:c>
      <x:c r="E505" s="137" t="str">
        <x:v>CUTTING</x:v>
      </x:c>
      <x:c r="F505" s="137" t="str">
        <x:v>INSOLE 4 MM WHITE||MTR</x:v>
      </x:c>
      <x:c r="G505" s="137" t="str">
        <x:v>INSOLE 4 MM WHITE</x:v>
      </x:c>
      <x:c r="H505" s="137" t="str">
        <x:v>MTR</x:v>
      </x:c>
      <x:c r="I505" s="175" t="n">
        <x:v>0.022207</x:v>
      </x:c>
      <x:c r="J505" s="176" t="str"/>
      <x:c r="K505" s="177" t="str"/>
      <x:c r="L505" s="178" t="str">
        <x:f>IF(J505="","",J505*(1+IF(K505="",0,K505)) )</x:f>
      </x:c>
      <x:c r="M505" s="138" t="str"/>
      <x:c r="N505" s="137" t="str">
        <x:v>Current model BOM seed</x:v>
      </x:c>
      <x:c r="O505" s="137" t="str"/>
      <x:c r="P505" s="137" t="str">
        <x:v>To Confirm</x:v>
      </x:c>
      <x:c r="Q505" s="137" t="str"/>
    </x:row>
    <x:row r="506">
      <x:c r="A506" s="137" t="str">
        <x:v>BOM-00502</x:v>
      </x:c>
      <x:c r="B506" s="137" t="str">
        <x:v>SMART BOY (L) WHITE</x:v>
      </x:c>
      <x:c r="C506" s="137" t="str">
        <x:v>LACE</x:v>
      </x:c>
      <x:c r="D506" s="137" t="str">
        <x:v>12X1</x:v>
      </x:c>
      <x:c r="E506" s="137" t="str">
        <x:v>STITCHING</x:v>
      </x:c>
      <x:c r="F506" s="137" t="str">
        <x:v>Nylon Thread WHITE 3 Ply||CONE</x:v>
      </x:c>
      <x:c r="G506" s="137" t="str">
        <x:v>Nylon Thread WHITE 3 Ply</x:v>
      </x:c>
      <x:c r="H506" s="137" t="str">
        <x:v>CONE</x:v>
      </x:c>
      <x:c r="I506" s="175" t="n">
        <x:v>0.012667</x:v>
      </x:c>
      <x:c r="J506" s="176" t="str"/>
      <x:c r="K506" s="177" t="str"/>
      <x:c r="L506" s="178" t="str">
        <x:f>IF(J506="","",J506*(1+IF(K506="",0,K506)) )</x:f>
      </x:c>
      <x:c r="M506" s="138" t="str"/>
      <x:c r="N506" s="137" t="str">
        <x:v>Current model BOM seed</x:v>
      </x:c>
      <x:c r="O506" s="137" t="str"/>
      <x:c r="P506" s="137" t="str">
        <x:v>To Confirm</x:v>
      </x:c>
      <x:c r="Q506" s="137" t="str"/>
    </x:row>
    <x:row r="507">
      <x:c r="A507" s="137" t="str">
        <x:v>BOM-00503</x:v>
      </x:c>
      <x:c r="B507" s="137" t="str">
        <x:v>SMART BOY (L) WHITE</x:v>
      </x:c>
      <x:c r="C507" s="137" t="str">
        <x:v>LACE</x:v>
      </x:c>
      <x:c r="D507" s="137" t="str">
        <x:v>12X1</x:v>
      </x:c>
      <x:c r="E507" s="137" t="str">
        <x:v>STITCHING</x:v>
      </x:c>
      <x:c r="F507" s="137" t="str">
        <x:v>Cotton Thread WHITE||TUBE</x:v>
      </x:c>
      <x:c r="G507" s="137" t="str">
        <x:v>Cotton Thread WHITE</x:v>
      </x:c>
      <x:c r="H507" s="137" t="str">
        <x:v>TUBE</x:v>
      </x:c>
      <x:c r="I507" s="175" t="n">
        <x:v>0.002222</x:v>
      </x:c>
      <x:c r="J507" s="176" t="str"/>
      <x:c r="K507" s="177" t="str"/>
      <x:c r="L507" s="178" t="str">
        <x:f>IF(J507="","",J507*(1+IF(K507="",0,K507)) )</x:f>
      </x:c>
      <x:c r="M507" s="138" t="str"/>
      <x:c r="N507" s="137" t="str">
        <x:v>Current model BOM seed</x:v>
      </x:c>
      <x:c r="O507" s="137" t="str"/>
      <x:c r="P507" s="137" t="str">
        <x:v>To Confirm</x:v>
      </x:c>
      <x:c r="Q507" s="137" t="str"/>
    </x:row>
    <x:row r="508">
      <x:c r="A508" s="137" t="str">
        <x:v>BOM-00504</x:v>
      </x:c>
      <x:c r="B508" s="137" t="str">
        <x:v>SMART BOY (L) WHITE</x:v>
      </x:c>
      <x:c r="C508" s="137" t="str">
        <x:v>LACE</x:v>
      </x:c>
      <x:c r="D508" s="137" t="str">
        <x:v>12X1</x:v>
      </x:c>
      <x:c r="E508" s="137" t="str">
        <x:v>STITCHING</x:v>
      </x:c>
      <x:c r="F508" s="137" t="str">
        <x:v>REXION Binding WHITE 14mm||MTR</x:v>
      </x:c>
      <x:c r="G508" s="137" t="str">
        <x:v>REXION Binding WHITE 14mm</x:v>
      </x:c>
      <x:c r="H508" s="137" t="str">
        <x:v>MTR</x:v>
      </x:c>
      <x:c r="I508" s="175" t="n">
        <x:v>1.17</x:v>
      </x:c>
      <x:c r="J508" s="176" t="str"/>
      <x:c r="K508" s="177" t="str"/>
      <x:c r="L508" s="178" t="str">
        <x:f>IF(J508="","",J508*(1+IF(K508="",0,K508)) )</x:f>
      </x:c>
      <x:c r="M508" s="138" t="str"/>
      <x:c r="N508" s="137" t="str">
        <x:v>Current model BOM seed</x:v>
      </x:c>
      <x:c r="O508" s="137" t="str"/>
      <x:c r="P508" s="137" t="str">
        <x:v>To Confirm</x:v>
      </x:c>
      <x:c r="Q508" s="137" t="str"/>
    </x:row>
    <x:row r="509">
      <x:c r="A509" s="137" t="str">
        <x:v>BOM-00505</x:v>
      </x:c>
      <x:c r="B509" s="137" t="str">
        <x:v>SMART BOY (L) WHITE</x:v>
      </x:c>
      <x:c r="C509" s="137" t="str">
        <x:v>LACE</x:v>
      </x:c>
      <x:c r="D509" s="137" t="str">
        <x:v>12X1</x:v>
      </x:c>
      <x:c r="E509" s="137" t="str">
        <x:v>STITCHING</x:v>
      </x:c>
      <x:c r="F509" s="137" t="str">
        <x:v>Lebel school shoe WHITE Small||PCS</x:v>
      </x:c>
      <x:c r="G509" s="137" t="str">
        <x:v>Lebel school shoe WHITE Small</x:v>
      </x:c>
      <x:c r="H509" s="137" t="str">
        <x:v>PCS</x:v>
      </x:c>
      <x:c r="I509" s="175" t="n">
        <x:v>2</x:v>
      </x:c>
      <x:c r="J509" s="176" t="str"/>
      <x:c r="K509" s="177" t="str"/>
      <x:c r="L509" s="178" t="str">
        <x:f>IF(J509="","",J509*(1+IF(K509="",0,K509)) )</x:f>
      </x:c>
      <x:c r="M509" s="138" t="str"/>
      <x:c r="N509" s="137" t="str">
        <x:v>Current model BOM seed</x:v>
      </x:c>
      <x:c r="O509" s="137" t="str"/>
      <x:c r="P509" s="137" t="str">
        <x:v>To Confirm</x:v>
      </x:c>
      <x:c r="Q509" s="137" t="str"/>
    </x:row>
    <x:row r="510">
      <x:c r="A510" s="137" t="str">
        <x:v>BOM-00506</x:v>
      </x:c>
      <x:c r="B510" s="137" t="str">
        <x:v>SMART BOY (L) WHITE</x:v>
      </x:c>
      <x:c r="C510" s="137" t="str">
        <x:v>LACE</x:v>
      </x:c>
      <x:c r="D510" s="137" t="str">
        <x:v>12X1</x:v>
      </x:c>
      <x:c r="E510" s="137" t="str">
        <x:v>STITCHING</x:v>
      </x:c>
      <x:c r="F510" s="137" t="str">
        <x:v>PP Bag 18.5x31||PCS</x:v>
      </x:c>
      <x:c r="G510" s="137" t="str">
        <x:v>PP Bag 18.5x31</x:v>
      </x:c>
      <x:c r="H510" s="137" t="str">
        <x:v>PCS</x:v>
      </x:c>
      <x:c r="I510" s="175" t="n">
        <x:v>0.033333</x:v>
      </x:c>
      <x:c r="J510" s="176" t="str"/>
      <x:c r="K510" s="177" t="str"/>
      <x:c r="L510" s="178" t="str">
        <x:f>IF(J510="","",J510*(1+IF(K510="",0,K510)) )</x:f>
      </x:c>
      <x:c r="M510" s="138" t="str"/>
      <x:c r="N510" s="137" t="str">
        <x:v>Current model BOM seed</x:v>
      </x:c>
      <x:c r="O510" s="137" t="str"/>
      <x:c r="P510" s="137" t="str">
        <x:v>To Confirm</x:v>
      </x:c>
      <x:c r="Q510" s="137" t="str"/>
    </x:row>
    <x:row r="511">
      <x:c r="A511" s="137" t="str">
        <x:v>BOM-00507</x:v>
      </x:c>
      <x:c r="B511" s="137" t="str">
        <x:v>SMART BOY (L) WHITE</x:v>
      </x:c>
      <x:c r="C511" s="137" t="str">
        <x:v>LACE</x:v>
      </x:c>
      <x:c r="D511" s="137" t="str">
        <x:v>12X1</x:v>
      </x:c>
      <x:c r="E511" s="137" t="str">
        <x:v>STITCHING</x:v>
      </x:c>
      <x:c r="F511" s="137" t="str">
        <x:v>DOCTOR TAPE||MTR</x:v>
      </x:c>
      <x:c r="G511" s="137" t="str">
        <x:v>DOCTOR TAPE</x:v>
      </x:c>
      <x:c r="H511" s="137" t="str">
        <x:v>MTR</x:v>
      </x:c>
      <x:c r="I511" s="175" t="n">
        <x:v>0.05</x:v>
      </x:c>
      <x:c r="J511" s="176" t="str"/>
      <x:c r="K511" s="177" t="str"/>
      <x:c r="L511" s="178" t="str">
        <x:f>IF(J511="","",J511*(1+IF(K511="",0,K511)) )</x:f>
      </x:c>
      <x:c r="M511" s="138" t="str"/>
      <x:c r="N511" s="137" t="str">
        <x:v>Current model BOM seed</x:v>
      </x:c>
      <x:c r="O511" s="137" t="str"/>
      <x:c r="P511" s="137" t="str">
        <x:v>To Confirm</x:v>
      </x:c>
      <x:c r="Q511" s="137" t="str"/>
    </x:row>
    <x:row r="512">
      <x:c r="A512" s="137" t="str">
        <x:v>BOM-00508</x:v>
      </x:c>
      <x:c r="B512" s="137" t="str">
        <x:v>SMART BOY (L) WHITE</x:v>
      </x:c>
      <x:c r="C512" s="137" t="str">
        <x:v>LACE</x:v>
      </x:c>
      <x:c r="D512" s="137" t="str">
        <x:v>2X5</x:v>
      </x:c>
      <x:c r="E512" s="137" t="str">
        <x:v>CUTTING</x:v>
      </x:c>
      <x:c r="F512" s="137" t="str">
        <x:v>REXION 1.5MM FRENZY (HEAVY) WHITE||MTR</x:v>
      </x:c>
      <x:c r="G512" s="137" t="str">
        <x:v>REXION 1.5MM FRENZY (HEAVY) WHITE</x:v>
      </x:c>
      <x:c r="H512" s="137" t="str">
        <x:v>MTR</x:v>
      </x:c>
      <x:c r="I512" s="175" t="n">
        <x:v>0.111704</x:v>
      </x:c>
      <x:c r="J512" s="176" t="str"/>
      <x:c r="K512" s="177" t="str"/>
      <x:c r="L512" s="178" t="str">
        <x:f>IF(J512="","",J512*(1+IF(K512="",0,K512)) )</x:f>
      </x:c>
      <x:c r="M512" s="138" t="str"/>
      <x:c r="N512" s="137" t="str">
        <x:v>Current model BOM seed</x:v>
      </x:c>
      <x:c r="O512" s="137" t="str"/>
      <x:c r="P512" s="137" t="str">
        <x:v>To Confirm</x:v>
      </x:c>
      <x:c r="Q512" s="137" t="str"/>
    </x:row>
    <x:row r="513">
      <x:c r="A513" s="137" t="str">
        <x:v>BOM-00509</x:v>
      </x:c>
      <x:c r="B513" s="137" t="str">
        <x:v>SMART BOY (L) WHITE</x:v>
      </x:c>
      <x:c r="C513" s="137" t="str">
        <x:v>LACE</x:v>
      </x:c>
      <x:c r="D513" s="137" t="str">
        <x:v>2X5</x:v>
      </x:c>
      <x:c r="E513" s="137" t="str">
        <x:v>CUTTING</x:v>
      </x:c>
      <x:c r="F513" s="137" t="str">
        <x:v>REXION 1.5MM FRENZY (LIGHT) WHITE||MTR</x:v>
      </x:c>
      <x:c r="G513" s="137" t="str">
        <x:v>REXION 1.5MM FRENZY (LIGHT) WHITE</x:v>
      </x:c>
      <x:c r="H513" s="137" t="str">
        <x:v>MTR</x:v>
      </x:c>
      <x:c r="I513" s="175" t="n">
        <x:v>0.022889</x:v>
      </x:c>
      <x:c r="J513" s="176" t="str"/>
      <x:c r="K513" s="177" t="str"/>
      <x:c r="L513" s="178" t="str">
        <x:f>IF(J513="","",J513*(1+IF(K513="",0,K513)) )</x:f>
      </x:c>
      <x:c r="M513" s="138" t="str"/>
      <x:c r="N513" s="137" t="str">
        <x:v>Current model BOM seed</x:v>
      </x:c>
      <x:c r="O513" s="137" t="str"/>
      <x:c r="P513" s="137" t="str">
        <x:v>To Confirm</x:v>
      </x:c>
      <x:c r="Q513" s="137" t="str"/>
    </x:row>
    <x:row r="514">
      <x:c r="A514" s="137" t="str">
        <x:v>BOM-00510</x:v>
      </x:c>
      <x:c r="B514" s="137" t="str">
        <x:v>SMART BOY (L) WHITE</x:v>
      </x:c>
      <x:c r="C514" s="137" t="str">
        <x:v>LACE</x:v>
      </x:c>
      <x:c r="D514" s="137" t="str">
        <x:v>2X5</x:v>
      </x:c>
      <x:c r="E514" s="137" t="str">
        <x:v>CUTTING</x:v>
      </x:c>
      <x:c r="F514" s="137" t="str">
        <x:v>ASTER WHITE HEAVY||MTR</x:v>
      </x:c>
      <x:c r="G514" s="137" t="str">
        <x:v>ASTER WHITE HEAVY</x:v>
      </x:c>
      <x:c r="H514" s="137" t="str">
        <x:v>MTR</x:v>
      </x:c>
      <x:c r="I514" s="175" t="n">
        <x:v>0.0068</x:v>
      </x:c>
      <x:c r="J514" s="176" t="str"/>
      <x:c r="K514" s="177" t="str"/>
      <x:c r="L514" s="178" t="str">
        <x:f>IF(J514="","",J514*(1+IF(K514="",0,K514)) )</x:f>
      </x:c>
      <x:c r="M514" s="138" t="str"/>
      <x:c r="N514" s="137" t="str">
        <x:v>Current model BOM seed</x:v>
      </x:c>
      <x:c r="O514" s="137" t="str"/>
      <x:c r="P514" s="137" t="str">
        <x:v>To Confirm</x:v>
      </x:c>
      <x:c r="Q514" s="137" t="str"/>
    </x:row>
    <x:row r="515">
      <x:c r="A515" s="137" t="str">
        <x:v>BOM-00511</x:v>
      </x:c>
      <x:c r="B515" s="137" t="str">
        <x:v>SMART BOY (L) WHITE</x:v>
      </x:c>
      <x:c r="C515" s="137" t="str">
        <x:v>LACE</x:v>
      </x:c>
      <x:c r="D515" s="137" t="str">
        <x:v>2X5</x:v>
      </x:c>
      <x:c r="E515" s="137" t="str">
        <x:v>CUTTING</x:v>
      </x:c>
      <x:c r="F515" s="137" t="str">
        <x:v>INSOLE 4 MM WHITE||MTR</x:v>
      </x:c>
      <x:c r="G515" s="137" t="str">
        <x:v>INSOLE 4 MM WHITE</x:v>
      </x:c>
      <x:c r="H515" s="137" t="str">
        <x:v>MTR</x:v>
      </x:c>
      <x:c r="I515" s="175" t="n">
        <x:v>0.031241</x:v>
      </x:c>
      <x:c r="J515" s="176" t="str"/>
      <x:c r="K515" s="177" t="str"/>
      <x:c r="L515" s="178" t="str">
        <x:f>IF(J515="","",J515*(1+IF(K515="",0,K515)) )</x:f>
      </x:c>
      <x:c r="M515" s="138" t="str"/>
      <x:c r="N515" s="137" t="str">
        <x:v>Current model BOM seed</x:v>
      </x:c>
      <x:c r="O515" s="137" t="str"/>
      <x:c r="P515" s="137" t="str">
        <x:v>To Confirm</x:v>
      </x:c>
      <x:c r="Q515" s="137" t="str"/>
    </x:row>
    <x:row r="516">
      <x:c r="A516" s="137" t="str">
        <x:v>BOM-00512</x:v>
      </x:c>
      <x:c r="B516" s="137" t="str">
        <x:v>SMART BOY (L) WHITE</x:v>
      </x:c>
      <x:c r="C516" s="137" t="str">
        <x:v>LACE</x:v>
      </x:c>
      <x:c r="D516" s="137" t="str">
        <x:v>2X5</x:v>
      </x:c>
      <x:c r="E516" s="137" t="str">
        <x:v>STITCHING</x:v>
      </x:c>
      <x:c r="F516" s="137" t="str">
        <x:v>Nylon Thread WHITE 3 Ply||CONE</x:v>
      </x:c>
      <x:c r="G516" s="137" t="str">
        <x:v>Nylon Thread WHITE 3 Ply</x:v>
      </x:c>
      <x:c r="H516" s="137" t="str">
        <x:v>CONE</x:v>
      </x:c>
      <x:c r="I516" s="175" t="n">
        <x:v>0.014</x:v>
      </x:c>
      <x:c r="J516" s="176" t="str"/>
      <x:c r="K516" s="177" t="str"/>
      <x:c r="L516" s="178" t="str">
        <x:f>IF(J516="","",J516*(1+IF(K516="",0,K516)) )</x:f>
      </x:c>
      <x:c r="M516" s="138" t="str"/>
      <x:c r="N516" s="137" t="str">
        <x:v>Current model BOM seed</x:v>
      </x:c>
      <x:c r="O516" s="137" t="str"/>
      <x:c r="P516" s="137" t="str">
        <x:v>To Confirm</x:v>
      </x:c>
      <x:c r="Q516" s="137" t="str"/>
    </x:row>
    <x:row r="517">
      <x:c r="A517" s="137" t="str">
        <x:v>BOM-00513</x:v>
      </x:c>
      <x:c r="B517" s="137" t="str">
        <x:v>SMART BOY (L) WHITE</x:v>
      </x:c>
      <x:c r="C517" s="137" t="str">
        <x:v>LACE</x:v>
      </x:c>
      <x:c r="D517" s="137" t="str">
        <x:v>2X5</x:v>
      </x:c>
      <x:c r="E517" s="137" t="str">
        <x:v>STITCHING</x:v>
      </x:c>
      <x:c r="F517" s="137" t="str">
        <x:v>Cotton Thread WHITE||TUBE</x:v>
      </x:c>
      <x:c r="G517" s="137" t="str">
        <x:v>Cotton Thread WHITE</x:v>
      </x:c>
      <x:c r="H517" s="137" t="str">
        <x:v>TUBE</x:v>
      </x:c>
      <x:c r="I517" s="175" t="n">
        <x:v>0.002222</x:v>
      </x:c>
      <x:c r="J517" s="176" t="str"/>
      <x:c r="K517" s="177" t="str"/>
      <x:c r="L517" s="178" t="str">
        <x:f>IF(J517="","",J517*(1+IF(K517="",0,K517)) )</x:f>
      </x:c>
      <x:c r="M517" s="138" t="str"/>
      <x:c r="N517" s="137" t="str">
        <x:v>Current model BOM seed</x:v>
      </x:c>
      <x:c r="O517" s="137" t="str"/>
      <x:c r="P517" s="137" t="str">
        <x:v>To Confirm</x:v>
      </x:c>
      <x:c r="Q517" s="137" t="str"/>
    </x:row>
    <x:row r="518">
      <x:c r="A518" s="137" t="str">
        <x:v>BOM-00514</x:v>
      </x:c>
      <x:c r="B518" s="137" t="str">
        <x:v>SMART BOY (L) WHITE</x:v>
      </x:c>
      <x:c r="C518" s="137" t="str">
        <x:v>LACE</x:v>
      </x:c>
      <x:c r="D518" s="137" t="str">
        <x:v>2X5</x:v>
      </x:c>
      <x:c r="E518" s="137" t="str">
        <x:v>STITCHING</x:v>
      </x:c>
      <x:c r="F518" s="137" t="str">
        <x:v>REXION Binding WHITE 14mm||MTR</x:v>
      </x:c>
      <x:c r="G518" s="137" t="str">
        <x:v>REXION Binding WHITE 14mm</x:v>
      </x:c>
      <x:c r="H518" s="137" t="str">
        <x:v>MTR</x:v>
      </x:c>
      <x:c r="I518" s="175" t="n">
        <x:v>1.32</x:v>
      </x:c>
      <x:c r="J518" s="176" t="str"/>
      <x:c r="K518" s="177" t="str"/>
      <x:c r="L518" s="178" t="str">
        <x:f>IF(J518="","",J518*(1+IF(K518="",0,K518)) )</x:f>
      </x:c>
      <x:c r="M518" s="138" t="str"/>
      <x:c r="N518" s="137" t="str">
        <x:v>Current model BOM seed</x:v>
      </x:c>
      <x:c r="O518" s="137" t="str"/>
      <x:c r="P518" s="137" t="str">
        <x:v>To Confirm</x:v>
      </x:c>
      <x:c r="Q518" s="137" t="str"/>
    </x:row>
    <x:row r="519">
      <x:c r="A519" s="137" t="str">
        <x:v>BOM-00515</x:v>
      </x:c>
      <x:c r="B519" s="137" t="str">
        <x:v>SMART BOY (L) WHITE</x:v>
      </x:c>
      <x:c r="C519" s="137" t="str">
        <x:v>LACE</x:v>
      </x:c>
      <x:c r="D519" s="137" t="str">
        <x:v>2X5</x:v>
      </x:c>
      <x:c r="E519" s="137" t="str">
        <x:v>STITCHING</x:v>
      </x:c>
      <x:c r="F519" s="137" t="str">
        <x:v>PP Bag 18.5x31||PCS</x:v>
      </x:c>
      <x:c r="G519" s="137" t="str">
        <x:v>PP Bag 18.5x31</x:v>
      </x:c>
      <x:c r="H519" s="137" t="str">
        <x:v>PCS</x:v>
      </x:c>
      <x:c r="I519" s="175" t="n">
        <x:v>0.033333</x:v>
      </x:c>
      <x:c r="J519" s="176" t="str"/>
      <x:c r="K519" s="177" t="str"/>
      <x:c r="L519" s="178" t="str">
        <x:f>IF(J519="","",J519*(1+IF(K519="",0,K519)) )</x:f>
      </x:c>
      <x:c r="M519" s="138" t="str"/>
      <x:c r="N519" s="137" t="str">
        <x:v>Current model BOM seed</x:v>
      </x:c>
      <x:c r="O519" s="137" t="str"/>
      <x:c r="P519" s="137" t="str">
        <x:v>To Confirm</x:v>
      </x:c>
      <x:c r="Q519" s="137" t="str"/>
    </x:row>
    <x:row r="520">
      <x:c r="A520" s="137" t="str">
        <x:v>BOM-00516</x:v>
      </x:c>
      <x:c r="B520" s="137" t="str">
        <x:v>SMART BOY (L) WHITE</x:v>
      </x:c>
      <x:c r="C520" s="137" t="str">
        <x:v>LACE</x:v>
      </x:c>
      <x:c r="D520" s="137" t="str">
        <x:v>2X5</x:v>
      </x:c>
      <x:c r="E520" s="137" t="str">
        <x:v>STITCHING</x:v>
      </x:c>
      <x:c r="F520" s="137" t="str">
        <x:v>tung label school shoe WHITE big||PCS</x:v>
      </x:c>
      <x:c r="G520" s="137" t="str">
        <x:v>tung label school shoe WHITE big</x:v>
      </x:c>
      <x:c r="H520" s="137" t="str">
        <x:v>PCS</x:v>
      </x:c>
      <x:c r="I520" s="175" t="n">
        <x:v>2</x:v>
      </x:c>
      <x:c r="J520" s="176" t="str"/>
      <x:c r="K520" s="177" t="str"/>
      <x:c r="L520" s="178" t="str">
        <x:f>IF(J520="","",J520*(1+IF(K520="",0,K520)) )</x:f>
      </x:c>
      <x:c r="M520" s="138" t="str"/>
      <x:c r="N520" s="137" t="str">
        <x:v>Current model BOM seed</x:v>
      </x:c>
      <x:c r="O520" s="137" t="str"/>
      <x:c r="P520" s="137" t="str">
        <x:v>To Confirm</x:v>
      </x:c>
      <x:c r="Q520" s="137" t="str"/>
    </x:row>
    <x:row r="521">
      <x:c r="A521" s="137" t="str">
        <x:v>BOM-00517</x:v>
      </x:c>
      <x:c r="B521" s="137" t="str">
        <x:v>SMART BOY (L) WHITE</x:v>
      </x:c>
      <x:c r="C521" s="137" t="str">
        <x:v>LACE</x:v>
      </x:c>
      <x:c r="D521" s="137" t="str">
        <x:v>2X5</x:v>
      </x:c>
      <x:c r="E521" s="137" t="str">
        <x:v>STITCHING</x:v>
      </x:c>
      <x:c r="F521" s="137" t="str">
        <x:v>DOCTOR TAPE||MTR</x:v>
      </x:c>
      <x:c r="G521" s="137" t="str">
        <x:v>DOCTOR TAPE</x:v>
      </x:c>
      <x:c r="H521" s="137" t="str">
        <x:v>MTR</x:v>
      </x:c>
      <x:c r="I521" s="175" t="n">
        <x:v>0.05</x:v>
      </x:c>
      <x:c r="J521" s="176" t="str"/>
      <x:c r="K521" s="177" t="str"/>
      <x:c r="L521" s="178" t="str">
        <x:f>IF(J521="","",J521*(1+IF(K521="",0,K521)) )</x:f>
      </x:c>
      <x:c r="M521" s="138" t="str"/>
      <x:c r="N521" s="137" t="str">
        <x:v>Current model BOM seed</x:v>
      </x:c>
      <x:c r="O521" s="137" t="str"/>
      <x:c r="P521" s="137" t="str">
        <x:v>To Confirm</x:v>
      </x:c>
      <x:c r="Q521" s="137" t="str"/>
    </x:row>
    <x:row r="522">
      <x:c r="A522" s="137" t="str">
        <x:v>BOM-00518</x:v>
      </x:c>
      <x:c r="B522" s="137" t="str">
        <x:v>SMART BOY (L) WHITE</x:v>
      </x:c>
      <x:c r="C522" s="137" t="str">
        <x:v>LACE</x:v>
      </x:c>
      <x:c r="D522" s="137" t="str">
        <x:v>6X10B</x:v>
      </x:c>
      <x:c r="E522" s="137" t="str">
        <x:v>CUTTING</x:v>
      </x:c>
      <x:c r="F522" s="137" t="str">
        <x:v>REXION 1.5MM FRENZY (HEAVY) WHITE||MTR</x:v>
      </x:c>
      <x:c r="G522" s="137" t="str">
        <x:v>REXION 1.5MM FRENZY (HEAVY) WHITE</x:v>
      </x:c>
      <x:c r="H522" s="137" t="str">
        <x:v>MTR</x:v>
      </x:c>
      <x:c r="I522" s="175" t="n">
        <x:v>0.130889</x:v>
      </x:c>
      <x:c r="J522" s="176" t="str"/>
      <x:c r="K522" s="177" t="str"/>
      <x:c r="L522" s="178" t="str">
        <x:f>IF(J522="","",J522*(1+IF(K522="",0,K522)) )</x:f>
      </x:c>
      <x:c r="M522" s="138" t="str"/>
      <x:c r="N522" s="137" t="str">
        <x:v>Current model BOM seed</x:v>
      </x:c>
      <x:c r="O522" s="137" t="str"/>
      <x:c r="P522" s="137" t="str">
        <x:v>To Confirm</x:v>
      </x:c>
      <x:c r="Q522" s="137" t="str"/>
    </x:row>
    <x:row r="523">
      <x:c r="A523" s="137" t="str">
        <x:v>BOM-00519</x:v>
      </x:c>
      <x:c r="B523" s="137" t="str">
        <x:v>SMART BOY (L) WHITE</x:v>
      </x:c>
      <x:c r="C523" s="137" t="str">
        <x:v>LACE</x:v>
      </x:c>
      <x:c r="D523" s="137" t="str">
        <x:v>6X10B</x:v>
      </x:c>
      <x:c r="E523" s="137" t="str">
        <x:v>CUTTING</x:v>
      </x:c>
      <x:c r="F523" s="137" t="str">
        <x:v>REXION 1.5MM FRENZY (LIGHT) WHITE||MTR</x:v>
      </x:c>
      <x:c r="G523" s="137" t="str">
        <x:v>REXION 1.5MM FRENZY (LIGHT) WHITE</x:v>
      </x:c>
      <x:c r="H523" s="137" t="str">
        <x:v>MTR</x:v>
      </x:c>
      <x:c r="I523" s="175" t="n">
        <x:v>0.03</x:v>
      </x:c>
      <x:c r="J523" s="176" t="str"/>
      <x:c r="K523" s="177" t="str"/>
      <x:c r="L523" s="178" t="str">
        <x:f>IF(J523="","",J523*(1+IF(K523="",0,K523)) )</x:f>
      </x:c>
      <x:c r="M523" s="138" t="str"/>
      <x:c r="N523" s="137" t="str">
        <x:v>Current model BOM seed</x:v>
      </x:c>
      <x:c r="O523" s="137" t="str"/>
      <x:c r="P523" s="137" t="str">
        <x:v>To Confirm</x:v>
      </x:c>
      <x:c r="Q523" s="137" t="str"/>
    </x:row>
    <x:row r="524">
      <x:c r="A524" s="137" t="str">
        <x:v>BOM-00520</x:v>
      </x:c>
      <x:c r="B524" s="137" t="str">
        <x:v>SMART BOY (L) WHITE</x:v>
      </x:c>
      <x:c r="C524" s="137" t="str">
        <x:v>LACE</x:v>
      </x:c>
      <x:c r="D524" s="137" t="str">
        <x:v>6X10B</x:v>
      </x:c>
      <x:c r="E524" s="137" t="str">
        <x:v>CUTTING</x:v>
      </x:c>
      <x:c r="F524" s="137" t="str">
        <x:v>ASTER WHITE HEAVY||MTR</x:v>
      </x:c>
      <x:c r="G524" s="137" t="str">
        <x:v>ASTER WHITE HEAVY</x:v>
      </x:c>
      <x:c r="H524" s="137" t="str">
        <x:v>MTR</x:v>
      </x:c>
      <x:c r="I524" s="175" t="n">
        <x:v>0.008133</x:v>
      </x:c>
      <x:c r="J524" s="176" t="str"/>
      <x:c r="K524" s="177" t="str"/>
      <x:c r="L524" s="178" t="str">
        <x:f>IF(J524="","",J524*(1+IF(K524="",0,K524)) )</x:f>
      </x:c>
      <x:c r="M524" s="138" t="str"/>
      <x:c r="N524" s="137" t="str">
        <x:v>Current model BOM seed</x:v>
      </x:c>
      <x:c r="O524" s="137" t="str"/>
      <x:c r="P524" s="137" t="str">
        <x:v>To Confirm</x:v>
      </x:c>
      <x:c r="Q524" s="137" t="str"/>
    </x:row>
    <x:row r="525">
      <x:c r="A525" s="137" t="str">
        <x:v>BOM-00521</x:v>
      </x:c>
      <x:c r="B525" s="137" t="str">
        <x:v>SMART BOY (L) WHITE</x:v>
      </x:c>
      <x:c r="C525" s="137" t="str">
        <x:v>LACE</x:v>
      </x:c>
      <x:c r="D525" s="137" t="str">
        <x:v>6X10B</x:v>
      </x:c>
      <x:c r="E525" s="137" t="str">
        <x:v>CUTTING</x:v>
      </x:c>
      <x:c r="F525" s="137" t="str">
        <x:v>INSOLE 4 MM WHITE||MTR</x:v>
      </x:c>
      <x:c r="G525" s="137" t="str">
        <x:v>INSOLE 4 MM WHITE</x:v>
      </x:c>
      <x:c r="H525" s="137" t="str">
        <x:v>MTR</x:v>
      </x:c>
      <x:c r="I525" s="175" t="n">
        <x:v>0.038483</x:v>
      </x:c>
      <x:c r="J525" s="176" t="str"/>
      <x:c r="K525" s="177" t="str"/>
      <x:c r="L525" s="178" t="str">
        <x:f>IF(J525="","",J525*(1+IF(K525="",0,K525)) )</x:f>
      </x:c>
      <x:c r="M525" s="138" t="str"/>
      <x:c r="N525" s="137" t="str">
        <x:v>Current model BOM seed</x:v>
      </x:c>
      <x:c r="O525" s="137" t="str"/>
      <x:c r="P525" s="137" t="str">
        <x:v>To Confirm</x:v>
      </x:c>
      <x:c r="Q525" s="137" t="str"/>
    </x:row>
    <x:row r="526">
      <x:c r="A526" s="137" t="str">
        <x:v>BOM-00522</x:v>
      </x:c>
      <x:c r="B526" s="137" t="str">
        <x:v>SMART BOY (L) WHITE</x:v>
      </x:c>
      <x:c r="C526" s="137" t="str">
        <x:v>LACE</x:v>
      </x:c>
      <x:c r="D526" s="137" t="str">
        <x:v>6X10B</x:v>
      </x:c>
      <x:c r="E526" s="137" t="str">
        <x:v>CUTTING</x:v>
      </x:c>
      <x:c r="F526" s="137" t="str">
        <x:v>ASTAR 3 MM WHITE light||MTR</x:v>
      </x:c>
      <x:c r="G526" s="137" t="str">
        <x:v>ASTAR 3 MM WHITE light</x:v>
      </x:c>
      <x:c r="H526" s="137" t="str">
        <x:v>MTR</x:v>
      </x:c>
      <x:c r="I526" s="175" t="n">
        <x:v>0.102867</x:v>
      </x:c>
      <x:c r="J526" s="176" t="str"/>
      <x:c r="K526" s="177" t="str"/>
      <x:c r="L526" s="178" t="str">
        <x:f>IF(J526="","",J526*(1+IF(K526="",0,K526)) )</x:f>
      </x:c>
      <x:c r="M526" s="138" t="str"/>
      <x:c r="N526" s="137" t="str">
        <x:v>Current model BOM seed</x:v>
      </x:c>
      <x:c r="O526" s="137" t="str"/>
      <x:c r="P526" s="137" t="str">
        <x:v>To Confirm</x:v>
      </x:c>
      <x:c r="Q526" s="137" t="str"/>
    </x:row>
    <x:row r="527">
      <x:c r="A527" s="137" t="str">
        <x:v>BOM-00523</x:v>
      </x:c>
      <x:c r="B527" s="137" t="str">
        <x:v>SMART BOY (L) WHITE</x:v>
      </x:c>
      <x:c r="C527" s="137" t="str">
        <x:v>LACE</x:v>
      </x:c>
      <x:c r="D527" s="137" t="str">
        <x:v>6X10B</x:v>
      </x:c>
      <x:c r="E527" s="137" t="str">
        <x:v>STITCHING</x:v>
      </x:c>
      <x:c r="F527" s="137" t="str">
        <x:v>Nylon Thread WHITE 3 Ply||CONE</x:v>
      </x:c>
      <x:c r="G527" s="137" t="str">
        <x:v>Nylon Thread WHITE 3 Ply</x:v>
      </x:c>
      <x:c r="H527" s="137" t="str">
        <x:v>CONE</x:v>
      </x:c>
      <x:c r="I527" s="175" t="n">
        <x:v>0.018</x:v>
      </x:c>
      <x:c r="J527" s="176" t="str"/>
      <x:c r="K527" s="177" t="str"/>
      <x:c r="L527" s="178" t="str">
        <x:f>IF(J527="","",J527*(1+IF(K527="",0,K527)) )</x:f>
      </x:c>
      <x:c r="M527" s="138" t="str"/>
      <x:c r="N527" s="137" t="str">
        <x:v>Current model BOM seed</x:v>
      </x:c>
      <x:c r="O527" s="137" t="str"/>
      <x:c r="P527" s="137" t="str">
        <x:v>To Confirm</x:v>
      </x:c>
      <x:c r="Q527" s="137" t="str"/>
    </x:row>
    <x:row r="528">
      <x:c r="A528" s="137" t="str">
        <x:v>BOM-00524</x:v>
      </x:c>
      <x:c r="B528" s="137" t="str">
        <x:v>SMART BOY (L) WHITE</x:v>
      </x:c>
      <x:c r="C528" s="137" t="str">
        <x:v>LACE</x:v>
      </x:c>
      <x:c r="D528" s="137" t="str">
        <x:v>6X10B</x:v>
      </x:c>
      <x:c r="E528" s="137" t="str">
        <x:v>STITCHING</x:v>
      </x:c>
      <x:c r="F528" s="137" t="str">
        <x:v>Cotton Thread WHITE||TUBE</x:v>
      </x:c>
      <x:c r="G528" s="137" t="str">
        <x:v>Cotton Thread WHITE</x:v>
      </x:c>
      <x:c r="H528" s="137" t="str">
        <x:v>TUBE</x:v>
      </x:c>
      <x:c r="I528" s="175" t="n">
        <x:v>0.002778</x:v>
      </x:c>
      <x:c r="J528" s="176" t="str"/>
      <x:c r="K528" s="177" t="str"/>
      <x:c r="L528" s="178" t="str">
        <x:f>IF(J528="","",J528*(1+IF(K528="",0,K528)) )</x:f>
      </x:c>
      <x:c r="M528" s="138" t="str"/>
      <x:c r="N528" s="137" t="str">
        <x:v>Current model BOM seed</x:v>
      </x:c>
      <x:c r="O528" s="137" t="str"/>
      <x:c r="P528" s="137" t="str">
        <x:v>To Confirm</x:v>
      </x:c>
      <x:c r="Q528" s="137" t="str"/>
    </x:row>
    <x:row r="529">
      <x:c r="A529" s="137" t="str">
        <x:v>BOM-00525</x:v>
      </x:c>
      <x:c r="B529" s="137" t="str">
        <x:v>SMART BOY (L) WHITE</x:v>
      </x:c>
      <x:c r="C529" s="137" t="str">
        <x:v>LACE</x:v>
      </x:c>
      <x:c r="D529" s="137" t="str">
        <x:v>6X10B</x:v>
      </x:c>
      <x:c r="E529" s="137" t="str">
        <x:v>STITCHING</x:v>
      </x:c>
      <x:c r="F529" s="137" t="str">
        <x:v>REXION Binding WHITE 14mm||MTR</x:v>
      </x:c>
      <x:c r="G529" s="137" t="str">
        <x:v>REXION Binding WHITE 14mm</x:v>
      </x:c>
      <x:c r="H529" s="137" t="str">
        <x:v>MTR</x:v>
      </x:c>
      <x:c r="I529" s="175" t="n">
        <x:v>1.45</x:v>
      </x:c>
      <x:c r="J529" s="176" t="str"/>
      <x:c r="K529" s="177" t="str"/>
      <x:c r="L529" s="178" t="str">
        <x:f>IF(J529="","",J529*(1+IF(K529="",0,K529)) )</x:f>
      </x:c>
      <x:c r="M529" s="138" t="str"/>
      <x:c r="N529" s="137" t="str">
        <x:v>Current model BOM seed</x:v>
      </x:c>
      <x:c r="O529" s="137" t="str"/>
      <x:c r="P529" s="137" t="str">
        <x:v>To Confirm</x:v>
      </x:c>
      <x:c r="Q529" s="137" t="str"/>
    </x:row>
    <x:row r="530">
      <x:c r="A530" s="137" t="str">
        <x:v>BOM-00526</x:v>
      </x:c>
      <x:c r="B530" s="137" t="str">
        <x:v>SMART BOY (L) WHITE</x:v>
      </x:c>
      <x:c r="C530" s="137" t="str">
        <x:v>LACE</x:v>
      </x:c>
      <x:c r="D530" s="137" t="str">
        <x:v>6X10B</x:v>
      </x:c>
      <x:c r="E530" s="137" t="str">
        <x:v>STITCHING</x:v>
      </x:c>
      <x:c r="F530" s="137" t="str">
        <x:v>PP Bag 18.5x31||PCS</x:v>
      </x:c>
      <x:c r="G530" s="137" t="str">
        <x:v>PP Bag 18.5x31</x:v>
      </x:c>
      <x:c r="H530" s="137" t="str">
        <x:v>PCS</x:v>
      </x:c>
      <x:c r="I530" s="175" t="n">
        <x:v>0.033333</x:v>
      </x:c>
      <x:c r="J530" s="176" t="str"/>
      <x:c r="K530" s="177" t="str"/>
      <x:c r="L530" s="178" t="str">
        <x:f>IF(J530="","",J530*(1+IF(K530="",0,K530)) )</x:f>
      </x:c>
      <x:c r="M530" s="138" t="str"/>
      <x:c r="N530" s="137" t="str">
        <x:v>Current model BOM seed</x:v>
      </x:c>
      <x:c r="O530" s="137" t="str"/>
      <x:c r="P530" s="137" t="str">
        <x:v>To Confirm</x:v>
      </x:c>
      <x:c r="Q530" s="137" t="str"/>
    </x:row>
    <x:row r="531">
      <x:c r="A531" s="137" t="str">
        <x:v>BOM-00527</x:v>
      </x:c>
      <x:c r="B531" s="137" t="str">
        <x:v>SMART BOY (L) WHITE</x:v>
      </x:c>
      <x:c r="C531" s="137" t="str">
        <x:v>LACE</x:v>
      </x:c>
      <x:c r="D531" s="137" t="str">
        <x:v>6X10B</x:v>
      </x:c>
      <x:c r="E531" s="137" t="str">
        <x:v>STITCHING</x:v>
      </x:c>
      <x:c r="F531" s="137" t="str">
        <x:v>tung label school shoe WHITE big||PCS</x:v>
      </x:c>
      <x:c r="G531" s="137" t="str">
        <x:v>tung label school shoe WHITE big</x:v>
      </x:c>
      <x:c r="H531" s="137" t="str">
        <x:v>PCS</x:v>
      </x:c>
      <x:c r="I531" s="175" t="n">
        <x:v>2</x:v>
      </x:c>
      <x:c r="J531" s="176" t="str"/>
      <x:c r="K531" s="177" t="str"/>
      <x:c r="L531" s="178" t="str">
        <x:f>IF(J531="","",J531*(1+IF(K531="",0,K531)) )</x:f>
      </x:c>
      <x:c r="M531" s="138" t="str"/>
      <x:c r="N531" s="137" t="str">
        <x:v>Current model BOM seed</x:v>
      </x:c>
      <x:c r="O531" s="137" t="str"/>
      <x:c r="P531" s="137" t="str">
        <x:v>To Confirm</x:v>
      </x:c>
      <x:c r="Q531" s="137" t="str"/>
    </x:row>
    <x:row r="532">
      <x:c r="A532" s="137" t="str">
        <x:v>BOM-00528</x:v>
      </x:c>
      <x:c r="B532" s="137" t="str">
        <x:v>SMART BOY (L) WHITE</x:v>
      </x:c>
      <x:c r="C532" s="137" t="str">
        <x:v>LACE</x:v>
      </x:c>
      <x:c r="D532" s="137" t="str">
        <x:v>6X10B</x:v>
      </x:c>
      <x:c r="E532" s="137" t="str">
        <x:v>STITCHING</x:v>
      </x:c>
      <x:c r="F532" s="137" t="str">
        <x:v>DOCTOR TAPE||MTR</x:v>
      </x:c>
      <x:c r="G532" s="137" t="str">
        <x:v>DOCTOR TAPE</x:v>
      </x:c>
      <x:c r="H532" s="137" t="str">
        <x:v>MTR</x:v>
      </x:c>
      <x:c r="I532" s="175" t="n">
        <x:v>0.05</x:v>
      </x:c>
      <x:c r="J532" s="176" t="str"/>
      <x:c r="K532" s="177" t="str"/>
      <x:c r="L532" s="178" t="str">
        <x:f>IF(J532="","",J532*(1+IF(K532="",0,K532)) )</x:f>
      </x:c>
      <x:c r="M532" s="138" t="str"/>
      <x:c r="N532" s="137" t="str">
        <x:v>Current model BOM seed</x:v>
      </x:c>
      <x:c r="O532" s="137" t="str"/>
      <x:c r="P532" s="137" t="str">
        <x:v>To Confirm</x:v>
      </x:c>
      <x:c r="Q532" s="137" t="str"/>
    </x:row>
    <x:row r="533">
      <x:c r="A533" s="137" t="str">
        <x:v>BOM-00529</x:v>
      </x:c>
      <x:c r="B533" s="137" t="str">
        <x:v>JILL</x:v>
      </x:c>
      <x:c r="C533" s="137" t="str">
        <x:v>PER ORDER (V/L)</x:v>
      </x:c>
      <x:c r="D533" s="137" t="str">
        <x:v>7X10S</x:v>
      </x:c>
      <x:c r="E533" s="137" t="str">
        <x:v>CUTTING</x:v>
      </x:c>
      <x:c r="F533" s="137" t="str">
        <x:v>MESH 58"||MTR</x:v>
      </x:c>
      <x:c r="G533" s="137" t="str">
        <x:v>Mesh 58"</x:v>
      </x:c>
      <x:c r="H533" s="137" t="str">
        <x:v>MTR</x:v>
      </x:c>
      <x:c r="I533" s="175" t="n">
        <x:v>0.08377425</x:v>
      </x:c>
      <x:c r="J533" s="176" t="str"/>
      <x:c r="K533" s="177" t="str"/>
      <x:c r="L533" s="178" t="str">
        <x:f>IF(J533="","",J533*(1+IF(K533="",0,K533)) )</x:f>
      </x:c>
      <x:c r="M533" s="138" t="str"/>
      <x:c r="N533" s="137" t="str">
        <x:v>Current model BOM seed</x:v>
      </x:c>
      <x:c r="O533" s="137" t="str"/>
      <x:c r="P533" s="137" t="str">
        <x:v>To Confirm</x:v>
      </x:c>
      <x:c r="Q533" s="137" t="str"/>
    </x:row>
    <x:row r="534">
      <x:c r="A534" s="137" t="str">
        <x:v>BOM-00530</x:v>
      </x:c>
      <x:c r="B534" s="137" t="str">
        <x:v>JILL</x:v>
      </x:c>
      <x:c r="C534" s="137" t="str">
        <x:v>PER ORDER (V/L)</x:v>
      </x:c>
      <x:c r="D534" s="137" t="str">
        <x:v>7X10S</x:v>
      </x:c>
      <x:c r="E534" s="137" t="str">
        <x:v>CUTTING</x:v>
      </x:c>
      <x:c r="F534" s="137" t="str">
        <x:v>ASTER 60"||MTR</x:v>
      </x:c>
      <x:c r="G534" s="137" t="str">
        <x:v>Aster 60"</x:v>
      </x:c>
      <x:c r="H534" s="137" t="str">
        <x:v>MTR</x:v>
      </x:c>
      <x:c r="I534" s="175" t="n">
        <x:v>0.01234568</x:v>
      </x:c>
      <x:c r="J534" s="176" t="str"/>
      <x:c r="K534" s="177" t="str"/>
      <x:c r="L534" s="178" t="str">
        <x:f>IF(J534="","",J534*(1+IF(K534="",0,K534)) )</x:f>
      </x:c>
      <x:c r="M534" s="138" t="str"/>
      <x:c r="N534" s="137" t="str">
        <x:v>Current model BOM seed</x:v>
      </x:c>
      <x:c r="O534" s="137" t="str"/>
      <x:c r="P534" s="137" t="str">
        <x:v>To Confirm</x:v>
      </x:c>
      <x:c r="Q534" s="137" t="str"/>
    </x:row>
    <x:row r="535">
      <x:c r="A535" s="137" t="str">
        <x:v>BOM-00531</x:v>
      </x:c>
      <x:c r="B535" s="137" t="str">
        <x:v>JILL</x:v>
      </x:c>
      <x:c r="C535" s="137" t="str">
        <x:v>PER ORDER (V/L)</x:v>
      </x:c>
      <x:c r="D535" s="137" t="str">
        <x:v>7X10S</x:v>
      </x:c>
      <x:c r="E535" s="137" t="str">
        <x:v>CUTTING</x:v>
      </x:c>
      <x:c r="F535" s="137" t="str">
        <x:v>SKINFIT 60"||MTR</x:v>
      </x:c>
      <x:c r="G535" s="137" t="str">
        <x:v>Skinfit 60"</x:v>
      </x:c>
      <x:c r="H535" s="137" t="str">
        <x:v>MTR</x:v>
      </x:c>
      <x:c r="I535" s="175" t="n">
        <x:v>0.03125</x:v>
      </x:c>
      <x:c r="J535" s="176" t="str"/>
      <x:c r="K535" s="177" t="str"/>
      <x:c r="L535" s="178" t="str">
        <x:f>IF(J535="","",J535*(1+IF(K535="",0,K535)) )</x:f>
      </x:c>
      <x:c r="M535" s="138" t="str"/>
      <x:c r="N535" s="137" t="str">
        <x:v>Current model BOM seed</x:v>
      </x:c>
      <x:c r="O535" s="137" t="str"/>
      <x:c r="P535" s="137" t="str">
        <x:v>To Confirm</x:v>
      </x:c>
      <x:c r="Q535" s="137" t="str"/>
    </x:row>
    <x:row r="536">
      <x:c r="A536" s="137" t="str">
        <x:v>BOM-00532</x:v>
      </x:c>
      <x:c r="B536" s="137" t="str">
        <x:v>JILL</x:v>
      </x:c>
      <x:c r="C536" s="137" t="str">
        <x:v>PER ORDER (V/L)</x:v>
      </x:c>
      <x:c r="D536" s="137" t="str">
        <x:v>7X10S</x:v>
      </x:c>
      <x:c r="E536" s="137" t="str">
        <x:v>CUTTING</x:v>
      </x:c>
      <x:c r="F536" s="137" t="str">
        <x:v>REXINE 54"||MTR</x:v>
      </x:c>
      <x:c r="G536" s="137" t="str">
        <x:v>Rexine 54"</x:v>
      </x:c>
      <x:c r="H536" s="137" t="str">
        <x:v>MTR</x:v>
      </x:c>
      <x:c r="I536" s="175" t="n">
        <x:v>0.06812385</x:v>
      </x:c>
      <x:c r="J536" s="176" t="str"/>
      <x:c r="K536" s="177" t="str"/>
      <x:c r="L536" s="178" t="str">
        <x:f>IF(J536="","",J536*(1+IF(K536="",0,K536)) )</x:f>
      </x:c>
      <x:c r="M536" s="138" t="str"/>
      <x:c r="N536" s="137" t="str">
        <x:v>Current model BOM seed</x:v>
      </x:c>
      <x:c r="O536" s="137" t="str"/>
      <x:c r="P536" s="137" t="str">
        <x:v>To Confirm</x:v>
      </x:c>
      <x:c r="Q536" s="137" t="str"/>
    </x:row>
    <x:row r="537">
      <x:c r="A537" s="137" t="str">
        <x:v>BOM-00533</x:v>
      </x:c>
      <x:c r="B537" s="137" t="str">
        <x:v>JILL</x:v>
      </x:c>
      <x:c r="C537" s="137" t="str">
        <x:v>PER ORDER (V/L)</x:v>
      </x:c>
      <x:c r="D537" s="137" t="str">
        <x:v>7X10S</x:v>
      </x:c>
      <x:c r="E537" s="137" t="str">
        <x:v>CUTTING</x:v>
      </x:c>
      <x:c r="F537" s="137" t="str">
        <x:v>SHEET 1.4MM||MTR</x:v>
      </x:c>
      <x:c r="G537" s="137" t="str">
        <x:v>Sheet 1.4Mm</x:v>
      </x:c>
      <x:c r="H537" s="137" t="str">
        <x:v>MTR</x:v>
      </x:c>
      <x:c r="I537" s="175" t="n">
        <x:v>0.00757576</x:v>
      </x:c>
      <x:c r="J537" s="176" t="str"/>
      <x:c r="K537" s="177" t="str"/>
      <x:c r="L537" s="178" t="str">
        <x:f>IF(J537="","",J537*(1+IF(K537="",0,K537)) )</x:f>
      </x:c>
      <x:c r="M537" s="138" t="str"/>
      <x:c r="N537" s="137" t="str">
        <x:v>Current model BOM seed</x:v>
      </x:c>
      <x:c r="O537" s="137" t="str"/>
      <x:c r="P537" s="137" t="str">
        <x:v>To Confirm</x:v>
      </x:c>
      <x:c r="Q537" s="137" t="str"/>
    </x:row>
    <x:row r="538">
      <x:c r="A538" s="137" t="str">
        <x:v>BOM-00534</x:v>
      </x:c>
      <x:c r="B538" s="137" t="str">
        <x:v>JILL</x:v>
      </x:c>
      <x:c r="C538" s="137" t="str">
        <x:v>PER ORDER (V/L)</x:v>
      </x:c>
      <x:c r="D538" s="137" t="str">
        <x:v>7X10S</x:v>
      </x:c>
      <x:c r="E538" s="137" t="str">
        <x:v>CUTTING</x:v>
      </x:c>
      <x:c r="F538" s="137" t="str">
        <x:v>SHEET 0.8MM||MTR</x:v>
      </x:c>
      <x:c r="G538" s="137" t="str">
        <x:v>Sheet 0.8Mm</x:v>
      </x:c>
      <x:c r="H538" s="137" t="str">
        <x:v>MTR</x:v>
      </x:c>
      <x:c r="I538" s="175" t="n">
        <x:v>0.00925926</x:v>
      </x:c>
      <x:c r="J538" s="176" t="str"/>
      <x:c r="K538" s="177" t="str"/>
      <x:c r="L538" s="178" t="str">
        <x:f>IF(J538="","",J538*(1+IF(K538="",0,K538)) )</x:f>
      </x:c>
      <x:c r="M538" s="138" t="str"/>
      <x:c r="N538" s="137" t="str">
        <x:v>Current model BOM seed</x:v>
      </x:c>
      <x:c r="O538" s="137" t="str"/>
      <x:c r="P538" s="137" t="str">
        <x:v>To Confirm</x:v>
      </x:c>
      <x:c r="Q538" s="137" t="str"/>
    </x:row>
    <x:row r="539">
      <x:c r="A539" s="137" t="str">
        <x:v>BOM-00535</x:v>
      </x:c>
      <x:c r="B539" s="137" t="str">
        <x:v>JILL</x:v>
      </x:c>
      <x:c r="C539" s="137" t="str">
        <x:v>PER ORDER (V/L)</x:v>
      </x:c>
      <x:c r="D539" s="137" t="str">
        <x:v>7X10S</x:v>
      </x:c>
      <x:c r="E539" s="137" t="str">
        <x:v>CUTTING</x:v>
      </x:c>
      <x:c r="F539" s="137" t="str">
        <x:v>SHEET 20MM||MTR</x:v>
      </x:c>
      <x:c r="G539" s="137" t="str">
        <x:v>Sheet 20Mm</x:v>
      </x:c>
      <x:c r="H539" s="137" t="str">
        <x:v>MTR</x:v>
      </x:c>
      <x:c r="I539" s="175" t="n">
        <x:v>0.00783085</x:v>
      </x:c>
      <x:c r="J539" s="176" t="str"/>
      <x:c r="K539" s="177" t="str"/>
      <x:c r="L539" s="178" t="str">
        <x:f>IF(J539="","",J539*(1+IF(K539="",0,K539)) )</x:f>
      </x:c>
      <x:c r="M539" s="138" t="str"/>
      <x:c r="N539" s="137" t="str">
        <x:v>Current model BOM seed</x:v>
      </x:c>
      <x:c r="O539" s="137" t="str"/>
      <x:c r="P539" s="137" t="str">
        <x:v>To Confirm</x:v>
      </x:c>
      <x:c r="Q539" s="137" t="str"/>
    </x:row>
    <x:row r="540">
      <x:c r="A540" s="137" t="str">
        <x:v>BOM-00536</x:v>
      </x:c>
      <x:c r="B540" s="137" t="str">
        <x:v>JILL</x:v>
      </x:c>
      <x:c r="C540" s="137" t="str">
        <x:v>PER ORDER (V/L)</x:v>
      </x:c>
      <x:c r="D540" s="137" t="str">
        <x:v>7X10S</x:v>
      </x:c>
      <x:c r="E540" s="137" t="str">
        <x:v>CUTTING</x:v>
      </x:c>
      <x:c r="F540" s="137" t="str">
        <x:v>INSOLE||PAIR</x:v>
      </x:c>
      <x:c r="G540" s="137" t="str">
        <x:v>INSOLE</x:v>
      </x:c>
      <x:c r="H540" s="137" t="str">
        <x:v>PAIR</x:v>
      </x:c>
      <x:c r="I540" s="175" t="n">
        <x:v>2</x:v>
      </x:c>
      <x:c r="J540" s="176" t="str"/>
      <x:c r="K540" s="177" t="str"/>
      <x:c r="L540" s="178" t="str">
        <x:f>IF(J540="","",J540*(1+IF(K540="",0,K540)) )</x:f>
      </x:c>
      <x:c r="M540" s="138" t="str"/>
      <x:c r="N540" s="137" t="str">
        <x:v>Current model BOM seed</x:v>
      </x:c>
      <x:c r="O540" s="137" t="str"/>
      <x:c r="P540" s="137" t="str">
        <x:v>To Confirm</x:v>
      </x:c>
      <x:c r="Q540" s="137" t="str"/>
    </x:row>
    <x:row r="541">
      <x:c r="A541" s="137" t="str">
        <x:v>BOM-00537</x:v>
      </x:c>
      <x:c r="B541" s="137" t="str">
        <x:v>JILL</x:v>
      </x:c>
      <x:c r="C541" s="137" t="str">
        <x:v>PER ORDER (V/L)</x:v>
      </x:c>
      <x:c r="D541" s="137" t="str">
        <x:v>7X10S</x:v>
      </x:c>
      <x:c r="E541" s="137" t="str">
        <x:v>MOLDING</x:v>
      </x:c>
      <x:c r="F541" s="137" t="str">
        <x:v>SOLE 1231 EVA||PAIR</x:v>
      </x:c>
      <x:c r="G541" s="137" t="str">
        <x:v>Sole 1231 EVA</x:v>
      </x:c>
      <x:c r="H541" s="137" t="str">
        <x:v>PAIR</x:v>
      </x:c>
      <x:c r="I541" s="175" t="n">
        <x:v>2</x:v>
      </x:c>
      <x:c r="J541" s="176" t="str"/>
      <x:c r="K541" s="177" t="str"/>
      <x:c r="L541" s="178" t="str">
        <x:f>IF(J541="","",J541*(1+IF(K541="",0,K541)) )</x:f>
      </x:c>
      <x:c r="M541" s="138" t="str"/>
      <x:c r="N541" s="137" t="str">
        <x:v>Current model BOM seed</x:v>
      </x:c>
      <x:c r="O541" s="137" t="str"/>
      <x:c r="P541" s="137" t="str">
        <x:v>To Confirm</x:v>
      </x:c>
      <x:c r="Q541" s="137" t="str"/>
    </x:row>
    <x:row r="542">
      <x:c r="A542" s="137" t="str">
        <x:v>BOM-00538</x:v>
      </x:c>
      <x:c r="B542" s="137" t="str">
        <x:v>JILL</x:v>
      </x:c>
      <x:c r="C542" s="137" t="str">
        <x:v>PER ORDER (V/L)</x:v>
      </x:c>
      <x:c r="D542" s="137" t="str">
        <x:v>7X10S</x:v>
      </x:c>
      <x:c r="E542" s="137" t="str">
        <x:v>PACKING</x:v>
      </x:c>
      <x:c r="F542" s="137" t="str">
        <x:v>TISSUE PAPER||PCS</x:v>
      </x:c>
      <x:c r="G542" s="137" t="str">
        <x:v>Tissue Paper</x:v>
      </x:c>
      <x:c r="H542" s="137" t="str">
        <x:v>PCS</x:v>
      </x:c>
      <x:c r="I542" s="175" t="n">
        <x:v>0.25</x:v>
      </x:c>
      <x:c r="J542" s="176" t="str"/>
      <x:c r="K542" s="177" t="str"/>
      <x:c r="L542" s="178" t="str">
        <x:f>IF(J542="","",J542*(1+IF(K542="",0,K542)) )</x:f>
      </x:c>
      <x:c r="M542" s="138" t="str"/>
      <x:c r="N542" s="137" t="str">
        <x:v>Current model BOM seed</x:v>
      </x:c>
      <x:c r="O542" s="137" t="str"/>
      <x:c r="P542" s="137" t="str">
        <x:v>To Confirm</x:v>
      </x:c>
      <x:c r="Q542" s="137" t="str"/>
    </x:row>
    <x:row r="543">
      <x:c r="A543" s="137" t="str">
        <x:v>BOM-00539</x:v>
      </x:c>
      <x:c r="B543" s="137" t="str">
        <x:v>JILL</x:v>
      </x:c>
      <x:c r="C543" s="137" t="str">
        <x:v>PER ORDER (V/L)</x:v>
      </x:c>
      <x:c r="D543" s="137" t="str">
        <x:v>7X10S</x:v>
      </x:c>
      <x:c r="E543" s="137" t="str">
        <x:v>PACKING</x:v>
      </x:c>
      <x:c r="F543" s="137" t="str">
        <x:v>SHOE SHINER||GRAM</x:v>
      </x:c>
      <x:c r="G543" s="137" t="str">
        <x:v>Shoe Shiner</x:v>
      </x:c>
      <x:c r="H543" s="137" t="str">
        <x:v>GRAM</x:v>
      </x:c>
      <x:c r="I543" s="175" t="n">
        <x:v>0.06666667</x:v>
      </x:c>
      <x:c r="J543" s="176" t="str"/>
      <x:c r="K543" s="177" t="str"/>
      <x:c r="L543" s="178" t="str">
        <x:f>IF(J543="","",J543*(1+IF(K543="",0,K543)) )</x:f>
      </x:c>
      <x:c r="M543" s="138" t="str"/>
      <x:c r="N543" s="137" t="str">
        <x:v>Current model BOM seed</x:v>
      </x:c>
      <x:c r="O543" s="137" t="str"/>
      <x:c r="P543" s="137" t="str">
        <x:v>To Confirm</x:v>
      </x:c>
      <x:c r="Q543" s="137" t="str"/>
    </x:row>
    <x:row r="544">
      <x:c r="A544" s="137" t="str">
        <x:v>BOM-00540</x:v>
      </x:c>
      <x:c r="B544" s="137" t="str">
        <x:v>JILL</x:v>
      </x:c>
      <x:c r="C544" s="137" t="str">
        <x:v>PER ORDER (V/L)</x:v>
      </x:c>
      <x:c r="D544" s="137" t="str">
        <x:v>7X10S</x:v>
      </x:c>
      <x:c r="E544" s="137" t="str">
        <x:v>PACKING</x:v>
      </x:c>
      <x:c r="F544" s="137" t="str">
        <x:v>EMYLE||GRAM</x:v>
      </x:c>
      <x:c r="G544" s="137" t="str">
        <x:v>EMYLE</x:v>
      </x:c>
      <x:c r="H544" s="137" t="str">
        <x:v>GRAM</x:v>
      </x:c>
      <x:c r="I544" s="175" t="n">
        <x:v>0.07142857</x:v>
      </x:c>
      <x:c r="J544" s="176" t="str"/>
      <x:c r="K544" s="177" t="str"/>
      <x:c r="L544" s="178" t="str">
        <x:f>IF(J544="","",J544*(1+IF(K544="",0,K544)) )</x:f>
      </x:c>
      <x:c r="M544" s="138" t="str"/>
      <x:c r="N544" s="137" t="str">
        <x:v>Current model BOM seed</x:v>
      </x:c>
      <x:c r="O544" s="137" t="str"/>
      <x:c r="P544" s="137" t="str">
        <x:v>To Confirm</x:v>
      </x:c>
      <x:c r="Q544" s="137" t="str"/>
    </x:row>
    <x:row r="545">
      <x:c r="A545" s="137" t="str">
        <x:v>BOM-00541</x:v>
      </x:c>
      <x:c r="B545" s="137" t="str">
        <x:v>JILL</x:v>
      </x:c>
      <x:c r="C545" s="137" t="str">
        <x:v>PER ORDER (V/L)</x:v>
      </x:c>
      <x:c r="D545" s="137" t="str">
        <x:v>7X10S</x:v>
      </x:c>
      <x:c r="E545" s="137" t="str">
        <x:v>PACKING</x:v>
      </x:c>
      <x:c r="F545" s="137" t="str">
        <x:v>TAG PIN||PCS</x:v>
      </x:c>
      <x:c r="G545" s="137" t="str">
        <x:v>Tag Pin</x:v>
      </x:c>
      <x:c r="H545" s="137" t="str">
        <x:v>PCS</x:v>
      </x:c>
      <x:c r="I545" s="175" t="n">
        <x:v>1</x:v>
      </x:c>
      <x:c r="J545" s="176" t="str"/>
      <x:c r="K545" s="177" t="str"/>
      <x:c r="L545" s="178" t="str">
        <x:f>IF(J545="","",J545*(1+IF(K545="",0,K545)) )</x:f>
      </x:c>
      <x:c r="M545" s="138" t="str"/>
      <x:c r="N545" s="137" t="str">
        <x:v>Current model BOM seed</x:v>
      </x:c>
      <x:c r="O545" s="137" t="str"/>
      <x:c r="P545" s="137" t="str">
        <x:v>To Confirm</x:v>
      </x:c>
      <x:c r="Q545" s="137" t="str"/>
    </x:row>
    <x:row r="546">
      <x:c r="A546" s="137" t="str">
        <x:v>BOM-00542</x:v>
      </x:c>
      <x:c r="B546" s="137" t="str">
        <x:v>JILL</x:v>
      </x:c>
      <x:c r="C546" s="137" t="str">
        <x:v>PER ORDER (V/L)</x:v>
      </x:c>
      <x:c r="D546" s="137" t="str">
        <x:v>7X10S</x:v>
      </x:c>
      <x:c r="E546" s="137" t="str">
        <x:v>PACKING</x:v>
      </x:c>
      <x:c r="F546" s="137" t="str">
        <x:v>TAG CARD||PCS</x:v>
      </x:c>
      <x:c r="G546" s="137" t="str">
        <x:v>Tag Card</x:v>
      </x:c>
      <x:c r="H546" s="137" t="str">
        <x:v>PCS</x:v>
      </x:c>
      <x:c r="I546" s="175" t="n">
        <x:v>1</x:v>
      </x:c>
      <x:c r="J546" s="176" t="str"/>
      <x:c r="K546" s="177" t="str"/>
      <x:c r="L546" s="178" t="str">
        <x:f>IF(J546="","",J546*(1+IF(K546="",0,K546)) )</x:f>
      </x:c>
      <x:c r="M546" s="138" t="str"/>
      <x:c r="N546" s="137" t="str">
        <x:v>Current model BOM seed</x:v>
      </x:c>
      <x:c r="O546" s="137" t="str"/>
      <x:c r="P546" s="137" t="str">
        <x:v>To Confirm</x:v>
      </x:c>
      <x:c r="Q546" s="137" t="str"/>
    </x:row>
    <x:row r="547">
      <x:c r="A547" s="137" t="str">
        <x:v>BOM-00543</x:v>
      </x:c>
      <x:c r="B547" s="137" t="str">
        <x:v>JILL</x:v>
      </x:c>
      <x:c r="C547" s="137" t="str">
        <x:v>PER ORDER (V/L)</x:v>
      </x:c>
      <x:c r="D547" s="137" t="str">
        <x:v>7X10S</x:v>
      </x:c>
      <x:c r="E547" s="137" t="str">
        <x:v>PACKING</x:v>
      </x:c>
      <x:c r="F547" s="137" t="str">
        <x:v>WRAPING PAPER||PCS</x:v>
      </x:c>
      <x:c r="G547" s="137" t="str">
        <x:v>Wraping Paper</x:v>
      </x:c>
      <x:c r="H547" s="137" t="str">
        <x:v>PCS</x:v>
      </x:c>
      <x:c r="I547" s="175" t="n">
        <x:v>1</x:v>
      </x:c>
      <x:c r="J547" s="176" t="str"/>
      <x:c r="K547" s="177" t="str"/>
      <x:c r="L547" s="178" t="str">
        <x:f>IF(J547="","",J547*(1+IF(K547="",0,K547)) )</x:f>
      </x:c>
      <x:c r="M547" s="138" t="str"/>
      <x:c r="N547" s="137" t="str">
        <x:v>Current model BOM seed</x:v>
      </x:c>
      <x:c r="O547" s="137" t="str"/>
      <x:c r="P547" s="137" t="str">
        <x:v>To Confirm</x:v>
      </x:c>
      <x:c r="Q547" s="137" t="str"/>
    </x:row>
    <x:row r="548">
      <x:c r="A548" s="137" t="str">
        <x:v>BOM-00544</x:v>
      </x:c>
      <x:c r="B548" s="137" t="str">
        <x:v>JILL</x:v>
      </x:c>
      <x:c r="C548" s="137" t="str">
        <x:v>PER ORDER (V/L)</x:v>
      </x:c>
      <x:c r="D548" s="137" t="str">
        <x:v>7X10S</x:v>
      </x:c>
      <x:c r="E548" s="137" t="str">
        <x:v>PACKING</x:v>
      </x:c>
      <x:c r="F548" s="137" t="str">
        <x:v>INNER||PCS</x:v>
      </x:c>
      <x:c r="G548" s="137" t="str">
        <x:v>INNER</x:v>
      </x:c>
      <x:c r="H548" s="137" t="str">
        <x:v>PCS</x:v>
      </x:c>
      <x:c r="I548" s="175" t="n">
        <x:v>1</x:v>
      </x:c>
      <x:c r="J548" s="176" t="str"/>
      <x:c r="K548" s="177" t="str"/>
      <x:c r="L548" s="178" t="str">
        <x:f>IF(J548="","",J548*(1+IF(K548="",0,K548)) )</x:f>
      </x:c>
      <x:c r="M548" s="138" t="str"/>
      <x:c r="N548" s="137" t="str">
        <x:v>Current model BOM seed</x:v>
      </x:c>
      <x:c r="O548" s="137" t="str"/>
      <x:c r="P548" s="137" t="str">
        <x:v>To Confirm</x:v>
      </x:c>
      <x:c r="Q548" s="137" t="str"/>
    </x:row>
    <x:row r="549">
      <x:c r="A549" s="137" t="str">
        <x:v>BOM-00545</x:v>
      </x:c>
      <x:c r="B549" s="137" t="str">
        <x:v>JILL</x:v>
      </x:c>
      <x:c r="C549" s="137" t="str">
        <x:v>PER ORDER (V/L)</x:v>
      </x:c>
      <x:c r="D549" s="137" t="str">
        <x:v>7X10S</x:v>
      </x:c>
      <x:c r="E549" s="137" t="str">
        <x:v>PACKING</x:v>
      </x:c>
      <x:c r="F549" s="137" t="str">
        <x:v>BARCODE STICKER||PCS</x:v>
      </x:c>
      <x:c r="G549" s="137" t="str">
        <x:v>Barcode Sticker</x:v>
      </x:c>
      <x:c r="H549" s="137" t="str">
        <x:v>PCS</x:v>
      </x:c>
      <x:c r="I549" s="175" t="n">
        <x:v>1</x:v>
      </x:c>
      <x:c r="J549" s="176" t="str"/>
      <x:c r="K549" s="177" t="str"/>
      <x:c r="L549" s="178" t="str">
        <x:f>IF(J549="","",J549*(1+IF(K549="",0,K549)) )</x:f>
      </x:c>
      <x:c r="M549" s="138" t="str"/>
      <x:c r="N549" s="137" t="str">
        <x:v>Current model BOM seed</x:v>
      </x:c>
      <x:c r="O549" s="137" t="str"/>
      <x:c r="P549" s="137" t="str">
        <x:v>To Confirm</x:v>
      </x:c>
      <x:c r="Q549" s="137" t="str"/>
    </x:row>
    <x:row r="550">
      <x:c r="A550" s="137" t="str">
        <x:v>BOM-00546</x:v>
      </x:c>
      <x:c r="B550" s="137" t="str">
        <x:v>JILL</x:v>
      </x:c>
      <x:c r="C550" s="137" t="str">
        <x:v>PER ORDER (V/L)</x:v>
      </x:c>
      <x:c r="D550" s="137" t="str">
        <x:v>7X10S</x:v>
      </x:c>
      <x:c r="E550" s="137" t="str">
        <x:v>PACKING</x:v>
      </x:c>
      <x:c r="F550" s="137" t="str">
        <x:v>CTN TAPE (1 CTN)||MTR</x:v>
      </x:c>
      <x:c r="G550" s="137" t="str">
        <x:v>Ctn Tape (1 Ctn)</x:v>
      </x:c>
      <x:c r="H550" s="137" t="str">
        <x:v>MTR</x:v>
      </x:c>
      <x:c r="I550" s="175" t="n">
        <x:v>0.5</x:v>
      </x:c>
      <x:c r="J550" s="176" t="str"/>
      <x:c r="K550" s="177" t="str"/>
      <x:c r="L550" s="178" t="str">
        <x:f>IF(J550="","",J550*(1+IF(K550="",0,K550)) )</x:f>
      </x:c>
      <x:c r="M550" s="138" t="str"/>
      <x:c r="N550" s="137" t="str">
        <x:v>Current model BOM seed</x:v>
      </x:c>
      <x:c r="O550" s="137" t="str"/>
      <x:c r="P550" s="137" t="str">
        <x:v>To Confirm</x:v>
      </x:c>
      <x:c r="Q550" s="137" t="str"/>
    </x:row>
    <x:row r="551">
      <x:c r="A551" s="137" t="str">
        <x:v>BOM-00547</x:v>
      </x:c>
      <x:c r="B551" s="137" t="str">
        <x:v>JILL</x:v>
      </x:c>
      <x:c r="C551" s="137" t="str">
        <x:v>PER ORDER (V/L)</x:v>
      </x:c>
      <x:c r="D551" s="137" t="str">
        <x:v>7X10S</x:v>
      </x:c>
      <x:c r="E551" s="137" t="str">
        <x:v>PACKING</x:v>
      </x:c>
      <x:c r="F551" s="137" t="str">
        <x:v>STRAPING ROLL (1CTN)||MTR</x:v>
      </x:c>
      <x:c r="G551" s="137" t="str">
        <x:v>Straping Roll (1Ctn)</x:v>
      </x:c>
      <x:c r="H551" s="137" t="str">
        <x:v>MTR</x:v>
      </x:c>
      <x:c r="I551" s="175" t="n">
        <x:v>0.25</x:v>
      </x:c>
      <x:c r="J551" s="176" t="str"/>
      <x:c r="K551" s="177" t="str"/>
      <x:c r="L551" s="178" t="str">
        <x:f>IF(J551="","",J551*(1+IF(K551="",0,K551)) )</x:f>
      </x:c>
      <x:c r="M551" s="138" t="str"/>
      <x:c r="N551" s="137" t="str">
        <x:v>Current model BOM seed</x:v>
      </x:c>
      <x:c r="O551" s="137" t="str"/>
      <x:c r="P551" s="137" t="str">
        <x:v>To Confirm</x:v>
      </x:c>
      <x:c r="Q551" s="137" t="str"/>
    </x:row>
    <x:row r="552">
      <x:c r="A552" s="137" t="str">
        <x:v>BOM-00548</x:v>
      </x:c>
      <x:c r="B552" s="137" t="str">
        <x:v>JILL</x:v>
      </x:c>
      <x:c r="C552" s="137" t="str">
        <x:v>PER ORDER (V/L)</x:v>
      </x:c>
      <x:c r="D552" s="137" t="str">
        <x:v>7X10S</x:v>
      </x:c>
      <x:c r="E552" s="137" t="str">
        <x:v>STITCHING</x:v>
      </x:c>
      <x:c r="F552" s="137" t="str">
        <x:v>THREAD 3 PLY||MTR</x:v>
      </x:c>
      <x:c r="G552" s="137" t="str">
        <x:v>Thread 3 Ply</x:v>
      </x:c>
      <x:c r="H552" s="137" t="str">
        <x:v>MTR</x:v>
      </x:c>
      <x:c r="I552" s="175" t="n">
        <x:v>33.33333333</x:v>
      </x:c>
      <x:c r="J552" s="176" t="str"/>
      <x:c r="K552" s="177" t="str"/>
      <x:c r="L552" s="178" t="str">
        <x:f>IF(J552="","",J552*(1+IF(K552="",0,K552)) )</x:f>
      </x:c>
      <x:c r="M552" s="138" t="str"/>
      <x:c r="N552" s="137" t="str">
        <x:v>Current model BOM seed</x:v>
      </x:c>
      <x:c r="O552" s="137" t="str"/>
      <x:c r="P552" s="137" t="str">
        <x:v>To Confirm</x:v>
      </x:c>
      <x:c r="Q552" s="137" t="str"/>
    </x:row>
    <x:row r="553">
      <x:c r="A553" s="137" t="str">
        <x:v>BOM-00549</x:v>
      </x:c>
      <x:c r="B553" s="137" t="str">
        <x:v>JILL</x:v>
      </x:c>
      <x:c r="C553" s="137" t="str">
        <x:v>PER ORDER (V/L)</x:v>
      </x:c>
      <x:c r="D553" s="137" t="str">
        <x:v>7X10S</x:v>
      </x:c>
      <x:c r="E553" s="137" t="str">
        <x:v>STITCHING</x:v>
      </x:c>
      <x:c r="F553" s="137" t="str">
        <x:v>THREAD 3 PLY COLOURED||MTR</x:v>
      </x:c>
      <x:c r="G553" s="137" t="str">
        <x:v>Thread 3 Ply Coloured</x:v>
      </x:c>
      <x:c r="H553" s="137" t="str">
        <x:v>MTR</x:v>
      </x:c>
      <x:c r="I553" s="175" t="n">
        <x:v>600</x:v>
      </x:c>
      <x:c r="J553" s="176" t="str"/>
      <x:c r="K553" s="177" t="str"/>
      <x:c r="L553" s="178" t="str">
        <x:f>IF(J553="","",J553*(1+IF(K553="",0,K553)) )</x:f>
      </x:c>
      <x:c r="M553" s="138" t="str"/>
      <x:c r="N553" s="137" t="str">
        <x:v>Current model BOM seed</x:v>
      </x:c>
      <x:c r="O553" s="137" t="str"/>
      <x:c r="P553" s="137" t="str">
        <x:v>To Confirm</x:v>
      </x:c>
      <x:c r="Q553" s="137" t="str"/>
    </x:row>
    <x:row r="554">
      <x:c r="A554" s="137" t="str">
        <x:v>BOM-00550</x:v>
      </x:c>
      <x:c r="B554" s="137" t="str">
        <x:v>JILL</x:v>
      </x:c>
      <x:c r="C554" s="137" t="str">
        <x:v>PER ORDER (V/L)</x:v>
      </x:c>
      <x:c r="D554" s="137" t="str">
        <x:v>7X10S</x:v>
      </x:c>
      <x:c r="E554" s="137" t="str">
        <x:v>STITCHING</x:v>
      </x:c>
      <x:c r="F554" s="137" t="str">
        <x:v>SIZE LABEL||PCS</x:v>
      </x:c>
      <x:c r="G554" s="137" t="str">
        <x:v>SIZE LABEL</x:v>
      </x:c>
      <x:c r="H554" s="137" t="str">
        <x:v>PCS</x:v>
      </x:c>
      <x:c r="I554" s="175" t="n">
        <x:v>0.5</x:v>
      </x:c>
      <x:c r="J554" s="176" t="str"/>
      <x:c r="K554" s="177" t="str"/>
      <x:c r="L554" s="178" t="str">
        <x:f>IF(J554="","",J554*(1+IF(K554="",0,K554)) )</x:f>
      </x:c>
      <x:c r="M554" s="138" t="str"/>
      <x:c r="N554" s="137" t="str">
        <x:v>Current model BOM seed</x:v>
      </x:c>
      <x:c r="O554" s="137" t="str"/>
      <x:c r="P554" s="137" t="str">
        <x:v>To Confirm</x:v>
      </x:c>
      <x:c r="Q554" s="137" t="str"/>
    </x:row>
    <x:row r="555">
      <x:c r="A555" s="137" t="str">
        <x:v>BOM-00551</x:v>
      </x:c>
      <x:c r="B555" s="137" t="str">
        <x:v>JILL</x:v>
      </x:c>
      <x:c r="C555" s="137" t="str">
        <x:v>PER ORDER (V/L)</x:v>
      </x:c>
      <x:c r="D555" s="137" t="str">
        <x:v>7X10S</x:v>
      </x:c>
      <x:c r="E555" s="137" t="str">
        <x:v>STITCHING</x:v>
      </x:c>
      <x:c r="F555" s="137" t="str">
        <x:v>TOUNG LABEL SNEAKER||PCS</x:v>
      </x:c>
      <x:c r="G555" s="137" t="str">
        <x:v>TOUNG LABEL SNEAKER</x:v>
      </x:c>
      <x:c r="H555" s="137" t="str">
        <x:v>PCS</x:v>
      </x:c>
      <x:c r="I555" s="175" t="n">
        <x:v>0.5</x:v>
      </x:c>
      <x:c r="J555" s="176" t="str"/>
      <x:c r="K555" s="177" t="str"/>
      <x:c r="L555" s="178" t="str">
        <x:f>IF(J555="","",J555*(1+IF(K555="",0,K555)) )</x:f>
      </x:c>
      <x:c r="M555" s="138" t="str"/>
      <x:c r="N555" s="137" t="str">
        <x:v>Current model BOM seed</x:v>
      </x:c>
      <x:c r="O555" s="137" t="str"/>
      <x:c r="P555" s="137" t="str">
        <x:v>To Confirm</x:v>
      </x:c>
      <x:c r="Q555" s="137" t="str"/>
    </x:row>
    <x:row r="556">
      <x:c r="A556" s="137" t="str">
        <x:v>BOM-00552</x:v>
      </x:c>
      <x:c r="B556" s="137" t="str">
        <x:v>JILL</x:v>
      </x:c>
      <x:c r="C556" s="137" t="str">
        <x:v>PER ORDER (V/L)</x:v>
      </x:c>
      <x:c r="D556" s="137" t="str">
        <x:v>7X10S</x:v>
      </x:c>
      <x:c r="E556" s="137" t="str">
        <x:v>STITCHING</x:v>
      </x:c>
      <x:c r="F556" s="137" t="str">
        <x:v>PF-48||PCS</x:v>
      </x:c>
      <x:c r="G556" s="137" t="str">
        <x:v>PF-48</x:v>
      </x:c>
      <x:c r="H556" s="137" t="str">
        <x:v>PCS</x:v>
      </x:c>
      <x:c r="I556" s="175" t="n">
        <x:v>0.25</x:v>
      </x:c>
      <x:c r="J556" s="176" t="str"/>
      <x:c r="K556" s="177" t="str"/>
      <x:c r="L556" s="178" t="str">
        <x:f>IF(J556="","",J556*(1+IF(K556="",0,K556)) )</x:f>
      </x:c>
      <x:c r="M556" s="138" t="str"/>
      <x:c r="N556" s="137" t="str">
        <x:v>Current model BOM seed</x:v>
      </x:c>
      <x:c r="O556" s="137" t="str"/>
      <x:c r="P556" s="137" t="str">
        <x:v>To Confirm</x:v>
      </x:c>
      <x:c r="Q556" s="137" t="str"/>
    </x:row>
    <x:row r="557">
      <x:c r="A557" s="137" t="str">
        <x:v>BOM-00553</x:v>
      </x:c>
      <x:c r="B557" s="137" t="str">
        <x:v>JILL</x:v>
      </x:c>
      <x:c r="C557" s="137" t="str">
        <x:v>PER ORDER (V/L)</x:v>
      </x:c>
      <x:c r="D557" s="137" t="str">
        <x:v>7X10S</x:v>
      </x:c>
      <x:c r="E557" s="137" t="str">
        <x:v>STITCHING</x:v>
      </x:c>
      <x:c r="F557" s="137" t="str">
        <x:v>PF-3||PCS</x:v>
      </x:c>
      <x:c r="G557" s="137" t="str">
        <x:v>PF-3</x:v>
      </x:c>
      <x:c r="H557" s="137" t="str">
        <x:v>PCS</x:v>
      </x:c>
      <x:c r="I557" s="175" t="n">
        <x:v>0</x:v>
      </x:c>
      <x:c r="J557" s="176" t="str"/>
      <x:c r="K557" s="177" t="str"/>
      <x:c r="L557" s="178" t="str">
        <x:f>IF(J557="","",J557*(1+IF(K557="",0,K557)) )</x:f>
      </x:c>
      <x:c r="M557" s="138" t="str"/>
      <x:c r="N557" s="137" t="str">
        <x:v>Current model BOM seed</x:v>
      </x:c>
      <x:c r="O557" s="137" t="str"/>
      <x:c r="P557" s="137" t="str">
        <x:v>To Confirm</x:v>
      </x:c>
      <x:c r="Q557" s="137" t="str"/>
    </x:row>
    <x:row r="558">
      <x:c r="A558" s="137" t="str">
        <x:v>BOM-00554</x:v>
      </x:c>
      <x:c r="B558" s="137" t="str">
        <x:v>JILL</x:v>
      </x:c>
      <x:c r="C558" s="137" t="str">
        <x:v>PER ORDER (V/L)</x:v>
      </x:c>
      <x:c r="D558" s="137" t="str">
        <x:v>7X10S</x:v>
      </x:c>
      <x:c r="E558" s="137" t="str">
        <x:v>STITCHING</x:v>
      </x:c>
      <x:c r="F558" s="137" t="str">
        <x:v>VELCRO 20 MM HOOK||MTR</x:v>
      </x:c>
      <x:c r="G558" s="137" t="str">
        <x:v>VELCRO 20 MM HOOK</x:v>
      </x:c>
      <x:c r="H558" s="137" t="str">
        <x:v>MTR</x:v>
      </x:c>
      <x:c r="I558" s="175" t="n">
        <x:v>0.03703704</x:v>
      </x:c>
      <x:c r="J558" s="176" t="str"/>
      <x:c r="K558" s="177" t="str"/>
      <x:c r="L558" s="178" t="str">
        <x:f>IF(J558="","",J558*(1+IF(K558="",0,K558)) )</x:f>
      </x:c>
      <x:c r="M558" s="138" t="str"/>
      <x:c r="N558" s="137" t="str">
        <x:v>Current model BOM seed</x:v>
      </x:c>
      <x:c r="O558" s="137" t="str"/>
      <x:c r="P558" s="137" t="str">
        <x:v>To Confirm</x:v>
      </x:c>
      <x:c r="Q558" s="137" t="str"/>
    </x:row>
    <x:row r="559">
      <x:c r="A559" s="137" t="str">
        <x:v>BOM-00555</x:v>
      </x:c>
      <x:c r="B559" s="137" t="str">
        <x:v>JILL</x:v>
      </x:c>
      <x:c r="C559" s="137" t="str">
        <x:v>PER ORDER (V/L)</x:v>
      </x:c>
      <x:c r="D559" s="137" t="str">
        <x:v>7X10S</x:v>
      </x:c>
      <x:c r="E559" s="137" t="str">
        <x:v>STITCHING</x:v>
      </x:c>
      <x:c r="F559" s="137" t="str">
        <x:v>VELCRO 20 MM LOOP||MTR</x:v>
      </x:c>
      <x:c r="G559" s="137" t="str">
        <x:v>VELCRO 20 MM LOOP</x:v>
      </x:c>
      <x:c r="H559" s="137" t="str">
        <x:v>MTR</x:v>
      </x:c>
      <x:c r="I559" s="175" t="n">
        <x:v>0.03703704</x:v>
      </x:c>
      <x:c r="J559" s="176" t="str"/>
      <x:c r="K559" s="177" t="str"/>
      <x:c r="L559" s="178" t="str">
        <x:f>IF(J559="","",J559*(1+IF(K559="",0,K559)) )</x:f>
      </x:c>
      <x:c r="M559" s="138" t="str"/>
      <x:c r="N559" s="137" t="str">
        <x:v>Current model BOM seed</x:v>
      </x:c>
      <x:c r="O559" s="137" t="str"/>
      <x:c r="P559" s="137" t="str">
        <x:v>To Confirm</x:v>
      </x:c>
      <x:c r="Q559" s="137" t="str"/>
    </x:row>
    <x:row r="560">
      <x:c r="A560" s="137" t="str">
        <x:v>BOM-00556</x:v>
      </x:c>
      <x:c r="B560" s="137" t="str">
        <x:v>JILL</x:v>
      </x:c>
      <x:c r="C560" s="137" t="str">
        <x:v>PER ORDER (V/L)</x:v>
      </x:c>
      <x:c r="D560" s="137" t="str">
        <x:v>7X10S</x:v>
      </x:c>
      <x:c r="E560" s="137" t="str">
        <x:v>STITCHING</x:v>
      </x:c>
      <x:c r="F560" s="137" t="str">
        <x:v>VELCRO 25 MM HOOK||MTR</x:v>
      </x:c>
      <x:c r="G560" s="137" t="str">
        <x:v>VELCRO 25 MM HOOK</x:v>
      </x:c>
      <x:c r="H560" s="137" t="str">
        <x:v>MTR</x:v>
      </x:c>
      <x:c r="I560" s="175" t="n">
        <x:v>0</x:v>
      </x:c>
      <x:c r="J560" s="176" t="str"/>
      <x:c r="K560" s="177" t="str"/>
      <x:c r="L560" s="178" t="str">
        <x:f>IF(J560="","",J560*(1+IF(K560="",0,K560)) )</x:f>
      </x:c>
      <x:c r="M560" s="138" t="str"/>
      <x:c r="N560" s="137" t="str">
        <x:v>Current model BOM seed</x:v>
      </x:c>
      <x:c r="O560" s="137" t="str"/>
      <x:c r="P560" s="137" t="str">
        <x:v>To Confirm</x:v>
      </x:c>
      <x:c r="Q560" s="137" t="str"/>
    </x:row>
    <x:row r="561">
      <x:c r="A561" s="137" t="str">
        <x:v>BOM-00557</x:v>
      </x:c>
      <x:c r="B561" s="137" t="str">
        <x:v>JILL</x:v>
      </x:c>
      <x:c r="C561" s="137" t="str">
        <x:v>PER ORDER (V/L)</x:v>
      </x:c>
      <x:c r="D561" s="137" t="str">
        <x:v>7X10S</x:v>
      </x:c>
      <x:c r="E561" s="137" t="str">
        <x:v>STITCHING</x:v>
      </x:c>
      <x:c r="F561" s="137" t="str">
        <x:v>VELCRO 25 MM LOOP||MTR</x:v>
      </x:c>
      <x:c r="G561" s="137" t="str">
        <x:v>VELCRO 25 MM LOOP</x:v>
      </x:c>
      <x:c r="H561" s="137" t="str">
        <x:v>MTR</x:v>
      </x:c>
      <x:c r="I561" s="175" t="n">
        <x:v>0</x:v>
      </x:c>
      <x:c r="J561" s="176" t="str"/>
      <x:c r="K561" s="177" t="str"/>
      <x:c r="L561" s="178" t="str">
        <x:f>IF(J561="","",J561*(1+IF(K561="",0,K561)) )</x:f>
      </x:c>
      <x:c r="M561" s="138" t="str"/>
      <x:c r="N561" s="137" t="str">
        <x:v>Current model BOM seed</x:v>
      </x:c>
      <x:c r="O561" s="137" t="str"/>
      <x:c r="P561" s="137" t="str">
        <x:v>To Confirm</x:v>
      </x:c>
      <x:c r="Q561" s="137" t="str"/>
    </x:row>
    <x:row r="562">
      <x:c r="A562" s="137" t="str">
        <x:v>BOM-00558</x:v>
      </x:c>
      <x:c r="B562" s="137" t="str">
        <x:v>JILL</x:v>
      </x:c>
      <x:c r="C562" s="137" t="str">
        <x:v>PER ORDER (V/L)</x:v>
      </x:c>
      <x:c r="D562" s="137" t="str">
        <x:v>7X10S</x:v>
      </x:c>
      <x:c r="E562" s="137" t="str">
        <x:v>STITCHING</x:v>
      </x:c>
      <x:c r="F562" s="137" t="str">
        <x:v>BACK TAPE 14 MM||MTR</x:v>
      </x:c>
      <x:c r="G562" s="137" t="str">
        <x:v>BACK TAPE 14 MM</x:v>
      </x:c>
      <x:c r="H562" s="137" t="str">
        <x:v>MTR</x:v>
      </x:c>
      <x:c r="I562" s="175" t="n">
        <x:v>0.16666667</x:v>
      </x:c>
      <x:c r="J562" s="176" t="str"/>
      <x:c r="K562" s="177" t="str"/>
      <x:c r="L562" s="178" t="str">
        <x:f>IF(J562="","",J562*(1+IF(K562="",0,K562)) )</x:f>
      </x:c>
      <x:c r="M562" s="138" t="str"/>
      <x:c r="N562" s="137" t="str">
        <x:v>Current model BOM seed</x:v>
      </x:c>
      <x:c r="O562" s="137" t="str"/>
      <x:c r="P562" s="137" t="str">
        <x:v>To Confirm</x:v>
      </x:c>
      <x:c r="Q562" s="137" t="str"/>
    </x:row>
    <x:row r="563">
      <x:c r="A563" s="137" t="str">
        <x:v>BOM-00559</x:v>
      </x:c>
      <x:c r="B563" s="137" t="str">
        <x:v>JILL</x:v>
      </x:c>
      <x:c r="C563" s="137" t="str">
        <x:v>PER ORDER (V/L)</x:v>
      </x:c>
      <x:c r="D563" s="137" t="str">
        <x:v>11X1</x:v>
      </x:c>
      <x:c r="E563" s="137" t="str">
        <x:v>CUTTING</x:v>
      </x:c>
      <x:c r="F563" s="137" t="str">
        <x:v>MESH 58"||MTR</x:v>
      </x:c>
      <x:c r="G563" s="137" t="str">
        <x:v>Mesh 58"</x:v>
      </x:c>
      <x:c r="H563" s="137" t="str">
        <x:v>MTR</x:v>
      </x:c>
      <x:c r="I563" s="175" t="n">
        <x:v>0.09120879</x:v>
      </x:c>
      <x:c r="J563" s="176" t="str"/>
      <x:c r="K563" s="177" t="str"/>
      <x:c r="L563" s="178" t="str">
        <x:f>IF(J563="","",J563*(1+IF(K563="",0,K563)) )</x:f>
      </x:c>
      <x:c r="M563" s="138" t="str"/>
      <x:c r="N563" s="137" t="str">
        <x:v>Current model BOM seed</x:v>
      </x:c>
      <x:c r="O563" s="137" t="str"/>
      <x:c r="P563" s="137" t="str">
        <x:v>To Confirm</x:v>
      </x:c>
      <x:c r="Q563" s="137" t="str"/>
    </x:row>
    <x:row r="564">
      <x:c r="A564" s="137" t="str">
        <x:v>BOM-00560</x:v>
      </x:c>
      <x:c r="B564" s="137" t="str">
        <x:v>JILL</x:v>
      </x:c>
      <x:c r="C564" s="137" t="str">
        <x:v>PER ORDER (V/L)</x:v>
      </x:c>
      <x:c r="D564" s="137" t="str">
        <x:v>11X1</x:v>
      </x:c>
      <x:c r="E564" s="137" t="str">
        <x:v>CUTTING</x:v>
      </x:c>
      <x:c r="F564" s="137" t="str">
        <x:v>ASTER 60"||MTR</x:v>
      </x:c>
      <x:c r="G564" s="137" t="str">
        <x:v>Aster 60"</x:v>
      </x:c>
      <x:c r="H564" s="137" t="str">
        <x:v>MTR</x:v>
      </x:c>
      <x:c r="I564" s="175" t="n">
        <x:v>0.01428571</x:v>
      </x:c>
      <x:c r="J564" s="176" t="str"/>
      <x:c r="K564" s="177" t="str"/>
      <x:c r="L564" s="178" t="str">
        <x:f>IF(J564="","",J564*(1+IF(K564="",0,K564)) )</x:f>
      </x:c>
      <x:c r="M564" s="138" t="str"/>
      <x:c r="N564" s="137" t="str">
        <x:v>Current model BOM seed</x:v>
      </x:c>
      <x:c r="O564" s="137" t="str"/>
      <x:c r="P564" s="137" t="str">
        <x:v>To Confirm</x:v>
      </x:c>
      <x:c r="Q564" s="137" t="str"/>
    </x:row>
    <x:row r="565">
      <x:c r="A565" s="137" t="str">
        <x:v>BOM-00561</x:v>
      </x:c>
      <x:c r="B565" s="137" t="str">
        <x:v>JILL</x:v>
      </x:c>
      <x:c r="C565" s="137" t="str">
        <x:v>PER ORDER (V/L)</x:v>
      </x:c>
      <x:c r="D565" s="137" t="str">
        <x:v>11X1</x:v>
      </x:c>
      <x:c r="E565" s="137" t="str">
        <x:v>CUTTING</x:v>
      </x:c>
      <x:c r="F565" s="137" t="str">
        <x:v>SKINFIT 60"||MTR</x:v>
      </x:c>
      <x:c r="G565" s="137" t="str">
        <x:v>Skinfit 60"</x:v>
      </x:c>
      <x:c r="H565" s="137" t="str">
        <x:v>MTR</x:v>
      </x:c>
      <x:c r="I565" s="175" t="n">
        <x:v>0.03508772</x:v>
      </x:c>
      <x:c r="J565" s="176" t="str"/>
      <x:c r="K565" s="177" t="str"/>
      <x:c r="L565" s="178" t="str">
        <x:f>IF(J565="","",J565*(1+IF(K565="",0,K565)) )</x:f>
      </x:c>
      <x:c r="M565" s="138" t="str"/>
      <x:c r="N565" s="137" t="str">
        <x:v>Current model BOM seed</x:v>
      </x:c>
      <x:c r="O565" s="137" t="str"/>
      <x:c r="P565" s="137" t="str">
        <x:v>To Confirm</x:v>
      </x:c>
      <x:c r="Q565" s="137" t="str"/>
    </x:row>
    <x:row r="566">
      <x:c r="A566" s="137" t="str">
        <x:v>BOM-00562</x:v>
      </x:c>
      <x:c r="B566" s="137" t="str">
        <x:v>JILL</x:v>
      </x:c>
      <x:c r="C566" s="137" t="str">
        <x:v>PER ORDER (V/L)</x:v>
      </x:c>
      <x:c r="D566" s="137" t="str">
        <x:v>11X1</x:v>
      </x:c>
      <x:c r="E566" s="137" t="str">
        <x:v>CUTTING</x:v>
      </x:c>
      <x:c r="F566" s="137" t="str">
        <x:v>REXINE 54"||MTR</x:v>
      </x:c>
      <x:c r="G566" s="137" t="str">
        <x:v>Rexine 54"</x:v>
      </x:c>
      <x:c r="H566" s="137" t="str">
        <x:v>MTR</x:v>
      </x:c>
      <x:c r="I566" s="175" t="n">
        <x:v>0.08136124</x:v>
      </x:c>
      <x:c r="J566" s="176" t="str"/>
      <x:c r="K566" s="177" t="str"/>
      <x:c r="L566" s="178" t="str">
        <x:f>IF(J566="","",J566*(1+IF(K566="",0,K566)) )</x:f>
      </x:c>
      <x:c r="M566" s="138" t="str"/>
      <x:c r="N566" s="137" t="str">
        <x:v>Current model BOM seed</x:v>
      </x:c>
      <x:c r="O566" s="137" t="str"/>
      <x:c r="P566" s="137" t="str">
        <x:v>To Confirm</x:v>
      </x:c>
      <x:c r="Q566" s="137" t="str"/>
    </x:row>
    <x:row r="567">
      <x:c r="A567" s="137" t="str">
        <x:v>BOM-00563</x:v>
      </x:c>
      <x:c r="B567" s="137" t="str">
        <x:v>JILL</x:v>
      </x:c>
      <x:c r="C567" s="137" t="str">
        <x:v>PER ORDER (V/L)</x:v>
      </x:c>
      <x:c r="D567" s="137" t="str">
        <x:v>11X1</x:v>
      </x:c>
      <x:c r="E567" s="137" t="str">
        <x:v>CUTTING</x:v>
      </x:c>
      <x:c r="F567" s="137" t="str">
        <x:v>SHEET 1.4MM||MTR</x:v>
      </x:c>
      <x:c r="G567" s="137" t="str">
        <x:v>Sheet 1.4Mm</x:v>
      </x:c>
      <x:c r="H567" s="137" t="str">
        <x:v>MTR</x:v>
      </x:c>
      <x:c r="I567" s="175" t="n">
        <x:v>0.01005025</x:v>
      </x:c>
      <x:c r="J567" s="176" t="str"/>
      <x:c r="K567" s="177" t="str"/>
      <x:c r="L567" s="178" t="str">
        <x:f>IF(J567="","",J567*(1+IF(K567="",0,K567)) )</x:f>
      </x:c>
      <x:c r="M567" s="138" t="str"/>
      <x:c r="N567" s="137" t="str">
        <x:v>Current model BOM seed</x:v>
      </x:c>
      <x:c r="O567" s="137" t="str"/>
      <x:c r="P567" s="137" t="str">
        <x:v>To Confirm</x:v>
      </x:c>
      <x:c r="Q567" s="137" t="str"/>
    </x:row>
    <x:row r="568">
      <x:c r="A568" s="137" t="str">
        <x:v>BOM-00564</x:v>
      </x:c>
      <x:c r="B568" s="137" t="str">
        <x:v>JILL</x:v>
      </x:c>
      <x:c r="C568" s="137" t="str">
        <x:v>PER ORDER (V/L)</x:v>
      </x:c>
      <x:c r="D568" s="137" t="str">
        <x:v>11X1</x:v>
      </x:c>
      <x:c r="E568" s="137" t="str">
        <x:v>CUTTING</x:v>
      </x:c>
      <x:c r="F568" s="137" t="str">
        <x:v>SHEET 0.8MM||MTR</x:v>
      </x:c>
      <x:c r="G568" s="137" t="str">
        <x:v>Sheet 0.8Mm</x:v>
      </x:c>
      <x:c r="H568" s="137" t="str">
        <x:v>MTR</x:v>
      </x:c>
      <x:c r="I568" s="175" t="n">
        <x:v>0.01149425</x:v>
      </x:c>
      <x:c r="J568" s="176" t="str"/>
      <x:c r="K568" s="177" t="str"/>
      <x:c r="L568" s="178" t="str">
        <x:f>IF(J568="","",J568*(1+IF(K568="",0,K568)) )</x:f>
      </x:c>
      <x:c r="M568" s="138" t="str"/>
      <x:c r="N568" s="137" t="str">
        <x:v>Current model BOM seed</x:v>
      </x:c>
      <x:c r="O568" s="137" t="str"/>
      <x:c r="P568" s="137" t="str">
        <x:v>To Confirm</x:v>
      </x:c>
      <x:c r="Q568" s="137" t="str"/>
    </x:row>
    <x:row r="569">
      <x:c r="A569" s="137" t="str">
        <x:v>BOM-00565</x:v>
      </x:c>
      <x:c r="B569" s="137" t="str">
        <x:v>JILL</x:v>
      </x:c>
      <x:c r="C569" s="137" t="str">
        <x:v>PER ORDER (V/L)</x:v>
      </x:c>
      <x:c r="D569" s="137" t="str">
        <x:v>11X1</x:v>
      </x:c>
      <x:c r="E569" s="137" t="str">
        <x:v>CUTTING</x:v>
      </x:c>
      <x:c r="F569" s="137" t="str">
        <x:v>SHEET 20MM||MTR</x:v>
      </x:c>
      <x:c r="G569" s="137" t="str">
        <x:v>Sheet 20Mm</x:v>
      </x:c>
      <x:c r="H569" s="137" t="str">
        <x:v>MTR</x:v>
      </x:c>
      <x:c r="I569" s="175" t="n">
        <x:v>0.00952381</x:v>
      </x:c>
      <x:c r="J569" s="176" t="str"/>
      <x:c r="K569" s="177" t="str"/>
      <x:c r="L569" s="178" t="str">
        <x:f>IF(J569="","",J569*(1+IF(K569="",0,K569)) )</x:f>
      </x:c>
      <x:c r="M569" s="138" t="str"/>
      <x:c r="N569" s="137" t="str">
        <x:v>Current model BOM seed</x:v>
      </x:c>
      <x:c r="O569" s="137" t="str"/>
      <x:c r="P569" s="137" t="str">
        <x:v>To Confirm</x:v>
      </x:c>
      <x:c r="Q569" s="137" t="str"/>
    </x:row>
    <x:row r="570">
      <x:c r="A570" s="137" t="str">
        <x:v>BOM-00566</x:v>
      </x:c>
      <x:c r="B570" s="137" t="str">
        <x:v>JILL</x:v>
      </x:c>
      <x:c r="C570" s="137" t="str">
        <x:v>PER ORDER (V/L)</x:v>
      </x:c>
      <x:c r="D570" s="137" t="str">
        <x:v>11X1</x:v>
      </x:c>
      <x:c r="E570" s="137" t="str">
        <x:v>CUTTING</x:v>
      </x:c>
      <x:c r="F570" s="137" t="str">
        <x:v>INSOLE||PAIR</x:v>
      </x:c>
      <x:c r="G570" s="137" t="str">
        <x:v>INSOLE</x:v>
      </x:c>
      <x:c r="H570" s="137" t="str">
        <x:v>PAIR</x:v>
      </x:c>
      <x:c r="I570" s="175" t="n">
        <x:v>2</x:v>
      </x:c>
      <x:c r="J570" s="176" t="str"/>
      <x:c r="K570" s="177" t="str"/>
      <x:c r="L570" s="178" t="str">
        <x:f>IF(J570="","",J570*(1+IF(K570="",0,K570)) )</x:f>
      </x:c>
      <x:c r="M570" s="138" t="str"/>
      <x:c r="N570" s="137" t="str">
        <x:v>Current model BOM seed</x:v>
      </x:c>
      <x:c r="O570" s="137" t="str"/>
      <x:c r="P570" s="137" t="str">
        <x:v>To Confirm</x:v>
      </x:c>
      <x:c r="Q570" s="137" t="str"/>
    </x:row>
    <x:row r="571">
      <x:c r="A571" s="137" t="str">
        <x:v>BOM-00567</x:v>
      </x:c>
      <x:c r="B571" s="137" t="str">
        <x:v>JILL</x:v>
      </x:c>
      <x:c r="C571" s="137" t="str">
        <x:v>PER ORDER (V/L)</x:v>
      </x:c>
      <x:c r="D571" s="137" t="str">
        <x:v>11X1</x:v>
      </x:c>
      <x:c r="E571" s="137" t="str">
        <x:v>MOLDING</x:v>
      </x:c>
      <x:c r="F571" s="137" t="str">
        <x:v>SOLE 1231 EVA||PAIR</x:v>
      </x:c>
      <x:c r="G571" s="137" t="str">
        <x:v>Sole 1231 EVA</x:v>
      </x:c>
      <x:c r="H571" s="137" t="str">
        <x:v>PAIR</x:v>
      </x:c>
      <x:c r="I571" s="175" t="n">
        <x:v>2</x:v>
      </x:c>
      <x:c r="J571" s="176" t="str"/>
      <x:c r="K571" s="177" t="str"/>
      <x:c r="L571" s="178" t="str">
        <x:f>IF(J571="","",J571*(1+IF(K571="",0,K571)) )</x:f>
      </x:c>
      <x:c r="M571" s="138" t="str"/>
      <x:c r="N571" s="137" t="str">
        <x:v>Current model BOM seed</x:v>
      </x:c>
      <x:c r="O571" s="137" t="str"/>
      <x:c r="P571" s="137" t="str">
        <x:v>To Confirm</x:v>
      </x:c>
      <x:c r="Q571" s="137" t="str"/>
    </x:row>
    <x:row r="572">
      <x:c r="A572" s="137" t="str">
        <x:v>BOM-00568</x:v>
      </x:c>
      <x:c r="B572" s="137" t="str">
        <x:v>JILL</x:v>
      </x:c>
      <x:c r="C572" s="137" t="str">
        <x:v>PER ORDER (V/L)</x:v>
      </x:c>
      <x:c r="D572" s="137" t="str">
        <x:v>11X1</x:v>
      </x:c>
      <x:c r="E572" s="137" t="str">
        <x:v>PACKING</x:v>
      </x:c>
      <x:c r="F572" s="137" t="str">
        <x:v>TISSUE PAPER||PCS</x:v>
      </x:c>
      <x:c r="G572" s="137" t="str">
        <x:v>Tissue Paper</x:v>
      </x:c>
      <x:c r="H572" s="137" t="str">
        <x:v>PCS</x:v>
      </x:c>
      <x:c r="I572" s="175" t="n">
        <x:v>0.25</x:v>
      </x:c>
      <x:c r="J572" s="176" t="str"/>
      <x:c r="K572" s="177" t="str"/>
      <x:c r="L572" s="178" t="str">
        <x:f>IF(J572="","",J572*(1+IF(K572="",0,K572)) )</x:f>
      </x:c>
      <x:c r="M572" s="138" t="str"/>
      <x:c r="N572" s="137" t="str">
        <x:v>Current model BOM seed</x:v>
      </x:c>
      <x:c r="O572" s="137" t="str"/>
      <x:c r="P572" s="137" t="str">
        <x:v>To Confirm</x:v>
      </x:c>
      <x:c r="Q572" s="137" t="str"/>
    </x:row>
    <x:row r="573">
      <x:c r="A573" s="137" t="str">
        <x:v>BOM-00569</x:v>
      </x:c>
      <x:c r="B573" s="137" t="str">
        <x:v>JILL</x:v>
      </x:c>
      <x:c r="C573" s="137" t="str">
        <x:v>PER ORDER (V/L)</x:v>
      </x:c>
      <x:c r="D573" s="137" t="str">
        <x:v>11X1</x:v>
      </x:c>
      <x:c r="E573" s="137" t="str">
        <x:v>PACKING</x:v>
      </x:c>
      <x:c r="F573" s="137" t="str">
        <x:v>SHOE SHINER||GRAM</x:v>
      </x:c>
      <x:c r="G573" s="137" t="str">
        <x:v>Shoe Shiner</x:v>
      </x:c>
      <x:c r="H573" s="137" t="str">
        <x:v>GRAM</x:v>
      </x:c>
      <x:c r="I573" s="175" t="n">
        <x:v>0.06666667</x:v>
      </x:c>
      <x:c r="J573" s="176" t="str"/>
      <x:c r="K573" s="177" t="str"/>
      <x:c r="L573" s="178" t="str">
        <x:f>IF(J573="","",J573*(1+IF(K573="",0,K573)) )</x:f>
      </x:c>
      <x:c r="M573" s="138" t="str"/>
      <x:c r="N573" s="137" t="str">
        <x:v>Current model BOM seed</x:v>
      </x:c>
      <x:c r="O573" s="137" t="str"/>
      <x:c r="P573" s="137" t="str">
        <x:v>To Confirm</x:v>
      </x:c>
      <x:c r="Q573" s="137" t="str"/>
    </x:row>
    <x:row r="574">
      <x:c r="A574" s="137" t="str">
        <x:v>BOM-00570</x:v>
      </x:c>
      <x:c r="B574" s="137" t="str">
        <x:v>JILL</x:v>
      </x:c>
      <x:c r="C574" s="137" t="str">
        <x:v>PER ORDER (V/L)</x:v>
      </x:c>
      <x:c r="D574" s="137" t="str">
        <x:v>11X1</x:v>
      </x:c>
      <x:c r="E574" s="137" t="str">
        <x:v>PACKING</x:v>
      </x:c>
      <x:c r="F574" s="137" t="str">
        <x:v>EMYLE||GRAM</x:v>
      </x:c>
      <x:c r="G574" s="137" t="str">
        <x:v>EMYLE</x:v>
      </x:c>
      <x:c r="H574" s="137" t="str">
        <x:v>GRAM</x:v>
      </x:c>
      <x:c r="I574" s="175" t="n">
        <x:v>0.07142857</x:v>
      </x:c>
      <x:c r="J574" s="176" t="str"/>
      <x:c r="K574" s="177" t="str"/>
      <x:c r="L574" s="178" t="str">
        <x:f>IF(J574="","",J574*(1+IF(K574="",0,K574)) )</x:f>
      </x:c>
      <x:c r="M574" s="138" t="str"/>
      <x:c r="N574" s="137" t="str">
        <x:v>Current model BOM seed</x:v>
      </x:c>
      <x:c r="O574" s="137" t="str"/>
      <x:c r="P574" s="137" t="str">
        <x:v>To Confirm</x:v>
      </x:c>
      <x:c r="Q574" s="137" t="str"/>
    </x:row>
    <x:row r="575">
      <x:c r="A575" s="137" t="str">
        <x:v>BOM-00571</x:v>
      </x:c>
      <x:c r="B575" s="137" t="str">
        <x:v>JILL</x:v>
      </x:c>
      <x:c r="C575" s="137" t="str">
        <x:v>PER ORDER (V/L)</x:v>
      </x:c>
      <x:c r="D575" s="137" t="str">
        <x:v>11X1</x:v>
      </x:c>
      <x:c r="E575" s="137" t="str">
        <x:v>PACKING</x:v>
      </x:c>
      <x:c r="F575" s="137" t="str">
        <x:v>TAG PIN||PCS</x:v>
      </x:c>
      <x:c r="G575" s="137" t="str">
        <x:v>Tag Pin</x:v>
      </x:c>
      <x:c r="H575" s="137" t="str">
        <x:v>PCS</x:v>
      </x:c>
      <x:c r="I575" s="175" t="n">
        <x:v>1</x:v>
      </x:c>
      <x:c r="J575" s="176" t="str"/>
      <x:c r="K575" s="177" t="str"/>
      <x:c r="L575" s="178" t="str">
        <x:f>IF(J575="","",J575*(1+IF(K575="",0,K575)) )</x:f>
      </x:c>
      <x:c r="M575" s="138" t="str"/>
      <x:c r="N575" s="137" t="str">
        <x:v>Current model BOM seed</x:v>
      </x:c>
      <x:c r="O575" s="137" t="str"/>
      <x:c r="P575" s="137" t="str">
        <x:v>To Confirm</x:v>
      </x:c>
      <x:c r="Q575" s="137" t="str"/>
    </x:row>
    <x:row r="576">
      <x:c r="A576" s="137" t="str">
        <x:v>BOM-00572</x:v>
      </x:c>
      <x:c r="B576" s="137" t="str">
        <x:v>JILL</x:v>
      </x:c>
      <x:c r="C576" s="137" t="str">
        <x:v>PER ORDER (V/L)</x:v>
      </x:c>
      <x:c r="D576" s="137" t="str">
        <x:v>11X1</x:v>
      </x:c>
      <x:c r="E576" s="137" t="str">
        <x:v>PACKING</x:v>
      </x:c>
      <x:c r="F576" s="137" t="str">
        <x:v>TAG CARD||PCS</x:v>
      </x:c>
      <x:c r="G576" s="137" t="str">
        <x:v>Tag Card</x:v>
      </x:c>
      <x:c r="H576" s="137" t="str">
        <x:v>PCS</x:v>
      </x:c>
      <x:c r="I576" s="175" t="n">
        <x:v>1</x:v>
      </x:c>
      <x:c r="J576" s="176" t="str"/>
      <x:c r="K576" s="177" t="str"/>
      <x:c r="L576" s="178" t="str">
        <x:f>IF(J576="","",J576*(1+IF(K576="",0,K576)) )</x:f>
      </x:c>
      <x:c r="M576" s="138" t="str"/>
      <x:c r="N576" s="137" t="str">
        <x:v>Current model BOM seed</x:v>
      </x:c>
      <x:c r="O576" s="137" t="str"/>
      <x:c r="P576" s="137" t="str">
        <x:v>To Confirm</x:v>
      </x:c>
      <x:c r="Q576" s="137" t="str"/>
    </x:row>
    <x:row r="577">
      <x:c r="A577" s="137" t="str">
        <x:v>BOM-00573</x:v>
      </x:c>
      <x:c r="B577" s="137" t="str">
        <x:v>JILL</x:v>
      </x:c>
      <x:c r="C577" s="137" t="str">
        <x:v>PER ORDER (V/L)</x:v>
      </x:c>
      <x:c r="D577" s="137" t="str">
        <x:v>11X1</x:v>
      </x:c>
      <x:c r="E577" s="137" t="str">
        <x:v>PACKING</x:v>
      </x:c>
      <x:c r="F577" s="137" t="str">
        <x:v>WRAPING PAPER||PCS</x:v>
      </x:c>
      <x:c r="G577" s="137" t="str">
        <x:v>Wraping Paper</x:v>
      </x:c>
      <x:c r="H577" s="137" t="str">
        <x:v>PCS</x:v>
      </x:c>
      <x:c r="I577" s="175" t="n">
        <x:v>1</x:v>
      </x:c>
      <x:c r="J577" s="176" t="str"/>
      <x:c r="K577" s="177" t="str"/>
      <x:c r="L577" s="178" t="str">
        <x:f>IF(J577="","",J577*(1+IF(K577="",0,K577)) )</x:f>
      </x:c>
      <x:c r="M577" s="138" t="str"/>
      <x:c r="N577" s="137" t="str">
        <x:v>Current model BOM seed</x:v>
      </x:c>
      <x:c r="O577" s="137" t="str"/>
      <x:c r="P577" s="137" t="str">
        <x:v>To Confirm</x:v>
      </x:c>
      <x:c r="Q577" s="137" t="str"/>
    </x:row>
    <x:row r="578">
      <x:c r="A578" s="137" t="str">
        <x:v>BOM-00574</x:v>
      </x:c>
      <x:c r="B578" s="137" t="str">
        <x:v>JILL</x:v>
      </x:c>
      <x:c r="C578" s="137" t="str">
        <x:v>PER ORDER (V/L)</x:v>
      </x:c>
      <x:c r="D578" s="137" t="str">
        <x:v>11X1</x:v>
      </x:c>
      <x:c r="E578" s="137" t="str">
        <x:v>PACKING</x:v>
      </x:c>
      <x:c r="F578" s="137" t="str">
        <x:v>INNER||PCS</x:v>
      </x:c>
      <x:c r="G578" s="137" t="str">
        <x:v>INNER</x:v>
      </x:c>
      <x:c r="H578" s="137" t="str">
        <x:v>PCS</x:v>
      </x:c>
      <x:c r="I578" s="175" t="n">
        <x:v>1</x:v>
      </x:c>
      <x:c r="J578" s="176" t="str"/>
      <x:c r="K578" s="177" t="str"/>
      <x:c r="L578" s="178" t="str">
        <x:f>IF(J578="","",J578*(1+IF(K578="",0,K578)) )</x:f>
      </x:c>
      <x:c r="M578" s="138" t="str"/>
      <x:c r="N578" s="137" t="str">
        <x:v>Current model BOM seed</x:v>
      </x:c>
      <x:c r="O578" s="137" t="str"/>
      <x:c r="P578" s="137" t="str">
        <x:v>To Confirm</x:v>
      </x:c>
      <x:c r="Q578" s="137" t="str"/>
    </x:row>
    <x:row r="579">
      <x:c r="A579" s="137" t="str">
        <x:v>BOM-00575</x:v>
      </x:c>
      <x:c r="B579" s="137" t="str">
        <x:v>JILL</x:v>
      </x:c>
      <x:c r="C579" s="137" t="str">
        <x:v>PER ORDER (V/L)</x:v>
      </x:c>
      <x:c r="D579" s="137" t="str">
        <x:v>11X1</x:v>
      </x:c>
      <x:c r="E579" s="137" t="str">
        <x:v>PACKING</x:v>
      </x:c>
      <x:c r="F579" s="137" t="str">
        <x:v>BARCODE STICKER||PCS</x:v>
      </x:c>
      <x:c r="G579" s="137" t="str">
        <x:v>Barcode Sticker</x:v>
      </x:c>
      <x:c r="H579" s="137" t="str">
        <x:v>PCS</x:v>
      </x:c>
      <x:c r="I579" s="175" t="n">
        <x:v>1</x:v>
      </x:c>
      <x:c r="J579" s="176" t="str"/>
      <x:c r="K579" s="177" t="str"/>
      <x:c r="L579" s="178" t="str">
        <x:f>IF(J579="","",J579*(1+IF(K579="",0,K579)) )</x:f>
      </x:c>
      <x:c r="M579" s="138" t="str"/>
      <x:c r="N579" s="137" t="str">
        <x:v>Current model BOM seed</x:v>
      </x:c>
      <x:c r="O579" s="137" t="str"/>
      <x:c r="P579" s="137" t="str">
        <x:v>To Confirm</x:v>
      </x:c>
      <x:c r="Q579" s="137" t="str"/>
    </x:row>
    <x:row r="580">
      <x:c r="A580" s="137" t="str">
        <x:v>BOM-00576</x:v>
      </x:c>
      <x:c r="B580" s="137" t="str">
        <x:v>JILL</x:v>
      </x:c>
      <x:c r="C580" s="137" t="str">
        <x:v>PER ORDER (V/L)</x:v>
      </x:c>
      <x:c r="D580" s="137" t="str">
        <x:v>11X1</x:v>
      </x:c>
      <x:c r="E580" s="137" t="str">
        <x:v>PACKING</x:v>
      </x:c>
      <x:c r="F580" s="137" t="str">
        <x:v>CTN TAPE (1 CTN)||MTR</x:v>
      </x:c>
      <x:c r="G580" s="137" t="str">
        <x:v>Ctn Tape (1 Ctn)</x:v>
      </x:c>
      <x:c r="H580" s="137" t="str">
        <x:v>MTR</x:v>
      </x:c>
      <x:c r="I580" s="175" t="n">
        <x:v>0.5</x:v>
      </x:c>
      <x:c r="J580" s="176" t="str"/>
      <x:c r="K580" s="177" t="str"/>
      <x:c r="L580" s="178" t="str">
        <x:f>IF(J580="","",J580*(1+IF(K580="",0,K580)) )</x:f>
      </x:c>
      <x:c r="M580" s="138" t="str"/>
      <x:c r="N580" s="137" t="str">
        <x:v>Current model BOM seed</x:v>
      </x:c>
      <x:c r="O580" s="137" t="str"/>
      <x:c r="P580" s="137" t="str">
        <x:v>To Confirm</x:v>
      </x:c>
      <x:c r="Q580" s="137" t="str"/>
    </x:row>
    <x:row r="581">
      <x:c r="A581" s="137" t="str">
        <x:v>BOM-00577</x:v>
      </x:c>
      <x:c r="B581" s="137" t="str">
        <x:v>JILL</x:v>
      </x:c>
      <x:c r="C581" s="137" t="str">
        <x:v>PER ORDER (V/L)</x:v>
      </x:c>
      <x:c r="D581" s="137" t="str">
        <x:v>11X1</x:v>
      </x:c>
      <x:c r="E581" s="137" t="str">
        <x:v>PACKING</x:v>
      </x:c>
      <x:c r="F581" s="137" t="str">
        <x:v>STRAPING ROLL (1CTN)||MTR</x:v>
      </x:c>
      <x:c r="G581" s="137" t="str">
        <x:v>Straping Roll (1Ctn)</x:v>
      </x:c>
      <x:c r="H581" s="137" t="str">
        <x:v>MTR</x:v>
      </x:c>
      <x:c r="I581" s="175" t="n">
        <x:v>0.25</x:v>
      </x:c>
      <x:c r="J581" s="176" t="str"/>
      <x:c r="K581" s="177" t="str"/>
      <x:c r="L581" s="178" t="str">
        <x:f>IF(J581="","",J581*(1+IF(K581="",0,K581)) )</x:f>
      </x:c>
      <x:c r="M581" s="138" t="str"/>
      <x:c r="N581" s="137" t="str">
        <x:v>Current model BOM seed</x:v>
      </x:c>
      <x:c r="O581" s="137" t="str"/>
      <x:c r="P581" s="137" t="str">
        <x:v>To Confirm</x:v>
      </x:c>
      <x:c r="Q581" s="137" t="str"/>
    </x:row>
    <x:row r="582">
      <x:c r="A582" s="137" t="str">
        <x:v>BOM-00578</x:v>
      </x:c>
      <x:c r="B582" s="137" t="str">
        <x:v>JILL</x:v>
      </x:c>
      <x:c r="C582" s="137" t="str">
        <x:v>PER ORDER (V/L)</x:v>
      </x:c>
      <x:c r="D582" s="137" t="str">
        <x:v>11X1</x:v>
      </x:c>
      <x:c r="E582" s="137" t="str">
        <x:v>STITCHING</x:v>
      </x:c>
      <x:c r="F582" s="137" t="str">
        <x:v>THREAD 3 PLY||MTR</x:v>
      </x:c>
      <x:c r="G582" s="137" t="str">
        <x:v>Thread 3 Ply</x:v>
      </x:c>
      <x:c r="H582" s="137" t="str">
        <x:v>MTR</x:v>
      </x:c>
      <x:c r="I582" s="175" t="n">
        <x:v>30</x:v>
      </x:c>
      <x:c r="J582" s="176" t="str"/>
      <x:c r="K582" s="177" t="str"/>
      <x:c r="L582" s="178" t="str">
        <x:f>IF(J582="","",J582*(1+IF(K582="",0,K582)) )</x:f>
      </x:c>
      <x:c r="M582" s="138" t="str"/>
      <x:c r="N582" s="137" t="str">
        <x:v>Current model BOM seed</x:v>
      </x:c>
      <x:c r="O582" s="137" t="str"/>
      <x:c r="P582" s="137" t="str">
        <x:v>To Confirm</x:v>
      </x:c>
      <x:c r="Q582" s="137" t="str"/>
    </x:row>
    <x:row r="583">
      <x:c r="A583" s="137" t="str">
        <x:v>BOM-00579</x:v>
      </x:c>
      <x:c r="B583" s="137" t="str">
        <x:v>JILL</x:v>
      </x:c>
      <x:c r="C583" s="137" t="str">
        <x:v>PER ORDER (V/L)</x:v>
      </x:c>
      <x:c r="D583" s="137" t="str">
        <x:v>11X1</x:v>
      </x:c>
      <x:c r="E583" s="137" t="str">
        <x:v>STITCHING</x:v>
      </x:c>
      <x:c r="F583" s="137" t="str">
        <x:v>THREAD 3 PLY COLOURED||MTR</x:v>
      </x:c>
      <x:c r="G583" s="137" t="str">
        <x:v>Thread 3 Ply Coloured</x:v>
      </x:c>
      <x:c r="H583" s="137" t="str">
        <x:v>MTR</x:v>
      </x:c>
      <x:c r="I583" s="175" t="n">
        <x:v>500</x:v>
      </x:c>
      <x:c r="J583" s="176" t="str"/>
      <x:c r="K583" s="177" t="str"/>
      <x:c r="L583" s="178" t="str">
        <x:f>IF(J583="","",J583*(1+IF(K583="",0,K583)) )</x:f>
      </x:c>
      <x:c r="M583" s="138" t="str"/>
      <x:c r="N583" s="137" t="str">
        <x:v>Current model BOM seed</x:v>
      </x:c>
      <x:c r="O583" s="137" t="str"/>
      <x:c r="P583" s="137" t="str">
        <x:v>To Confirm</x:v>
      </x:c>
      <x:c r="Q583" s="137" t="str"/>
    </x:row>
    <x:row r="584">
      <x:c r="A584" s="137" t="str">
        <x:v>BOM-00580</x:v>
      </x:c>
      <x:c r="B584" s="137" t="str">
        <x:v>JILL</x:v>
      </x:c>
      <x:c r="C584" s="137" t="str">
        <x:v>PER ORDER (V/L)</x:v>
      </x:c>
      <x:c r="D584" s="137" t="str">
        <x:v>11X1</x:v>
      </x:c>
      <x:c r="E584" s="137" t="str">
        <x:v>STITCHING</x:v>
      </x:c>
      <x:c r="F584" s="137" t="str">
        <x:v>SIZE LABEL||PCS</x:v>
      </x:c>
      <x:c r="G584" s="137" t="str">
        <x:v>SIZE LABEL</x:v>
      </x:c>
      <x:c r="H584" s="137" t="str">
        <x:v>PCS</x:v>
      </x:c>
      <x:c r="I584" s="175" t="n">
        <x:v>0.5</x:v>
      </x:c>
      <x:c r="J584" s="176" t="str"/>
      <x:c r="K584" s="177" t="str"/>
      <x:c r="L584" s="178" t="str">
        <x:f>IF(J584="","",J584*(1+IF(K584="",0,K584)) )</x:f>
      </x:c>
      <x:c r="M584" s="138" t="str"/>
      <x:c r="N584" s="137" t="str">
        <x:v>Current model BOM seed</x:v>
      </x:c>
      <x:c r="O584" s="137" t="str"/>
      <x:c r="P584" s="137" t="str">
        <x:v>To Confirm</x:v>
      </x:c>
      <x:c r="Q584" s="137" t="str"/>
    </x:row>
    <x:row r="585">
      <x:c r="A585" s="137" t="str">
        <x:v>BOM-00581</x:v>
      </x:c>
      <x:c r="B585" s="137" t="str">
        <x:v>JILL</x:v>
      </x:c>
      <x:c r="C585" s="137" t="str">
        <x:v>PER ORDER (V/L)</x:v>
      </x:c>
      <x:c r="D585" s="137" t="str">
        <x:v>11X1</x:v>
      </x:c>
      <x:c r="E585" s="137" t="str">
        <x:v>STITCHING</x:v>
      </x:c>
      <x:c r="F585" s="137" t="str">
        <x:v>TOUNG LABEL SNEAKER||PCS</x:v>
      </x:c>
      <x:c r="G585" s="137" t="str">
        <x:v>TOUNG LABEL SNEAKER</x:v>
      </x:c>
      <x:c r="H585" s="137" t="str">
        <x:v>PCS</x:v>
      </x:c>
      <x:c r="I585" s="175" t="n">
        <x:v>0.5</x:v>
      </x:c>
      <x:c r="J585" s="176" t="str"/>
      <x:c r="K585" s="177" t="str"/>
      <x:c r="L585" s="178" t="str">
        <x:f>IF(J585="","",J585*(1+IF(K585="",0,K585)) )</x:f>
      </x:c>
      <x:c r="M585" s="138" t="str"/>
      <x:c r="N585" s="137" t="str">
        <x:v>Current model BOM seed</x:v>
      </x:c>
      <x:c r="O585" s="137" t="str"/>
      <x:c r="P585" s="137" t="str">
        <x:v>To Confirm</x:v>
      </x:c>
      <x:c r="Q585" s="137" t="str"/>
    </x:row>
    <x:row r="586">
      <x:c r="A586" s="137" t="str">
        <x:v>BOM-00582</x:v>
      </x:c>
      <x:c r="B586" s="137" t="str">
        <x:v>JILL</x:v>
      </x:c>
      <x:c r="C586" s="137" t="str">
        <x:v>PER ORDER (V/L)</x:v>
      </x:c>
      <x:c r="D586" s="137" t="str">
        <x:v>11X1</x:v>
      </x:c>
      <x:c r="E586" s="137" t="str">
        <x:v>STITCHING</x:v>
      </x:c>
      <x:c r="F586" s="137" t="str">
        <x:v>PF-48||PCS</x:v>
      </x:c>
      <x:c r="G586" s="137" t="str">
        <x:v>PF-48</x:v>
      </x:c>
      <x:c r="H586" s="137" t="str">
        <x:v>PCS</x:v>
      </x:c>
      <x:c r="I586" s="175" t="n">
        <x:v>0.25</x:v>
      </x:c>
      <x:c r="J586" s="176" t="str"/>
      <x:c r="K586" s="177" t="str"/>
      <x:c r="L586" s="178" t="str">
        <x:f>IF(J586="","",J586*(1+IF(K586="",0,K586)) )</x:f>
      </x:c>
      <x:c r="M586" s="138" t="str"/>
      <x:c r="N586" s="137" t="str">
        <x:v>Current model BOM seed</x:v>
      </x:c>
      <x:c r="O586" s="137" t="str"/>
      <x:c r="P586" s="137" t="str">
        <x:v>To Confirm</x:v>
      </x:c>
      <x:c r="Q586" s="137" t="str"/>
    </x:row>
    <x:row r="587">
      <x:c r="A587" s="137" t="str">
        <x:v>BOM-00583</x:v>
      </x:c>
      <x:c r="B587" s="137" t="str">
        <x:v>JILL</x:v>
      </x:c>
      <x:c r="C587" s="137" t="str">
        <x:v>PER ORDER (V/L)</x:v>
      </x:c>
      <x:c r="D587" s="137" t="str">
        <x:v>11X1</x:v>
      </x:c>
      <x:c r="E587" s="137" t="str">
        <x:v>STITCHING</x:v>
      </x:c>
      <x:c r="F587" s="137" t="str">
        <x:v>VELCRO 20 MM HOOK||MTR</x:v>
      </x:c>
      <x:c r="G587" s="137" t="str">
        <x:v>VELCRO 20 MM HOOK</x:v>
      </x:c>
      <x:c r="H587" s="137" t="str">
        <x:v>MTR</x:v>
      </x:c>
      <x:c r="I587" s="175" t="n">
        <x:v>0.03448276</x:v>
      </x:c>
      <x:c r="J587" s="176" t="str"/>
      <x:c r="K587" s="177" t="str"/>
      <x:c r="L587" s="178" t="str">
        <x:f>IF(J587="","",J587*(1+IF(K587="",0,K587)) )</x:f>
      </x:c>
      <x:c r="M587" s="138" t="str"/>
      <x:c r="N587" s="137" t="str">
        <x:v>Current model BOM seed</x:v>
      </x:c>
      <x:c r="O587" s="137" t="str"/>
      <x:c r="P587" s="137" t="str">
        <x:v>To Confirm</x:v>
      </x:c>
      <x:c r="Q587" s="137" t="str"/>
    </x:row>
    <x:row r="588">
      <x:c r="A588" s="137" t="str">
        <x:v>BOM-00584</x:v>
      </x:c>
      <x:c r="B588" s="137" t="str">
        <x:v>JILL</x:v>
      </x:c>
      <x:c r="C588" s="137" t="str">
        <x:v>PER ORDER (V/L)</x:v>
      </x:c>
      <x:c r="D588" s="137" t="str">
        <x:v>11X1</x:v>
      </x:c>
      <x:c r="E588" s="137" t="str">
        <x:v>STITCHING</x:v>
      </x:c>
      <x:c r="F588" s="137" t="str">
        <x:v>VELCRO 20 MM LOOP||MTR</x:v>
      </x:c>
      <x:c r="G588" s="137" t="str">
        <x:v>VELCRO 20 MM LOOP</x:v>
      </x:c>
      <x:c r="H588" s="137" t="str">
        <x:v>MTR</x:v>
      </x:c>
      <x:c r="I588" s="175" t="n">
        <x:v>0.03448276</x:v>
      </x:c>
      <x:c r="J588" s="176" t="str"/>
      <x:c r="K588" s="177" t="str"/>
      <x:c r="L588" s="178" t="str">
        <x:f>IF(J588="","",J588*(1+IF(K588="",0,K588)) )</x:f>
      </x:c>
      <x:c r="M588" s="138" t="str"/>
      <x:c r="N588" s="137" t="str">
        <x:v>Current model BOM seed</x:v>
      </x:c>
      <x:c r="O588" s="137" t="str"/>
      <x:c r="P588" s="137" t="str">
        <x:v>To Confirm</x:v>
      </x:c>
      <x:c r="Q588" s="137" t="str"/>
    </x:row>
    <x:row r="589">
      <x:c r="A589" s="137" t="str">
        <x:v>BOM-00585</x:v>
      </x:c>
      <x:c r="B589" s="137" t="str">
        <x:v>JILL</x:v>
      </x:c>
      <x:c r="C589" s="137" t="str">
        <x:v>PER ORDER (V/L)</x:v>
      </x:c>
      <x:c r="D589" s="137" t="str">
        <x:v>11X1</x:v>
      </x:c>
      <x:c r="E589" s="137" t="str">
        <x:v>STITCHING</x:v>
      </x:c>
      <x:c r="F589" s="137" t="str">
        <x:v>BACK TAPE 14 MM||MTR</x:v>
      </x:c>
      <x:c r="G589" s="137" t="str">
        <x:v>BACK TAPE 14 MM</x:v>
      </x:c>
      <x:c r="H589" s="137" t="str">
        <x:v>MTR</x:v>
      </x:c>
      <x:c r="I589" s="175" t="n">
        <x:v>0.16666667</x:v>
      </x:c>
      <x:c r="J589" s="176" t="str"/>
      <x:c r="K589" s="177" t="str"/>
      <x:c r="L589" s="178" t="str">
        <x:f>IF(J589="","",J589*(1+IF(K589="",0,K589)) )</x:f>
      </x:c>
      <x:c r="M589" s="138" t="str"/>
      <x:c r="N589" s="137" t="str">
        <x:v>Current model BOM seed</x:v>
      </x:c>
      <x:c r="O589" s="137" t="str"/>
      <x:c r="P589" s="137" t="str">
        <x:v>To Confirm</x:v>
      </x:c>
      <x:c r="Q589" s="137" t="str"/>
    </x:row>
    <x:row r="590">
      <x:c r="A590" s="137" t="str">
        <x:v>BOM-00586</x:v>
      </x:c>
      <x:c r="B590" s="137" t="str">
        <x:v>JILL</x:v>
      </x:c>
      <x:c r="C590" s="137" t="str">
        <x:v>PER ORDER (V/L)</x:v>
      </x:c>
      <x:c r="D590" s="137" t="str">
        <x:v>2X5</x:v>
      </x:c>
      <x:c r="E590" s="137" t="str">
        <x:v>CUTTING</x:v>
      </x:c>
      <x:c r="F590" s="137" t="str">
        <x:v>MESH 58"||MTR</x:v>
      </x:c>
      <x:c r="G590" s="137" t="str">
        <x:v>Mesh 58"</x:v>
      </x:c>
      <x:c r="H590" s="137" t="str">
        <x:v>MTR</x:v>
      </x:c>
      <x:c r="I590" s="175" t="n">
        <x:v>0.10183978</x:v>
      </x:c>
      <x:c r="J590" s="176" t="str"/>
      <x:c r="K590" s="177" t="str"/>
      <x:c r="L590" s="178" t="str">
        <x:f>IF(J590="","",J590*(1+IF(K590="",0,K590)) )</x:f>
      </x:c>
      <x:c r="M590" s="138" t="str"/>
      <x:c r="N590" s="137" t="str">
        <x:v>Current model BOM seed</x:v>
      </x:c>
      <x:c r="O590" s="137" t="str"/>
      <x:c r="P590" s="137" t="str">
        <x:v>To Confirm</x:v>
      </x:c>
      <x:c r="Q590" s="137" t="str"/>
    </x:row>
    <x:row r="591">
      <x:c r="A591" s="137" t="str">
        <x:v>BOM-00587</x:v>
      </x:c>
      <x:c r="B591" s="137" t="str">
        <x:v>JILL</x:v>
      </x:c>
      <x:c r="C591" s="137" t="str">
        <x:v>PER ORDER (V/L)</x:v>
      </x:c>
      <x:c r="D591" s="137" t="str">
        <x:v>2X5</x:v>
      </x:c>
      <x:c r="E591" s="137" t="str">
        <x:v>CUTTING</x:v>
      </x:c>
      <x:c r="F591" s="137" t="str">
        <x:v>ASTER 60"||MTR</x:v>
      </x:c>
      <x:c r="G591" s="137" t="str">
        <x:v>Aster 60"</x:v>
      </x:c>
      <x:c r="H591" s="137" t="str">
        <x:v>MTR</x:v>
      </x:c>
      <x:c r="I591" s="175" t="n">
        <x:v>0.01709402</x:v>
      </x:c>
      <x:c r="J591" s="176" t="str"/>
      <x:c r="K591" s="177" t="str"/>
      <x:c r="L591" s="178" t="str">
        <x:f>IF(J591="","",J591*(1+IF(K591="",0,K591)) )</x:f>
      </x:c>
      <x:c r="M591" s="138" t="str"/>
      <x:c r="N591" s="137" t="str">
        <x:v>Current model BOM seed</x:v>
      </x:c>
      <x:c r="O591" s="137" t="str"/>
      <x:c r="P591" s="137" t="str">
        <x:v>To Confirm</x:v>
      </x:c>
      <x:c r="Q591" s="137" t="str"/>
    </x:row>
    <x:row r="592">
      <x:c r="A592" s="137" t="str">
        <x:v>BOM-00588</x:v>
      </x:c>
      <x:c r="B592" s="137" t="str">
        <x:v>JILL</x:v>
      </x:c>
      <x:c r="C592" s="137" t="str">
        <x:v>PER ORDER (V/L)</x:v>
      </x:c>
      <x:c r="D592" s="137" t="str">
        <x:v>2X5</x:v>
      </x:c>
      <x:c r="E592" s="137" t="str">
        <x:v>CUTTING</x:v>
      </x:c>
      <x:c r="F592" s="137" t="str">
        <x:v>SKINFIT 60"||MTR</x:v>
      </x:c>
      <x:c r="G592" s="137" t="str">
        <x:v>Skinfit 60"</x:v>
      </x:c>
      <x:c r="H592" s="137" t="str">
        <x:v>MTR</x:v>
      </x:c>
      <x:c r="I592" s="175" t="n">
        <x:v>0.04545455</x:v>
      </x:c>
      <x:c r="J592" s="176" t="str"/>
      <x:c r="K592" s="177" t="str"/>
      <x:c r="L592" s="178" t="str">
        <x:f>IF(J592="","",J592*(1+IF(K592="",0,K592)) )</x:f>
      </x:c>
      <x:c r="M592" s="138" t="str"/>
      <x:c r="N592" s="137" t="str">
        <x:v>Current model BOM seed</x:v>
      </x:c>
      <x:c r="O592" s="137" t="str"/>
      <x:c r="P592" s="137" t="str">
        <x:v>To Confirm</x:v>
      </x:c>
      <x:c r="Q592" s="137" t="str"/>
    </x:row>
    <x:row r="593">
      <x:c r="A593" s="137" t="str">
        <x:v>BOM-00589</x:v>
      </x:c>
      <x:c r="B593" s="137" t="str">
        <x:v>JILL</x:v>
      </x:c>
      <x:c r="C593" s="137" t="str">
        <x:v>PER ORDER (V/L)</x:v>
      </x:c>
      <x:c r="D593" s="137" t="str">
        <x:v>2X5</x:v>
      </x:c>
      <x:c r="E593" s="137" t="str">
        <x:v>CUTTING</x:v>
      </x:c>
      <x:c r="F593" s="137" t="str">
        <x:v>REXINE 54"||MTR</x:v>
      </x:c>
      <x:c r="G593" s="137" t="str">
        <x:v>Rexine 54"</x:v>
      </x:c>
      <x:c r="H593" s="137" t="str">
        <x:v>MTR</x:v>
      </x:c>
      <x:c r="I593" s="175" t="n">
        <x:v>0.0897707</x:v>
      </x:c>
      <x:c r="J593" s="176" t="str"/>
      <x:c r="K593" s="177" t="str"/>
      <x:c r="L593" s="178" t="str">
        <x:f>IF(J593="","",J593*(1+IF(K593="",0,K593)) )</x:f>
      </x:c>
      <x:c r="M593" s="138" t="str"/>
      <x:c r="N593" s="137" t="str">
        <x:v>Current model BOM seed</x:v>
      </x:c>
      <x:c r="O593" s="137" t="str"/>
      <x:c r="P593" s="137" t="str">
        <x:v>To Confirm</x:v>
      </x:c>
      <x:c r="Q593" s="137" t="str"/>
    </x:row>
    <x:row r="594">
      <x:c r="A594" s="137" t="str">
        <x:v>BOM-00590</x:v>
      </x:c>
      <x:c r="B594" s="137" t="str">
        <x:v>JILL</x:v>
      </x:c>
      <x:c r="C594" s="137" t="str">
        <x:v>PER ORDER (V/L)</x:v>
      </x:c>
      <x:c r="D594" s="137" t="str">
        <x:v>2X5</x:v>
      </x:c>
      <x:c r="E594" s="137" t="str">
        <x:v>CUTTING</x:v>
      </x:c>
      <x:c r="F594" s="137" t="str">
        <x:v>SHEET 1.4MM||MTR</x:v>
      </x:c>
      <x:c r="G594" s="137" t="str">
        <x:v>Sheet 1.4Mm</x:v>
      </x:c>
      <x:c r="H594" s="137" t="str">
        <x:v>MTR</x:v>
      </x:c>
      <x:c r="I594" s="175" t="n">
        <x:v>0.01169591</x:v>
      </x:c>
      <x:c r="J594" s="176" t="str"/>
      <x:c r="K594" s="177" t="str"/>
      <x:c r="L594" s="178" t="str">
        <x:f>IF(J594="","",J594*(1+IF(K594="",0,K594)) )</x:f>
      </x:c>
      <x:c r="M594" s="138" t="str"/>
      <x:c r="N594" s="137" t="str">
        <x:v>Current model BOM seed</x:v>
      </x:c>
      <x:c r="O594" s="137" t="str"/>
      <x:c r="P594" s="137" t="str">
        <x:v>To Confirm</x:v>
      </x:c>
      <x:c r="Q594" s="137" t="str"/>
    </x:row>
    <x:row r="595">
      <x:c r="A595" s="137" t="str">
        <x:v>BOM-00591</x:v>
      </x:c>
      <x:c r="B595" s="137" t="str">
        <x:v>JILL</x:v>
      </x:c>
      <x:c r="C595" s="137" t="str">
        <x:v>PER ORDER (V/L)</x:v>
      </x:c>
      <x:c r="D595" s="137" t="str">
        <x:v>2X5</x:v>
      </x:c>
      <x:c r="E595" s="137" t="str">
        <x:v>CUTTING</x:v>
      </x:c>
      <x:c r="F595" s="137" t="str">
        <x:v>SHEET 0.8MM||MTR</x:v>
      </x:c>
      <x:c r="G595" s="137" t="str">
        <x:v>Sheet 0.8Mm</x:v>
      </x:c>
      <x:c r="H595" s="137" t="str">
        <x:v>MTR</x:v>
      </x:c>
      <x:c r="I595" s="175" t="n">
        <x:v>0.0137931</x:v>
      </x:c>
      <x:c r="J595" s="176" t="str"/>
      <x:c r="K595" s="177" t="str"/>
      <x:c r="L595" s="178" t="str">
        <x:f>IF(J595="","",J595*(1+IF(K595="",0,K595)) )</x:f>
      </x:c>
      <x:c r="M595" s="138" t="str"/>
      <x:c r="N595" s="137" t="str">
        <x:v>Current model BOM seed</x:v>
      </x:c>
      <x:c r="O595" s="137" t="str"/>
      <x:c r="P595" s="137" t="str">
        <x:v>To Confirm</x:v>
      </x:c>
      <x:c r="Q595" s="137" t="str"/>
    </x:row>
    <x:row r="596">
      <x:c r="A596" s="137" t="str">
        <x:v>BOM-00592</x:v>
      </x:c>
      <x:c r="B596" s="137" t="str">
        <x:v>JILL</x:v>
      </x:c>
      <x:c r="C596" s="137" t="str">
        <x:v>PER ORDER (V/L)</x:v>
      </x:c>
      <x:c r="D596" s="137" t="str">
        <x:v>2X5</x:v>
      </x:c>
      <x:c r="E596" s="137" t="str">
        <x:v>CUTTING</x:v>
      </x:c>
      <x:c r="F596" s="137" t="str">
        <x:v>SHEET 20MM||MTR</x:v>
      </x:c>
      <x:c r="G596" s="137" t="str">
        <x:v>Sheet 20Mm</x:v>
      </x:c>
      <x:c r="H596" s="137" t="str">
        <x:v>MTR</x:v>
      </x:c>
      <x:c r="I596" s="175" t="n">
        <x:v>0.01169591</x:v>
      </x:c>
      <x:c r="J596" s="176" t="str"/>
      <x:c r="K596" s="177" t="str"/>
      <x:c r="L596" s="178" t="str">
        <x:f>IF(J596="","",J596*(1+IF(K596="",0,K596)) )</x:f>
      </x:c>
      <x:c r="M596" s="138" t="str"/>
      <x:c r="N596" s="137" t="str">
        <x:v>Current model BOM seed</x:v>
      </x:c>
      <x:c r="O596" s="137" t="str"/>
      <x:c r="P596" s="137" t="str">
        <x:v>To Confirm</x:v>
      </x:c>
      <x:c r="Q596" s="137" t="str"/>
    </x:row>
    <x:row r="597">
      <x:c r="A597" s="137" t="str">
        <x:v>BOM-00593</x:v>
      </x:c>
      <x:c r="B597" s="137" t="str">
        <x:v>JILL</x:v>
      </x:c>
      <x:c r="C597" s="137" t="str">
        <x:v>PER ORDER (V/L)</x:v>
      </x:c>
      <x:c r="D597" s="137" t="str">
        <x:v>2X5</x:v>
      </x:c>
      <x:c r="E597" s="137" t="str">
        <x:v>CUTTING</x:v>
      </x:c>
      <x:c r="F597" s="137" t="str">
        <x:v>INSOLE||PAIR</x:v>
      </x:c>
      <x:c r="G597" s="137" t="str">
        <x:v>INSOLE</x:v>
      </x:c>
      <x:c r="H597" s="137" t="str">
        <x:v>PAIR</x:v>
      </x:c>
      <x:c r="I597" s="175" t="n">
        <x:v>2</x:v>
      </x:c>
      <x:c r="J597" s="176" t="str"/>
      <x:c r="K597" s="177" t="str"/>
      <x:c r="L597" s="178" t="str">
        <x:f>IF(J597="","",J597*(1+IF(K597="",0,K597)) )</x:f>
      </x:c>
      <x:c r="M597" s="138" t="str"/>
      <x:c r="N597" s="137" t="str">
        <x:v>Current model BOM seed</x:v>
      </x:c>
      <x:c r="O597" s="137" t="str"/>
      <x:c r="P597" s="137" t="str">
        <x:v>To Confirm</x:v>
      </x:c>
      <x:c r="Q597" s="137" t="str"/>
    </x:row>
    <x:row r="598">
      <x:c r="A598" s="137" t="str">
        <x:v>BOM-00594</x:v>
      </x:c>
      <x:c r="B598" s="137" t="str">
        <x:v>JILL</x:v>
      </x:c>
      <x:c r="C598" s="137" t="str">
        <x:v>PER ORDER (V/L)</x:v>
      </x:c>
      <x:c r="D598" s="137" t="str">
        <x:v>2X5</x:v>
      </x:c>
      <x:c r="E598" s="137" t="str">
        <x:v>MOLDING</x:v>
      </x:c>
      <x:c r="F598" s="137" t="str">
        <x:v>SOLE 1231 EVA||PAIR</x:v>
      </x:c>
      <x:c r="G598" s="137" t="str">
        <x:v>Sole 1231 EVA</x:v>
      </x:c>
      <x:c r="H598" s="137" t="str">
        <x:v>PAIR</x:v>
      </x:c>
      <x:c r="I598" s="175" t="n">
        <x:v>2</x:v>
      </x:c>
      <x:c r="J598" s="176" t="str"/>
      <x:c r="K598" s="177" t="str"/>
      <x:c r="L598" s="178" t="str">
        <x:f>IF(J598="","",J598*(1+IF(K598="",0,K598)) )</x:f>
      </x:c>
      <x:c r="M598" s="138" t="str"/>
      <x:c r="N598" s="137" t="str">
        <x:v>Current model BOM seed</x:v>
      </x:c>
      <x:c r="O598" s="137" t="str"/>
      <x:c r="P598" s="137" t="str">
        <x:v>To Confirm</x:v>
      </x:c>
      <x:c r="Q598" s="137" t="str"/>
    </x:row>
    <x:row r="599">
      <x:c r="A599" s="137" t="str">
        <x:v>BOM-00595</x:v>
      </x:c>
      <x:c r="B599" s="137" t="str">
        <x:v>JILL</x:v>
      </x:c>
      <x:c r="C599" s="137" t="str">
        <x:v>PER ORDER (V/L)</x:v>
      </x:c>
      <x:c r="D599" s="137" t="str">
        <x:v>2X5</x:v>
      </x:c>
      <x:c r="E599" s="137" t="str">
        <x:v>PACKING</x:v>
      </x:c>
      <x:c r="F599" s="137" t="str">
        <x:v>TISSUE PAPER||PCS</x:v>
      </x:c>
      <x:c r="G599" s="137" t="str">
        <x:v>Tissue Paper</x:v>
      </x:c>
      <x:c r="H599" s="137" t="str">
        <x:v>PCS</x:v>
      </x:c>
      <x:c r="I599" s="175" t="n">
        <x:v>0.25</x:v>
      </x:c>
      <x:c r="J599" s="176" t="str"/>
      <x:c r="K599" s="177" t="str"/>
      <x:c r="L599" s="178" t="str">
        <x:f>IF(J599="","",J599*(1+IF(K599="",0,K599)) )</x:f>
      </x:c>
      <x:c r="M599" s="138" t="str"/>
      <x:c r="N599" s="137" t="str">
        <x:v>Current model BOM seed</x:v>
      </x:c>
      <x:c r="O599" s="137" t="str"/>
      <x:c r="P599" s="137" t="str">
        <x:v>To Confirm</x:v>
      </x:c>
      <x:c r="Q599" s="137" t="str"/>
    </x:row>
    <x:row r="600">
      <x:c r="A600" s="137" t="str">
        <x:v>BOM-00596</x:v>
      </x:c>
      <x:c r="B600" s="137" t="str">
        <x:v>JILL</x:v>
      </x:c>
      <x:c r="C600" s="137" t="str">
        <x:v>PER ORDER (V/L)</x:v>
      </x:c>
      <x:c r="D600" s="137" t="str">
        <x:v>2X5</x:v>
      </x:c>
      <x:c r="E600" s="137" t="str">
        <x:v>PACKING</x:v>
      </x:c>
      <x:c r="F600" s="137" t="str">
        <x:v>SHOE SHINER||GRAM</x:v>
      </x:c>
      <x:c r="G600" s="137" t="str">
        <x:v>Shoe Shiner</x:v>
      </x:c>
      <x:c r="H600" s="137" t="str">
        <x:v>GRAM</x:v>
      </x:c>
      <x:c r="I600" s="175" t="n">
        <x:v>0.06666667</x:v>
      </x:c>
      <x:c r="J600" s="176" t="str"/>
      <x:c r="K600" s="177" t="str"/>
      <x:c r="L600" s="178" t="str">
        <x:f>IF(J600="","",J600*(1+IF(K600="",0,K600)) )</x:f>
      </x:c>
      <x:c r="M600" s="138" t="str"/>
      <x:c r="N600" s="137" t="str">
        <x:v>Current model BOM seed</x:v>
      </x:c>
      <x:c r="O600" s="137" t="str"/>
      <x:c r="P600" s="137" t="str">
        <x:v>To Confirm</x:v>
      </x:c>
      <x:c r="Q600" s="137" t="str"/>
    </x:row>
    <x:row r="601">
      <x:c r="A601" s="137" t="str">
        <x:v>BOM-00597</x:v>
      </x:c>
      <x:c r="B601" s="137" t="str">
        <x:v>JILL</x:v>
      </x:c>
      <x:c r="C601" s="137" t="str">
        <x:v>PER ORDER (V/L)</x:v>
      </x:c>
      <x:c r="D601" s="137" t="str">
        <x:v>2X5</x:v>
      </x:c>
      <x:c r="E601" s="137" t="str">
        <x:v>PACKING</x:v>
      </x:c>
      <x:c r="F601" s="137" t="str">
        <x:v>EMYLE||GRAM</x:v>
      </x:c>
      <x:c r="G601" s="137" t="str">
        <x:v>EMYLE</x:v>
      </x:c>
      <x:c r="H601" s="137" t="str">
        <x:v>GRAM</x:v>
      </x:c>
      <x:c r="I601" s="175" t="n">
        <x:v>0.07142857</x:v>
      </x:c>
      <x:c r="J601" s="176" t="str"/>
      <x:c r="K601" s="177" t="str"/>
      <x:c r="L601" s="178" t="str">
        <x:f>IF(J601="","",J601*(1+IF(K601="",0,K601)) )</x:f>
      </x:c>
      <x:c r="M601" s="138" t="str"/>
      <x:c r="N601" s="137" t="str">
        <x:v>Current model BOM seed</x:v>
      </x:c>
      <x:c r="O601" s="137" t="str"/>
      <x:c r="P601" s="137" t="str">
        <x:v>To Confirm</x:v>
      </x:c>
      <x:c r="Q601" s="137" t="str"/>
    </x:row>
    <x:row r="602">
      <x:c r="A602" s="137" t="str">
        <x:v>BOM-00598</x:v>
      </x:c>
      <x:c r="B602" s="137" t="str">
        <x:v>JILL</x:v>
      </x:c>
      <x:c r="C602" s="137" t="str">
        <x:v>PER ORDER (V/L)</x:v>
      </x:c>
      <x:c r="D602" s="137" t="str">
        <x:v>2X5</x:v>
      </x:c>
      <x:c r="E602" s="137" t="str">
        <x:v>PACKING</x:v>
      </x:c>
      <x:c r="F602" s="137" t="str">
        <x:v>TAG PIN||PCS</x:v>
      </x:c>
      <x:c r="G602" s="137" t="str">
        <x:v>Tag Pin</x:v>
      </x:c>
      <x:c r="H602" s="137" t="str">
        <x:v>PCS</x:v>
      </x:c>
      <x:c r="I602" s="175" t="n">
        <x:v>1</x:v>
      </x:c>
      <x:c r="J602" s="176" t="str"/>
      <x:c r="K602" s="177" t="str"/>
      <x:c r="L602" s="178" t="str">
        <x:f>IF(J602="","",J602*(1+IF(K602="",0,K602)) )</x:f>
      </x:c>
      <x:c r="M602" s="138" t="str"/>
      <x:c r="N602" s="137" t="str">
        <x:v>Current model BOM seed</x:v>
      </x:c>
      <x:c r="O602" s="137" t="str"/>
      <x:c r="P602" s="137" t="str">
        <x:v>To Confirm</x:v>
      </x:c>
      <x:c r="Q602" s="137" t="str"/>
    </x:row>
    <x:row r="603">
      <x:c r="A603" s="137" t="str">
        <x:v>BOM-00599</x:v>
      </x:c>
      <x:c r="B603" s="137" t="str">
        <x:v>JILL</x:v>
      </x:c>
      <x:c r="C603" s="137" t="str">
        <x:v>PER ORDER (V/L)</x:v>
      </x:c>
      <x:c r="D603" s="137" t="str">
        <x:v>2X5</x:v>
      </x:c>
      <x:c r="E603" s="137" t="str">
        <x:v>PACKING</x:v>
      </x:c>
      <x:c r="F603" s="137" t="str">
        <x:v>TAG CARD||PCS</x:v>
      </x:c>
      <x:c r="G603" s="137" t="str">
        <x:v>Tag Card</x:v>
      </x:c>
      <x:c r="H603" s="137" t="str">
        <x:v>PCS</x:v>
      </x:c>
      <x:c r="I603" s="175" t="n">
        <x:v>1</x:v>
      </x:c>
      <x:c r="J603" s="176" t="str"/>
      <x:c r="K603" s="177" t="str"/>
      <x:c r="L603" s="178" t="str">
        <x:f>IF(J603="","",J603*(1+IF(K603="",0,K603)) )</x:f>
      </x:c>
      <x:c r="M603" s="138" t="str"/>
      <x:c r="N603" s="137" t="str">
        <x:v>Current model BOM seed</x:v>
      </x:c>
      <x:c r="O603" s="137" t="str"/>
      <x:c r="P603" s="137" t="str">
        <x:v>To Confirm</x:v>
      </x:c>
      <x:c r="Q603" s="137" t="str"/>
    </x:row>
    <x:row r="604">
      <x:c r="A604" s="137" t="str">
        <x:v>BOM-00600</x:v>
      </x:c>
      <x:c r="B604" s="137" t="str">
        <x:v>JILL</x:v>
      </x:c>
      <x:c r="C604" s="137" t="str">
        <x:v>PER ORDER (V/L)</x:v>
      </x:c>
      <x:c r="D604" s="137" t="str">
        <x:v>2X5</x:v>
      </x:c>
      <x:c r="E604" s="137" t="str">
        <x:v>PACKING</x:v>
      </x:c>
      <x:c r="F604" s="137" t="str">
        <x:v>WRAPING PAPER||PCS</x:v>
      </x:c>
      <x:c r="G604" s="137" t="str">
        <x:v>Wraping Paper</x:v>
      </x:c>
      <x:c r="H604" s="137" t="str">
        <x:v>PCS</x:v>
      </x:c>
      <x:c r="I604" s="175" t="n">
        <x:v>1</x:v>
      </x:c>
      <x:c r="J604" s="176" t="str"/>
      <x:c r="K604" s="177" t="str"/>
      <x:c r="L604" s="178" t="str">
        <x:f>IF(J604="","",J604*(1+IF(K604="",0,K604)) )</x:f>
      </x:c>
      <x:c r="M604" s="138" t="str"/>
      <x:c r="N604" s="137" t="str">
        <x:v>Current model BOM seed</x:v>
      </x:c>
      <x:c r="O604" s="137" t="str"/>
      <x:c r="P604" s="137" t="str">
        <x:v>To Confirm</x:v>
      </x:c>
      <x:c r="Q604" s="137" t="str"/>
    </x:row>
    <x:row r="605">
      <x:c r="A605" s="137" t="str">
        <x:v>BOM-00601</x:v>
      </x:c>
      <x:c r="B605" s="137" t="str">
        <x:v>JILL</x:v>
      </x:c>
      <x:c r="C605" s="137" t="str">
        <x:v>PER ORDER (V/L)</x:v>
      </x:c>
      <x:c r="D605" s="137" t="str">
        <x:v>2X5</x:v>
      </x:c>
      <x:c r="E605" s="137" t="str">
        <x:v>PACKING</x:v>
      </x:c>
      <x:c r="F605" s="137" t="str">
        <x:v>INNER||PCS</x:v>
      </x:c>
      <x:c r="G605" s="137" t="str">
        <x:v>INNER</x:v>
      </x:c>
      <x:c r="H605" s="137" t="str">
        <x:v>PCS</x:v>
      </x:c>
      <x:c r="I605" s="175" t="n">
        <x:v>1</x:v>
      </x:c>
      <x:c r="J605" s="176" t="str"/>
      <x:c r="K605" s="177" t="str"/>
      <x:c r="L605" s="178" t="str">
        <x:f>IF(J605="","",J605*(1+IF(K605="",0,K605)) )</x:f>
      </x:c>
      <x:c r="M605" s="138" t="str"/>
      <x:c r="N605" s="137" t="str">
        <x:v>Current model BOM seed</x:v>
      </x:c>
      <x:c r="O605" s="137" t="str"/>
      <x:c r="P605" s="137" t="str">
        <x:v>To Confirm</x:v>
      </x:c>
      <x:c r="Q605" s="137" t="str"/>
    </x:row>
    <x:row r="606">
      <x:c r="A606" s="137" t="str">
        <x:v>BOM-00602</x:v>
      </x:c>
      <x:c r="B606" s="137" t="str">
        <x:v>JILL</x:v>
      </x:c>
      <x:c r="C606" s="137" t="str">
        <x:v>PER ORDER (V/L)</x:v>
      </x:c>
      <x:c r="D606" s="137" t="str">
        <x:v>2X5</x:v>
      </x:c>
      <x:c r="E606" s="137" t="str">
        <x:v>PACKING</x:v>
      </x:c>
      <x:c r="F606" s="137" t="str">
        <x:v>BARCODE STICKER||PCS</x:v>
      </x:c>
      <x:c r="G606" s="137" t="str">
        <x:v>Barcode Sticker</x:v>
      </x:c>
      <x:c r="H606" s="137" t="str">
        <x:v>PCS</x:v>
      </x:c>
      <x:c r="I606" s="175" t="n">
        <x:v>1</x:v>
      </x:c>
      <x:c r="J606" s="176" t="str"/>
      <x:c r="K606" s="177" t="str"/>
      <x:c r="L606" s="178" t="str">
        <x:f>IF(J606="","",J606*(1+IF(K606="",0,K606)) )</x:f>
      </x:c>
      <x:c r="M606" s="138" t="str"/>
      <x:c r="N606" s="137" t="str">
        <x:v>Current model BOM seed</x:v>
      </x:c>
      <x:c r="O606" s="137" t="str"/>
      <x:c r="P606" s="137" t="str">
        <x:v>To Confirm</x:v>
      </x:c>
      <x:c r="Q606" s="137" t="str"/>
    </x:row>
    <x:row r="607">
      <x:c r="A607" s="137" t="str">
        <x:v>BOM-00603</x:v>
      </x:c>
      <x:c r="B607" s="137" t="str">
        <x:v>JILL</x:v>
      </x:c>
      <x:c r="C607" s="137" t="str">
        <x:v>PER ORDER (V/L)</x:v>
      </x:c>
      <x:c r="D607" s="137" t="str">
        <x:v>2X5</x:v>
      </x:c>
      <x:c r="E607" s="137" t="str">
        <x:v>PACKING</x:v>
      </x:c>
      <x:c r="F607" s="137" t="str">
        <x:v>CTN TAPE (1 CTN)||MTR</x:v>
      </x:c>
      <x:c r="G607" s="137" t="str">
        <x:v>Ctn Tape (1 Ctn)</x:v>
      </x:c>
      <x:c r="H607" s="137" t="str">
        <x:v>MTR</x:v>
      </x:c>
      <x:c r="I607" s="175" t="n">
        <x:v>0.5</x:v>
      </x:c>
      <x:c r="J607" s="176" t="str"/>
      <x:c r="K607" s="177" t="str"/>
      <x:c r="L607" s="178" t="str">
        <x:f>IF(J607="","",J607*(1+IF(K607="",0,K607)) )</x:f>
      </x:c>
      <x:c r="M607" s="138" t="str"/>
      <x:c r="N607" s="137" t="str">
        <x:v>Current model BOM seed</x:v>
      </x:c>
      <x:c r="O607" s="137" t="str"/>
      <x:c r="P607" s="137" t="str">
        <x:v>To Confirm</x:v>
      </x:c>
      <x:c r="Q607" s="137" t="str"/>
    </x:row>
    <x:row r="608">
      <x:c r="A608" s="137" t="str">
        <x:v>BOM-00604</x:v>
      </x:c>
      <x:c r="B608" s="137" t="str">
        <x:v>JILL</x:v>
      </x:c>
      <x:c r="C608" s="137" t="str">
        <x:v>PER ORDER (V/L)</x:v>
      </x:c>
      <x:c r="D608" s="137" t="str">
        <x:v>2X5</x:v>
      </x:c>
      <x:c r="E608" s="137" t="str">
        <x:v>PACKING</x:v>
      </x:c>
      <x:c r="F608" s="137" t="str">
        <x:v>STRAPING ROLL (1CTN)||MTR</x:v>
      </x:c>
      <x:c r="G608" s="137" t="str">
        <x:v>Straping Roll (1Ctn)</x:v>
      </x:c>
      <x:c r="H608" s="137" t="str">
        <x:v>MTR</x:v>
      </x:c>
      <x:c r="I608" s="175" t="n">
        <x:v>0.25</x:v>
      </x:c>
      <x:c r="J608" s="176" t="str"/>
      <x:c r="K608" s="177" t="str"/>
      <x:c r="L608" s="178" t="str">
        <x:f>IF(J608="","",J608*(1+IF(K608="",0,K608)) )</x:f>
      </x:c>
      <x:c r="M608" s="138" t="str"/>
      <x:c r="N608" s="137" t="str">
        <x:v>Current model BOM seed</x:v>
      </x:c>
      <x:c r="O608" s="137" t="str"/>
      <x:c r="P608" s="137" t="str">
        <x:v>To Confirm</x:v>
      </x:c>
      <x:c r="Q608" s="137" t="str"/>
    </x:row>
    <x:row r="609">
      <x:c r="A609" s="137" t="str">
        <x:v>BOM-00605</x:v>
      </x:c>
      <x:c r="B609" s="137" t="str">
        <x:v>JILL</x:v>
      </x:c>
      <x:c r="C609" s="137" t="str">
        <x:v>PER ORDER (V/L)</x:v>
      </x:c>
      <x:c r="D609" s="137" t="str">
        <x:v>2X5</x:v>
      </x:c>
      <x:c r="E609" s="137" t="str">
        <x:v>STITCHING</x:v>
      </x:c>
      <x:c r="F609" s="137" t="str">
        <x:v>THREAD 3 PLY||MTR</x:v>
      </x:c>
      <x:c r="G609" s="137" t="str">
        <x:v>Thread 3 Ply</x:v>
      </x:c>
      <x:c r="H609" s="137" t="str">
        <x:v>MTR</x:v>
      </x:c>
      <x:c r="I609" s="175" t="n">
        <x:v>26.78571429</x:v>
      </x:c>
      <x:c r="J609" s="176" t="str"/>
      <x:c r="K609" s="177" t="str"/>
      <x:c r="L609" s="178" t="str">
        <x:f>IF(J609="","",J609*(1+IF(K609="",0,K609)) )</x:f>
      </x:c>
      <x:c r="M609" s="138" t="str"/>
      <x:c r="N609" s="137" t="str">
        <x:v>Current model BOM seed</x:v>
      </x:c>
      <x:c r="O609" s="137" t="str"/>
      <x:c r="P609" s="137" t="str">
        <x:v>To Confirm</x:v>
      </x:c>
      <x:c r="Q609" s="137" t="str"/>
    </x:row>
    <x:row r="610">
      <x:c r="A610" s="137" t="str">
        <x:v>BOM-00606</x:v>
      </x:c>
      <x:c r="B610" s="137" t="str">
        <x:v>JILL</x:v>
      </x:c>
      <x:c r="C610" s="137" t="str">
        <x:v>PER ORDER (V/L)</x:v>
      </x:c>
      <x:c r="D610" s="137" t="str">
        <x:v>2X5</x:v>
      </x:c>
      <x:c r="E610" s="137" t="str">
        <x:v>STITCHING</x:v>
      </x:c>
      <x:c r="F610" s="137" t="str">
        <x:v>THREAD 3 PLY COLOURED||MTR</x:v>
      </x:c>
      <x:c r="G610" s="137" t="str">
        <x:v>Thread 3 Ply Coloured</x:v>
      </x:c>
      <x:c r="H610" s="137" t="str">
        <x:v>MTR</x:v>
      </x:c>
      <x:c r="I610" s="175" t="n">
        <x:v>500</x:v>
      </x:c>
      <x:c r="J610" s="176" t="str"/>
      <x:c r="K610" s="177" t="str"/>
      <x:c r="L610" s="178" t="str">
        <x:f>IF(J610="","",J610*(1+IF(K610="",0,K610)) )</x:f>
      </x:c>
      <x:c r="M610" s="138" t="str"/>
      <x:c r="N610" s="137" t="str">
        <x:v>Current model BOM seed</x:v>
      </x:c>
      <x:c r="O610" s="137" t="str"/>
      <x:c r="P610" s="137" t="str">
        <x:v>To Confirm</x:v>
      </x:c>
      <x:c r="Q610" s="137" t="str"/>
    </x:row>
    <x:row r="611">
      <x:c r="A611" s="137" t="str">
        <x:v>BOM-00607</x:v>
      </x:c>
      <x:c r="B611" s="137" t="str">
        <x:v>JILL</x:v>
      </x:c>
      <x:c r="C611" s="137" t="str">
        <x:v>PER ORDER (V/L)</x:v>
      </x:c>
      <x:c r="D611" s="137" t="str">
        <x:v>2X5</x:v>
      </x:c>
      <x:c r="E611" s="137" t="str">
        <x:v>STITCHING</x:v>
      </x:c>
      <x:c r="F611" s="137" t="str">
        <x:v>SIZE LABEL||PCS</x:v>
      </x:c>
      <x:c r="G611" s="137" t="str">
        <x:v>SIZE LABEL</x:v>
      </x:c>
      <x:c r="H611" s="137" t="str">
        <x:v>PCS</x:v>
      </x:c>
      <x:c r="I611" s="175" t="n">
        <x:v>0.5</x:v>
      </x:c>
      <x:c r="J611" s="176" t="str"/>
      <x:c r="K611" s="177" t="str"/>
      <x:c r="L611" s="178" t="str">
        <x:f>IF(J611="","",J611*(1+IF(K611="",0,K611)) )</x:f>
      </x:c>
      <x:c r="M611" s="138" t="str"/>
      <x:c r="N611" s="137" t="str">
        <x:v>Current model BOM seed</x:v>
      </x:c>
      <x:c r="O611" s="137" t="str"/>
      <x:c r="P611" s="137" t="str">
        <x:v>To Confirm</x:v>
      </x:c>
      <x:c r="Q611" s="137" t="str"/>
    </x:row>
    <x:row r="612">
      <x:c r="A612" s="137" t="str">
        <x:v>BOM-00608</x:v>
      </x:c>
      <x:c r="B612" s="137" t="str">
        <x:v>JILL</x:v>
      </x:c>
      <x:c r="C612" s="137" t="str">
        <x:v>PER ORDER (V/L)</x:v>
      </x:c>
      <x:c r="D612" s="137" t="str">
        <x:v>2X5</x:v>
      </x:c>
      <x:c r="E612" s="137" t="str">
        <x:v>STITCHING</x:v>
      </x:c>
      <x:c r="F612" s="137" t="str">
        <x:v>TOUNG LABEL SNEAKER||PCS</x:v>
      </x:c>
      <x:c r="G612" s="137" t="str">
        <x:v>TOUNG LABEL SNEAKER</x:v>
      </x:c>
      <x:c r="H612" s="137" t="str">
        <x:v>PCS</x:v>
      </x:c>
      <x:c r="I612" s="175" t="n">
        <x:v>0.5</x:v>
      </x:c>
      <x:c r="J612" s="176" t="str"/>
      <x:c r="K612" s="177" t="str"/>
      <x:c r="L612" s="178" t="str">
        <x:f>IF(J612="","",J612*(1+IF(K612="",0,K612)) )</x:f>
      </x:c>
      <x:c r="M612" s="138" t="str"/>
      <x:c r="N612" s="137" t="str">
        <x:v>Current model BOM seed</x:v>
      </x:c>
      <x:c r="O612" s="137" t="str"/>
      <x:c r="P612" s="137" t="str">
        <x:v>To Confirm</x:v>
      </x:c>
      <x:c r="Q612" s="137" t="str"/>
    </x:row>
    <x:row r="613">
      <x:c r="A613" s="137" t="str">
        <x:v>BOM-00609</x:v>
      </x:c>
      <x:c r="B613" s="137" t="str">
        <x:v>JILL</x:v>
      </x:c>
      <x:c r="C613" s="137" t="str">
        <x:v>PER ORDER (V/L)</x:v>
      </x:c>
      <x:c r="D613" s="137" t="str">
        <x:v>2X5</x:v>
      </x:c>
      <x:c r="E613" s="137" t="str">
        <x:v>STITCHING</x:v>
      </x:c>
      <x:c r="F613" s="137" t="str">
        <x:v>PF-48||PCS</x:v>
      </x:c>
      <x:c r="G613" s="137" t="str">
        <x:v>PF-48</x:v>
      </x:c>
      <x:c r="H613" s="137" t="str">
        <x:v>PCS</x:v>
      </x:c>
      <x:c r="I613" s="175" t="n">
        <x:v>0.25</x:v>
      </x:c>
      <x:c r="J613" s="176" t="str"/>
      <x:c r="K613" s="177" t="str"/>
      <x:c r="L613" s="178" t="str">
        <x:f>IF(J613="","",J613*(1+IF(K613="",0,K613)) )</x:f>
      </x:c>
      <x:c r="M613" s="138" t="str"/>
      <x:c r="N613" s="137" t="str">
        <x:v>Current model BOM seed</x:v>
      </x:c>
      <x:c r="O613" s="137" t="str"/>
      <x:c r="P613" s="137" t="str">
        <x:v>To Confirm</x:v>
      </x:c>
      <x:c r="Q613" s="137" t="str"/>
    </x:row>
    <x:row r="614">
      <x:c r="A614" s="137" t="str">
        <x:v>BOM-00610</x:v>
      </x:c>
      <x:c r="B614" s="137" t="str">
        <x:v>JILL</x:v>
      </x:c>
      <x:c r="C614" s="137" t="str">
        <x:v>PER ORDER (V/L)</x:v>
      </x:c>
      <x:c r="D614" s="137" t="str">
        <x:v>2X5</x:v>
      </x:c>
      <x:c r="E614" s="137" t="str">
        <x:v>STITCHING</x:v>
      </x:c>
      <x:c r="F614" s="137" t="str">
        <x:v>PF-3||PCS</x:v>
      </x:c>
      <x:c r="G614" s="137" t="str">
        <x:v>PF-3</x:v>
      </x:c>
      <x:c r="H614" s="137" t="str">
        <x:v>PCS</x:v>
      </x:c>
      <x:c r="I614" s="175" t="n">
        <x:v>0</x:v>
      </x:c>
      <x:c r="J614" s="176" t="str"/>
      <x:c r="K614" s="177" t="str"/>
      <x:c r="L614" s="178" t="str">
        <x:f>IF(J614="","",J614*(1+IF(K614="",0,K614)) )</x:f>
      </x:c>
      <x:c r="M614" s="138" t="str"/>
      <x:c r="N614" s="137" t="str">
        <x:v>Current model BOM seed</x:v>
      </x:c>
      <x:c r="O614" s="137" t="str"/>
      <x:c r="P614" s="137" t="str">
        <x:v>To Confirm</x:v>
      </x:c>
      <x:c r="Q614" s="137" t="str"/>
    </x:row>
    <x:row r="615">
      <x:c r="A615" s="137" t="str">
        <x:v>BOM-00611</x:v>
      </x:c>
      <x:c r="B615" s="137" t="str">
        <x:v>JILL</x:v>
      </x:c>
      <x:c r="C615" s="137" t="str">
        <x:v>PER ORDER (V/L)</x:v>
      </x:c>
      <x:c r="D615" s="137" t="str">
        <x:v>2X5</x:v>
      </x:c>
      <x:c r="E615" s="137" t="str">
        <x:v>STITCHING</x:v>
      </x:c>
      <x:c r="F615" s="137" t="str">
        <x:v>VELCRO 20 MM HOOK||MTR</x:v>
      </x:c>
      <x:c r="G615" s="137" t="str">
        <x:v>VELCRO 20 MM HOOK</x:v>
      </x:c>
      <x:c r="H615" s="137" t="str">
        <x:v>MTR</x:v>
      </x:c>
      <x:c r="I615" s="175" t="n">
        <x:v>0.03125</x:v>
      </x:c>
      <x:c r="J615" s="176" t="str"/>
      <x:c r="K615" s="177" t="str"/>
      <x:c r="L615" s="178" t="str">
        <x:f>IF(J615="","",J615*(1+IF(K615="",0,K615)) )</x:f>
      </x:c>
      <x:c r="M615" s="138" t="str"/>
      <x:c r="N615" s="137" t="str">
        <x:v>Current model BOM seed</x:v>
      </x:c>
      <x:c r="O615" s="137" t="str"/>
      <x:c r="P615" s="137" t="str">
        <x:v>To Confirm</x:v>
      </x:c>
      <x:c r="Q615" s="137" t="str"/>
    </x:row>
    <x:row r="616">
      <x:c r="A616" s="137" t="str">
        <x:v>BOM-00612</x:v>
      </x:c>
      <x:c r="B616" s="137" t="str">
        <x:v>JILL</x:v>
      </x:c>
      <x:c r="C616" s="137" t="str">
        <x:v>PER ORDER (V/L)</x:v>
      </x:c>
      <x:c r="D616" s="137" t="str">
        <x:v>2X5</x:v>
      </x:c>
      <x:c r="E616" s="137" t="str">
        <x:v>STITCHING</x:v>
      </x:c>
      <x:c r="F616" s="137" t="str">
        <x:v>VELCRO 20 MM LOOP||MTR</x:v>
      </x:c>
      <x:c r="G616" s="137" t="str">
        <x:v>VELCRO 20 MM LOOP</x:v>
      </x:c>
      <x:c r="H616" s="137" t="str">
        <x:v>MTR</x:v>
      </x:c>
      <x:c r="I616" s="175" t="n">
        <x:v>0.03125</x:v>
      </x:c>
      <x:c r="J616" s="176" t="str"/>
      <x:c r="K616" s="177" t="str"/>
      <x:c r="L616" s="178" t="str">
        <x:f>IF(J616="","",J616*(1+IF(K616="",0,K616)) )</x:f>
      </x:c>
      <x:c r="M616" s="138" t="str"/>
      <x:c r="N616" s="137" t="str">
        <x:v>Current model BOM seed</x:v>
      </x:c>
      <x:c r="O616" s="137" t="str"/>
      <x:c r="P616" s="137" t="str">
        <x:v>To Confirm</x:v>
      </x:c>
      <x:c r="Q616" s="137" t="str"/>
    </x:row>
    <x:row r="617">
      <x:c r="A617" s="137" t="str">
        <x:v>BOM-00613</x:v>
      </x:c>
      <x:c r="B617" s="137" t="str">
        <x:v>JILL</x:v>
      </x:c>
      <x:c r="C617" s="137" t="str">
        <x:v>PER ORDER (V/L)</x:v>
      </x:c>
      <x:c r="D617" s="137" t="str">
        <x:v>2X5</x:v>
      </x:c>
      <x:c r="E617" s="137" t="str">
        <x:v>STITCHING</x:v>
      </x:c>
      <x:c r="F617" s="137" t="str">
        <x:v>VELCRO 25 MM HOOK||MTR</x:v>
      </x:c>
      <x:c r="G617" s="137" t="str">
        <x:v>VELCRO 25 MM HOOK</x:v>
      </x:c>
      <x:c r="H617" s="137" t="str">
        <x:v>MTR</x:v>
      </x:c>
      <x:c r="I617" s="175" t="n">
        <x:v>0</x:v>
      </x:c>
      <x:c r="J617" s="176" t="str"/>
      <x:c r="K617" s="177" t="str"/>
      <x:c r="L617" s="178" t="str">
        <x:f>IF(J617="","",J617*(1+IF(K617="",0,K617)) )</x:f>
      </x:c>
      <x:c r="M617" s="138" t="str"/>
      <x:c r="N617" s="137" t="str">
        <x:v>Current model BOM seed</x:v>
      </x:c>
      <x:c r="O617" s="137" t="str"/>
      <x:c r="P617" s="137" t="str">
        <x:v>To Confirm</x:v>
      </x:c>
      <x:c r="Q617" s="137" t="str"/>
    </x:row>
    <x:row r="618">
      <x:c r="A618" s="137" t="str">
        <x:v>BOM-00614</x:v>
      </x:c>
      <x:c r="B618" s="137" t="str">
        <x:v>JILL</x:v>
      </x:c>
      <x:c r="C618" s="137" t="str">
        <x:v>PER ORDER (V/L)</x:v>
      </x:c>
      <x:c r="D618" s="137" t="str">
        <x:v>2X5</x:v>
      </x:c>
      <x:c r="E618" s="137" t="str">
        <x:v>STITCHING</x:v>
      </x:c>
      <x:c r="F618" s="137" t="str">
        <x:v>VELCRO 25 MM LOOP||MTR</x:v>
      </x:c>
      <x:c r="G618" s="137" t="str">
        <x:v>VELCRO 25 MM LOOP</x:v>
      </x:c>
      <x:c r="H618" s="137" t="str">
        <x:v>MTR</x:v>
      </x:c>
      <x:c r="I618" s="175" t="n">
        <x:v>0</x:v>
      </x:c>
      <x:c r="J618" s="176" t="str"/>
      <x:c r="K618" s="177" t="str"/>
      <x:c r="L618" s="178" t="str">
        <x:f>IF(J618="","",J618*(1+IF(K618="",0,K618)) )</x:f>
      </x:c>
      <x:c r="M618" s="138" t="str"/>
      <x:c r="N618" s="137" t="str">
        <x:v>Current model BOM seed</x:v>
      </x:c>
      <x:c r="O618" s="137" t="str"/>
      <x:c r="P618" s="137" t="str">
        <x:v>To Confirm</x:v>
      </x:c>
      <x:c r="Q618" s="137" t="str"/>
    </x:row>
    <x:row r="619">
      <x:c r="A619" s="137" t="str">
        <x:v>BOM-00615</x:v>
      </x:c>
      <x:c r="B619" s="137" t="str">
        <x:v>JILL</x:v>
      </x:c>
      <x:c r="C619" s="137" t="str">
        <x:v>PER ORDER (V/L)</x:v>
      </x:c>
      <x:c r="D619" s="137" t="str">
        <x:v>2X5</x:v>
      </x:c>
      <x:c r="E619" s="137" t="str">
        <x:v>STITCHING</x:v>
      </x:c>
      <x:c r="F619" s="137" t="str">
        <x:v>BACK TAPE 14 MM||MTR</x:v>
      </x:c>
      <x:c r="G619" s="137" t="str">
        <x:v>BACK TAPE 14 MM</x:v>
      </x:c>
      <x:c r="H619" s="137" t="str">
        <x:v>MTR</x:v>
      </x:c>
      <x:c r="I619" s="175" t="n">
        <x:v>0.14285714</x:v>
      </x:c>
      <x:c r="J619" s="176" t="str"/>
      <x:c r="K619" s="177" t="str"/>
      <x:c r="L619" s="178" t="str">
        <x:f>IF(J619="","",J619*(1+IF(K619="",0,K619)) )</x:f>
      </x:c>
      <x:c r="M619" s="138" t="str"/>
      <x:c r="N619" s="137" t="str">
        <x:v>Current model BOM seed</x:v>
      </x:c>
      <x:c r="O619" s="137" t="str"/>
      <x:c r="P619" s="137" t="str">
        <x:v>To Confirm</x:v>
      </x:c>
      <x:c r="Q619" s="137" t="str"/>
    </x:row>
    <x:row r="620">
      <x:c r="A620" s="137" t="str">
        <x:v>BOM-00616</x:v>
      </x:c>
      <x:c r="B620" s="137" t="str">
        <x:v>JILL</x:v>
      </x:c>
      <x:c r="C620" s="137" t="str">
        <x:v>PER ORDER (V/L)</x:v>
      </x:c>
      <x:c r="D620" s="137" t="str">
        <x:v>6X8</x:v>
      </x:c>
      <x:c r="E620" s="137" t="str">
        <x:v>CUTTING</x:v>
      </x:c>
      <x:c r="F620" s="137" t="str">
        <x:v>MESH 58"||MTR</x:v>
      </x:c>
      <x:c r="G620" s="137" t="str">
        <x:v>Mesh 58"</x:v>
      </x:c>
      <x:c r="H620" s="137" t="str">
        <x:v>MTR</x:v>
      </x:c>
      <x:c r="I620" s="175" t="n">
        <x:v>0.11904762</x:v>
      </x:c>
      <x:c r="J620" s="176" t="str"/>
      <x:c r="K620" s="177" t="str"/>
      <x:c r="L620" s="178" t="str">
        <x:f>IF(J620="","",J620*(1+IF(K620="",0,K620)) )</x:f>
      </x:c>
      <x:c r="M620" s="138" t="str"/>
      <x:c r="N620" s="137" t="str">
        <x:v>Current model BOM seed</x:v>
      </x:c>
      <x:c r="O620" s="137" t="str"/>
      <x:c r="P620" s="137" t="str">
        <x:v>To Confirm</x:v>
      </x:c>
      <x:c r="Q620" s="137" t="str"/>
    </x:row>
    <x:row r="621">
      <x:c r="A621" s="137" t="str">
        <x:v>BOM-00617</x:v>
      </x:c>
      <x:c r="B621" s="137" t="str">
        <x:v>JILL</x:v>
      </x:c>
      <x:c r="C621" s="137" t="str">
        <x:v>PER ORDER (V/L)</x:v>
      </x:c>
      <x:c r="D621" s="137" t="str">
        <x:v>6X8</x:v>
      </x:c>
      <x:c r="E621" s="137" t="str">
        <x:v>CUTTING</x:v>
      </x:c>
      <x:c r="F621" s="137" t="str">
        <x:v>ASTER 60"||MTR</x:v>
      </x:c>
      <x:c r="G621" s="137" t="str">
        <x:v>Aster 60"</x:v>
      </x:c>
      <x:c r="H621" s="137" t="str">
        <x:v>MTR</x:v>
      </x:c>
      <x:c r="I621" s="175" t="n">
        <x:v>0.01904762</x:v>
      </x:c>
      <x:c r="J621" s="176" t="str"/>
      <x:c r="K621" s="177" t="str"/>
      <x:c r="L621" s="178" t="str">
        <x:f>IF(J621="","",J621*(1+IF(K621="",0,K621)) )</x:f>
      </x:c>
      <x:c r="M621" s="138" t="str"/>
      <x:c r="N621" s="137" t="str">
        <x:v>Current model BOM seed</x:v>
      </x:c>
      <x:c r="O621" s="137" t="str"/>
      <x:c r="P621" s="137" t="str">
        <x:v>To Confirm</x:v>
      </x:c>
      <x:c r="Q621" s="137" t="str"/>
    </x:row>
    <x:row r="622">
      <x:c r="A622" s="137" t="str">
        <x:v>BOM-00618</x:v>
      </x:c>
      <x:c r="B622" s="137" t="str">
        <x:v>JILL</x:v>
      </x:c>
      <x:c r="C622" s="137" t="str">
        <x:v>PER ORDER (V/L)</x:v>
      </x:c>
      <x:c r="D622" s="137" t="str">
        <x:v>6X8</x:v>
      </x:c>
      <x:c r="E622" s="137" t="str">
        <x:v>CUTTING</x:v>
      </x:c>
      <x:c r="F622" s="137" t="str">
        <x:v>SKINFIT 60"||MTR</x:v>
      </x:c>
      <x:c r="G622" s="137" t="str">
        <x:v>Skinfit 60"</x:v>
      </x:c>
      <x:c r="H622" s="137" t="str">
        <x:v>MTR</x:v>
      </x:c>
      <x:c r="I622" s="175" t="n">
        <x:v>0.05</x:v>
      </x:c>
      <x:c r="J622" s="176" t="str"/>
      <x:c r="K622" s="177" t="str"/>
      <x:c r="L622" s="178" t="str">
        <x:f>IF(J622="","",J622*(1+IF(K622="",0,K622)) )</x:f>
      </x:c>
      <x:c r="M622" s="138" t="str"/>
      <x:c r="N622" s="137" t="str">
        <x:v>Current model BOM seed</x:v>
      </x:c>
      <x:c r="O622" s="137" t="str"/>
      <x:c r="P622" s="137" t="str">
        <x:v>To Confirm</x:v>
      </x:c>
      <x:c r="Q622" s="137" t="str"/>
    </x:row>
    <x:row r="623">
      <x:c r="A623" s="137" t="str">
        <x:v>BOM-00619</x:v>
      </x:c>
      <x:c r="B623" s="137" t="str">
        <x:v>JILL</x:v>
      </x:c>
      <x:c r="C623" s="137" t="str">
        <x:v>PER ORDER (V/L)</x:v>
      </x:c>
      <x:c r="D623" s="137" t="str">
        <x:v>6X8</x:v>
      </x:c>
      <x:c r="E623" s="137" t="str">
        <x:v>CUTTING</x:v>
      </x:c>
      <x:c r="F623" s="137" t="str">
        <x:v>REXINE 54"||MTR</x:v>
      </x:c>
      <x:c r="G623" s="137" t="str">
        <x:v>Rexine 54"</x:v>
      </x:c>
      <x:c r="H623" s="137" t="str">
        <x:v>MTR</x:v>
      </x:c>
      <x:c r="I623" s="175" t="n">
        <x:v>0.10087264</x:v>
      </x:c>
      <x:c r="J623" s="176" t="str"/>
      <x:c r="K623" s="177" t="str"/>
      <x:c r="L623" s="178" t="str">
        <x:f>IF(J623="","",J623*(1+IF(K623="",0,K623)) )</x:f>
      </x:c>
      <x:c r="M623" s="138" t="str"/>
      <x:c r="N623" s="137" t="str">
        <x:v>Current model BOM seed</x:v>
      </x:c>
      <x:c r="O623" s="137" t="str"/>
      <x:c r="P623" s="137" t="str">
        <x:v>To Confirm</x:v>
      </x:c>
      <x:c r="Q623" s="137" t="str"/>
    </x:row>
    <x:row r="624">
      <x:c r="A624" s="137" t="str">
        <x:v>BOM-00620</x:v>
      </x:c>
      <x:c r="B624" s="137" t="str">
        <x:v>JILL</x:v>
      </x:c>
      <x:c r="C624" s="137" t="str">
        <x:v>PER ORDER (V/L)</x:v>
      </x:c>
      <x:c r="D624" s="137" t="str">
        <x:v>6X8</x:v>
      </x:c>
      <x:c r="E624" s="137" t="str">
        <x:v>CUTTING</x:v>
      </x:c>
      <x:c r="F624" s="137" t="str">
        <x:v>SHEET 1.4MM||MTR</x:v>
      </x:c>
      <x:c r="G624" s="137" t="str">
        <x:v>Sheet 1.4Mm</x:v>
      </x:c>
      <x:c r="H624" s="137" t="str">
        <x:v>MTR</x:v>
      </x:c>
      <x:c r="I624" s="175" t="n">
        <x:v>0.01133787</x:v>
      </x:c>
      <x:c r="J624" s="176" t="str"/>
      <x:c r="K624" s="177" t="str"/>
      <x:c r="L624" s="178" t="str">
        <x:f>IF(J624="","",J624*(1+IF(K624="",0,K624)) )</x:f>
      </x:c>
      <x:c r="M624" s="138" t="str"/>
      <x:c r="N624" s="137" t="str">
        <x:v>Current model BOM seed</x:v>
      </x:c>
      <x:c r="O624" s="137" t="str"/>
      <x:c r="P624" s="137" t="str">
        <x:v>To Confirm</x:v>
      </x:c>
      <x:c r="Q624" s="137" t="str"/>
    </x:row>
    <x:row r="625">
      <x:c r="A625" s="137" t="str">
        <x:v>BOM-00621</x:v>
      </x:c>
      <x:c r="B625" s="137" t="str">
        <x:v>JILL</x:v>
      </x:c>
      <x:c r="C625" s="137" t="str">
        <x:v>PER ORDER (V/L)</x:v>
      </x:c>
      <x:c r="D625" s="137" t="str">
        <x:v>6X8</x:v>
      </x:c>
      <x:c r="E625" s="137" t="str">
        <x:v>CUTTING</x:v>
      </x:c>
      <x:c r="F625" s="137" t="str">
        <x:v>SHEET 0.8MM||MTR</x:v>
      </x:c>
      <x:c r="G625" s="137" t="str">
        <x:v>Sheet 0.8Mm</x:v>
      </x:c>
      <x:c r="H625" s="137" t="str">
        <x:v>MTR</x:v>
      </x:c>
      <x:c r="I625" s="175" t="n">
        <x:v>0.01428571</x:v>
      </x:c>
      <x:c r="J625" s="176" t="str"/>
      <x:c r="K625" s="177" t="str"/>
      <x:c r="L625" s="178" t="str">
        <x:f>IF(J625="","",J625*(1+IF(K625="",0,K625)) )</x:f>
      </x:c>
      <x:c r="M625" s="138" t="str"/>
      <x:c r="N625" s="137" t="str">
        <x:v>Current model BOM seed</x:v>
      </x:c>
      <x:c r="O625" s="137" t="str"/>
      <x:c r="P625" s="137" t="str">
        <x:v>To Confirm</x:v>
      </x:c>
      <x:c r="Q625" s="137" t="str"/>
    </x:row>
    <x:row r="626">
      <x:c r="A626" s="137" t="str">
        <x:v>BOM-00622</x:v>
      </x:c>
      <x:c r="B626" s="137" t="str">
        <x:v>JILL</x:v>
      </x:c>
      <x:c r="C626" s="137" t="str">
        <x:v>PER ORDER (V/L)</x:v>
      </x:c>
      <x:c r="D626" s="137" t="str">
        <x:v>6X8</x:v>
      </x:c>
      <x:c r="E626" s="137" t="str">
        <x:v>CUTTING</x:v>
      </x:c>
      <x:c r="F626" s="137" t="str">
        <x:v>SHEET 20MM||MTR</x:v>
      </x:c>
      <x:c r="G626" s="137" t="str">
        <x:v>Sheet 20Mm</x:v>
      </x:c>
      <x:c r="H626" s="137" t="str">
        <x:v>MTR</x:v>
      </x:c>
      <x:c r="I626" s="175" t="n">
        <x:v>0.01481481</x:v>
      </x:c>
      <x:c r="J626" s="176" t="str"/>
      <x:c r="K626" s="177" t="str"/>
      <x:c r="L626" s="178" t="str">
        <x:f>IF(J626="","",J626*(1+IF(K626="",0,K626)) )</x:f>
      </x:c>
      <x:c r="M626" s="138" t="str"/>
      <x:c r="N626" s="137" t="str">
        <x:v>Current model BOM seed</x:v>
      </x:c>
      <x:c r="O626" s="137" t="str"/>
      <x:c r="P626" s="137" t="str">
        <x:v>To Confirm</x:v>
      </x:c>
      <x:c r="Q626" s="137" t="str"/>
    </x:row>
    <x:row r="627">
      <x:c r="A627" s="137" t="str">
        <x:v>BOM-00623</x:v>
      </x:c>
      <x:c r="B627" s="137" t="str">
        <x:v>JILL</x:v>
      </x:c>
      <x:c r="C627" s="137" t="str">
        <x:v>PER ORDER (V/L)</x:v>
      </x:c>
      <x:c r="D627" s="137" t="str">
        <x:v>6X8</x:v>
      </x:c>
      <x:c r="E627" s="137" t="str">
        <x:v>CUTTING</x:v>
      </x:c>
      <x:c r="F627" s="137" t="str">
        <x:v>INSOLE||PAIR</x:v>
      </x:c>
      <x:c r="G627" s="137" t="str">
        <x:v>INSOLE</x:v>
      </x:c>
      <x:c r="H627" s="137" t="str">
        <x:v>PAIR</x:v>
      </x:c>
      <x:c r="I627" s="175" t="n">
        <x:v>2</x:v>
      </x:c>
      <x:c r="J627" s="176" t="str"/>
      <x:c r="K627" s="177" t="str"/>
      <x:c r="L627" s="178" t="str">
        <x:f>IF(J627="","",J627*(1+IF(K627="",0,K627)) )</x:f>
      </x:c>
      <x:c r="M627" s="138" t="str"/>
      <x:c r="N627" s="137" t="str">
        <x:v>Current model BOM seed</x:v>
      </x:c>
      <x:c r="O627" s="137" t="str"/>
      <x:c r="P627" s="137" t="str">
        <x:v>To Confirm</x:v>
      </x:c>
      <x:c r="Q627" s="137" t="str"/>
    </x:row>
    <x:row r="628">
      <x:c r="A628" s="137" t="str">
        <x:v>BOM-00624</x:v>
      </x:c>
      <x:c r="B628" s="137" t="str">
        <x:v>JILL</x:v>
      </x:c>
      <x:c r="C628" s="137" t="str">
        <x:v>PER ORDER (V/L)</x:v>
      </x:c>
      <x:c r="D628" s="137" t="str">
        <x:v>6X8</x:v>
      </x:c>
      <x:c r="E628" s="137" t="str">
        <x:v>MOLDING</x:v>
      </x:c>
      <x:c r="F628" s="137" t="str">
        <x:v>SOLE 1231 EVA||PAIR</x:v>
      </x:c>
      <x:c r="G628" s="137" t="str">
        <x:v>Sole 1231 EVA</x:v>
      </x:c>
      <x:c r="H628" s="137" t="str">
        <x:v>PAIR</x:v>
      </x:c>
      <x:c r="I628" s="175" t="n">
        <x:v>2</x:v>
      </x:c>
      <x:c r="J628" s="176" t="str"/>
      <x:c r="K628" s="177" t="str"/>
      <x:c r="L628" s="178" t="str">
        <x:f>IF(J628="","",J628*(1+IF(K628="",0,K628)) )</x:f>
      </x:c>
      <x:c r="M628" s="138" t="str"/>
      <x:c r="N628" s="137" t="str">
        <x:v>Current model BOM seed</x:v>
      </x:c>
      <x:c r="O628" s="137" t="str"/>
      <x:c r="P628" s="137" t="str">
        <x:v>To Confirm</x:v>
      </x:c>
      <x:c r="Q628" s="137" t="str"/>
    </x:row>
    <x:row r="629">
      <x:c r="A629" s="137" t="str">
        <x:v>BOM-00625</x:v>
      </x:c>
      <x:c r="B629" s="137" t="str">
        <x:v>JILL</x:v>
      </x:c>
      <x:c r="C629" s="137" t="str">
        <x:v>PER ORDER (V/L)</x:v>
      </x:c>
      <x:c r="D629" s="137" t="str">
        <x:v>6X8</x:v>
      </x:c>
      <x:c r="E629" s="137" t="str">
        <x:v>PACKING</x:v>
      </x:c>
      <x:c r="F629" s="137" t="str">
        <x:v>TISSUE PAPER||PCS</x:v>
      </x:c>
      <x:c r="G629" s="137" t="str">
        <x:v>Tissue Paper</x:v>
      </x:c>
      <x:c r="H629" s="137" t="str">
        <x:v>PCS</x:v>
      </x:c>
      <x:c r="I629" s="175" t="n">
        <x:v>0.25</x:v>
      </x:c>
      <x:c r="J629" s="176" t="str"/>
      <x:c r="K629" s="177" t="str"/>
      <x:c r="L629" s="178" t="str">
        <x:f>IF(J629="","",J629*(1+IF(K629="",0,K629)) )</x:f>
      </x:c>
      <x:c r="M629" s="138" t="str"/>
      <x:c r="N629" s="137" t="str">
        <x:v>Current model BOM seed</x:v>
      </x:c>
      <x:c r="O629" s="137" t="str"/>
      <x:c r="P629" s="137" t="str">
        <x:v>To Confirm</x:v>
      </x:c>
      <x:c r="Q629" s="137" t="str"/>
    </x:row>
    <x:row r="630">
      <x:c r="A630" s="137" t="str">
        <x:v>BOM-00626</x:v>
      </x:c>
      <x:c r="B630" s="137" t="str">
        <x:v>JILL</x:v>
      </x:c>
      <x:c r="C630" s="137" t="str">
        <x:v>PER ORDER (V/L)</x:v>
      </x:c>
      <x:c r="D630" s="137" t="str">
        <x:v>6X8</x:v>
      </x:c>
      <x:c r="E630" s="137" t="str">
        <x:v>PACKING</x:v>
      </x:c>
      <x:c r="F630" s="137" t="str">
        <x:v>SHOE SHINER||GRAM</x:v>
      </x:c>
      <x:c r="G630" s="137" t="str">
        <x:v>Shoe Shiner</x:v>
      </x:c>
      <x:c r="H630" s="137" t="str">
        <x:v>GRAM</x:v>
      </x:c>
      <x:c r="I630" s="175" t="n">
        <x:v>0.06666667</x:v>
      </x:c>
      <x:c r="J630" s="176" t="str"/>
      <x:c r="K630" s="177" t="str"/>
      <x:c r="L630" s="178" t="str">
        <x:f>IF(J630="","",J630*(1+IF(K630="",0,K630)) )</x:f>
      </x:c>
      <x:c r="M630" s="138" t="str"/>
      <x:c r="N630" s="137" t="str">
        <x:v>Current model BOM seed</x:v>
      </x:c>
      <x:c r="O630" s="137" t="str"/>
      <x:c r="P630" s="137" t="str">
        <x:v>To Confirm</x:v>
      </x:c>
      <x:c r="Q630" s="137" t="str"/>
    </x:row>
    <x:row r="631">
      <x:c r="A631" s="137" t="str">
        <x:v>BOM-00627</x:v>
      </x:c>
      <x:c r="B631" s="137" t="str">
        <x:v>JILL</x:v>
      </x:c>
      <x:c r="C631" s="137" t="str">
        <x:v>PER ORDER (V/L)</x:v>
      </x:c>
      <x:c r="D631" s="137" t="str">
        <x:v>6X8</x:v>
      </x:c>
      <x:c r="E631" s="137" t="str">
        <x:v>PACKING</x:v>
      </x:c>
      <x:c r="F631" s="137" t="str">
        <x:v>EMYLE||GRAM</x:v>
      </x:c>
      <x:c r="G631" s="137" t="str">
        <x:v>EMYLE</x:v>
      </x:c>
      <x:c r="H631" s="137" t="str">
        <x:v>GRAM</x:v>
      </x:c>
      <x:c r="I631" s="175" t="n">
        <x:v>0.07142857</x:v>
      </x:c>
      <x:c r="J631" s="176" t="str"/>
      <x:c r="K631" s="177" t="str"/>
      <x:c r="L631" s="178" t="str">
        <x:f>IF(J631="","",J631*(1+IF(K631="",0,K631)) )</x:f>
      </x:c>
      <x:c r="M631" s="138" t="str"/>
      <x:c r="N631" s="137" t="str">
        <x:v>Current model BOM seed</x:v>
      </x:c>
      <x:c r="O631" s="137" t="str"/>
      <x:c r="P631" s="137" t="str">
        <x:v>To Confirm</x:v>
      </x:c>
      <x:c r="Q631" s="137" t="str"/>
    </x:row>
    <x:row r="632">
      <x:c r="A632" s="137" t="str">
        <x:v>BOM-00628</x:v>
      </x:c>
      <x:c r="B632" s="137" t="str">
        <x:v>JILL</x:v>
      </x:c>
      <x:c r="C632" s="137" t="str">
        <x:v>PER ORDER (V/L)</x:v>
      </x:c>
      <x:c r="D632" s="137" t="str">
        <x:v>6X8</x:v>
      </x:c>
      <x:c r="E632" s="137" t="str">
        <x:v>PACKING</x:v>
      </x:c>
      <x:c r="F632" s="137" t="str">
        <x:v>TAG PIN||PCS</x:v>
      </x:c>
      <x:c r="G632" s="137" t="str">
        <x:v>Tag Pin</x:v>
      </x:c>
      <x:c r="H632" s="137" t="str">
        <x:v>PCS</x:v>
      </x:c>
      <x:c r="I632" s="175" t="n">
        <x:v>1</x:v>
      </x:c>
      <x:c r="J632" s="176" t="str"/>
      <x:c r="K632" s="177" t="str"/>
      <x:c r="L632" s="178" t="str">
        <x:f>IF(J632="","",J632*(1+IF(K632="",0,K632)) )</x:f>
      </x:c>
      <x:c r="M632" s="138" t="str"/>
      <x:c r="N632" s="137" t="str">
        <x:v>Current model BOM seed</x:v>
      </x:c>
      <x:c r="O632" s="137" t="str"/>
      <x:c r="P632" s="137" t="str">
        <x:v>To Confirm</x:v>
      </x:c>
      <x:c r="Q632" s="137" t="str"/>
    </x:row>
    <x:row r="633">
      <x:c r="A633" s="137" t="str">
        <x:v>BOM-00629</x:v>
      </x:c>
      <x:c r="B633" s="137" t="str">
        <x:v>JILL</x:v>
      </x:c>
      <x:c r="C633" s="137" t="str">
        <x:v>PER ORDER (V/L)</x:v>
      </x:c>
      <x:c r="D633" s="137" t="str">
        <x:v>6X8</x:v>
      </x:c>
      <x:c r="E633" s="137" t="str">
        <x:v>PACKING</x:v>
      </x:c>
      <x:c r="F633" s="137" t="str">
        <x:v>TAG CARD||PCS</x:v>
      </x:c>
      <x:c r="G633" s="137" t="str">
        <x:v>Tag Card</x:v>
      </x:c>
      <x:c r="H633" s="137" t="str">
        <x:v>PCS</x:v>
      </x:c>
      <x:c r="I633" s="175" t="n">
        <x:v>1</x:v>
      </x:c>
      <x:c r="J633" s="176" t="str"/>
      <x:c r="K633" s="177" t="str"/>
      <x:c r="L633" s="178" t="str">
        <x:f>IF(J633="","",J633*(1+IF(K633="",0,K633)) )</x:f>
      </x:c>
      <x:c r="M633" s="138" t="str"/>
      <x:c r="N633" s="137" t="str">
        <x:v>Current model BOM seed</x:v>
      </x:c>
      <x:c r="O633" s="137" t="str"/>
      <x:c r="P633" s="137" t="str">
        <x:v>To Confirm</x:v>
      </x:c>
      <x:c r="Q633" s="137" t="str"/>
    </x:row>
    <x:row r="634">
      <x:c r="A634" s="137" t="str">
        <x:v>BOM-00630</x:v>
      </x:c>
      <x:c r="B634" s="137" t="str">
        <x:v>JILL</x:v>
      </x:c>
      <x:c r="C634" s="137" t="str">
        <x:v>PER ORDER (V/L)</x:v>
      </x:c>
      <x:c r="D634" s="137" t="str">
        <x:v>6X8</x:v>
      </x:c>
      <x:c r="E634" s="137" t="str">
        <x:v>PACKING</x:v>
      </x:c>
      <x:c r="F634" s="137" t="str">
        <x:v>WRAPING PAPER||PCS</x:v>
      </x:c>
      <x:c r="G634" s="137" t="str">
        <x:v>Wraping Paper</x:v>
      </x:c>
      <x:c r="H634" s="137" t="str">
        <x:v>PCS</x:v>
      </x:c>
      <x:c r="I634" s="175" t="n">
        <x:v>1</x:v>
      </x:c>
      <x:c r="J634" s="176" t="str"/>
      <x:c r="K634" s="177" t="str"/>
      <x:c r="L634" s="178" t="str">
        <x:f>IF(J634="","",J634*(1+IF(K634="",0,K634)) )</x:f>
      </x:c>
      <x:c r="M634" s="138" t="str"/>
      <x:c r="N634" s="137" t="str">
        <x:v>Current model BOM seed</x:v>
      </x:c>
      <x:c r="O634" s="137" t="str"/>
      <x:c r="P634" s="137" t="str">
        <x:v>To Confirm</x:v>
      </x:c>
      <x:c r="Q634" s="137" t="str"/>
    </x:row>
    <x:row r="635">
      <x:c r="A635" s="137" t="str">
        <x:v>BOM-00631</x:v>
      </x:c>
      <x:c r="B635" s="137" t="str">
        <x:v>JILL</x:v>
      </x:c>
      <x:c r="C635" s="137" t="str">
        <x:v>PER ORDER (V/L)</x:v>
      </x:c>
      <x:c r="D635" s="137" t="str">
        <x:v>6X8</x:v>
      </x:c>
      <x:c r="E635" s="137" t="str">
        <x:v>PACKING</x:v>
      </x:c>
      <x:c r="F635" s="137" t="str">
        <x:v>INNER||PCS</x:v>
      </x:c>
      <x:c r="G635" s="137" t="str">
        <x:v>INNER</x:v>
      </x:c>
      <x:c r="H635" s="137" t="str">
        <x:v>PCS</x:v>
      </x:c>
      <x:c r="I635" s="175" t="n">
        <x:v>1</x:v>
      </x:c>
      <x:c r="J635" s="176" t="str"/>
      <x:c r="K635" s="177" t="str"/>
      <x:c r="L635" s="178" t="str">
        <x:f>IF(J635="","",J635*(1+IF(K635="",0,K635)) )</x:f>
      </x:c>
      <x:c r="M635" s="138" t="str"/>
      <x:c r="N635" s="137" t="str">
        <x:v>Current model BOM seed</x:v>
      </x:c>
      <x:c r="O635" s="137" t="str"/>
      <x:c r="P635" s="137" t="str">
        <x:v>To Confirm</x:v>
      </x:c>
      <x:c r="Q635" s="137" t="str"/>
    </x:row>
    <x:row r="636">
      <x:c r="A636" s="137" t="str">
        <x:v>BOM-00632</x:v>
      </x:c>
      <x:c r="B636" s="137" t="str">
        <x:v>JILL</x:v>
      </x:c>
      <x:c r="C636" s="137" t="str">
        <x:v>PER ORDER (V/L)</x:v>
      </x:c>
      <x:c r="D636" s="137" t="str">
        <x:v>6X8</x:v>
      </x:c>
      <x:c r="E636" s="137" t="str">
        <x:v>PACKING</x:v>
      </x:c>
      <x:c r="F636" s="137" t="str">
        <x:v>BARCODE STICKER||PCS</x:v>
      </x:c>
      <x:c r="G636" s="137" t="str">
        <x:v>Barcode Sticker</x:v>
      </x:c>
      <x:c r="H636" s="137" t="str">
        <x:v>PCS</x:v>
      </x:c>
      <x:c r="I636" s="175" t="n">
        <x:v>1</x:v>
      </x:c>
      <x:c r="J636" s="176" t="str"/>
      <x:c r="K636" s="177" t="str"/>
      <x:c r="L636" s="178" t="str">
        <x:f>IF(J636="","",J636*(1+IF(K636="",0,K636)) )</x:f>
      </x:c>
      <x:c r="M636" s="138" t="str"/>
      <x:c r="N636" s="137" t="str">
        <x:v>Current model BOM seed</x:v>
      </x:c>
      <x:c r="O636" s="137" t="str"/>
      <x:c r="P636" s="137" t="str">
        <x:v>To Confirm</x:v>
      </x:c>
      <x:c r="Q636" s="137" t="str"/>
    </x:row>
    <x:row r="637">
      <x:c r="A637" s="137" t="str">
        <x:v>BOM-00633</x:v>
      </x:c>
      <x:c r="B637" s="137" t="str">
        <x:v>JILL</x:v>
      </x:c>
      <x:c r="C637" s="137" t="str">
        <x:v>PER ORDER (V/L)</x:v>
      </x:c>
      <x:c r="D637" s="137" t="str">
        <x:v>6X8</x:v>
      </x:c>
      <x:c r="E637" s="137" t="str">
        <x:v>PACKING</x:v>
      </x:c>
      <x:c r="F637" s="137" t="str">
        <x:v>CTN TAPE (1 CTN)||MTR</x:v>
      </x:c>
      <x:c r="G637" s="137" t="str">
        <x:v>Ctn Tape (1 Ctn)</x:v>
      </x:c>
      <x:c r="H637" s="137" t="str">
        <x:v>MTR</x:v>
      </x:c>
      <x:c r="I637" s="175" t="n">
        <x:v>0.5</x:v>
      </x:c>
      <x:c r="J637" s="176" t="str"/>
      <x:c r="K637" s="177" t="str"/>
      <x:c r="L637" s="178" t="str">
        <x:f>IF(J637="","",J637*(1+IF(K637="",0,K637)) )</x:f>
      </x:c>
      <x:c r="M637" s="138" t="str"/>
      <x:c r="N637" s="137" t="str">
        <x:v>Current model BOM seed</x:v>
      </x:c>
      <x:c r="O637" s="137" t="str"/>
      <x:c r="P637" s="137" t="str">
        <x:v>To Confirm</x:v>
      </x:c>
      <x:c r="Q637" s="137" t="str"/>
    </x:row>
    <x:row r="638">
      <x:c r="A638" s="137" t="str">
        <x:v>BOM-00634</x:v>
      </x:c>
      <x:c r="B638" s="137" t="str">
        <x:v>JILL</x:v>
      </x:c>
      <x:c r="C638" s="137" t="str">
        <x:v>PER ORDER (V/L)</x:v>
      </x:c>
      <x:c r="D638" s="137" t="str">
        <x:v>6X8</x:v>
      </x:c>
      <x:c r="E638" s="137" t="str">
        <x:v>PACKING</x:v>
      </x:c>
      <x:c r="F638" s="137" t="str">
        <x:v>STRAPING ROLL (1CTN)||MTR</x:v>
      </x:c>
      <x:c r="G638" s="137" t="str">
        <x:v>Straping Roll (1Ctn)</x:v>
      </x:c>
      <x:c r="H638" s="137" t="str">
        <x:v>MTR</x:v>
      </x:c>
      <x:c r="I638" s="175" t="n">
        <x:v>0.25</x:v>
      </x:c>
      <x:c r="J638" s="176" t="str"/>
      <x:c r="K638" s="177" t="str"/>
      <x:c r="L638" s="178" t="str">
        <x:f>IF(J638="","",J638*(1+IF(K638="",0,K638)) )</x:f>
      </x:c>
      <x:c r="M638" s="138" t="str"/>
      <x:c r="N638" s="137" t="str">
        <x:v>Current model BOM seed</x:v>
      </x:c>
      <x:c r="O638" s="137" t="str"/>
      <x:c r="P638" s="137" t="str">
        <x:v>To Confirm</x:v>
      </x:c>
      <x:c r="Q638" s="137" t="str"/>
    </x:row>
    <x:row r="639">
      <x:c r="A639" s="137" t="str">
        <x:v>BOM-00635</x:v>
      </x:c>
      <x:c r="B639" s="137" t="str">
        <x:v>JILL</x:v>
      </x:c>
      <x:c r="C639" s="137" t="str">
        <x:v>PER ORDER (V/L)</x:v>
      </x:c>
      <x:c r="D639" s="137" t="str">
        <x:v>6X8</x:v>
      </x:c>
      <x:c r="E639" s="137" t="str">
        <x:v>STITCHING</x:v>
      </x:c>
      <x:c r="F639" s="137" t="str">
        <x:v>THREAD 3 PLY||MTR</x:v>
      </x:c>
      <x:c r="G639" s="137" t="str">
        <x:v>Thread 3 Ply</x:v>
      </x:c>
      <x:c r="H639" s="137" t="str">
        <x:v>MTR</x:v>
      </x:c>
      <x:c r="I639" s="175" t="n">
        <x:v>23.07692308</x:v>
      </x:c>
      <x:c r="J639" s="176" t="str"/>
      <x:c r="K639" s="177" t="str"/>
      <x:c r="L639" s="178" t="str">
        <x:f>IF(J639="","",J639*(1+IF(K639="",0,K639)) )</x:f>
      </x:c>
      <x:c r="M639" s="138" t="str"/>
      <x:c r="N639" s="137" t="str">
        <x:v>Current model BOM seed</x:v>
      </x:c>
      <x:c r="O639" s="137" t="str"/>
      <x:c r="P639" s="137" t="str">
        <x:v>To Confirm</x:v>
      </x:c>
      <x:c r="Q639" s="137" t="str"/>
    </x:row>
    <x:row r="640">
      <x:c r="A640" s="137" t="str">
        <x:v>BOM-00636</x:v>
      </x:c>
      <x:c r="B640" s="137" t="str">
        <x:v>JILL</x:v>
      </x:c>
      <x:c r="C640" s="137" t="str">
        <x:v>PER ORDER (V/L)</x:v>
      </x:c>
      <x:c r="D640" s="137" t="str">
        <x:v>6X8</x:v>
      </x:c>
      <x:c r="E640" s="137" t="str">
        <x:v>STITCHING</x:v>
      </x:c>
      <x:c r="F640" s="137" t="str">
        <x:v>THREAD 3 PLY COLOURED||MTR</x:v>
      </x:c>
      <x:c r="G640" s="137" t="str">
        <x:v>Thread 3 Ply Coloured</x:v>
      </x:c>
      <x:c r="H640" s="137" t="str">
        <x:v>MTR</x:v>
      </x:c>
      <x:c r="I640" s="175" t="n">
        <x:v>375</x:v>
      </x:c>
      <x:c r="J640" s="176" t="str"/>
      <x:c r="K640" s="177" t="str"/>
      <x:c r="L640" s="178" t="str">
        <x:f>IF(J640="","",J640*(1+IF(K640="",0,K640)) )</x:f>
      </x:c>
      <x:c r="M640" s="138" t="str"/>
      <x:c r="N640" s="137" t="str">
        <x:v>Current model BOM seed</x:v>
      </x:c>
      <x:c r="O640" s="137" t="str"/>
      <x:c r="P640" s="137" t="str">
        <x:v>To Confirm</x:v>
      </x:c>
      <x:c r="Q640" s="137" t="str"/>
    </x:row>
    <x:row r="641">
      <x:c r="A641" s="137" t="str">
        <x:v>BOM-00637</x:v>
      </x:c>
      <x:c r="B641" s="137" t="str">
        <x:v>JILL</x:v>
      </x:c>
      <x:c r="C641" s="137" t="str">
        <x:v>PER ORDER (V/L)</x:v>
      </x:c>
      <x:c r="D641" s="137" t="str">
        <x:v>6X8</x:v>
      </x:c>
      <x:c r="E641" s="137" t="str">
        <x:v>STITCHING</x:v>
      </x:c>
      <x:c r="F641" s="137" t="str">
        <x:v>SIZE LABEL||PCS</x:v>
      </x:c>
      <x:c r="G641" s="137" t="str">
        <x:v>SIZE LABEL</x:v>
      </x:c>
      <x:c r="H641" s="137" t="str">
        <x:v>PCS</x:v>
      </x:c>
      <x:c r="I641" s="175" t="n">
        <x:v>0.5</x:v>
      </x:c>
      <x:c r="J641" s="176" t="str"/>
      <x:c r="K641" s="177" t="str"/>
      <x:c r="L641" s="178" t="str">
        <x:f>IF(J641="","",J641*(1+IF(K641="",0,K641)) )</x:f>
      </x:c>
      <x:c r="M641" s="138" t="str"/>
      <x:c r="N641" s="137" t="str">
        <x:v>Current model BOM seed</x:v>
      </x:c>
      <x:c r="O641" s="137" t="str"/>
      <x:c r="P641" s="137" t="str">
        <x:v>To Confirm</x:v>
      </x:c>
      <x:c r="Q641" s="137" t="str"/>
    </x:row>
    <x:row r="642">
      <x:c r="A642" s="137" t="str">
        <x:v>BOM-00638</x:v>
      </x:c>
      <x:c r="B642" s="137" t="str">
        <x:v>JILL</x:v>
      </x:c>
      <x:c r="C642" s="137" t="str">
        <x:v>PER ORDER (V/L)</x:v>
      </x:c>
      <x:c r="D642" s="137" t="str">
        <x:v>6X8</x:v>
      </x:c>
      <x:c r="E642" s="137" t="str">
        <x:v>STITCHING</x:v>
      </x:c>
      <x:c r="F642" s="137" t="str">
        <x:v>TOUNG LABEL SNEAKER||PCS</x:v>
      </x:c>
      <x:c r="G642" s="137" t="str">
        <x:v>TOUNG LABEL SNEAKER</x:v>
      </x:c>
      <x:c r="H642" s="137" t="str">
        <x:v>PCS</x:v>
      </x:c>
      <x:c r="I642" s="175" t="n">
        <x:v>0.5</x:v>
      </x:c>
      <x:c r="J642" s="176" t="str"/>
      <x:c r="K642" s="177" t="str"/>
      <x:c r="L642" s="178" t="str">
        <x:f>IF(J642="","",J642*(1+IF(K642="",0,K642)) )</x:f>
      </x:c>
      <x:c r="M642" s="138" t="str"/>
      <x:c r="N642" s="137" t="str">
        <x:v>Current model BOM seed</x:v>
      </x:c>
      <x:c r="O642" s="137" t="str"/>
      <x:c r="P642" s="137" t="str">
        <x:v>To Confirm</x:v>
      </x:c>
      <x:c r="Q642" s="137" t="str"/>
    </x:row>
    <x:row r="643">
      <x:c r="A643" s="137" t="str">
        <x:v>BOM-00639</x:v>
      </x:c>
      <x:c r="B643" s="137" t="str">
        <x:v>JILL</x:v>
      </x:c>
      <x:c r="C643" s="137" t="str">
        <x:v>PER ORDER (V/L)</x:v>
      </x:c>
      <x:c r="D643" s="137" t="str">
        <x:v>6X8</x:v>
      </x:c>
      <x:c r="E643" s="137" t="str">
        <x:v>STITCHING</x:v>
      </x:c>
      <x:c r="F643" s="137" t="str">
        <x:v>PF-3||PCS</x:v>
      </x:c>
      <x:c r="G643" s="137" t="str">
        <x:v>PF-3</x:v>
      </x:c>
      <x:c r="H643" s="137" t="str">
        <x:v>PCS</x:v>
      </x:c>
      <x:c r="I643" s="175" t="n">
        <x:v>0.25</x:v>
      </x:c>
      <x:c r="J643" s="176" t="str"/>
      <x:c r="K643" s="177" t="str"/>
      <x:c r="L643" s="178" t="str">
        <x:f>IF(J643="","",J643*(1+IF(K643="",0,K643)) )</x:f>
      </x:c>
      <x:c r="M643" s="138" t="str"/>
      <x:c r="N643" s="137" t="str">
        <x:v>Current model BOM seed</x:v>
      </x:c>
      <x:c r="O643" s="137" t="str"/>
      <x:c r="P643" s="137" t="str">
        <x:v>To Confirm</x:v>
      </x:c>
      <x:c r="Q643" s="137" t="str"/>
    </x:row>
    <x:row r="644">
      <x:c r="A644" s="137" t="str">
        <x:v>BOM-00640</x:v>
      </x:c>
      <x:c r="B644" s="137" t="str">
        <x:v>JILL</x:v>
      </x:c>
      <x:c r="C644" s="137" t="str">
        <x:v>PER ORDER (V/L)</x:v>
      </x:c>
      <x:c r="D644" s="137" t="str">
        <x:v>6X8</x:v>
      </x:c>
      <x:c r="E644" s="137" t="str">
        <x:v>STITCHING</x:v>
      </x:c>
      <x:c r="F644" s="137" t="str">
        <x:v>VELCRO 25 MM HOOK||MTR</x:v>
      </x:c>
      <x:c r="G644" s="137" t="str">
        <x:v>VELCRO 25 MM HOOK</x:v>
      </x:c>
      <x:c r="H644" s="137" t="str">
        <x:v>MTR</x:v>
      </x:c>
      <x:c r="I644" s="175" t="n">
        <x:v>0.02631579</x:v>
      </x:c>
      <x:c r="J644" s="176" t="str"/>
      <x:c r="K644" s="177" t="str"/>
      <x:c r="L644" s="178" t="str">
        <x:f>IF(J644="","",J644*(1+IF(K644="",0,K644)) )</x:f>
      </x:c>
      <x:c r="M644" s="138" t="str"/>
      <x:c r="N644" s="137" t="str">
        <x:v>Current model BOM seed</x:v>
      </x:c>
      <x:c r="O644" s="137" t="str"/>
      <x:c r="P644" s="137" t="str">
        <x:v>To Confirm</x:v>
      </x:c>
      <x:c r="Q644" s="137" t="str"/>
    </x:row>
    <x:row r="645">
      <x:c r="A645" s="137" t="str">
        <x:v>BOM-00641</x:v>
      </x:c>
      <x:c r="B645" s="137" t="str">
        <x:v>JILL</x:v>
      </x:c>
      <x:c r="C645" s="137" t="str">
        <x:v>PER ORDER (V/L)</x:v>
      </x:c>
      <x:c r="D645" s="137" t="str">
        <x:v>6X8</x:v>
      </x:c>
      <x:c r="E645" s="137" t="str">
        <x:v>STITCHING</x:v>
      </x:c>
      <x:c r="F645" s="137" t="str">
        <x:v>VELCRO 25 MM LOOP||MTR</x:v>
      </x:c>
      <x:c r="G645" s="137" t="str">
        <x:v>VELCRO 25 MM LOOP</x:v>
      </x:c>
      <x:c r="H645" s="137" t="str">
        <x:v>MTR</x:v>
      </x:c>
      <x:c r="I645" s="175" t="n">
        <x:v>0.02631579</x:v>
      </x:c>
      <x:c r="J645" s="176" t="str"/>
      <x:c r="K645" s="177" t="str"/>
      <x:c r="L645" s="178" t="str">
        <x:f>IF(J645="","",J645*(1+IF(K645="",0,K645)) )</x:f>
      </x:c>
      <x:c r="M645" s="138" t="str"/>
      <x:c r="N645" s="137" t="str">
        <x:v>Current model BOM seed</x:v>
      </x:c>
      <x:c r="O645" s="137" t="str"/>
      <x:c r="P645" s="137" t="str">
        <x:v>To Confirm</x:v>
      </x:c>
      <x:c r="Q645" s="137" t="str"/>
    </x:row>
    <x:row r="646">
      <x:c r="A646" s="137" t="str">
        <x:v>BOM-00642</x:v>
      </x:c>
      <x:c r="B646" s="137" t="str">
        <x:v>JILL</x:v>
      </x:c>
      <x:c r="C646" s="137" t="str">
        <x:v>PER ORDER (V/L)</x:v>
      </x:c>
      <x:c r="D646" s="137" t="str">
        <x:v>6X8</x:v>
      </x:c>
      <x:c r="E646" s="137" t="str">
        <x:v>STITCHING</x:v>
      </x:c>
      <x:c r="F646" s="137" t="str">
        <x:v>BACK TAPE 14 MM||MTR</x:v>
      </x:c>
      <x:c r="G646" s="137" t="str">
        <x:v>BACK TAPE 14 MM</x:v>
      </x:c>
      <x:c r="H646" s="137" t="str">
        <x:v>MTR</x:v>
      </x:c>
      <x:c r="I646" s="175" t="n">
        <x:v>0.14285714</x:v>
      </x:c>
      <x:c r="J646" s="176" t="str"/>
      <x:c r="K646" s="177" t="str"/>
      <x:c r="L646" s="178" t="str">
        <x:f>IF(J646="","",J646*(1+IF(K646="",0,K646)) )</x:f>
      </x:c>
      <x:c r="M646" s="138" t="str"/>
      <x:c r="N646" s="137" t="str">
        <x:v>Current model BOM seed</x:v>
      </x:c>
      <x:c r="O646" s="137" t="str"/>
      <x:c r="P646" s="137" t="str">
        <x:v>To Confirm</x:v>
      </x:c>
      <x:c r="Q646" s="137" t="str"/>
    </x:row>
    <x:row r="647">
      <x:c r="A647" s="137" t="str">
        <x:v>BOM-00643</x:v>
      </x:c>
      <x:c r="B647" s="137" t="str">
        <x:v>JILL</x:v>
      </x:c>
      <x:c r="C647" s="137" t="str">
        <x:v>PER ORDER (V/L)</x:v>
      </x:c>
      <x:c r="D647" s="137" t="str">
        <x:v>9X12</x:v>
      </x:c>
      <x:c r="E647" s="137" t="str">
        <x:v>CUTTING</x:v>
      </x:c>
      <x:c r="F647" s="137" t="str">
        <x:v>MESH 58"||MTR</x:v>
      </x:c>
      <x:c r="G647" s="137" t="str">
        <x:v>Mesh 58"</x:v>
      </x:c>
      <x:c r="H647" s="137" t="str">
        <x:v>MTR</x:v>
      </x:c>
      <x:c r="I647" s="175" t="n">
        <x:v>0.13172967</x:v>
      </x:c>
      <x:c r="J647" s="176" t="str"/>
      <x:c r="K647" s="177" t="str"/>
      <x:c r="L647" s="178" t="str">
        <x:f>IF(J647="","",J647*(1+IF(K647="",0,K647)) )</x:f>
      </x:c>
      <x:c r="M647" s="138" t="str"/>
      <x:c r="N647" s="137" t="str">
        <x:v>Current model BOM seed</x:v>
      </x:c>
      <x:c r="O647" s="137" t="str"/>
      <x:c r="P647" s="137" t="str">
        <x:v>To Confirm</x:v>
      </x:c>
      <x:c r="Q647" s="137" t="str"/>
    </x:row>
    <x:row r="648">
      <x:c r="A648" s="137" t="str">
        <x:v>BOM-00644</x:v>
      </x:c>
      <x:c r="B648" s="137" t="str">
        <x:v>JILL</x:v>
      </x:c>
      <x:c r="C648" s="137" t="str">
        <x:v>PER ORDER (V/L)</x:v>
      </x:c>
      <x:c r="D648" s="137" t="str">
        <x:v>9X12</x:v>
      </x:c>
      <x:c r="E648" s="137" t="str">
        <x:v>CUTTING</x:v>
      </x:c>
      <x:c r="F648" s="137" t="str">
        <x:v>ASTER 60"||MTR</x:v>
      </x:c>
      <x:c r="G648" s="137" t="str">
        <x:v>Aster 60"</x:v>
      </x:c>
      <x:c r="H648" s="137" t="str">
        <x:v>MTR</x:v>
      </x:c>
      <x:c r="I648" s="175" t="n">
        <x:v>0.02061856</x:v>
      </x:c>
      <x:c r="J648" s="176" t="str"/>
      <x:c r="K648" s="177" t="str"/>
      <x:c r="L648" s="178" t="str">
        <x:f>IF(J648="","",J648*(1+IF(K648="",0,K648)) )</x:f>
      </x:c>
      <x:c r="M648" s="138" t="str"/>
      <x:c r="N648" s="137" t="str">
        <x:v>Current model BOM seed</x:v>
      </x:c>
      <x:c r="O648" s="137" t="str"/>
      <x:c r="P648" s="137" t="str">
        <x:v>To Confirm</x:v>
      </x:c>
      <x:c r="Q648" s="137" t="str"/>
    </x:row>
    <x:row r="649">
      <x:c r="A649" s="137" t="str">
        <x:v>BOM-00645</x:v>
      </x:c>
      <x:c r="B649" s="137" t="str">
        <x:v>JILL</x:v>
      </x:c>
      <x:c r="C649" s="137" t="str">
        <x:v>PER ORDER (V/L)</x:v>
      </x:c>
      <x:c r="D649" s="137" t="str">
        <x:v>9X12</x:v>
      </x:c>
      <x:c r="E649" s="137" t="str">
        <x:v>CUTTING</x:v>
      </x:c>
      <x:c r="F649" s="137" t="str">
        <x:v>SKINFIT 60"||MTR</x:v>
      </x:c>
      <x:c r="G649" s="137" t="str">
        <x:v>Skinfit 60"</x:v>
      </x:c>
      <x:c r="H649" s="137" t="str">
        <x:v>MTR</x:v>
      </x:c>
      <x:c r="I649" s="175" t="n">
        <x:v>0.05555556</x:v>
      </x:c>
      <x:c r="J649" s="176" t="str"/>
      <x:c r="K649" s="177" t="str"/>
      <x:c r="L649" s="178" t="str">
        <x:f>IF(J649="","",J649*(1+IF(K649="",0,K649)) )</x:f>
      </x:c>
      <x:c r="M649" s="138" t="str"/>
      <x:c r="N649" s="137" t="str">
        <x:v>Current model BOM seed</x:v>
      </x:c>
      <x:c r="O649" s="137" t="str"/>
      <x:c r="P649" s="137" t="str">
        <x:v>To Confirm</x:v>
      </x:c>
      <x:c r="Q649" s="137" t="str"/>
    </x:row>
    <x:row r="650">
      <x:c r="A650" s="137" t="str">
        <x:v>BOM-00646</x:v>
      </x:c>
      <x:c r="B650" s="137" t="str">
        <x:v>JILL</x:v>
      </x:c>
      <x:c r="C650" s="137" t="str">
        <x:v>PER ORDER (V/L)</x:v>
      </x:c>
      <x:c r="D650" s="137" t="str">
        <x:v>9X12</x:v>
      </x:c>
      <x:c r="E650" s="137" t="str">
        <x:v>CUTTING</x:v>
      </x:c>
      <x:c r="F650" s="137" t="str">
        <x:v>REXINE 54"||MTR</x:v>
      </x:c>
      <x:c r="G650" s="137" t="str">
        <x:v>Rexine 54"</x:v>
      </x:c>
      <x:c r="H650" s="137" t="str">
        <x:v>MTR</x:v>
      </x:c>
      <x:c r="I650" s="175" t="n">
        <x:v>0.11060878</x:v>
      </x:c>
      <x:c r="J650" s="176" t="str"/>
      <x:c r="K650" s="177" t="str"/>
      <x:c r="L650" s="178" t="str">
        <x:f>IF(J650="","",J650*(1+IF(K650="",0,K650)) )</x:f>
      </x:c>
      <x:c r="M650" s="138" t="str"/>
      <x:c r="N650" s="137" t="str">
        <x:v>Current model BOM seed</x:v>
      </x:c>
      <x:c r="O650" s="137" t="str"/>
      <x:c r="P650" s="137" t="str">
        <x:v>To Confirm</x:v>
      </x:c>
      <x:c r="Q650" s="137" t="str"/>
    </x:row>
    <x:row r="651">
      <x:c r="A651" s="137" t="str">
        <x:v>BOM-00647</x:v>
      </x:c>
      <x:c r="B651" s="137" t="str">
        <x:v>JILL</x:v>
      </x:c>
      <x:c r="C651" s="137" t="str">
        <x:v>PER ORDER (V/L)</x:v>
      </x:c>
      <x:c r="D651" s="137" t="str">
        <x:v>9X12</x:v>
      </x:c>
      <x:c r="E651" s="137" t="str">
        <x:v>CUTTING</x:v>
      </x:c>
      <x:c r="F651" s="137" t="str">
        <x:v>SHEET 1.4MM||MTR</x:v>
      </x:c>
      <x:c r="G651" s="137" t="str">
        <x:v>Sheet 1.4Mm</x:v>
      </x:c>
      <x:c r="H651" s="137" t="str">
        <x:v>MTR</x:v>
      </x:c>
      <x:c r="I651" s="175" t="n">
        <x:v>0.01242236</x:v>
      </x:c>
      <x:c r="J651" s="176" t="str"/>
      <x:c r="K651" s="177" t="str"/>
      <x:c r="L651" s="178" t="str">
        <x:f>IF(J651="","",J651*(1+IF(K651="",0,K651)) )</x:f>
      </x:c>
      <x:c r="M651" s="138" t="str"/>
      <x:c r="N651" s="137" t="str">
        <x:v>Current model BOM seed</x:v>
      </x:c>
      <x:c r="O651" s="137" t="str"/>
      <x:c r="P651" s="137" t="str">
        <x:v>To Confirm</x:v>
      </x:c>
      <x:c r="Q651" s="137" t="str"/>
    </x:row>
    <x:row r="652">
      <x:c r="A652" s="137" t="str">
        <x:v>BOM-00648</x:v>
      </x:c>
      <x:c r="B652" s="137" t="str">
        <x:v>JILL</x:v>
      </x:c>
      <x:c r="C652" s="137" t="str">
        <x:v>PER ORDER (V/L)</x:v>
      </x:c>
      <x:c r="D652" s="137" t="str">
        <x:v>9X12</x:v>
      </x:c>
      <x:c r="E652" s="137" t="str">
        <x:v>CUTTING</x:v>
      </x:c>
      <x:c r="F652" s="137" t="str">
        <x:v>SHEET 0.8MM||MTR</x:v>
      </x:c>
      <x:c r="G652" s="137" t="str">
        <x:v>Sheet 0.8Mm</x:v>
      </x:c>
      <x:c r="H652" s="137" t="str">
        <x:v>MTR</x:v>
      </x:c>
      <x:c r="I652" s="175" t="n">
        <x:v>0.01574803</x:v>
      </x:c>
      <x:c r="J652" s="176" t="str"/>
      <x:c r="K652" s="177" t="str"/>
      <x:c r="L652" s="178" t="str">
        <x:f>IF(J652="","",J652*(1+IF(K652="",0,K652)) )</x:f>
      </x:c>
      <x:c r="M652" s="138" t="str"/>
      <x:c r="N652" s="137" t="str">
        <x:v>Current model BOM seed</x:v>
      </x:c>
      <x:c r="O652" s="137" t="str"/>
      <x:c r="P652" s="137" t="str">
        <x:v>To Confirm</x:v>
      </x:c>
      <x:c r="Q652" s="137" t="str"/>
    </x:row>
    <x:row r="653">
      <x:c r="A653" s="137" t="str">
        <x:v>BOM-00649</x:v>
      </x:c>
      <x:c r="B653" s="137" t="str">
        <x:v>JILL</x:v>
      </x:c>
      <x:c r="C653" s="137" t="str">
        <x:v>PER ORDER (V/L)</x:v>
      </x:c>
      <x:c r="D653" s="137" t="str">
        <x:v>9X12</x:v>
      </x:c>
      <x:c r="E653" s="137" t="str">
        <x:v>CUTTING</x:v>
      </x:c>
      <x:c r="F653" s="137" t="str">
        <x:v>SHEET 20MM||MTR</x:v>
      </x:c>
      <x:c r="G653" s="137" t="str">
        <x:v>Sheet 20Mm</x:v>
      </x:c>
      <x:c r="H653" s="137" t="str">
        <x:v>MTR</x:v>
      </x:c>
      <x:c r="I653" s="175" t="n">
        <x:v>0.01526718</x:v>
      </x:c>
      <x:c r="J653" s="176" t="str"/>
      <x:c r="K653" s="177" t="str"/>
      <x:c r="L653" s="178" t="str">
        <x:f>IF(J653="","",J653*(1+IF(K653="",0,K653)) )</x:f>
      </x:c>
      <x:c r="M653" s="138" t="str"/>
      <x:c r="N653" s="137" t="str">
        <x:v>Current model BOM seed</x:v>
      </x:c>
      <x:c r="O653" s="137" t="str"/>
      <x:c r="P653" s="137" t="str">
        <x:v>To Confirm</x:v>
      </x:c>
      <x:c r="Q653" s="137" t="str"/>
    </x:row>
    <x:row r="654">
      <x:c r="A654" s="137" t="str">
        <x:v>BOM-00650</x:v>
      </x:c>
      <x:c r="B654" s="137" t="str">
        <x:v>JILL</x:v>
      </x:c>
      <x:c r="C654" s="137" t="str">
        <x:v>PER ORDER (V/L)</x:v>
      </x:c>
      <x:c r="D654" s="137" t="str">
        <x:v>9X12</x:v>
      </x:c>
      <x:c r="E654" s="137" t="str">
        <x:v>CUTTING</x:v>
      </x:c>
      <x:c r="F654" s="137" t="str">
        <x:v>INSOLE||PAIR</x:v>
      </x:c>
      <x:c r="G654" s="137" t="str">
        <x:v>INSOLE</x:v>
      </x:c>
      <x:c r="H654" s="137" t="str">
        <x:v>PAIR</x:v>
      </x:c>
      <x:c r="I654" s="175" t="n">
        <x:v>2</x:v>
      </x:c>
      <x:c r="J654" s="176" t="str"/>
      <x:c r="K654" s="177" t="str"/>
      <x:c r="L654" s="178" t="str">
        <x:f>IF(J654="","",J654*(1+IF(K654="",0,K654)) )</x:f>
      </x:c>
      <x:c r="M654" s="138" t="str"/>
      <x:c r="N654" s="137" t="str">
        <x:v>Current model BOM seed</x:v>
      </x:c>
      <x:c r="O654" s="137" t="str"/>
      <x:c r="P654" s="137" t="str">
        <x:v>To Confirm</x:v>
      </x:c>
      <x:c r="Q654" s="137" t="str"/>
    </x:row>
    <x:row r="655">
      <x:c r="A655" s="137" t="str">
        <x:v>BOM-00651</x:v>
      </x:c>
      <x:c r="B655" s="137" t="str">
        <x:v>JILL</x:v>
      </x:c>
      <x:c r="C655" s="137" t="str">
        <x:v>PER ORDER (V/L)</x:v>
      </x:c>
      <x:c r="D655" s="137" t="str">
        <x:v>9X12</x:v>
      </x:c>
      <x:c r="E655" s="137" t="str">
        <x:v>MOLDING</x:v>
      </x:c>
      <x:c r="F655" s="137" t="str">
        <x:v>SOLE 1231 EVA||PAIR</x:v>
      </x:c>
      <x:c r="G655" s="137" t="str">
        <x:v>Sole 1231 EVA</x:v>
      </x:c>
      <x:c r="H655" s="137" t="str">
        <x:v>PAIR</x:v>
      </x:c>
      <x:c r="I655" s="175" t="n">
        <x:v>2</x:v>
      </x:c>
      <x:c r="J655" s="176" t="str"/>
      <x:c r="K655" s="177" t="str"/>
      <x:c r="L655" s="178" t="str">
        <x:f>IF(J655="","",J655*(1+IF(K655="",0,K655)) )</x:f>
      </x:c>
      <x:c r="M655" s="138" t="str"/>
      <x:c r="N655" s="137" t="str">
        <x:v>Current model BOM seed</x:v>
      </x:c>
      <x:c r="O655" s="137" t="str"/>
      <x:c r="P655" s="137" t="str">
        <x:v>To Confirm</x:v>
      </x:c>
      <x:c r="Q655" s="137" t="str"/>
    </x:row>
    <x:row r="656">
      <x:c r="A656" s="137" t="str">
        <x:v>BOM-00652</x:v>
      </x:c>
      <x:c r="B656" s="137" t="str">
        <x:v>JILL</x:v>
      </x:c>
      <x:c r="C656" s="137" t="str">
        <x:v>PER ORDER (V/L)</x:v>
      </x:c>
      <x:c r="D656" s="137" t="str">
        <x:v>9X12</x:v>
      </x:c>
      <x:c r="E656" s="137" t="str">
        <x:v>PACKING</x:v>
      </x:c>
      <x:c r="F656" s="137" t="str">
        <x:v>TISSUE PAPER||PCS</x:v>
      </x:c>
      <x:c r="G656" s="137" t="str">
        <x:v>Tissue Paper</x:v>
      </x:c>
      <x:c r="H656" s="137" t="str">
        <x:v>PCS</x:v>
      </x:c>
      <x:c r="I656" s="175" t="n">
        <x:v>0.25</x:v>
      </x:c>
      <x:c r="J656" s="176" t="str"/>
      <x:c r="K656" s="177" t="str"/>
      <x:c r="L656" s="178" t="str">
        <x:f>IF(J656="","",J656*(1+IF(K656="",0,K656)) )</x:f>
      </x:c>
      <x:c r="M656" s="138" t="str"/>
      <x:c r="N656" s="137" t="str">
        <x:v>Current model BOM seed</x:v>
      </x:c>
      <x:c r="O656" s="137" t="str"/>
      <x:c r="P656" s="137" t="str">
        <x:v>To Confirm</x:v>
      </x:c>
      <x:c r="Q656" s="137" t="str"/>
    </x:row>
    <x:row r="657">
      <x:c r="A657" s="137" t="str">
        <x:v>BOM-00653</x:v>
      </x:c>
      <x:c r="B657" s="137" t="str">
        <x:v>JILL</x:v>
      </x:c>
      <x:c r="C657" s="137" t="str">
        <x:v>PER ORDER (V/L)</x:v>
      </x:c>
      <x:c r="D657" s="137" t="str">
        <x:v>9X12</x:v>
      </x:c>
      <x:c r="E657" s="137" t="str">
        <x:v>PACKING</x:v>
      </x:c>
      <x:c r="F657" s="137" t="str">
        <x:v>SHOE SHINER||GRAM</x:v>
      </x:c>
      <x:c r="G657" s="137" t="str">
        <x:v>Shoe Shiner</x:v>
      </x:c>
      <x:c r="H657" s="137" t="str">
        <x:v>GRAM</x:v>
      </x:c>
      <x:c r="I657" s="175" t="n">
        <x:v>0.06666667</x:v>
      </x:c>
      <x:c r="J657" s="176" t="str"/>
      <x:c r="K657" s="177" t="str"/>
      <x:c r="L657" s="178" t="str">
        <x:f>IF(J657="","",J657*(1+IF(K657="",0,K657)) )</x:f>
      </x:c>
      <x:c r="M657" s="138" t="str"/>
      <x:c r="N657" s="137" t="str">
        <x:v>Current model BOM seed</x:v>
      </x:c>
      <x:c r="O657" s="137" t="str"/>
      <x:c r="P657" s="137" t="str">
        <x:v>To Confirm</x:v>
      </x:c>
      <x:c r="Q657" s="137" t="str"/>
    </x:row>
    <x:row r="658">
      <x:c r="A658" s="137" t="str">
        <x:v>BOM-00654</x:v>
      </x:c>
      <x:c r="B658" s="137" t="str">
        <x:v>JILL</x:v>
      </x:c>
      <x:c r="C658" s="137" t="str">
        <x:v>PER ORDER (V/L)</x:v>
      </x:c>
      <x:c r="D658" s="137" t="str">
        <x:v>9X12</x:v>
      </x:c>
      <x:c r="E658" s="137" t="str">
        <x:v>PACKING</x:v>
      </x:c>
      <x:c r="F658" s="137" t="str">
        <x:v>EMYLE||GRAM</x:v>
      </x:c>
      <x:c r="G658" s="137" t="str">
        <x:v>EMYLE</x:v>
      </x:c>
      <x:c r="H658" s="137" t="str">
        <x:v>GRAM</x:v>
      </x:c>
      <x:c r="I658" s="175" t="n">
        <x:v>0.07142857</x:v>
      </x:c>
      <x:c r="J658" s="176" t="str"/>
      <x:c r="K658" s="177" t="str"/>
      <x:c r="L658" s="178" t="str">
        <x:f>IF(J658="","",J658*(1+IF(K658="",0,K658)) )</x:f>
      </x:c>
      <x:c r="M658" s="138" t="str"/>
      <x:c r="N658" s="137" t="str">
        <x:v>Current model BOM seed</x:v>
      </x:c>
      <x:c r="O658" s="137" t="str"/>
      <x:c r="P658" s="137" t="str">
        <x:v>To Confirm</x:v>
      </x:c>
      <x:c r="Q658" s="137" t="str"/>
    </x:row>
    <x:row r="659">
      <x:c r="A659" s="137" t="str">
        <x:v>BOM-00655</x:v>
      </x:c>
      <x:c r="B659" s="137" t="str">
        <x:v>JILL</x:v>
      </x:c>
      <x:c r="C659" s="137" t="str">
        <x:v>PER ORDER (V/L)</x:v>
      </x:c>
      <x:c r="D659" s="137" t="str">
        <x:v>9X12</x:v>
      </x:c>
      <x:c r="E659" s="137" t="str">
        <x:v>PACKING</x:v>
      </x:c>
      <x:c r="F659" s="137" t="str">
        <x:v>TAG PIN||PCS</x:v>
      </x:c>
      <x:c r="G659" s="137" t="str">
        <x:v>Tag Pin</x:v>
      </x:c>
      <x:c r="H659" s="137" t="str">
        <x:v>PCS</x:v>
      </x:c>
      <x:c r="I659" s="175" t="n">
        <x:v>1</x:v>
      </x:c>
      <x:c r="J659" s="176" t="str"/>
      <x:c r="K659" s="177" t="str"/>
      <x:c r="L659" s="178" t="str">
        <x:f>IF(J659="","",J659*(1+IF(K659="",0,K659)) )</x:f>
      </x:c>
      <x:c r="M659" s="138" t="str"/>
      <x:c r="N659" s="137" t="str">
        <x:v>Current model BOM seed</x:v>
      </x:c>
      <x:c r="O659" s="137" t="str"/>
      <x:c r="P659" s="137" t="str">
        <x:v>To Confirm</x:v>
      </x:c>
      <x:c r="Q659" s="137" t="str"/>
    </x:row>
    <x:row r="660">
      <x:c r="A660" s="137" t="str">
        <x:v>BOM-00656</x:v>
      </x:c>
      <x:c r="B660" s="137" t="str">
        <x:v>JILL</x:v>
      </x:c>
      <x:c r="C660" s="137" t="str">
        <x:v>PER ORDER (V/L)</x:v>
      </x:c>
      <x:c r="D660" s="137" t="str">
        <x:v>9X12</x:v>
      </x:c>
      <x:c r="E660" s="137" t="str">
        <x:v>PACKING</x:v>
      </x:c>
      <x:c r="F660" s="137" t="str">
        <x:v>TAG CARD||PCS</x:v>
      </x:c>
      <x:c r="G660" s="137" t="str">
        <x:v>Tag Card</x:v>
      </x:c>
      <x:c r="H660" s="137" t="str">
        <x:v>PCS</x:v>
      </x:c>
      <x:c r="I660" s="175" t="n">
        <x:v>1</x:v>
      </x:c>
      <x:c r="J660" s="176" t="str"/>
      <x:c r="K660" s="177" t="str"/>
      <x:c r="L660" s="178" t="str">
        <x:f>IF(J660="","",J660*(1+IF(K660="",0,K660)) )</x:f>
      </x:c>
      <x:c r="M660" s="138" t="str"/>
      <x:c r="N660" s="137" t="str">
        <x:v>Current model BOM seed</x:v>
      </x:c>
      <x:c r="O660" s="137" t="str"/>
      <x:c r="P660" s="137" t="str">
        <x:v>To Confirm</x:v>
      </x:c>
      <x:c r="Q660" s="137" t="str"/>
    </x:row>
    <x:row r="661">
      <x:c r="A661" s="137" t="str">
        <x:v>BOM-00657</x:v>
      </x:c>
      <x:c r="B661" s="137" t="str">
        <x:v>JILL</x:v>
      </x:c>
      <x:c r="C661" s="137" t="str">
        <x:v>PER ORDER (V/L)</x:v>
      </x:c>
      <x:c r="D661" s="137" t="str">
        <x:v>9X12</x:v>
      </x:c>
      <x:c r="E661" s="137" t="str">
        <x:v>PACKING</x:v>
      </x:c>
      <x:c r="F661" s="137" t="str">
        <x:v>WRAPING PAPER||PCS</x:v>
      </x:c>
      <x:c r="G661" s="137" t="str">
        <x:v>Wraping Paper</x:v>
      </x:c>
      <x:c r="H661" s="137" t="str">
        <x:v>PCS</x:v>
      </x:c>
      <x:c r="I661" s="175" t="n">
        <x:v>1</x:v>
      </x:c>
      <x:c r="J661" s="176" t="str"/>
      <x:c r="K661" s="177" t="str"/>
      <x:c r="L661" s="178" t="str">
        <x:f>IF(J661="","",J661*(1+IF(K661="",0,K661)) )</x:f>
      </x:c>
      <x:c r="M661" s="138" t="str"/>
      <x:c r="N661" s="137" t="str">
        <x:v>Current model BOM seed</x:v>
      </x:c>
      <x:c r="O661" s="137" t="str"/>
      <x:c r="P661" s="137" t="str">
        <x:v>To Confirm</x:v>
      </x:c>
      <x:c r="Q661" s="137" t="str"/>
    </x:row>
    <x:row r="662">
      <x:c r="A662" s="137" t="str">
        <x:v>BOM-00658</x:v>
      </x:c>
      <x:c r="B662" s="137" t="str">
        <x:v>JILL</x:v>
      </x:c>
      <x:c r="C662" s="137" t="str">
        <x:v>PER ORDER (V/L)</x:v>
      </x:c>
      <x:c r="D662" s="137" t="str">
        <x:v>9X12</x:v>
      </x:c>
      <x:c r="E662" s="137" t="str">
        <x:v>PACKING</x:v>
      </x:c>
      <x:c r="F662" s="137" t="str">
        <x:v>INNER||PCS</x:v>
      </x:c>
      <x:c r="G662" s="137" t="str">
        <x:v>INNER</x:v>
      </x:c>
      <x:c r="H662" s="137" t="str">
        <x:v>PCS</x:v>
      </x:c>
      <x:c r="I662" s="175" t="n">
        <x:v>1</x:v>
      </x:c>
      <x:c r="J662" s="176" t="str"/>
      <x:c r="K662" s="177" t="str"/>
      <x:c r="L662" s="178" t="str">
        <x:f>IF(J662="","",J662*(1+IF(K662="",0,K662)) )</x:f>
      </x:c>
      <x:c r="M662" s="138" t="str"/>
      <x:c r="N662" s="137" t="str">
        <x:v>Current model BOM seed</x:v>
      </x:c>
      <x:c r="O662" s="137" t="str"/>
      <x:c r="P662" s="137" t="str">
        <x:v>To Confirm</x:v>
      </x:c>
      <x:c r="Q662" s="137" t="str"/>
    </x:row>
    <x:row r="663">
      <x:c r="A663" s="137" t="str">
        <x:v>BOM-00659</x:v>
      </x:c>
      <x:c r="B663" s="137" t="str">
        <x:v>JILL</x:v>
      </x:c>
      <x:c r="C663" s="137" t="str">
        <x:v>PER ORDER (V/L)</x:v>
      </x:c>
      <x:c r="D663" s="137" t="str">
        <x:v>9X12</x:v>
      </x:c>
      <x:c r="E663" s="137" t="str">
        <x:v>PACKING</x:v>
      </x:c>
      <x:c r="F663" s="137" t="str">
        <x:v>BARCODE STICKER||PCS</x:v>
      </x:c>
      <x:c r="G663" s="137" t="str">
        <x:v>Barcode Sticker</x:v>
      </x:c>
      <x:c r="H663" s="137" t="str">
        <x:v>PCS</x:v>
      </x:c>
      <x:c r="I663" s="175" t="n">
        <x:v>1</x:v>
      </x:c>
      <x:c r="J663" s="176" t="str"/>
      <x:c r="K663" s="177" t="str"/>
      <x:c r="L663" s="178" t="str">
        <x:f>IF(J663="","",J663*(1+IF(K663="",0,K663)) )</x:f>
      </x:c>
      <x:c r="M663" s="138" t="str"/>
      <x:c r="N663" s="137" t="str">
        <x:v>Current model BOM seed</x:v>
      </x:c>
      <x:c r="O663" s="137" t="str"/>
      <x:c r="P663" s="137" t="str">
        <x:v>To Confirm</x:v>
      </x:c>
      <x:c r="Q663" s="137" t="str"/>
    </x:row>
    <x:row r="664">
      <x:c r="A664" s="137" t="str">
        <x:v>BOM-00660</x:v>
      </x:c>
      <x:c r="B664" s="137" t="str">
        <x:v>JILL</x:v>
      </x:c>
      <x:c r="C664" s="137" t="str">
        <x:v>PER ORDER (V/L)</x:v>
      </x:c>
      <x:c r="D664" s="137" t="str">
        <x:v>9X12</x:v>
      </x:c>
      <x:c r="E664" s="137" t="str">
        <x:v>PACKING</x:v>
      </x:c>
      <x:c r="F664" s="137" t="str">
        <x:v>CTN TAPE (1 CTN)||MTR</x:v>
      </x:c>
      <x:c r="G664" s="137" t="str">
        <x:v>Ctn Tape (1 Ctn)</x:v>
      </x:c>
      <x:c r="H664" s="137" t="str">
        <x:v>MTR</x:v>
      </x:c>
      <x:c r="I664" s="175" t="n">
        <x:v>0.5</x:v>
      </x:c>
      <x:c r="J664" s="176" t="str"/>
      <x:c r="K664" s="177" t="str"/>
      <x:c r="L664" s="178" t="str">
        <x:f>IF(J664="","",J664*(1+IF(K664="",0,K664)) )</x:f>
      </x:c>
      <x:c r="M664" s="138" t="str"/>
      <x:c r="N664" s="137" t="str">
        <x:v>Current model BOM seed</x:v>
      </x:c>
      <x:c r="O664" s="137" t="str"/>
      <x:c r="P664" s="137" t="str">
        <x:v>To Confirm</x:v>
      </x:c>
      <x:c r="Q664" s="137" t="str"/>
    </x:row>
    <x:row r="665">
      <x:c r="A665" s="137" t="str">
        <x:v>BOM-00661</x:v>
      </x:c>
      <x:c r="B665" s="137" t="str">
        <x:v>JILL</x:v>
      </x:c>
      <x:c r="C665" s="137" t="str">
        <x:v>PER ORDER (V/L)</x:v>
      </x:c>
      <x:c r="D665" s="137" t="str">
        <x:v>9X12</x:v>
      </x:c>
      <x:c r="E665" s="137" t="str">
        <x:v>PACKING</x:v>
      </x:c>
      <x:c r="F665" s="137" t="str">
        <x:v>STRAPING ROLL (1CTN)||MTR</x:v>
      </x:c>
      <x:c r="G665" s="137" t="str">
        <x:v>Straping Roll (1Ctn)</x:v>
      </x:c>
      <x:c r="H665" s="137" t="str">
        <x:v>MTR</x:v>
      </x:c>
      <x:c r="I665" s="175" t="n">
        <x:v>0.25</x:v>
      </x:c>
      <x:c r="J665" s="176" t="str"/>
      <x:c r="K665" s="177" t="str"/>
      <x:c r="L665" s="178" t="str">
        <x:f>IF(J665="","",J665*(1+IF(K665="",0,K665)) )</x:f>
      </x:c>
      <x:c r="M665" s="138" t="str"/>
      <x:c r="N665" s="137" t="str">
        <x:v>Current model BOM seed</x:v>
      </x:c>
      <x:c r="O665" s="137" t="str"/>
      <x:c r="P665" s="137" t="str">
        <x:v>To Confirm</x:v>
      </x:c>
      <x:c r="Q665" s="137" t="str"/>
    </x:row>
    <x:row r="666">
      <x:c r="A666" s="137" t="str">
        <x:v>BOM-00662</x:v>
      </x:c>
      <x:c r="B666" s="137" t="str">
        <x:v>JILL</x:v>
      </x:c>
      <x:c r="C666" s="137" t="str">
        <x:v>PER ORDER (V/L)</x:v>
      </x:c>
      <x:c r="D666" s="137" t="str">
        <x:v>9X12</x:v>
      </x:c>
      <x:c r="E666" s="137" t="str">
        <x:v>STITCHING</x:v>
      </x:c>
      <x:c r="F666" s="137" t="str">
        <x:v>THREAD 3 PLY||MTR</x:v>
      </x:c>
      <x:c r="G666" s="137" t="str">
        <x:v>Thread 3 Ply</x:v>
      </x:c>
      <x:c r="H666" s="137" t="str">
        <x:v>MTR</x:v>
      </x:c>
      <x:c r="I666" s="175" t="n">
        <x:v>33.33333333</x:v>
      </x:c>
      <x:c r="J666" s="176" t="str"/>
      <x:c r="K666" s="177" t="str"/>
      <x:c r="L666" s="178" t="str">
        <x:f>IF(J666="","",J666*(1+IF(K666="",0,K666)) )</x:f>
      </x:c>
      <x:c r="M666" s="138" t="str"/>
      <x:c r="N666" s="137" t="str">
        <x:v>Current model BOM seed</x:v>
      </x:c>
      <x:c r="O666" s="137" t="str"/>
      <x:c r="P666" s="137" t="str">
        <x:v>To Confirm</x:v>
      </x:c>
      <x:c r="Q666" s="137" t="str"/>
    </x:row>
    <x:row r="667">
      <x:c r="A667" s="137" t="str">
        <x:v>BOM-00663</x:v>
      </x:c>
      <x:c r="B667" s="137" t="str">
        <x:v>JILL</x:v>
      </x:c>
      <x:c r="C667" s="137" t="str">
        <x:v>PER ORDER (V/L)</x:v>
      </x:c>
      <x:c r="D667" s="137" t="str">
        <x:v>9X12</x:v>
      </x:c>
      <x:c r="E667" s="137" t="str">
        <x:v>STITCHING</x:v>
      </x:c>
      <x:c r="F667" s="137" t="str">
        <x:v>THREAD 3 PLY COLOURED||MTR</x:v>
      </x:c>
      <x:c r="G667" s="137" t="str">
        <x:v>Thread 3 Ply Coloured</x:v>
      </x:c>
      <x:c r="H667" s="137" t="str">
        <x:v>MTR</x:v>
      </x:c>
      <x:c r="I667" s="175" t="n">
        <x:v>600</x:v>
      </x:c>
      <x:c r="J667" s="176" t="str"/>
      <x:c r="K667" s="177" t="str"/>
      <x:c r="L667" s="178" t="str">
        <x:f>IF(J667="","",J667*(1+IF(K667="",0,K667)) )</x:f>
      </x:c>
      <x:c r="M667" s="138" t="str"/>
      <x:c r="N667" s="137" t="str">
        <x:v>Current model BOM seed</x:v>
      </x:c>
      <x:c r="O667" s="137" t="str"/>
      <x:c r="P667" s="137" t="str">
        <x:v>To Confirm</x:v>
      </x:c>
      <x:c r="Q667" s="137" t="str"/>
    </x:row>
    <x:row r="668">
      <x:c r="A668" s="137" t="str">
        <x:v>BOM-00664</x:v>
      </x:c>
      <x:c r="B668" s="137" t="str">
        <x:v>JILL</x:v>
      </x:c>
      <x:c r="C668" s="137" t="str">
        <x:v>PER ORDER (V/L)</x:v>
      </x:c>
      <x:c r="D668" s="137" t="str">
        <x:v>9X12</x:v>
      </x:c>
      <x:c r="E668" s="137" t="str">
        <x:v>STITCHING</x:v>
      </x:c>
      <x:c r="F668" s="137" t="str">
        <x:v>SIZE LABEL||PCS</x:v>
      </x:c>
      <x:c r="G668" s="137" t="str">
        <x:v>SIZE LABEL</x:v>
      </x:c>
      <x:c r="H668" s="137" t="str">
        <x:v>PCS</x:v>
      </x:c>
      <x:c r="I668" s="175" t="n">
        <x:v>0.5</x:v>
      </x:c>
      <x:c r="J668" s="176" t="str"/>
      <x:c r="K668" s="177" t="str"/>
      <x:c r="L668" s="178" t="str">
        <x:f>IF(J668="","",J668*(1+IF(K668="",0,K668)) )</x:f>
      </x:c>
      <x:c r="M668" s="138" t="str"/>
      <x:c r="N668" s="137" t="str">
        <x:v>Current model BOM seed</x:v>
      </x:c>
      <x:c r="O668" s="137" t="str"/>
      <x:c r="P668" s="137" t="str">
        <x:v>To Confirm</x:v>
      </x:c>
      <x:c r="Q668" s="137" t="str"/>
    </x:row>
    <x:row r="669">
      <x:c r="A669" s="137" t="str">
        <x:v>BOM-00665</x:v>
      </x:c>
      <x:c r="B669" s="137" t="str">
        <x:v>JILL</x:v>
      </x:c>
      <x:c r="C669" s="137" t="str">
        <x:v>PER ORDER (V/L)</x:v>
      </x:c>
      <x:c r="D669" s="137" t="str">
        <x:v>9X12</x:v>
      </x:c>
      <x:c r="E669" s="137" t="str">
        <x:v>STITCHING</x:v>
      </x:c>
      <x:c r="F669" s="137" t="str">
        <x:v>TOUNG LABEL SNEAKER||PCS</x:v>
      </x:c>
      <x:c r="G669" s="137" t="str">
        <x:v>TOUNG LABEL SNEAKER</x:v>
      </x:c>
      <x:c r="H669" s="137" t="str">
        <x:v>PCS</x:v>
      </x:c>
      <x:c r="I669" s="175" t="n">
        <x:v>0.5</x:v>
      </x:c>
      <x:c r="J669" s="176" t="str"/>
      <x:c r="K669" s="177" t="str"/>
      <x:c r="L669" s="178" t="str">
        <x:f>IF(J669="","",J669*(1+IF(K669="",0,K669)) )</x:f>
      </x:c>
      <x:c r="M669" s="138" t="str"/>
      <x:c r="N669" s="137" t="str">
        <x:v>Current model BOM seed</x:v>
      </x:c>
      <x:c r="O669" s="137" t="str"/>
      <x:c r="P669" s="137" t="str">
        <x:v>To Confirm</x:v>
      </x:c>
      <x:c r="Q669" s="137" t="str"/>
    </x:row>
    <x:row r="670">
      <x:c r="A670" s="137" t="str">
        <x:v>BOM-00666</x:v>
      </x:c>
      <x:c r="B670" s="137" t="str">
        <x:v>JILL</x:v>
      </x:c>
      <x:c r="C670" s="137" t="str">
        <x:v>PER ORDER (V/L)</x:v>
      </x:c>
      <x:c r="D670" s="137" t="str">
        <x:v>9X12</x:v>
      </x:c>
      <x:c r="E670" s="137" t="str">
        <x:v>STITCHING</x:v>
      </x:c>
      <x:c r="F670" s="137" t="str">
        <x:v>PF-48||PCS</x:v>
      </x:c>
      <x:c r="G670" s="137" t="str">
        <x:v>PF-48</x:v>
      </x:c>
      <x:c r="H670" s="137" t="str">
        <x:v>PCS</x:v>
      </x:c>
      <x:c r="I670" s="175" t="n">
        <x:v>0.25</x:v>
      </x:c>
      <x:c r="J670" s="176" t="str"/>
      <x:c r="K670" s="177" t="str"/>
      <x:c r="L670" s="178" t="str">
        <x:f>IF(J670="","",J670*(1+IF(K670="",0,K670)) )</x:f>
      </x:c>
      <x:c r="M670" s="138" t="str"/>
      <x:c r="N670" s="137" t="str">
        <x:v>Current model BOM seed</x:v>
      </x:c>
      <x:c r="O670" s="137" t="str"/>
      <x:c r="P670" s="137" t="str">
        <x:v>To Confirm</x:v>
      </x:c>
      <x:c r="Q670" s="137" t="str"/>
    </x:row>
    <x:row r="671">
      <x:c r="A671" s="137" t="str">
        <x:v>BOM-00667</x:v>
      </x:c>
      <x:c r="B671" s="137" t="str">
        <x:v>JILL</x:v>
      </x:c>
      <x:c r="C671" s="137" t="str">
        <x:v>PER ORDER (V/L)</x:v>
      </x:c>
      <x:c r="D671" s="137" t="str">
        <x:v>9X12</x:v>
      </x:c>
      <x:c r="E671" s="137" t="str">
        <x:v>STITCHING</x:v>
      </x:c>
      <x:c r="F671" s="137" t="str">
        <x:v>PF-3||PCS</x:v>
      </x:c>
      <x:c r="G671" s="137" t="str">
        <x:v>PF-3</x:v>
      </x:c>
      <x:c r="H671" s="137" t="str">
        <x:v>PCS</x:v>
      </x:c>
      <x:c r="I671" s="175" t="n">
        <x:v>0</x:v>
      </x:c>
      <x:c r="J671" s="176" t="str"/>
      <x:c r="K671" s="177" t="str"/>
      <x:c r="L671" s="178" t="str">
        <x:f>IF(J671="","",J671*(1+IF(K671="",0,K671)) )</x:f>
      </x:c>
      <x:c r="M671" s="138" t="str"/>
      <x:c r="N671" s="137" t="str">
        <x:v>Current model BOM seed</x:v>
      </x:c>
      <x:c r="O671" s="137" t="str"/>
      <x:c r="P671" s="137" t="str">
        <x:v>To Confirm</x:v>
      </x:c>
      <x:c r="Q671" s="137" t="str"/>
    </x:row>
    <x:row r="672">
      <x:c r="A672" s="137" t="str">
        <x:v>BOM-00668</x:v>
      </x:c>
      <x:c r="B672" s="137" t="str">
        <x:v>JILL</x:v>
      </x:c>
      <x:c r="C672" s="137" t="str">
        <x:v>PER ORDER (V/L)</x:v>
      </x:c>
      <x:c r="D672" s="137" t="str">
        <x:v>9X12</x:v>
      </x:c>
      <x:c r="E672" s="137" t="str">
        <x:v>STITCHING</x:v>
      </x:c>
      <x:c r="F672" s="137" t="str">
        <x:v>VELCRO 20 MM HOOK||MTR</x:v>
      </x:c>
      <x:c r="G672" s="137" t="str">
        <x:v>VELCRO 20 MM HOOK</x:v>
      </x:c>
      <x:c r="H672" s="137" t="str">
        <x:v>MTR</x:v>
      </x:c>
      <x:c r="I672" s="175" t="n">
        <x:v>0.03703704</x:v>
      </x:c>
      <x:c r="J672" s="176" t="str"/>
      <x:c r="K672" s="177" t="str"/>
      <x:c r="L672" s="178" t="str">
        <x:f>IF(J672="","",J672*(1+IF(K672="",0,K672)) )</x:f>
      </x:c>
      <x:c r="M672" s="138" t="str"/>
      <x:c r="N672" s="137" t="str">
        <x:v>Current model BOM seed</x:v>
      </x:c>
      <x:c r="O672" s="137" t="str"/>
      <x:c r="P672" s="137" t="str">
        <x:v>To Confirm</x:v>
      </x:c>
      <x:c r="Q672" s="137" t="str"/>
    </x:row>
    <x:row r="673">
      <x:c r="A673" s="137" t="str">
        <x:v>BOM-00669</x:v>
      </x:c>
      <x:c r="B673" s="137" t="str">
        <x:v>JILL</x:v>
      </x:c>
      <x:c r="C673" s="137" t="str">
        <x:v>PER ORDER (V/L)</x:v>
      </x:c>
      <x:c r="D673" s="137" t="str">
        <x:v>9X12</x:v>
      </x:c>
      <x:c r="E673" s="137" t="str">
        <x:v>STITCHING</x:v>
      </x:c>
      <x:c r="F673" s="137" t="str">
        <x:v>VELCRO 20 MM LOOP||MTR</x:v>
      </x:c>
      <x:c r="G673" s="137" t="str">
        <x:v>VELCRO 20 MM LOOP</x:v>
      </x:c>
      <x:c r="H673" s="137" t="str">
        <x:v>MTR</x:v>
      </x:c>
      <x:c r="I673" s="175" t="n">
        <x:v>0.03703704</x:v>
      </x:c>
      <x:c r="J673" s="176" t="str"/>
      <x:c r="K673" s="177" t="str"/>
      <x:c r="L673" s="178" t="str">
        <x:f>IF(J673="","",J673*(1+IF(K673="",0,K673)) )</x:f>
      </x:c>
      <x:c r="M673" s="138" t="str"/>
      <x:c r="N673" s="137" t="str">
        <x:v>Current model BOM seed</x:v>
      </x:c>
      <x:c r="O673" s="137" t="str"/>
      <x:c r="P673" s="137" t="str">
        <x:v>To Confirm</x:v>
      </x:c>
      <x:c r="Q673" s="137" t="str"/>
    </x:row>
    <x:row r="674">
      <x:c r="A674" s="137" t="str">
        <x:v>BOM-00670</x:v>
      </x:c>
      <x:c r="B674" s="137" t="str">
        <x:v>JILL</x:v>
      </x:c>
      <x:c r="C674" s="137" t="str">
        <x:v>PER ORDER (V/L)</x:v>
      </x:c>
      <x:c r="D674" s="137" t="str">
        <x:v>9X12</x:v>
      </x:c>
      <x:c r="E674" s="137" t="str">
        <x:v>STITCHING</x:v>
      </x:c>
      <x:c r="F674" s="137" t="str">
        <x:v>VELCRO 25 MM HOOK||MTR</x:v>
      </x:c>
      <x:c r="G674" s="137" t="str">
        <x:v>VELCRO 25 MM HOOK</x:v>
      </x:c>
      <x:c r="H674" s="137" t="str">
        <x:v>MTR</x:v>
      </x:c>
      <x:c r="I674" s="175" t="n">
        <x:v>0</x:v>
      </x:c>
      <x:c r="J674" s="176" t="str"/>
      <x:c r="K674" s="177" t="str"/>
      <x:c r="L674" s="178" t="str">
        <x:f>IF(J674="","",J674*(1+IF(K674="",0,K674)) )</x:f>
      </x:c>
      <x:c r="M674" s="138" t="str"/>
      <x:c r="N674" s="137" t="str">
        <x:v>Current model BOM seed</x:v>
      </x:c>
      <x:c r="O674" s="137" t="str"/>
      <x:c r="P674" s="137" t="str">
        <x:v>To Confirm</x:v>
      </x:c>
      <x:c r="Q674" s="137" t="str"/>
    </x:row>
    <x:row r="675">
      <x:c r="A675" s="137" t="str">
        <x:v>BOM-00671</x:v>
      </x:c>
      <x:c r="B675" s="137" t="str">
        <x:v>JILL</x:v>
      </x:c>
      <x:c r="C675" s="137" t="str">
        <x:v>PER ORDER (V/L)</x:v>
      </x:c>
      <x:c r="D675" s="137" t="str">
        <x:v>9X12</x:v>
      </x:c>
      <x:c r="E675" s="137" t="str">
        <x:v>STITCHING</x:v>
      </x:c>
      <x:c r="F675" s="137" t="str">
        <x:v>VELCRO 25 MM LOOP||MTR</x:v>
      </x:c>
      <x:c r="G675" s="137" t="str">
        <x:v>VELCRO 25 MM LOOP</x:v>
      </x:c>
      <x:c r="H675" s="137" t="str">
        <x:v>MTR</x:v>
      </x:c>
      <x:c r="I675" s="175" t="n">
        <x:v>0</x:v>
      </x:c>
      <x:c r="J675" s="176" t="str"/>
      <x:c r="K675" s="177" t="str"/>
      <x:c r="L675" s="178" t="str">
        <x:f>IF(J675="","",J675*(1+IF(K675="",0,K675)) )</x:f>
      </x:c>
      <x:c r="M675" s="138" t="str"/>
      <x:c r="N675" s="137" t="str">
        <x:v>Current model BOM seed</x:v>
      </x:c>
      <x:c r="O675" s="137" t="str"/>
      <x:c r="P675" s="137" t="str">
        <x:v>To Confirm</x:v>
      </x:c>
      <x:c r="Q675" s="137" t="str"/>
    </x:row>
    <x:row r="676">
      <x:c r="A676" s="137" t="str">
        <x:v>BOM-00672</x:v>
      </x:c>
      <x:c r="B676" s="137" t="str">
        <x:v>JILL</x:v>
      </x:c>
      <x:c r="C676" s="137" t="str">
        <x:v>PER ORDER (V/L)</x:v>
      </x:c>
      <x:c r="D676" s="137" t="str">
        <x:v>9X12</x:v>
      </x:c>
      <x:c r="E676" s="137" t="str">
        <x:v>STITCHING</x:v>
      </x:c>
      <x:c r="F676" s="137" t="str">
        <x:v>BACK TAPE 14 MM||MTR</x:v>
      </x:c>
      <x:c r="G676" s="137" t="str">
        <x:v>BACK TAPE 14 MM</x:v>
      </x:c>
      <x:c r="H676" s="137" t="str">
        <x:v>MTR</x:v>
      </x:c>
      <x:c r="I676" s="175" t="n">
        <x:v>0.16666667</x:v>
      </x:c>
      <x:c r="J676" s="176" t="str"/>
      <x:c r="K676" s="177" t="str"/>
      <x:c r="L676" s="178" t="str">
        <x:f>IF(J676="","",J676*(1+IF(K676="",0,K676)) )</x:f>
      </x:c>
      <x:c r="M676" s="138" t="str"/>
      <x:c r="N676" s="137" t="str">
        <x:v>Current model BOM seed</x:v>
      </x:c>
      <x:c r="O676" s="137" t="str"/>
      <x:c r="P676" s="137" t="str">
        <x:v>To Confirm</x:v>
      </x:c>
      <x:c r="Q676" s="137" t="str"/>
    </x:row>
    <x:row r="677">
      <x:c r="A677" s="137" t="str">
        <x:v>BOM-00673</x:v>
      </x:c>
      <x:c r="B677" s="137" t="str">
        <x:v>ARMOUR</x:v>
      </x:c>
      <x:c r="C677" s="137" t="str">
        <x:v>PER ORDER (V/L)</x:v>
      </x:c>
      <x:c r="D677" s="137" t="str">
        <x:v>7X10S</x:v>
      </x:c>
      <x:c r="E677" s="137" t="str">
        <x:v>CUTTING</x:v>
      </x:c>
      <x:c r="F677" s="137" t="str">
        <x:v>REXINE 54"||MTR</x:v>
      </x:c>
      <x:c r="G677" s="137" t="str">
        <x:v>Rexine 54"</x:v>
      </x:c>
      <x:c r="H677" s="137" t="str">
        <x:v>MTR</x:v>
      </x:c>
      <x:c r="I677" s="175" t="n">
        <x:v>0.08634863</x:v>
      </x:c>
      <x:c r="J677" s="176" t="str"/>
      <x:c r="K677" s="177" t="str"/>
      <x:c r="L677" s="178" t="str">
        <x:f>IF(J677="","",J677*(1+IF(K677="",0,K677)) )</x:f>
      </x:c>
      <x:c r="M677" s="138" t="str"/>
      <x:c r="N677" s="137" t="str">
        <x:v>Current model BOM seed</x:v>
      </x:c>
      <x:c r="O677" s="137" t="str"/>
      <x:c r="P677" s="137" t="str">
        <x:v>To Confirm</x:v>
      </x:c>
      <x:c r="Q677" s="137" t="str"/>
    </x:row>
    <x:row r="678">
      <x:c r="A678" s="137" t="str">
        <x:v>BOM-00674</x:v>
      </x:c>
      <x:c r="B678" s="137" t="str">
        <x:v>ARMOUR</x:v>
      </x:c>
      <x:c r="C678" s="137" t="str">
        <x:v>PER ORDER (V/L)</x:v>
      </x:c>
      <x:c r="D678" s="137" t="str">
        <x:v>7X10S</x:v>
      </x:c>
      <x:c r="E678" s="137" t="str">
        <x:v>CUTTING</x:v>
      </x:c>
      <x:c r="F678" s="137" t="str">
        <x:v>MESH 58"||MTR</x:v>
      </x:c>
      <x:c r="G678" s="137" t="str">
        <x:v>Mesh 58"</x:v>
      </x:c>
      <x:c r="H678" s="137" t="str">
        <x:v>MTR</x:v>
      </x:c>
      <x:c r="I678" s="175" t="n">
        <x:v>0.04166667</x:v>
      </x:c>
      <x:c r="J678" s="176" t="str"/>
      <x:c r="K678" s="177" t="str"/>
      <x:c r="L678" s="178" t="str">
        <x:f>IF(J678="","",J678*(1+IF(K678="",0,K678)) )</x:f>
      </x:c>
      <x:c r="M678" s="138" t="str"/>
      <x:c r="N678" s="137" t="str">
        <x:v>Current model BOM seed</x:v>
      </x:c>
      <x:c r="O678" s="137" t="str"/>
      <x:c r="P678" s="137" t="str">
        <x:v>To Confirm</x:v>
      </x:c>
      <x:c r="Q678" s="137" t="str"/>
    </x:row>
    <x:row r="679">
      <x:c r="A679" s="137" t="str">
        <x:v>BOM-00675</x:v>
      </x:c>
      <x:c r="B679" s="137" t="str">
        <x:v>ARMOUR</x:v>
      </x:c>
      <x:c r="C679" s="137" t="str">
        <x:v>PER ORDER (V/L)</x:v>
      </x:c>
      <x:c r="D679" s="137" t="str">
        <x:v>7X10S</x:v>
      </x:c>
      <x:c r="E679" s="137" t="str">
        <x:v>CUTTING</x:v>
      </x:c>
      <x:c r="F679" s="137" t="str">
        <x:v>SKINFIT 60"||MTR</x:v>
      </x:c>
      <x:c r="G679" s="137" t="str">
        <x:v>Skinfit 60"</x:v>
      </x:c>
      <x:c r="H679" s="137" t="str">
        <x:v>MTR</x:v>
      </x:c>
      <x:c r="I679" s="175" t="n">
        <x:v>0.08154122</x:v>
      </x:c>
      <x:c r="J679" s="176" t="str"/>
      <x:c r="K679" s="177" t="str"/>
      <x:c r="L679" s="178" t="str">
        <x:f>IF(J679="","",J679*(1+IF(K679="",0,K679)) )</x:f>
      </x:c>
      <x:c r="M679" s="138" t="str"/>
      <x:c r="N679" s="137" t="str">
        <x:v>Current model BOM seed</x:v>
      </x:c>
      <x:c r="O679" s="137" t="str"/>
      <x:c r="P679" s="137" t="str">
        <x:v>To Confirm</x:v>
      </x:c>
      <x:c r="Q679" s="137" t="str"/>
    </x:row>
    <x:row r="680">
      <x:c r="A680" s="137" t="str">
        <x:v>BOM-00676</x:v>
      </x:c>
      <x:c r="B680" s="137" t="str">
        <x:v>ARMOUR</x:v>
      </x:c>
      <x:c r="C680" s="137" t="str">
        <x:v>PER ORDER (V/L)</x:v>
      </x:c>
      <x:c r="D680" s="137" t="str">
        <x:v>7X10S</x:v>
      </x:c>
      <x:c r="E680" s="137" t="str">
        <x:v>CUTTING</x:v>
      </x:c>
      <x:c r="F680" s="137" t="str">
        <x:v>SHEET 20MM||SHEET</x:v>
      </x:c>
      <x:c r="G680" s="137" t="str">
        <x:v>Sheet 20Mm</x:v>
      </x:c>
      <x:c r="H680" s="137" t="str">
        <x:v>SHEET</x:v>
      </x:c>
      <x:c r="I680" s="175" t="n">
        <x:v>0.00909091</x:v>
      </x:c>
      <x:c r="J680" s="176" t="str"/>
      <x:c r="K680" s="177" t="str"/>
      <x:c r="L680" s="178" t="str">
        <x:f>IF(J680="","",J680*(1+IF(K680="",0,K680)) )</x:f>
      </x:c>
      <x:c r="M680" s="138" t="str"/>
      <x:c r="N680" s="137" t="str">
        <x:v>Current model BOM seed</x:v>
      </x:c>
      <x:c r="O680" s="137" t="str"/>
      <x:c r="P680" s="137" t="str">
        <x:v>To Confirm</x:v>
      </x:c>
      <x:c r="Q680" s="137" t="str"/>
    </x:row>
    <x:row r="681">
      <x:c r="A681" s="137" t="str">
        <x:v>BOM-00677</x:v>
      </x:c>
      <x:c r="B681" s="137" t="str">
        <x:v>ARMOUR</x:v>
      </x:c>
      <x:c r="C681" s="137" t="str">
        <x:v>PER ORDER (V/L)</x:v>
      </x:c>
      <x:c r="D681" s="137" t="str">
        <x:v>7X10S</x:v>
      </x:c>
      <x:c r="E681" s="137" t="str">
        <x:v>CUTTING</x:v>
      </x:c>
      <x:c r="F681" s="137" t="str">
        <x:v>SHEET 10MM||SHEET</x:v>
      </x:c>
      <x:c r="G681" s="137" t="str">
        <x:v>Sheet 10Mm</x:v>
      </x:c>
      <x:c r="H681" s="137" t="str">
        <x:v>SHEET</x:v>
      </x:c>
      <x:c r="I681" s="175" t="n">
        <x:v>0.0125</x:v>
      </x:c>
      <x:c r="J681" s="176" t="str"/>
      <x:c r="K681" s="177" t="str"/>
      <x:c r="L681" s="178" t="str">
        <x:f>IF(J681="","",J681*(1+IF(K681="",0,K681)) )</x:f>
      </x:c>
      <x:c r="M681" s="138" t="str"/>
      <x:c r="N681" s="137" t="str">
        <x:v>Current model BOM seed</x:v>
      </x:c>
      <x:c r="O681" s="137" t="str"/>
      <x:c r="P681" s="137" t="str">
        <x:v>To Confirm</x:v>
      </x:c>
      <x:c r="Q681" s="137" t="str"/>
    </x:row>
    <x:row r="682">
      <x:c r="A682" s="137" t="str">
        <x:v>BOM-00678</x:v>
      </x:c>
      <x:c r="B682" s="137" t="str">
        <x:v>ARMOUR</x:v>
      </x:c>
      <x:c r="C682" s="137" t="str">
        <x:v>PER ORDER (V/L)</x:v>
      </x:c>
      <x:c r="D682" s="137" t="str">
        <x:v>7X10S</x:v>
      </x:c>
      <x:c r="E682" s="137" t="str">
        <x:v>CUTTING</x:v>
      </x:c>
      <x:c r="F682" s="137" t="str">
        <x:v>SHEET 1.4MM||SHEET</x:v>
      </x:c>
      <x:c r="G682" s="137" t="str">
        <x:v>Sheet 1.4Mm</x:v>
      </x:c>
      <x:c r="H682" s="137" t="str">
        <x:v>SHEET</x:v>
      </x:c>
      <x:c r="I682" s="175" t="n">
        <x:v>0.03016022</x:v>
      </x:c>
      <x:c r="J682" s="176" t="str"/>
      <x:c r="K682" s="177" t="str"/>
      <x:c r="L682" s="178" t="str">
        <x:f>IF(J682="","",J682*(1+IF(K682="",0,K682)) )</x:f>
      </x:c>
      <x:c r="M682" s="138" t="str"/>
      <x:c r="N682" s="137" t="str">
        <x:v>Current model BOM seed</x:v>
      </x:c>
      <x:c r="O682" s="137" t="str"/>
      <x:c r="P682" s="137" t="str">
        <x:v>To Confirm</x:v>
      </x:c>
      <x:c r="Q682" s="137" t="str"/>
    </x:row>
    <x:row r="683">
      <x:c r="A683" s="137" t="str">
        <x:v>BOM-00679</x:v>
      </x:c>
      <x:c r="B683" s="137" t="str">
        <x:v>ARMOUR</x:v>
      </x:c>
      <x:c r="C683" s="137" t="str">
        <x:v>PER ORDER (V/L)</x:v>
      </x:c>
      <x:c r="D683" s="137" t="str">
        <x:v>7X10S</x:v>
      </x:c>
      <x:c r="E683" s="137" t="str">
        <x:v>CUTTING</x:v>
      </x:c>
      <x:c r="F683" s="137" t="str">
        <x:v>SHEET 0.8MM||SHEET</x:v>
      </x:c>
      <x:c r="G683" s="137" t="str">
        <x:v>Sheet 0.8Mm</x:v>
      </x:c>
      <x:c r="H683" s="137" t="str">
        <x:v>SHEET</x:v>
      </x:c>
      <x:c r="I683" s="175" t="n">
        <x:v>0.00740741</x:v>
      </x:c>
      <x:c r="J683" s="176" t="str"/>
      <x:c r="K683" s="177" t="str"/>
      <x:c r="L683" s="178" t="str">
        <x:f>IF(J683="","",J683*(1+IF(K683="",0,K683)) )</x:f>
      </x:c>
      <x:c r="M683" s="138" t="str"/>
      <x:c r="N683" s="137" t="str">
        <x:v>Current model BOM seed</x:v>
      </x:c>
      <x:c r="O683" s="137" t="str"/>
      <x:c r="P683" s="137" t="str">
        <x:v>To Confirm</x:v>
      </x:c>
      <x:c r="Q683" s="137" t="str"/>
    </x:row>
    <x:row r="684">
      <x:c r="A684" s="137" t="str">
        <x:v>BOM-00680</x:v>
      </x:c>
      <x:c r="B684" s="137" t="str">
        <x:v>ARMOUR</x:v>
      </x:c>
      <x:c r="C684" s="137" t="str">
        <x:v>PER ORDER (V/L)</x:v>
      </x:c>
      <x:c r="D684" s="137" t="str">
        <x:v>7X10S</x:v>
      </x:c>
      <x:c r="E684" s="137" t="str">
        <x:v>CUTTING</x:v>
      </x:c>
      <x:c r="F684" s="137" t="str">
        <x:v>INSOLE||PAIR</x:v>
      </x:c>
      <x:c r="G684" s="137" t="str">
        <x:v>INSOLE</x:v>
      </x:c>
      <x:c r="H684" s="137" t="str">
        <x:v>PAIR</x:v>
      </x:c>
      <x:c r="I684" s="175" t="n">
        <x:v>2</x:v>
      </x:c>
      <x:c r="J684" s="176" t="str"/>
      <x:c r="K684" s="177" t="str"/>
      <x:c r="L684" s="178" t="str">
        <x:f>IF(J684="","",J684*(1+IF(K684="",0,K684)) )</x:f>
      </x:c>
      <x:c r="M684" s="138" t="str"/>
      <x:c r="N684" s="137" t="str">
        <x:v>Current model BOM seed</x:v>
      </x:c>
      <x:c r="O684" s="137" t="str"/>
      <x:c r="P684" s="137" t="str">
        <x:v>To Confirm</x:v>
      </x:c>
      <x:c r="Q684" s="137" t="str"/>
    </x:row>
    <x:row r="685">
      <x:c r="A685" s="137" t="str">
        <x:v>BOM-00681</x:v>
      </x:c>
      <x:c r="B685" s="137" t="str">
        <x:v>ARMOUR</x:v>
      </x:c>
      <x:c r="C685" s="137" t="str">
        <x:v>PER ORDER (V/L)</x:v>
      </x:c>
      <x:c r="D685" s="137" t="str">
        <x:v>7X10S</x:v>
      </x:c>
      <x:c r="E685" s="137" t="str">
        <x:v>MOLDING</x:v>
      </x:c>
      <x:c r="F685" s="137" t="str">
        <x:v>SOLE 1231 EVA||PAIR</x:v>
      </x:c>
      <x:c r="G685" s="137" t="str">
        <x:v>Sole 1231 EVA</x:v>
      </x:c>
      <x:c r="H685" s="137" t="str">
        <x:v>PAIR</x:v>
      </x:c>
      <x:c r="I685" s="175" t="n">
        <x:v>2</x:v>
      </x:c>
      <x:c r="J685" s="176" t="str"/>
      <x:c r="K685" s="177" t="str"/>
      <x:c r="L685" s="178" t="str">
        <x:f>IF(J685="","",J685*(1+IF(K685="",0,K685)) )</x:f>
      </x:c>
      <x:c r="M685" s="138" t="str"/>
      <x:c r="N685" s="137" t="str">
        <x:v>Current model BOM seed</x:v>
      </x:c>
      <x:c r="O685" s="137" t="str"/>
      <x:c r="P685" s="137" t="str">
        <x:v>To Confirm</x:v>
      </x:c>
      <x:c r="Q685" s="137" t="str"/>
    </x:row>
    <x:row r="686">
      <x:c r="A686" s="137" t="str">
        <x:v>BOM-00682</x:v>
      </x:c>
      <x:c r="B686" s="137" t="str">
        <x:v>ARMOUR</x:v>
      </x:c>
      <x:c r="C686" s="137" t="str">
        <x:v>PER ORDER (V/L)</x:v>
      </x:c>
      <x:c r="D686" s="137" t="str">
        <x:v>7X10S</x:v>
      </x:c>
      <x:c r="E686" s="137" t="str">
        <x:v>PACKING</x:v>
      </x:c>
      <x:c r="F686" s="137" t="str">
        <x:v>TISSUE PAPER||PCS</x:v>
      </x:c>
      <x:c r="G686" s="137" t="str">
        <x:v>Tissue Paper</x:v>
      </x:c>
      <x:c r="H686" s="137" t="str">
        <x:v>PCS</x:v>
      </x:c>
      <x:c r="I686" s="175" t="n">
        <x:v>0.25</x:v>
      </x:c>
      <x:c r="J686" s="176" t="str"/>
      <x:c r="K686" s="177" t="str"/>
      <x:c r="L686" s="178" t="str">
        <x:f>IF(J686="","",J686*(1+IF(K686="",0,K686)) )</x:f>
      </x:c>
      <x:c r="M686" s="138" t="str"/>
      <x:c r="N686" s="137" t="str">
        <x:v>Current model BOM seed</x:v>
      </x:c>
      <x:c r="O686" s="137" t="str"/>
      <x:c r="P686" s="137" t="str">
        <x:v>To Confirm</x:v>
      </x:c>
      <x:c r="Q686" s="137" t="str"/>
    </x:row>
    <x:row r="687">
      <x:c r="A687" s="137" t="str">
        <x:v>BOM-00683</x:v>
      </x:c>
      <x:c r="B687" s="137" t="str">
        <x:v>ARMOUR</x:v>
      </x:c>
      <x:c r="C687" s="137" t="str">
        <x:v>PER ORDER (V/L)</x:v>
      </x:c>
      <x:c r="D687" s="137" t="str">
        <x:v>7X10S</x:v>
      </x:c>
      <x:c r="E687" s="137" t="str">
        <x:v>PACKING</x:v>
      </x:c>
      <x:c r="F687" s="137" t="str">
        <x:v>SHOE SHINER||GRAM</x:v>
      </x:c>
      <x:c r="G687" s="137" t="str">
        <x:v>Shoe Shiner</x:v>
      </x:c>
      <x:c r="H687" s="137" t="str">
        <x:v>GRAM</x:v>
      </x:c>
      <x:c r="I687" s="175" t="n">
        <x:v>0.06666667</x:v>
      </x:c>
      <x:c r="J687" s="176" t="str"/>
      <x:c r="K687" s="177" t="str"/>
      <x:c r="L687" s="178" t="str">
        <x:f>IF(J687="","",J687*(1+IF(K687="",0,K687)) )</x:f>
      </x:c>
      <x:c r="M687" s="138" t="str"/>
      <x:c r="N687" s="137" t="str">
        <x:v>Current model BOM seed</x:v>
      </x:c>
      <x:c r="O687" s="137" t="str"/>
      <x:c r="P687" s="137" t="str">
        <x:v>To Confirm</x:v>
      </x:c>
      <x:c r="Q687" s="137" t="str"/>
    </x:row>
    <x:row r="688">
      <x:c r="A688" s="137" t="str">
        <x:v>BOM-00684</x:v>
      </x:c>
      <x:c r="B688" s="137" t="str">
        <x:v>ARMOUR</x:v>
      </x:c>
      <x:c r="C688" s="137" t="str">
        <x:v>PER ORDER (V/L)</x:v>
      </x:c>
      <x:c r="D688" s="137" t="str">
        <x:v>7X10S</x:v>
      </x:c>
      <x:c r="E688" s="137" t="str">
        <x:v>PACKING</x:v>
      </x:c>
      <x:c r="F688" s="137" t="str">
        <x:v>EMYLE||GRAM</x:v>
      </x:c>
      <x:c r="G688" s="137" t="str">
        <x:v>EMYLE</x:v>
      </x:c>
      <x:c r="H688" s="137" t="str">
        <x:v>GRAM</x:v>
      </x:c>
      <x:c r="I688" s="175" t="n">
        <x:v>0.07142857</x:v>
      </x:c>
      <x:c r="J688" s="176" t="str"/>
      <x:c r="K688" s="177" t="str"/>
      <x:c r="L688" s="178" t="str">
        <x:f>IF(J688="","",J688*(1+IF(K688="",0,K688)) )</x:f>
      </x:c>
      <x:c r="M688" s="138" t="str"/>
      <x:c r="N688" s="137" t="str">
        <x:v>Current model BOM seed</x:v>
      </x:c>
      <x:c r="O688" s="137" t="str"/>
      <x:c r="P688" s="137" t="str">
        <x:v>To Confirm</x:v>
      </x:c>
      <x:c r="Q688" s="137" t="str"/>
    </x:row>
    <x:row r="689">
      <x:c r="A689" s="137" t="str">
        <x:v>BOM-00685</x:v>
      </x:c>
      <x:c r="B689" s="137" t="str">
        <x:v>ARMOUR</x:v>
      </x:c>
      <x:c r="C689" s="137" t="str">
        <x:v>PER ORDER (V/L)</x:v>
      </x:c>
      <x:c r="D689" s="137" t="str">
        <x:v>7X10S</x:v>
      </x:c>
      <x:c r="E689" s="137" t="str">
        <x:v>PACKING</x:v>
      </x:c>
      <x:c r="F689" s="137" t="str">
        <x:v>TAG PIN||PCS</x:v>
      </x:c>
      <x:c r="G689" s="137" t="str">
        <x:v>Tag Pin</x:v>
      </x:c>
      <x:c r="H689" s="137" t="str">
        <x:v>PCS</x:v>
      </x:c>
      <x:c r="I689" s="175" t="n">
        <x:v>1</x:v>
      </x:c>
      <x:c r="J689" s="176" t="str"/>
      <x:c r="K689" s="177" t="str"/>
      <x:c r="L689" s="178" t="str">
        <x:f>IF(J689="","",J689*(1+IF(K689="",0,K689)) )</x:f>
      </x:c>
      <x:c r="M689" s="138" t="str"/>
      <x:c r="N689" s="137" t="str">
        <x:v>Current model BOM seed</x:v>
      </x:c>
      <x:c r="O689" s="137" t="str"/>
      <x:c r="P689" s="137" t="str">
        <x:v>To Confirm</x:v>
      </x:c>
      <x:c r="Q689" s="137" t="str"/>
    </x:row>
    <x:row r="690">
      <x:c r="A690" s="137" t="str">
        <x:v>BOM-00686</x:v>
      </x:c>
      <x:c r="B690" s="137" t="str">
        <x:v>ARMOUR</x:v>
      </x:c>
      <x:c r="C690" s="137" t="str">
        <x:v>PER ORDER (V/L)</x:v>
      </x:c>
      <x:c r="D690" s="137" t="str">
        <x:v>7X10S</x:v>
      </x:c>
      <x:c r="E690" s="137" t="str">
        <x:v>PACKING</x:v>
      </x:c>
      <x:c r="F690" s="137" t="str">
        <x:v>TAG CARD||PCS</x:v>
      </x:c>
      <x:c r="G690" s="137" t="str">
        <x:v>Tag Card</x:v>
      </x:c>
      <x:c r="H690" s="137" t="str">
        <x:v>PCS</x:v>
      </x:c>
      <x:c r="I690" s="175" t="n">
        <x:v>1</x:v>
      </x:c>
      <x:c r="J690" s="176" t="str"/>
      <x:c r="K690" s="177" t="str"/>
      <x:c r="L690" s="178" t="str">
        <x:f>IF(J690="","",J690*(1+IF(K690="",0,K690)) )</x:f>
      </x:c>
      <x:c r="M690" s="138" t="str"/>
      <x:c r="N690" s="137" t="str">
        <x:v>Current model BOM seed</x:v>
      </x:c>
      <x:c r="O690" s="137" t="str"/>
      <x:c r="P690" s="137" t="str">
        <x:v>To Confirm</x:v>
      </x:c>
      <x:c r="Q690" s="137" t="str"/>
    </x:row>
    <x:row r="691">
      <x:c r="A691" s="137" t="str">
        <x:v>BOM-00687</x:v>
      </x:c>
      <x:c r="B691" s="137" t="str">
        <x:v>ARMOUR</x:v>
      </x:c>
      <x:c r="C691" s="137" t="str">
        <x:v>PER ORDER (V/L)</x:v>
      </x:c>
      <x:c r="D691" s="137" t="str">
        <x:v>7X10S</x:v>
      </x:c>
      <x:c r="E691" s="137" t="str">
        <x:v>PACKING</x:v>
      </x:c>
      <x:c r="F691" s="137" t="str">
        <x:v>WRAPING PAPER||PCS</x:v>
      </x:c>
      <x:c r="G691" s="137" t="str">
        <x:v>Wraping Paper</x:v>
      </x:c>
      <x:c r="H691" s="137" t="str">
        <x:v>PCS</x:v>
      </x:c>
      <x:c r="I691" s="175" t="n">
        <x:v>1</x:v>
      </x:c>
      <x:c r="J691" s="176" t="str"/>
      <x:c r="K691" s="177" t="str"/>
      <x:c r="L691" s="178" t="str">
        <x:f>IF(J691="","",J691*(1+IF(K691="",0,K691)) )</x:f>
      </x:c>
      <x:c r="M691" s="138" t="str"/>
      <x:c r="N691" s="137" t="str">
        <x:v>Current model BOM seed</x:v>
      </x:c>
      <x:c r="O691" s="137" t="str"/>
      <x:c r="P691" s="137" t="str">
        <x:v>To Confirm</x:v>
      </x:c>
      <x:c r="Q691" s="137" t="str"/>
    </x:row>
    <x:row r="692">
      <x:c r="A692" s="137" t="str">
        <x:v>BOM-00688</x:v>
      </x:c>
      <x:c r="B692" s="137" t="str">
        <x:v>ARMOUR</x:v>
      </x:c>
      <x:c r="C692" s="137" t="str">
        <x:v>PER ORDER (V/L)</x:v>
      </x:c>
      <x:c r="D692" s="137" t="str">
        <x:v>7X10S</x:v>
      </x:c>
      <x:c r="E692" s="137" t="str">
        <x:v>PACKING</x:v>
      </x:c>
      <x:c r="F692" s="137" t="str">
        <x:v>INNER||PCS</x:v>
      </x:c>
      <x:c r="G692" s="137" t="str">
        <x:v>INNER</x:v>
      </x:c>
      <x:c r="H692" s="137" t="str">
        <x:v>PCS</x:v>
      </x:c>
      <x:c r="I692" s="175" t="n">
        <x:v>1</x:v>
      </x:c>
      <x:c r="J692" s="176" t="str"/>
      <x:c r="K692" s="177" t="str"/>
      <x:c r="L692" s="178" t="str">
        <x:f>IF(J692="","",J692*(1+IF(K692="",0,K692)) )</x:f>
      </x:c>
      <x:c r="M692" s="138" t="str"/>
      <x:c r="N692" s="137" t="str">
        <x:v>Current model BOM seed</x:v>
      </x:c>
      <x:c r="O692" s="137" t="str"/>
      <x:c r="P692" s="137" t="str">
        <x:v>To Confirm</x:v>
      </x:c>
      <x:c r="Q692" s="137" t="str"/>
    </x:row>
    <x:row r="693">
      <x:c r="A693" s="137" t="str">
        <x:v>BOM-00689</x:v>
      </x:c>
      <x:c r="B693" s="137" t="str">
        <x:v>ARMOUR</x:v>
      </x:c>
      <x:c r="C693" s="137" t="str">
        <x:v>PER ORDER (V/L)</x:v>
      </x:c>
      <x:c r="D693" s="137" t="str">
        <x:v>7X10S</x:v>
      </x:c>
      <x:c r="E693" s="137" t="str">
        <x:v>PACKING</x:v>
      </x:c>
      <x:c r="F693" s="137" t="str">
        <x:v>BARCODE STICKER||PCS</x:v>
      </x:c>
      <x:c r="G693" s="137" t="str">
        <x:v>Barcode Sticker</x:v>
      </x:c>
      <x:c r="H693" s="137" t="str">
        <x:v>PCS</x:v>
      </x:c>
      <x:c r="I693" s="175" t="n">
        <x:v>1</x:v>
      </x:c>
      <x:c r="J693" s="176" t="str"/>
      <x:c r="K693" s="177" t="str"/>
      <x:c r="L693" s="178" t="str">
        <x:f>IF(J693="","",J693*(1+IF(K693="",0,K693)) )</x:f>
      </x:c>
      <x:c r="M693" s="138" t="str"/>
      <x:c r="N693" s="137" t="str">
        <x:v>Current model BOM seed</x:v>
      </x:c>
      <x:c r="O693" s="137" t="str"/>
      <x:c r="P693" s="137" t="str">
        <x:v>To Confirm</x:v>
      </x:c>
      <x:c r="Q693" s="137" t="str"/>
    </x:row>
    <x:row r="694">
      <x:c r="A694" s="137" t="str">
        <x:v>BOM-00690</x:v>
      </x:c>
      <x:c r="B694" s="137" t="str">
        <x:v>ARMOUR</x:v>
      </x:c>
      <x:c r="C694" s="137" t="str">
        <x:v>PER ORDER (V/L)</x:v>
      </x:c>
      <x:c r="D694" s="137" t="str">
        <x:v>7X10S</x:v>
      </x:c>
      <x:c r="E694" s="137" t="str">
        <x:v>PACKING</x:v>
      </x:c>
      <x:c r="F694" s="137" t="str">
        <x:v>CTN TAPE (1 CTN)||MTR</x:v>
      </x:c>
      <x:c r="G694" s="137" t="str">
        <x:v>Ctn Tape (1 Ctn)</x:v>
      </x:c>
      <x:c r="H694" s="137" t="str">
        <x:v>MTR</x:v>
      </x:c>
      <x:c r="I694" s="175" t="n">
        <x:v>0.5</x:v>
      </x:c>
      <x:c r="J694" s="176" t="str"/>
      <x:c r="K694" s="177" t="str"/>
      <x:c r="L694" s="178" t="str">
        <x:f>IF(J694="","",J694*(1+IF(K694="",0,K694)) )</x:f>
      </x:c>
      <x:c r="M694" s="138" t="str"/>
      <x:c r="N694" s="137" t="str">
        <x:v>Current model BOM seed</x:v>
      </x:c>
      <x:c r="O694" s="137" t="str"/>
      <x:c r="P694" s="137" t="str">
        <x:v>To Confirm</x:v>
      </x:c>
      <x:c r="Q694" s="137" t="str"/>
    </x:row>
    <x:row r="695">
      <x:c r="A695" s="137" t="str">
        <x:v>BOM-00691</x:v>
      </x:c>
      <x:c r="B695" s="137" t="str">
        <x:v>ARMOUR</x:v>
      </x:c>
      <x:c r="C695" s="137" t="str">
        <x:v>PER ORDER (V/L)</x:v>
      </x:c>
      <x:c r="D695" s="137" t="str">
        <x:v>7X10S</x:v>
      </x:c>
      <x:c r="E695" s="137" t="str">
        <x:v>PACKING</x:v>
      </x:c>
      <x:c r="F695" s="137" t="str">
        <x:v>STRAPING ROLL (1CTN)||MTR</x:v>
      </x:c>
      <x:c r="G695" s="137" t="str">
        <x:v>Straping Roll (1Ctn)</x:v>
      </x:c>
      <x:c r="H695" s="137" t="str">
        <x:v>MTR</x:v>
      </x:c>
      <x:c r="I695" s="175" t="n">
        <x:v>0.25</x:v>
      </x:c>
      <x:c r="J695" s="176" t="str"/>
      <x:c r="K695" s="177" t="str"/>
      <x:c r="L695" s="178" t="str">
        <x:f>IF(J695="","",J695*(1+IF(K695="",0,K695)) )</x:f>
      </x:c>
      <x:c r="M695" s="138" t="str"/>
      <x:c r="N695" s="137" t="str">
        <x:v>Current model BOM seed</x:v>
      </x:c>
      <x:c r="O695" s="137" t="str"/>
      <x:c r="P695" s="137" t="str">
        <x:v>To Confirm</x:v>
      </x:c>
      <x:c r="Q695" s="137" t="str"/>
    </x:row>
    <x:row r="696">
      <x:c r="A696" s="137" t="str">
        <x:v>BOM-00692</x:v>
      </x:c>
      <x:c r="B696" s="137" t="str">
        <x:v>ARMOUR</x:v>
      </x:c>
      <x:c r="C696" s="137" t="str">
        <x:v>PER ORDER (V/L)</x:v>
      </x:c>
      <x:c r="D696" s="137" t="str">
        <x:v>7X10S</x:v>
      </x:c>
      <x:c r="E696" s="137" t="str">
        <x:v>STITCHING</x:v>
      </x:c>
      <x:c r="F696" s="137" t="str">
        <x:v>THREAD 3 PLY||MTR</x:v>
      </x:c>
      <x:c r="G696" s="137" t="str">
        <x:v>Thread 3 Ply</x:v>
      </x:c>
      <x:c r="H696" s="137" t="str">
        <x:v>MTR</x:v>
      </x:c>
      <x:c r="I696" s="175" t="n">
        <x:v>26.78571429</x:v>
      </x:c>
      <x:c r="J696" s="176" t="str"/>
      <x:c r="K696" s="177" t="str"/>
      <x:c r="L696" s="178" t="str">
        <x:f>IF(J696="","",J696*(1+IF(K696="",0,K696)) )</x:f>
      </x:c>
      <x:c r="M696" s="138" t="str"/>
      <x:c r="N696" s="137" t="str">
        <x:v>Current model BOM seed</x:v>
      </x:c>
      <x:c r="O696" s="137" t="str"/>
      <x:c r="P696" s="137" t="str">
        <x:v>To Confirm</x:v>
      </x:c>
      <x:c r="Q696" s="137" t="str"/>
    </x:row>
    <x:row r="697">
      <x:c r="A697" s="137" t="str">
        <x:v>BOM-00693</x:v>
      </x:c>
      <x:c r="B697" s="137" t="str">
        <x:v>ARMOUR</x:v>
      </x:c>
      <x:c r="C697" s="137" t="str">
        <x:v>PER ORDER (V/L)</x:v>
      </x:c>
      <x:c r="D697" s="137" t="str">
        <x:v>7X10S</x:v>
      </x:c>
      <x:c r="E697" s="137" t="str">
        <x:v>STITCHING</x:v>
      </x:c>
      <x:c r="F697" s="137" t="str">
        <x:v>SIZE LABEL||PCS</x:v>
      </x:c>
      <x:c r="G697" s="137" t="str">
        <x:v>SIZE LABEL</x:v>
      </x:c>
      <x:c r="H697" s="137" t="str">
        <x:v>PCS</x:v>
      </x:c>
      <x:c r="I697" s="175" t="n">
        <x:v>0.5</x:v>
      </x:c>
      <x:c r="J697" s="176" t="str"/>
      <x:c r="K697" s="177" t="str"/>
      <x:c r="L697" s="178" t="str">
        <x:f>IF(J697="","",J697*(1+IF(K697="",0,K697)) )</x:f>
      </x:c>
      <x:c r="M697" s="138" t="str"/>
      <x:c r="N697" s="137" t="str">
        <x:v>Current model BOM seed</x:v>
      </x:c>
      <x:c r="O697" s="137" t="str"/>
      <x:c r="P697" s="137" t="str">
        <x:v>To Confirm</x:v>
      </x:c>
      <x:c r="Q697" s="137" t="str"/>
    </x:row>
    <x:row r="698">
      <x:c r="A698" s="137" t="str">
        <x:v>BOM-00694</x:v>
      </x:c>
      <x:c r="B698" s="137" t="str">
        <x:v>ARMOUR</x:v>
      </x:c>
      <x:c r="C698" s="137" t="str">
        <x:v>PER ORDER (V/L)</x:v>
      </x:c>
      <x:c r="D698" s="137" t="str">
        <x:v>7X10S</x:v>
      </x:c>
      <x:c r="E698" s="137" t="str">
        <x:v>STITCHING</x:v>
      </x:c>
      <x:c r="F698" s="137" t="str">
        <x:v>TOUNG LABEL SNEAKER||PCS</x:v>
      </x:c>
      <x:c r="G698" s="137" t="str">
        <x:v>TOUNG LABEL SNEAKER</x:v>
      </x:c>
      <x:c r="H698" s="137" t="str">
        <x:v>PCS</x:v>
      </x:c>
      <x:c r="I698" s="175" t="n">
        <x:v>0.5</x:v>
      </x:c>
      <x:c r="J698" s="176" t="str"/>
      <x:c r="K698" s="177" t="str"/>
      <x:c r="L698" s="178" t="str">
        <x:f>IF(J698="","",J698*(1+IF(K698="",0,K698)) )</x:f>
      </x:c>
      <x:c r="M698" s="138" t="str"/>
      <x:c r="N698" s="137" t="str">
        <x:v>Current model BOM seed</x:v>
      </x:c>
      <x:c r="O698" s="137" t="str"/>
      <x:c r="P698" s="137" t="str">
        <x:v>To Confirm</x:v>
      </x:c>
      <x:c r="Q698" s="137" t="str"/>
    </x:row>
    <x:row r="699">
      <x:c r="A699" s="137" t="str">
        <x:v>BOM-00695</x:v>
      </x:c>
      <x:c r="B699" s="137" t="str">
        <x:v>ARMOUR</x:v>
      </x:c>
      <x:c r="C699" s="137" t="str">
        <x:v>PER ORDER (V/L)</x:v>
      </x:c>
      <x:c r="D699" s="137" t="str">
        <x:v>7X10S</x:v>
      </x:c>
      <x:c r="E699" s="137" t="str">
        <x:v>STITCHING</x:v>
      </x:c>
      <x:c r="F699" s="137" t="str">
        <x:v>PF-48||PCS</x:v>
      </x:c>
      <x:c r="G699" s="137" t="str">
        <x:v>PF-48</x:v>
      </x:c>
      <x:c r="H699" s="137" t="str">
        <x:v>PCS</x:v>
      </x:c>
      <x:c r="I699" s="175" t="n">
        <x:v>0.25</x:v>
      </x:c>
      <x:c r="J699" s="176" t="str"/>
      <x:c r="K699" s="177" t="str"/>
      <x:c r="L699" s="178" t="str">
        <x:f>IF(J699="","",J699*(1+IF(K699="",0,K699)) )</x:f>
      </x:c>
      <x:c r="M699" s="138" t="str"/>
      <x:c r="N699" s="137" t="str">
        <x:v>Current model BOM seed</x:v>
      </x:c>
      <x:c r="O699" s="137" t="str"/>
      <x:c r="P699" s="137" t="str">
        <x:v>To Confirm</x:v>
      </x:c>
      <x:c r="Q699" s="137" t="str"/>
    </x:row>
    <x:row r="700">
      <x:c r="A700" s="137" t="str">
        <x:v>BOM-00696</x:v>
      </x:c>
      <x:c r="B700" s="137" t="str">
        <x:v>ARMOUR</x:v>
      </x:c>
      <x:c r="C700" s="137" t="str">
        <x:v>PER ORDER (V/L)</x:v>
      </x:c>
      <x:c r="D700" s="137" t="str">
        <x:v>7X10S</x:v>
      </x:c>
      <x:c r="E700" s="137" t="str">
        <x:v>STITCHING</x:v>
      </x:c>
      <x:c r="F700" s="137" t="str">
        <x:v>PF-3||PCS</x:v>
      </x:c>
      <x:c r="G700" s="137" t="str">
        <x:v>PF-3</x:v>
      </x:c>
      <x:c r="H700" s="137" t="str">
        <x:v>PCS</x:v>
      </x:c>
      <x:c r="I700" s="175" t="n">
        <x:v>0</x:v>
      </x:c>
      <x:c r="J700" s="176" t="str"/>
      <x:c r="K700" s="177" t="str"/>
      <x:c r="L700" s="178" t="str">
        <x:f>IF(J700="","",J700*(1+IF(K700="",0,K700)) )</x:f>
      </x:c>
      <x:c r="M700" s="138" t="str"/>
      <x:c r="N700" s="137" t="str">
        <x:v>Current model BOM seed</x:v>
      </x:c>
      <x:c r="O700" s="137" t="str"/>
      <x:c r="P700" s="137" t="str">
        <x:v>To Confirm</x:v>
      </x:c>
      <x:c r="Q700" s="137" t="str"/>
    </x:row>
    <x:row r="701">
      <x:c r="A701" s="137" t="str">
        <x:v>BOM-00697</x:v>
      </x:c>
      <x:c r="B701" s="137" t="str">
        <x:v>ARMOUR</x:v>
      </x:c>
      <x:c r="C701" s="137" t="str">
        <x:v>PER ORDER (V/L)</x:v>
      </x:c>
      <x:c r="D701" s="137" t="str">
        <x:v>7X10S</x:v>
      </x:c>
      <x:c r="E701" s="137" t="str">
        <x:v>STITCHING</x:v>
      </x:c>
      <x:c r="F701" s="137" t="str">
        <x:v>VELCRO 20 MM HOOK||MTR</x:v>
      </x:c>
      <x:c r="G701" s="137" t="str">
        <x:v>VELCRO 20 MM HOOK</x:v>
      </x:c>
      <x:c r="H701" s="137" t="str">
        <x:v>MTR</x:v>
      </x:c>
      <x:c r="I701" s="175" t="n">
        <x:v>0.03571429</x:v>
      </x:c>
      <x:c r="J701" s="176" t="str"/>
      <x:c r="K701" s="177" t="str"/>
      <x:c r="L701" s="178" t="str">
        <x:f>IF(J701="","",J701*(1+IF(K701="",0,K701)) )</x:f>
      </x:c>
      <x:c r="M701" s="138" t="str"/>
      <x:c r="N701" s="137" t="str">
        <x:v>Current model BOM seed</x:v>
      </x:c>
      <x:c r="O701" s="137" t="str"/>
      <x:c r="P701" s="137" t="str">
        <x:v>To Confirm</x:v>
      </x:c>
      <x:c r="Q701" s="137" t="str"/>
    </x:row>
    <x:row r="702">
      <x:c r="A702" s="137" t="str">
        <x:v>BOM-00698</x:v>
      </x:c>
      <x:c r="B702" s="137" t="str">
        <x:v>ARMOUR</x:v>
      </x:c>
      <x:c r="C702" s="137" t="str">
        <x:v>PER ORDER (V/L)</x:v>
      </x:c>
      <x:c r="D702" s="137" t="str">
        <x:v>7X10S</x:v>
      </x:c>
      <x:c r="E702" s="137" t="str">
        <x:v>STITCHING</x:v>
      </x:c>
      <x:c r="F702" s="137" t="str">
        <x:v>VELCRO 20 MM LOOP||MTR</x:v>
      </x:c>
      <x:c r="G702" s="137" t="str">
        <x:v>VELCRO 20 MM LOOP</x:v>
      </x:c>
      <x:c r="H702" s="137" t="str">
        <x:v>MTR</x:v>
      </x:c>
      <x:c r="I702" s="175" t="n">
        <x:v>0.03571429</x:v>
      </x:c>
      <x:c r="J702" s="176" t="str"/>
      <x:c r="K702" s="177" t="str"/>
      <x:c r="L702" s="178" t="str">
        <x:f>IF(J702="","",J702*(1+IF(K702="",0,K702)) )</x:f>
      </x:c>
      <x:c r="M702" s="138" t="str"/>
      <x:c r="N702" s="137" t="str">
        <x:v>Current model BOM seed</x:v>
      </x:c>
      <x:c r="O702" s="137" t="str"/>
      <x:c r="P702" s="137" t="str">
        <x:v>To Confirm</x:v>
      </x:c>
      <x:c r="Q702" s="137" t="str"/>
    </x:row>
    <x:row r="703">
      <x:c r="A703" s="137" t="str">
        <x:v>BOM-00699</x:v>
      </x:c>
      <x:c r="B703" s="137" t="str">
        <x:v>ARMOUR</x:v>
      </x:c>
      <x:c r="C703" s="137" t="str">
        <x:v>PER ORDER (V/L)</x:v>
      </x:c>
      <x:c r="D703" s="137" t="str">
        <x:v>7X10S</x:v>
      </x:c>
      <x:c r="E703" s="137" t="str">
        <x:v>STITCHING</x:v>
      </x:c>
      <x:c r="F703" s="137" t="str">
        <x:v>VELCRO 25 MM HOOK||MTR</x:v>
      </x:c>
      <x:c r="G703" s="137" t="str">
        <x:v>VELCRO 25 MM HOOK</x:v>
      </x:c>
      <x:c r="H703" s="137" t="str">
        <x:v>MTR</x:v>
      </x:c>
      <x:c r="I703" s="175" t="n">
        <x:v>0</x:v>
      </x:c>
      <x:c r="J703" s="176" t="str"/>
      <x:c r="K703" s="177" t="str"/>
      <x:c r="L703" s="178" t="str">
        <x:f>IF(J703="","",J703*(1+IF(K703="",0,K703)) )</x:f>
      </x:c>
      <x:c r="M703" s="138" t="str"/>
      <x:c r="N703" s="137" t="str">
        <x:v>Current model BOM seed</x:v>
      </x:c>
      <x:c r="O703" s="137" t="str"/>
      <x:c r="P703" s="137" t="str">
        <x:v>To Confirm</x:v>
      </x:c>
      <x:c r="Q703" s="137" t="str"/>
    </x:row>
    <x:row r="704">
      <x:c r="A704" s="137" t="str">
        <x:v>BOM-00700</x:v>
      </x:c>
      <x:c r="B704" s="137" t="str">
        <x:v>ARMOUR</x:v>
      </x:c>
      <x:c r="C704" s="137" t="str">
        <x:v>PER ORDER (V/L)</x:v>
      </x:c>
      <x:c r="D704" s="137" t="str">
        <x:v>7X10S</x:v>
      </x:c>
      <x:c r="E704" s="137" t="str">
        <x:v>STITCHING</x:v>
      </x:c>
      <x:c r="F704" s="137" t="str">
        <x:v>VELCRO 25 MM LOOP||MTR</x:v>
      </x:c>
      <x:c r="G704" s="137" t="str">
        <x:v>VELCRO 25 MM LOOP</x:v>
      </x:c>
      <x:c r="H704" s="137" t="str">
        <x:v>MTR</x:v>
      </x:c>
      <x:c r="I704" s="175" t="n">
        <x:v>0</x:v>
      </x:c>
      <x:c r="J704" s="176" t="str"/>
      <x:c r="K704" s="177" t="str"/>
      <x:c r="L704" s="178" t="str">
        <x:f>IF(J704="","",J704*(1+IF(K704="",0,K704)) )</x:f>
      </x:c>
      <x:c r="M704" s="138" t="str"/>
      <x:c r="N704" s="137" t="str">
        <x:v>Current model BOM seed</x:v>
      </x:c>
      <x:c r="O704" s="137" t="str"/>
      <x:c r="P704" s="137" t="str">
        <x:v>To Confirm</x:v>
      </x:c>
      <x:c r="Q704" s="137" t="str"/>
    </x:row>
    <x:row r="705">
      <x:c r="A705" s="137" t="str">
        <x:v>BOM-00701</x:v>
      </x:c>
      <x:c r="B705" s="137" t="str">
        <x:v>ARMOUR</x:v>
      </x:c>
      <x:c r="C705" s="137" t="str">
        <x:v>PER ORDER (V/L)</x:v>
      </x:c>
      <x:c r="D705" s="137" t="str">
        <x:v>7X10S</x:v>
      </x:c>
      <x:c r="E705" s="137" t="str">
        <x:v>STITCHING</x:v>
      </x:c>
      <x:c r="F705" s="137" t="str">
        <x:v>POLYESTER BINDING 12 MM||MTR</x:v>
      </x:c>
      <x:c r="G705" s="137" t="str">
        <x:v>POLYESTER BINDING 12 MM</x:v>
      </x:c>
      <x:c r="H705" s="137" t="str">
        <x:v>MTR</x:v>
      </x:c>
      <x:c r="I705" s="175" t="n">
        <x:v>0.03571429</x:v>
      </x:c>
      <x:c r="J705" s="176" t="str"/>
      <x:c r="K705" s="177" t="str"/>
      <x:c r="L705" s="178" t="str">
        <x:f>IF(J705="","",J705*(1+IF(K705="",0,K705)) )</x:f>
      </x:c>
      <x:c r="M705" s="138" t="str"/>
      <x:c r="N705" s="137" t="str">
        <x:v>Current model BOM seed</x:v>
      </x:c>
      <x:c r="O705" s="137" t="str"/>
      <x:c r="P705" s="137" t="str">
        <x:v>To Confirm</x:v>
      </x:c>
      <x:c r="Q705" s="137" t="str"/>
    </x:row>
    <x:row r="706">
      <x:c r="A706" s="137" t="str">
        <x:v>BOM-00702</x:v>
      </x:c>
      <x:c r="B706" s="137" t="str">
        <x:v>ARMOUR</x:v>
      </x:c>
      <x:c r="C706" s="137" t="str">
        <x:v>PER ORDER (V/L)</x:v>
      </x:c>
      <x:c r="D706" s="137" t="str">
        <x:v>7X10S</x:v>
      </x:c>
      <x:c r="E706" s="137" t="str">
        <x:v>STITCHING</x:v>
      </x:c>
      <x:c r="F706" s="137" t="str">
        <x:v>BACK TAPE 14 MM||MTR</x:v>
      </x:c>
      <x:c r="G706" s="137" t="str">
        <x:v>BACK TAPE 14 MM</x:v>
      </x:c>
      <x:c r="H706" s="137" t="str">
        <x:v>MTR</x:v>
      </x:c>
      <x:c r="I706" s="175" t="n">
        <x:v>0.125</x:v>
      </x:c>
      <x:c r="J706" s="176" t="str"/>
      <x:c r="K706" s="177" t="str"/>
      <x:c r="L706" s="178" t="str">
        <x:f>IF(J706="","",J706*(1+IF(K706="",0,K706)) )</x:f>
      </x:c>
      <x:c r="M706" s="138" t="str"/>
      <x:c r="N706" s="137" t="str">
        <x:v>Current model BOM seed</x:v>
      </x:c>
      <x:c r="O706" s="137" t="str"/>
      <x:c r="P706" s="137" t="str">
        <x:v>To Confirm</x:v>
      </x:c>
      <x:c r="Q706" s="137" t="str"/>
    </x:row>
    <x:row r="707">
      <x:c r="A707" s="137" t="str">
        <x:v>BOM-00703</x:v>
      </x:c>
      <x:c r="B707" s="137" t="str">
        <x:v>ARMOUR</x:v>
      </x:c>
      <x:c r="C707" s="137" t="str">
        <x:v>PER ORDER (V/L)</x:v>
      </x:c>
      <x:c r="D707" s="137" t="str">
        <x:v>11X1</x:v>
      </x:c>
      <x:c r="E707" s="137" t="str">
        <x:v>CUTTING</x:v>
      </x:c>
      <x:c r="F707" s="137" t="str">
        <x:v>REXINE 54"||MTR</x:v>
      </x:c>
      <x:c r="G707" s="137" t="str">
        <x:v>Rexine 54"</x:v>
      </x:c>
      <x:c r="H707" s="137" t="str">
        <x:v>MTR</x:v>
      </x:c>
      <x:c r="I707" s="175" t="n">
        <x:v>0.1033278</x:v>
      </x:c>
      <x:c r="J707" s="176" t="str"/>
      <x:c r="K707" s="177" t="str"/>
      <x:c r="L707" s="178" t="str">
        <x:f>IF(J707="","",J707*(1+IF(K707="",0,K707)) )</x:f>
      </x:c>
      <x:c r="M707" s="138" t="str"/>
      <x:c r="N707" s="137" t="str">
        <x:v>Current model BOM seed</x:v>
      </x:c>
      <x:c r="O707" s="137" t="str"/>
      <x:c r="P707" s="137" t="str">
        <x:v>To Confirm</x:v>
      </x:c>
      <x:c r="Q707" s="137" t="str"/>
    </x:row>
    <x:row r="708">
      <x:c r="A708" s="137" t="str">
        <x:v>BOM-00704</x:v>
      </x:c>
      <x:c r="B708" s="137" t="str">
        <x:v>ARMOUR</x:v>
      </x:c>
      <x:c r="C708" s="137" t="str">
        <x:v>PER ORDER (V/L)</x:v>
      </x:c>
      <x:c r="D708" s="137" t="str">
        <x:v>11X1</x:v>
      </x:c>
      <x:c r="E708" s="137" t="str">
        <x:v>CUTTING</x:v>
      </x:c>
      <x:c r="F708" s="137" t="str">
        <x:v>MESH 58"||MTR</x:v>
      </x:c>
      <x:c r="G708" s="137" t="str">
        <x:v>Mesh 58"</x:v>
      </x:c>
      <x:c r="H708" s="137" t="str">
        <x:v>MTR</x:v>
      </x:c>
      <x:c r="I708" s="175" t="n">
        <x:v>0.05714286</x:v>
      </x:c>
      <x:c r="J708" s="176" t="str"/>
      <x:c r="K708" s="177" t="str"/>
      <x:c r="L708" s="178" t="str">
        <x:f>IF(J708="","",J708*(1+IF(K708="",0,K708)) )</x:f>
      </x:c>
      <x:c r="M708" s="138" t="str"/>
      <x:c r="N708" s="137" t="str">
        <x:v>Current model BOM seed</x:v>
      </x:c>
      <x:c r="O708" s="137" t="str"/>
      <x:c r="P708" s="137" t="str">
        <x:v>To Confirm</x:v>
      </x:c>
      <x:c r="Q708" s="137" t="str"/>
    </x:row>
    <x:row r="709">
      <x:c r="A709" s="137" t="str">
        <x:v>BOM-00705</x:v>
      </x:c>
      <x:c r="B709" s="137" t="str">
        <x:v>ARMOUR</x:v>
      </x:c>
      <x:c r="C709" s="137" t="str">
        <x:v>PER ORDER (V/L)</x:v>
      </x:c>
      <x:c r="D709" s="137" t="str">
        <x:v>11X1</x:v>
      </x:c>
      <x:c r="E709" s="137" t="str">
        <x:v>CUTTING</x:v>
      </x:c>
      <x:c r="F709" s="137" t="str">
        <x:v>SKINFIT 60"||MTR</x:v>
      </x:c>
      <x:c r="G709" s="137" t="str">
        <x:v>Skinfit 60"</x:v>
      </x:c>
      <x:c r="H709" s="137" t="str">
        <x:v>MTR</x:v>
      </x:c>
      <x:c r="I709" s="175" t="n">
        <x:v>0.09023285</x:v>
      </x:c>
      <x:c r="J709" s="176" t="str"/>
      <x:c r="K709" s="177" t="str"/>
      <x:c r="L709" s="178" t="str">
        <x:f>IF(J709="","",J709*(1+IF(K709="",0,K709)) )</x:f>
      </x:c>
      <x:c r="M709" s="138" t="str"/>
      <x:c r="N709" s="137" t="str">
        <x:v>Current model BOM seed</x:v>
      </x:c>
      <x:c r="O709" s="137" t="str"/>
      <x:c r="P709" s="137" t="str">
        <x:v>To Confirm</x:v>
      </x:c>
      <x:c r="Q709" s="137" t="str"/>
    </x:row>
    <x:row r="710">
      <x:c r="A710" s="137" t="str">
        <x:v>BOM-00706</x:v>
      </x:c>
      <x:c r="B710" s="137" t="str">
        <x:v>ARMOUR</x:v>
      </x:c>
      <x:c r="C710" s="137" t="str">
        <x:v>PER ORDER (V/L)</x:v>
      </x:c>
      <x:c r="D710" s="137" t="str">
        <x:v>11X1</x:v>
      </x:c>
      <x:c r="E710" s="137" t="str">
        <x:v>CUTTING</x:v>
      </x:c>
      <x:c r="F710" s="137" t="str">
        <x:v>SHEET 20MM||SHEET</x:v>
      </x:c>
      <x:c r="G710" s="137" t="str">
        <x:v>Sheet 20Mm</x:v>
      </x:c>
      <x:c r="H710" s="137" t="str">
        <x:v>SHEET</x:v>
      </x:c>
      <x:c r="I710" s="175" t="n">
        <x:v>0.01</x:v>
      </x:c>
      <x:c r="J710" s="176" t="str"/>
      <x:c r="K710" s="177" t="str"/>
      <x:c r="L710" s="178" t="str">
        <x:f>IF(J710="","",J710*(1+IF(K710="",0,K710)) )</x:f>
      </x:c>
      <x:c r="M710" s="138" t="str"/>
      <x:c r="N710" s="137" t="str">
        <x:v>Current model BOM seed</x:v>
      </x:c>
      <x:c r="O710" s="137" t="str"/>
      <x:c r="P710" s="137" t="str">
        <x:v>To Confirm</x:v>
      </x:c>
      <x:c r="Q710" s="137" t="str"/>
    </x:row>
    <x:row r="711">
      <x:c r="A711" s="137" t="str">
        <x:v>BOM-00707</x:v>
      </x:c>
      <x:c r="B711" s="137" t="str">
        <x:v>ARMOUR</x:v>
      </x:c>
      <x:c r="C711" s="137" t="str">
        <x:v>PER ORDER (V/L)</x:v>
      </x:c>
      <x:c r="D711" s="137" t="str">
        <x:v>11X1</x:v>
      </x:c>
      <x:c r="E711" s="137" t="str">
        <x:v>CUTTING</x:v>
      </x:c>
      <x:c r="F711" s="137" t="str">
        <x:v>SHEET 10MM||SHEET</x:v>
      </x:c>
      <x:c r="G711" s="137" t="str">
        <x:v>Sheet 10Mm</x:v>
      </x:c>
      <x:c r="H711" s="137" t="str">
        <x:v>SHEET</x:v>
      </x:c>
      <x:c r="I711" s="175" t="n">
        <x:v>0.0125</x:v>
      </x:c>
      <x:c r="J711" s="176" t="str"/>
      <x:c r="K711" s="177" t="str"/>
      <x:c r="L711" s="178" t="str">
        <x:f>IF(J711="","",J711*(1+IF(K711="",0,K711)) )</x:f>
      </x:c>
      <x:c r="M711" s="138" t="str"/>
      <x:c r="N711" s="137" t="str">
        <x:v>Current model BOM seed</x:v>
      </x:c>
      <x:c r="O711" s="137" t="str"/>
      <x:c r="P711" s="137" t="str">
        <x:v>To Confirm</x:v>
      </x:c>
      <x:c r="Q711" s="137" t="str"/>
    </x:row>
    <x:row r="712">
      <x:c r="A712" s="137" t="str">
        <x:v>BOM-00708</x:v>
      </x:c>
      <x:c r="B712" s="137" t="str">
        <x:v>ARMOUR</x:v>
      </x:c>
      <x:c r="C712" s="137" t="str">
        <x:v>PER ORDER (V/L)</x:v>
      </x:c>
      <x:c r="D712" s="137" t="str">
        <x:v>11X1</x:v>
      </x:c>
      <x:c r="E712" s="137" t="str">
        <x:v>CUTTING</x:v>
      </x:c>
      <x:c r="F712" s="137" t="str">
        <x:v>SHEET 1.4MM||SHEET</x:v>
      </x:c>
      <x:c r="G712" s="137" t="str">
        <x:v>Sheet 1.4Mm</x:v>
      </x:c>
      <x:c r="H712" s="137" t="str">
        <x:v>SHEET</x:v>
      </x:c>
      <x:c r="I712" s="175" t="n">
        <x:v>0.03740171</x:v>
      </x:c>
      <x:c r="J712" s="176" t="str"/>
      <x:c r="K712" s="177" t="str"/>
      <x:c r="L712" s="178" t="str">
        <x:f>IF(J712="","",J712*(1+IF(K712="",0,K712)) )</x:f>
      </x:c>
      <x:c r="M712" s="138" t="str"/>
      <x:c r="N712" s="137" t="str">
        <x:v>Current model BOM seed</x:v>
      </x:c>
      <x:c r="O712" s="137" t="str"/>
      <x:c r="P712" s="137" t="str">
        <x:v>To Confirm</x:v>
      </x:c>
      <x:c r="Q712" s="137" t="str"/>
    </x:row>
    <x:row r="713">
      <x:c r="A713" s="137" t="str">
        <x:v>BOM-00709</x:v>
      </x:c>
      <x:c r="B713" s="137" t="str">
        <x:v>ARMOUR</x:v>
      </x:c>
      <x:c r="C713" s="137" t="str">
        <x:v>PER ORDER (V/L)</x:v>
      </x:c>
      <x:c r="D713" s="137" t="str">
        <x:v>11X1</x:v>
      </x:c>
      <x:c r="E713" s="137" t="str">
        <x:v>CUTTING</x:v>
      </x:c>
      <x:c r="F713" s="137" t="str">
        <x:v>SHEET 0.8MM||SHEET</x:v>
      </x:c>
      <x:c r="G713" s="137" t="str">
        <x:v>Sheet 0.8Mm</x:v>
      </x:c>
      <x:c r="H713" s="137" t="str">
        <x:v>SHEET</x:v>
      </x:c>
      <x:c r="I713" s="175" t="n">
        <x:v>0.0082713</x:v>
      </x:c>
      <x:c r="J713" s="176" t="str"/>
      <x:c r="K713" s="177" t="str"/>
      <x:c r="L713" s="178" t="str">
        <x:f>IF(J713="","",J713*(1+IF(K713="",0,K713)) )</x:f>
      </x:c>
      <x:c r="M713" s="138" t="str"/>
      <x:c r="N713" s="137" t="str">
        <x:v>Current model BOM seed</x:v>
      </x:c>
      <x:c r="O713" s="137" t="str"/>
      <x:c r="P713" s="137" t="str">
        <x:v>To Confirm</x:v>
      </x:c>
      <x:c r="Q713" s="137" t="str"/>
    </x:row>
    <x:row r="714">
      <x:c r="A714" s="137" t="str">
        <x:v>BOM-00710</x:v>
      </x:c>
      <x:c r="B714" s="137" t="str">
        <x:v>ARMOUR</x:v>
      </x:c>
      <x:c r="C714" s="137" t="str">
        <x:v>PER ORDER (V/L)</x:v>
      </x:c>
      <x:c r="D714" s="137" t="str">
        <x:v>11X1</x:v>
      </x:c>
      <x:c r="E714" s="137" t="str">
        <x:v>CUTTING</x:v>
      </x:c>
      <x:c r="F714" s="137" t="str">
        <x:v>INSOLE||PAIR</x:v>
      </x:c>
      <x:c r="G714" s="137" t="str">
        <x:v>INSOLE</x:v>
      </x:c>
      <x:c r="H714" s="137" t="str">
        <x:v>PAIR</x:v>
      </x:c>
      <x:c r="I714" s="175" t="n">
        <x:v>2</x:v>
      </x:c>
      <x:c r="J714" s="176" t="str"/>
      <x:c r="K714" s="177" t="str"/>
      <x:c r="L714" s="178" t="str">
        <x:f>IF(J714="","",J714*(1+IF(K714="",0,K714)) )</x:f>
      </x:c>
      <x:c r="M714" s="138" t="str"/>
      <x:c r="N714" s="137" t="str">
        <x:v>Current model BOM seed</x:v>
      </x:c>
      <x:c r="O714" s="137" t="str"/>
      <x:c r="P714" s="137" t="str">
        <x:v>To Confirm</x:v>
      </x:c>
      <x:c r="Q714" s="137" t="str"/>
    </x:row>
    <x:row r="715">
      <x:c r="A715" s="137" t="str">
        <x:v>BOM-00711</x:v>
      </x:c>
      <x:c r="B715" s="137" t="str">
        <x:v>ARMOUR</x:v>
      </x:c>
      <x:c r="C715" s="137" t="str">
        <x:v>PER ORDER (V/L)</x:v>
      </x:c>
      <x:c r="D715" s="137" t="str">
        <x:v>11X1</x:v>
      </x:c>
      <x:c r="E715" s="137" t="str">
        <x:v>MOLDING</x:v>
      </x:c>
      <x:c r="F715" s="137" t="str">
        <x:v>SOLE 1231 EVA||PAIR</x:v>
      </x:c>
      <x:c r="G715" s="137" t="str">
        <x:v>Sole 1231 EVA</x:v>
      </x:c>
      <x:c r="H715" s="137" t="str">
        <x:v>PAIR</x:v>
      </x:c>
      <x:c r="I715" s="175" t="n">
        <x:v>2</x:v>
      </x:c>
      <x:c r="J715" s="176" t="str"/>
      <x:c r="K715" s="177" t="str"/>
      <x:c r="L715" s="178" t="str">
        <x:f>IF(J715="","",J715*(1+IF(K715="",0,K715)) )</x:f>
      </x:c>
      <x:c r="M715" s="138" t="str"/>
      <x:c r="N715" s="137" t="str">
        <x:v>Current model BOM seed</x:v>
      </x:c>
      <x:c r="O715" s="137" t="str"/>
      <x:c r="P715" s="137" t="str">
        <x:v>To Confirm</x:v>
      </x:c>
      <x:c r="Q715" s="137" t="str"/>
    </x:row>
    <x:row r="716">
      <x:c r="A716" s="137" t="str">
        <x:v>BOM-00712</x:v>
      </x:c>
      <x:c r="B716" s="137" t="str">
        <x:v>ARMOUR</x:v>
      </x:c>
      <x:c r="C716" s="137" t="str">
        <x:v>PER ORDER (V/L)</x:v>
      </x:c>
      <x:c r="D716" s="137" t="str">
        <x:v>11X1</x:v>
      </x:c>
      <x:c r="E716" s="137" t="str">
        <x:v>PACKING</x:v>
      </x:c>
      <x:c r="F716" s="137" t="str">
        <x:v>TISSUE PAPER||PCS</x:v>
      </x:c>
      <x:c r="G716" s="137" t="str">
        <x:v>Tissue Paper</x:v>
      </x:c>
      <x:c r="H716" s="137" t="str">
        <x:v>PCS</x:v>
      </x:c>
      <x:c r="I716" s="175" t="n">
        <x:v>0.25</x:v>
      </x:c>
      <x:c r="J716" s="176" t="str"/>
      <x:c r="K716" s="177" t="str"/>
      <x:c r="L716" s="178" t="str">
        <x:f>IF(J716="","",J716*(1+IF(K716="",0,K716)) )</x:f>
      </x:c>
      <x:c r="M716" s="138" t="str"/>
      <x:c r="N716" s="137" t="str">
        <x:v>Current model BOM seed</x:v>
      </x:c>
      <x:c r="O716" s="137" t="str"/>
      <x:c r="P716" s="137" t="str">
        <x:v>To Confirm</x:v>
      </x:c>
      <x:c r="Q716" s="137" t="str"/>
    </x:row>
    <x:row r="717">
      <x:c r="A717" s="137" t="str">
        <x:v>BOM-00713</x:v>
      </x:c>
      <x:c r="B717" s="137" t="str">
        <x:v>ARMOUR</x:v>
      </x:c>
      <x:c r="C717" s="137" t="str">
        <x:v>PER ORDER (V/L)</x:v>
      </x:c>
      <x:c r="D717" s="137" t="str">
        <x:v>11X1</x:v>
      </x:c>
      <x:c r="E717" s="137" t="str">
        <x:v>PACKING</x:v>
      </x:c>
      <x:c r="F717" s="137" t="str">
        <x:v>SHOE SHINER||GRAM</x:v>
      </x:c>
      <x:c r="G717" s="137" t="str">
        <x:v>Shoe Shiner</x:v>
      </x:c>
      <x:c r="H717" s="137" t="str">
        <x:v>GRAM</x:v>
      </x:c>
      <x:c r="I717" s="175" t="n">
        <x:v>0.06666667</x:v>
      </x:c>
      <x:c r="J717" s="176" t="str"/>
      <x:c r="K717" s="177" t="str"/>
      <x:c r="L717" s="178" t="str">
        <x:f>IF(J717="","",J717*(1+IF(K717="",0,K717)) )</x:f>
      </x:c>
      <x:c r="M717" s="138" t="str"/>
      <x:c r="N717" s="137" t="str">
        <x:v>Current model BOM seed</x:v>
      </x:c>
      <x:c r="O717" s="137" t="str"/>
      <x:c r="P717" s="137" t="str">
        <x:v>To Confirm</x:v>
      </x:c>
      <x:c r="Q717" s="137" t="str"/>
    </x:row>
    <x:row r="718">
      <x:c r="A718" s="137" t="str">
        <x:v>BOM-00714</x:v>
      </x:c>
      <x:c r="B718" s="137" t="str">
        <x:v>ARMOUR</x:v>
      </x:c>
      <x:c r="C718" s="137" t="str">
        <x:v>PER ORDER (V/L)</x:v>
      </x:c>
      <x:c r="D718" s="137" t="str">
        <x:v>11X1</x:v>
      </x:c>
      <x:c r="E718" s="137" t="str">
        <x:v>PACKING</x:v>
      </x:c>
      <x:c r="F718" s="137" t="str">
        <x:v>EMYLE||GRAM</x:v>
      </x:c>
      <x:c r="G718" s="137" t="str">
        <x:v>EMYLE</x:v>
      </x:c>
      <x:c r="H718" s="137" t="str">
        <x:v>GRAM</x:v>
      </x:c>
      <x:c r="I718" s="175" t="n">
        <x:v>0.07142857</x:v>
      </x:c>
      <x:c r="J718" s="176" t="str"/>
      <x:c r="K718" s="177" t="str"/>
      <x:c r="L718" s="178" t="str">
        <x:f>IF(J718="","",J718*(1+IF(K718="",0,K718)) )</x:f>
      </x:c>
      <x:c r="M718" s="138" t="str"/>
      <x:c r="N718" s="137" t="str">
        <x:v>Current model BOM seed</x:v>
      </x:c>
      <x:c r="O718" s="137" t="str"/>
      <x:c r="P718" s="137" t="str">
        <x:v>To Confirm</x:v>
      </x:c>
      <x:c r="Q718" s="137" t="str"/>
    </x:row>
    <x:row r="719">
      <x:c r="A719" s="137" t="str">
        <x:v>BOM-00715</x:v>
      </x:c>
      <x:c r="B719" s="137" t="str">
        <x:v>ARMOUR</x:v>
      </x:c>
      <x:c r="C719" s="137" t="str">
        <x:v>PER ORDER (V/L)</x:v>
      </x:c>
      <x:c r="D719" s="137" t="str">
        <x:v>11X1</x:v>
      </x:c>
      <x:c r="E719" s="137" t="str">
        <x:v>PACKING</x:v>
      </x:c>
      <x:c r="F719" s="137" t="str">
        <x:v>TAG PIN||PCS</x:v>
      </x:c>
      <x:c r="G719" s="137" t="str">
        <x:v>Tag Pin</x:v>
      </x:c>
      <x:c r="H719" s="137" t="str">
        <x:v>PCS</x:v>
      </x:c>
      <x:c r="I719" s="175" t="n">
        <x:v>1</x:v>
      </x:c>
      <x:c r="J719" s="176" t="str"/>
      <x:c r="K719" s="177" t="str"/>
      <x:c r="L719" s="178" t="str">
        <x:f>IF(J719="","",J719*(1+IF(K719="",0,K719)) )</x:f>
      </x:c>
      <x:c r="M719" s="138" t="str"/>
      <x:c r="N719" s="137" t="str">
        <x:v>Current model BOM seed</x:v>
      </x:c>
      <x:c r="O719" s="137" t="str"/>
      <x:c r="P719" s="137" t="str">
        <x:v>To Confirm</x:v>
      </x:c>
      <x:c r="Q719" s="137" t="str"/>
    </x:row>
    <x:row r="720">
      <x:c r="A720" s="137" t="str">
        <x:v>BOM-00716</x:v>
      </x:c>
      <x:c r="B720" s="137" t="str">
        <x:v>ARMOUR</x:v>
      </x:c>
      <x:c r="C720" s="137" t="str">
        <x:v>PER ORDER (V/L)</x:v>
      </x:c>
      <x:c r="D720" s="137" t="str">
        <x:v>11X1</x:v>
      </x:c>
      <x:c r="E720" s="137" t="str">
        <x:v>PACKING</x:v>
      </x:c>
      <x:c r="F720" s="137" t="str">
        <x:v>TAG CARD||PCS</x:v>
      </x:c>
      <x:c r="G720" s="137" t="str">
        <x:v>Tag Card</x:v>
      </x:c>
      <x:c r="H720" s="137" t="str">
        <x:v>PCS</x:v>
      </x:c>
      <x:c r="I720" s="175" t="n">
        <x:v>1</x:v>
      </x:c>
      <x:c r="J720" s="176" t="str"/>
      <x:c r="K720" s="177" t="str"/>
      <x:c r="L720" s="178" t="str">
        <x:f>IF(J720="","",J720*(1+IF(K720="",0,K720)) )</x:f>
      </x:c>
      <x:c r="M720" s="138" t="str"/>
      <x:c r="N720" s="137" t="str">
        <x:v>Current model BOM seed</x:v>
      </x:c>
      <x:c r="O720" s="137" t="str"/>
      <x:c r="P720" s="137" t="str">
        <x:v>To Confirm</x:v>
      </x:c>
      <x:c r="Q720" s="137" t="str"/>
    </x:row>
    <x:row r="721">
      <x:c r="A721" s="137" t="str">
        <x:v>BOM-00717</x:v>
      </x:c>
      <x:c r="B721" s="137" t="str">
        <x:v>ARMOUR</x:v>
      </x:c>
      <x:c r="C721" s="137" t="str">
        <x:v>PER ORDER (V/L)</x:v>
      </x:c>
      <x:c r="D721" s="137" t="str">
        <x:v>11X1</x:v>
      </x:c>
      <x:c r="E721" s="137" t="str">
        <x:v>PACKING</x:v>
      </x:c>
      <x:c r="F721" s="137" t="str">
        <x:v>WRAPING PAPER||PCS</x:v>
      </x:c>
      <x:c r="G721" s="137" t="str">
        <x:v>Wraping Paper</x:v>
      </x:c>
      <x:c r="H721" s="137" t="str">
        <x:v>PCS</x:v>
      </x:c>
      <x:c r="I721" s="175" t="n">
        <x:v>1</x:v>
      </x:c>
      <x:c r="J721" s="176" t="str"/>
      <x:c r="K721" s="177" t="str"/>
      <x:c r="L721" s="178" t="str">
        <x:f>IF(J721="","",J721*(1+IF(K721="",0,K721)) )</x:f>
      </x:c>
      <x:c r="M721" s="138" t="str"/>
      <x:c r="N721" s="137" t="str">
        <x:v>Current model BOM seed</x:v>
      </x:c>
      <x:c r="O721" s="137" t="str"/>
      <x:c r="P721" s="137" t="str">
        <x:v>To Confirm</x:v>
      </x:c>
      <x:c r="Q721" s="137" t="str"/>
    </x:row>
    <x:row r="722">
      <x:c r="A722" s="137" t="str">
        <x:v>BOM-00718</x:v>
      </x:c>
      <x:c r="B722" s="137" t="str">
        <x:v>ARMOUR</x:v>
      </x:c>
      <x:c r="C722" s="137" t="str">
        <x:v>PER ORDER (V/L)</x:v>
      </x:c>
      <x:c r="D722" s="137" t="str">
        <x:v>11X1</x:v>
      </x:c>
      <x:c r="E722" s="137" t="str">
        <x:v>PACKING</x:v>
      </x:c>
      <x:c r="F722" s="137" t="str">
        <x:v>INNER||PCS</x:v>
      </x:c>
      <x:c r="G722" s="137" t="str">
        <x:v>INNER</x:v>
      </x:c>
      <x:c r="H722" s="137" t="str">
        <x:v>PCS</x:v>
      </x:c>
      <x:c r="I722" s="175" t="n">
        <x:v>1</x:v>
      </x:c>
      <x:c r="J722" s="176" t="str"/>
      <x:c r="K722" s="177" t="str"/>
      <x:c r="L722" s="178" t="str">
        <x:f>IF(J722="","",J722*(1+IF(K722="",0,K722)) )</x:f>
      </x:c>
      <x:c r="M722" s="138" t="str"/>
      <x:c r="N722" s="137" t="str">
        <x:v>Current model BOM seed</x:v>
      </x:c>
      <x:c r="O722" s="137" t="str"/>
      <x:c r="P722" s="137" t="str">
        <x:v>To Confirm</x:v>
      </x:c>
      <x:c r="Q722" s="137" t="str"/>
    </x:row>
    <x:row r="723">
      <x:c r="A723" s="137" t="str">
        <x:v>BOM-00719</x:v>
      </x:c>
      <x:c r="B723" s="137" t="str">
        <x:v>ARMOUR</x:v>
      </x:c>
      <x:c r="C723" s="137" t="str">
        <x:v>PER ORDER (V/L)</x:v>
      </x:c>
      <x:c r="D723" s="137" t="str">
        <x:v>11X1</x:v>
      </x:c>
      <x:c r="E723" s="137" t="str">
        <x:v>PACKING</x:v>
      </x:c>
      <x:c r="F723" s="137" t="str">
        <x:v>BARCODE STICKER||PCS</x:v>
      </x:c>
      <x:c r="G723" s="137" t="str">
        <x:v>Barcode Sticker</x:v>
      </x:c>
      <x:c r="H723" s="137" t="str">
        <x:v>PCS</x:v>
      </x:c>
      <x:c r="I723" s="175" t="n">
        <x:v>1</x:v>
      </x:c>
      <x:c r="J723" s="176" t="str"/>
      <x:c r="K723" s="177" t="str"/>
      <x:c r="L723" s="178" t="str">
        <x:f>IF(J723="","",J723*(1+IF(K723="",0,K723)) )</x:f>
      </x:c>
      <x:c r="M723" s="138" t="str"/>
      <x:c r="N723" s="137" t="str">
        <x:v>Current model BOM seed</x:v>
      </x:c>
      <x:c r="O723" s="137" t="str"/>
      <x:c r="P723" s="137" t="str">
        <x:v>To Confirm</x:v>
      </x:c>
      <x:c r="Q723" s="137" t="str"/>
    </x:row>
    <x:row r="724">
      <x:c r="A724" s="137" t="str">
        <x:v>BOM-00720</x:v>
      </x:c>
      <x:c r="B724" s="137" t="str">
        <x:v>ARMOUR</x:v>
      </x:c>
      <x:c r="C724" s="137" t="str">
        <x:v>PER ORDER (V/L)</x:v>
      </x:c>
      <x:c r="D724" s="137" t="str">
        <x:v>11X1</x:v>
      </x:c>
      <x:c r="E724" s="137" t="str">
        <x:v>PACKING</x:v>
      </x:c>
      <x:c r="F724" s="137" t="str">
        <x:v>CTN TAPE (1 CTN)||MTR</x:v>
      </x:c>
      <x:c r="G724" s="137" t="str">
        <x:v>Ctn Tape (1 Ctn)</x:v>
      </x:c>
      <x:c r="H724" s="137" t="str">
        <x:v>MTR</x:v>
      </x:c>
      <x:c r="I724" s="175" t="n">
        <x:v>0.5</x:v>
      </x:c>
      <x:c r="J724" s="176" t="str"/>
      <x:c r="K724" s="177" t="str"/>
      <x:c r="L724" s="178" t="str">
        <x:f>IF(J724="","",J724*(1+IF(K724="",0,K724)) )</x:f>
      </x:c>
      <x:c r="M724" s="138" t="str"/>
      <x:c r="N724" s="137" t="str">
        <x:v>Current model BOM seed</x:v>
      </x:c>
      <x:c r="O724" s="137" t="str"/>
      <x:c r="P724" s="137" t="str">
        <x:v>To Confirm</x:v>
      </x:c>
      <x:c r="Q724" s="137" t="str"/>
    </x:row>
    <x:row r="725">
      <x:c r="A725" s="137" t="str">
        <x:v>BOM-00721</x:v>
      </x:c>
      <x:c r="B725" s="137" t="str">
        <x:v>ARMOUR</x:v>
      </x:c>
      <x:c r="C725" s="137" t="str">
        <x:v>PER ORDER (V/L)</x:v>
      </x:c>
      <x:c r="D725" s="137" t="str">
        <x:v>11X1</x:v>
      </x:c>
      <x:c r="E725" s="137" t="str">
        <x:v>PACKING</x:v>
      </x:c>
      <x:c r="F725" s="137" t="str">
        <x:v>STRAPING ROLL (1CTN)||MTR</x:v>
      </x:c>
      <x:c r="G725" s="137" t="str">
        <x:v>Straping Roll (1Ctn)</x:v>
      </x:c>
      <x:c r="H725" s="137" t="str">
        <x:v>MTR</x:v>
      </x:c>
      <x:c r="I725" s="175" t="n">
        <x:v>0.25</x:v>
      </x:c>
      <x:c r="J725" s="176" t="str"/>
      <x:c r="K725" s="177" t="str"/>
      <x:c r="L725" s="178" t="str">
        <x:f>IF(J725="","",J725*(1+IF(K725="",0,K725)) )</x:f>
      </x:c>
      <x:c r="M725" s="138" t="str"/>
      <x:c r="N725" s="137" t="str">
        <x:v>Current model BOM seed</x:v>
      </x:c>
      <x:c r="O725" s="137" t="str"/>
      <x:c r="P725" s="137" t="str">
        <x:v>To Confirm</x:v>
      </x:c>
      <x:c r="Q725" s="137" t="str"/>
    </x:row>
    <x:row r="726">
      <x:c r="A726" s="137" t="str">
        <x:v>BOM-00722</x:v>
      </x:c>
      <x:c r="B726" s="137" t="str">
        <x:v>ARMOUR</x:v>
      </x:c>
      <x:c r="C726" s="137" t="str">
        <x:v>PER ORDER (V/L)</x:v>
      </x:c>
      <x:c r="D726" s="137" t="str">
        <x:v>11X1</x:v>
      </x:c>
      <x:c r="E726" s="137" t="str">
        <x:v>STITCHING</x:v>
      </x:c>
      <x:c r="F726" s="137" t="str">
        <x:v>THREAD 3 PLY||MTR</x:v>
      </x:c>
      <x:c r="G726" s="137" t="str">
        <x:v>Thread 3 Ply</x:v>
      </x:c>
      <x:c r="H726" s="137" t="str">
        <x:v>MTR</x:v>
      </x:c>
      <x:c r="I726" s="175" t="n">
        <x:v>24.59016393</x:v>
      </x:c>
      <x:c r="J726" s="176" t="str"/>
      <x:c r="K726" s="177" t="str"/>
      <x:c r="L726" s="178" t="str">
        <x:f>IF(J726="","",J726*(1+IF(K726="",0,K726)) )</x:f>
      </x:c>
      <x:c r="M726" s="138" t="str"/>
      <x:c r="N726" s="137" t="str">
        <x:v>Current model BOM seed</x:v>
      </x:c>
      <x:c r="O726" s="137" t="str"/>
      <x:c r="P726" s="137" t="str">
        <x:v>To Confirm</x:v>
      </x:c>
      <x:c r="Q726" s="137" t="str"/>
    </x:row>
    <x:row r="727">
      <x:c r="A727" s="137" t="str">
        <x:v>BOM-00723</x:v>
      </x:c>
      <x:c r="B727" s="137" t="str">
        <x:v>ARMOUR</x:v>
      </x:c>
      <x:c r="C727" s="137" t="str">
        <x:v>PER ORDER (V/L)</x:v>
      </x:c>
      <x:c r="D727" s="137" t="str">
        <x:v>11X1</x:v>
      </x:c>
      <x:c r="E727" s="137" t="str">
        <x:v>STITCHING</x:v>
      </x:c>
      <x:c r="F727" s="137" t="str">
        <x:v>SIZE LABEL||PCS</x:v>
      </x:c>
      <x:c r="G727" s="137" t="str">
        <x:v>SIZE LABEL</x:v>
      </x:c>
      <x:c r="H727" s="137" t="str">
        <x:v>PCS</x:v>
      </x:c>
      <x:c r="I727" s="175" t="n">
        <x:v>0.5</x:v>
      </x:c>
      <x:c r="J727" s="176" t="str"/>
      <x:c r="K727" s="177" t="str"/>
      <x:c r="L727" s="178" t="str">
        <x:f>IF(J727="","",J727*(1+IF(K727="",0,K727)) )</x:f>
      </x:c>
      <x:c r="M727" s="138" t="str"/>
      <x:c r="N727" s="137" t="str">
        <x:v>Current model BOM seed</x:v>
      </x:c>
      <x:c r="O727" s="137" t="str"/>
      <x:c r="P727" s="137" t="str">
        <x:v>To Confirm</x:v>
      </x:c>
      <x:c r="Q727" s="137" t="str"/>
    </x:row>
    <x:row r="728">
      <x:c r="A728" s="137" t="str">
        <x:v>BOM-00724</x:v>
      </x:c>
      <x:c r="B728" s="137" t="str">
        <x:v>ARMOUR</x:v>
      </x:c>
      <x:c r="C728" s="137" t="str">
        <x:v>PER ORDER (V/L)</x:v>
      </x:c>
      <x:c r="D728" s="137" t="str">
        <x:v>11X1</x:v>
      </x:c>
      <x:c r="E728" s="137" t="str">
        <x:v>STITCHING</x:v>
      </x:c>
      <x:c r="F728" s="137" t="str">
        <x:v>TOUNG LABEL SNEAKER||PCS</x:v>
      </x:c>
      <x:c r="G728" s="137" t="str">
        <x:v>TOUNG LABEL SNEAKER</x:v>
      </x:c>
      <x:c r="H728" s="137" t="str">
        <x:v>PCS</x:v>
      </x:c>
      <x:c r="I728" s="175" t="n">
        <x:v>0.5</x:v>
      </x:c>
      <x:c r="J728" s="176" t="str"/>
      <x:c r="K728" s="177" t="str"/>
      <x:c r="L728" s="178" t="str">
        <x:f>IF(J728="","",J728*(1+IF(K728="",0,K728)) )</x:f>
      </x:c>
      <x:c r="M728" s="138" t="str"/>
      <x:c r="N728" s="137" t="str">
        <x:v>Current model BOM seed</x:v>
      </x:c>
      <x:c r="O728" s="137" t="str"/>
      <x:c r="P728" s="137" t="str">
        <x:v>To Confirm</x:v>
      </x:c>
      <x:c r="Q728" s="137" t="str"/>
    </x:row>
    <x:row r="729">
      <x:c r="A729" s="137" t="str">
        <x:v>BOM-00725</x:v>
      </x:c>
      <x:c r="B729" s="137" t="str">
        <x:v>ARMOUR</x:v>
      </x:c>
      <x:c r="C729" s="137" t="str">
        <x:v>PER ORDER (V/L)</x:v>
      </x:c>
      <x:c r="D729" s="137" t="str">
        <x:v>11X1</x:v>
      </x:c>
      <x:c r="E729" s="137" t="str">
        <x:v>STITCHING</x:v>
      </x:c>
      <x:c r="F729" s="137" t="str">
        <x:v>PF-48||PCS</x:v>
      </x:c>
      <x:c r="G729" s="137" t="str">
        <x:v>PF-48</x:v>
      </x:c>
      <x:c r="H729" s="137" t="str">
        <x:v>PCS</x:v>
      </x:c>
      <x:c r="I729" s="175" t="n">
        <x:v>0.25</x:v>
      </x:c>
      <x:c r="J729" s="176" t="str"/>
      <x:c r="K729" s="177" t="str"/>
      <x:c r="L729" s="178" t="str">
        <x:f>IF(J729="","",J729*(1+IF(K729="",0,K729)) )</x:f>
      </x:c>
      <x:c r="M729" s="138" t="str"/>
      <x:c r="N729" s="137" t="str">
        <x:v>Current model BOM seed</x:v>
      </x:c>
      <x:c r="O729" s="137" t="str"/>
      <x:c r="P729" s="137" t="str">
        <x:v>To Confirm</x:v>
      </x:c>
      <x:c r="Q729" s="137" t="str"/>
    </x:row>
    <x:row r="730">
      <x:c r="A730" s="137" t="str">
        <x:v>BOM-00726</x:v>
      </x:c>
      <x:c r="B730" s="137" t="str">
        <x:v>ARMOUR</x:v>
      </x:c>
      <x:c r="C730" s="137" t="str">
        <x:v>PER ORDER (V/L)</x:v>
      </x:c>
      <x:c r="D730" s="137" t="str">
        <x:v>11X1</x:v>
      </x:c>
      <x:c r="E730" s="137" t="str">
        <x:v>STITCHING</x:v>
      </x:c>
      <x:c r="F730" s="137" t="str">
        <x:v>PF-3||PCS</x:v>
      </x:c>
      <x:c r="G730" s="137" t="str">
        <x:v>PF-3</x:v>
      </x:c>
      <x:c r="H730" s="137" t="str">
        <x:v>PCS</x:v>
      </x:c>
      <x:c r="I730" s="175" t="n">
        <x:v>0</x:v>
      </x:c>
      <x:c r="J730" s="176" t="str"/>
      <x:c r="K730" s="177" t="str"/>
      <x:c r="L730" s="178" t="str">
        <x:f>IF(J730="","",J730*(1+IF(K730="",0,K730)) )</x:f>
      </x:c>
      <x:c r="M730" s="138" t="str"/>
      <x:c r="N730" s="137" t="str">
        <x:v>Current model BOM seed</x:v>
      </x:c>
      <x:c r="O730" s="137" t="str"/>
      <x:c r="P730" s="137" t="str">
        <x:v>To Confirm</x:v>
      </x:c>
      <x:c r="Q730" s="137" t="str"/>
    </x:row>
    <x:row r="731">
      <x:c r="A731" s="137" t="str">
        <x:v>BOM-00727</x:v>
      </x:c>
      <x:c r="B731" s="137" t="str">
        <x:v>ARMOUR</x:v>
      </x:c>
      <x:c r="C731" s="137" t="str">
        <x:v>PER ORDER (V/L)</x:v>
      </x:c>
      <x:c r="D731" s="137" t="str">
        <x:v>11X1</x:v>
      </x:c>
      <x:c r="E731" s="137" t="str">
        <x:v>STITCHING</x:v>
      </x:c>
      <x:c r="F731" s="137" t="str">
        <x:v>VELCRO 20 MM HOOK||MTR</x:v>
      </x:c>
      <x:c r="G731" s="137" t="str">
        <x:v>VELCRO 20 MM HOOK</x:v>
      </x:c>
      <x:c r="H731" s="137" t="str">
        <x:v>MTR</x:v>
      </x:c>
      <x:c r="I731" s="175" t="n">
        <x:v>0.03333333</x:v>
      </x:c>
      <x:c r="J731" s="176" t="str"/>
      <x:c r="K731" s="177" t="str"/>
      <x:c r="L731" s="178" t="str">
        <x:f>IF(J731="","",J731*(1+IF(K731="",0,K731)) )</x:f>
      </x:c>
      <x:c r="M731" s="138" t="str"/>
      <x:c r="N731" s="137" t="str">
        <x:v>Current model BOM seed</x:v>
      </x:c>
      <x:c r="O731" s="137" t="str"/>
      <x:c r="P731" s="137" t="str">
        <x:v>To Confirm</x:v>
      </x:c>
      <x:c r="Q731" s="137" t="str"/>
    </x:row>
    <x:row r="732">
      <x:c r="A732" s="137" t="str">
        <x:v>BOM-00728</x:v>
      </x:c>
      <x:c r="B732" s="137" t="str">
        <x:v>ARMOUR</x:v>
      </x:c>
      <x:c r="C732" s="137" t="str">
        <x:v>PER ORDER (V/L)</x:v>
      </x:c>
      <x:c r="D732" s="137" t="str">
        <x:v>11X1</x:v>
      </x:c>
      <x:c r="E732" s="137" t="str">
        <x:v>STITCHING</x:v>
      </x:c>
      <x:c r="F732" s="137" t="str">
        <x:v>VELCRO 20 MM LOOP||MTR</x:v>
      </x:c>
      <x:c r="G732" s="137" t="str">
        <x:v>VELCRO 20 MM LOOP</x:v>
      </x:c>
      <x:c r="H732" s="137" t="str">
        <x:v>MTR</x:v>
      </x:c>
      <x:c r="I732" s="175" t="n">
        <x:v>0.03333333</x:v>
      </x:c>
      <x:c r="J732" s="176" t="str"/>
      <x:c r="K732" s="177" t="str"/>
      <x:c r="L732" s="178" t="str">
        <x:f>IF(J732="","",J732*(1+IF(K732="",0,K732)) )</x:f>
      </x:c>
      <x:c r="M732" s="138" t="str"/>
      <x:c r="N732" s="137" t="str">
        <x:v>Current model BOM seed</x:v>
      </x:c>
      <x:c r="O732" s="137" t="str"/>
      <x:c r="P732" s="137" t="str">
        <x:v>To Confirm</x:v>
      </x:c>
      <x:c r="Q732" s="137" t="str"/>
    </x:row>
    <x:row r="733">
      <x:c r="A733" s="137" t="str">
        <x:v>BOM-00729</x:v>
      </x:c>
      <x:c r="B733" s="137" t="str">
        <x:v>ARMOUR</x:v>
      </x:c>
      <x:c r="C733" s="137" t="str">
        <x:v>PER ORDER (V/L)</x:v>
      </x:c>
      <x:c r="D733" s="137" t="str">
        <x:v>11X1</x:v>
      </x:c>
      <x:c r="E733" s="137" t="str">
        <x:v>STITCHING</x:v>
      </x:c>
      <x:c r="F733" s="137" t="str">
        <x:v>VELCRO 25 MM HOOK||MTR</x:v>
      </x:c>
      <x:c r="G733" s="137" t="str">
        <x:v>VELCRO 25 MM HOOK</x:v>
      </x:c>
      <x:c r="H733" s="137" t="str">
        <x:v>MTR</x:v>
      </x:c>
      <x:c r="I733" s="175" t="n">
        <x:v>0</x:v>
      </x:c>
      <x:c r="J733" s="176" t="str"/>
      <x:c r="K733" s="177" t="str"/>
      <x:c r="L733" s="178" t="str">
        <x:f>IF(J733="","",J733*(1+IF(K733="",0,K733)) )</x:f>
      </x:c>
      <x:c r="M733" s="138" t="str"/>
      <x:c r="N733" s="137" t="str">
        <x:v>Current model BOM seed</x:v>
      </x:c>
      <x:c r="O733" s="137" t="str"/>
      <x:c r="P733" s="137" t="str">
        <x:v>To Confirm</x:v>
      </x:c>
      <x:c r="Q733" s="137" t="str"/>
    </x:row>
    <x:row r="734">
      <x:c r="A734" s="137" t="str">
        <x:v>BOM-00730</x:v>
      </x:c>
      <x:c r="B734" s="137" t="str">
        <x:v>ARMOUR</x:v>
      </x:c>
      <x:c r="C734" s="137" t="str">
        <x:v>PER ORDER (V/L)</x:v>
      </x:c>
      <x:c r="D734" s="137" t="str">
        <x:v>11X1</x:v>
      </x:c>
      <x:c r="E734" s="137" t="str">
        <x:v>STITCHING</x:v>
      </x:c>
      <x:c r="F734" s="137" t="str">
        <x:v>VELCRO 25 MM LOOP||MTR</x:v>
      </x:c>
      <x:c r="G734" s="137" t="str">
        <x:v>VELCRO 25 MM LOOP</x:v>
      </x:c>
      <x:c r="H734" s="137" t="str">
        <x:v>MTR</x:v>
      </x:c>
      <x:c r="I734" s="175" t="n">
        <x:v>0</x:v>
      </x:c>
      <x:c r="J734" s="176" t="str"/>
      <x:c r="K734" s="177" t="str"/>
      <x:c r="L734" s="178" t="str">
        <x:f>IF(J734="","",J734*(1+IF(K734="",0,K734)) )</x:f>
      </x:c>
      <x:c r="M734" s="138" t="str"/>
      <x:c r="N734" s="137" t="str">
        <x:v>Current model BOM seed</x:v>
      </x:c>
      <x:c r="O734" s="137" t="str"/>
      <x:c r="P734" s="137" t="str">
        <x:v>To Confirm</x:v>
      </x:c>
      <x:c r="Q734" s="137" t="str"/>
    </x:row>
    <x:row r="735">
      <x:c r="A735" s="137" t="str">
        <x:v>BOM-00731</x:v>
      </x:c>
      <x:c r="B735" s="137" t="str">
        <x:v>ARMOUR</x:v>
      </x:c>
      <x:c r="C735" s="137" t="str">
        <x:v>PER ORDER (V/L)</x:v>
      </x:c>
      <x:c r="D735" s="137" t="str">
        <x:v>11X1</x:v>
      </x:c>
      <x:c r="E735" s="137" t="str">
        <x:v>STITCHING</x:v>
      </x:c>
      <x:c r="F735" s="137" t="str">
        <x:v>POLYESTER BINDING 12 MM||MTR</x:v>
      </x:c>
      <x:c r="G735" s="137" t="str">
        <x:v>POLYESTER BINDING 12 MM</x:v>
      </x:c>
      <x:c r="H735" s="137" t="str">
        <x:v>MTR</x:v>
      </x:c>
      <x:c r="I735" s="175" t="n">
        <x:v>0.03333333</x:v>
      </x:c>
      <x:c r="J735" s="176" t="str"/>
      <x:c r="K735" s="177" t="str"/>
      <x:c r="L735" s="178" t="str">
        <x:f>IF(J735="","",J735*(1+IF(K735="",0,K735)) )</x:f>
      </x:c>
      <x:c r="M735" s="138" t="str"/>
      <x:c r="N735" s="137" t="str">
        <x:v>Current model BOM seed</x:v>
      </x:c>
      <x:c r="O735" s="137" t="str"/>
      <x:c r="P735" s="137" t="str">
        <x:v>To Confirm</x:v>
      </x:c>
      <x:c r="Q735" s="137" t="str"/>
    </x:row>
    <x:row r="736">
      <x:c r="A736" s="137" t="str">
        <x:v>BOM-00732</x:v>
      </x:c>
      <x:c r="B736" s="137" t="str">
        <x:v>ARMOUR</x:v>
      </x:c>
      <x:c r="C736" s="137" t="str">
        <x:v>PER ORDER (V/L)</x:v>
      </x:c>
      <x:c r="D736" s="137" t="str">
        <x:v>11X1</x:v>
      </x:c>
      <x:c r="E736" s="137" t="str">
        <x:v>STITCHING</x:v>
      </x:c>
      <x:c r="F736" s="137" t="str">
        <x:v>BACK TAPE 14 MM||MTR</x:v>
      </x:c>
      <x:c r="G736" s="137" t="str">
        <x:v>BACK TAPE 14 MM</x:v>
      </x:c>
      <x:c r="H736" s="137" t="str">
        <x:v>MTR</x:v>
      </x:c>
      <x:c r="I736" s="175" t="n">
        <x:v>0.125</x:v>
      </x:c>
      <x:c r="J736" s="176" t="str"/>
      <x:c r="K736" s="177" t="str"/>
      <x:c r="L736" s="178" t="str">
        <x:f>IF(J736="","",J736*(1+IF(K736="",0,K736)) )</x:f>
      </x:c>
      <x:c r="M736" s="138" t="str"/>
      <x:c r="N736" s="137" t="str">
        <x:v>Current model BOM seed</x:v>
      </x:c>
      <x:c r="O736" s="137" t="str"/>
      <x:c r="P736" s="137" t="str">
        <x:v>To Confirm</x:v>
      </x:c>
      <x:c r="Q736" s="137" t="str"/>
    </x:row>
    <x:row r="737">
      <x:c r="A737" s="137" t="str">
        <x:v>BOM-00733</x:v>
      </x:c>
      <x:c r="B737" s="137" t="str">
        <x:v>ARMOUR</x:v>
      </x:c>
      <x:c r="C737" s="137" t="str">
        <x:v>PER ORDER (V/L)</x:v>
      </x:c>
      <x:c r="D737" s="137" t="str">
        <x:v>2X5</x:v>
      </x:c>
      <x:c r="E737" s="137" t="str">
        <x:v>CUTTING</x:v>
      </x:c>
      <x:c r="F737" s="137" t="str">
        <x:v>REXINE 54"||MTR</x:v>
      </x:c>
      <x:c r="G737" s="137" t="str">
        <x:v>Rexine 54"</x:v>
      </x:c>
      <x:c r="H737" s="137" t="str">
        <x:v>MTR</x:v>
      </x:c>
      <x:c r="I737" s="175" t="n">
        <x:v>0.12919084</x:v>
      </x:c>
      <x:c r="J737" s="176" t="str"/>
      <x:c r="K737" s="177" t="str"/>
      <x:c r="L737" s="178" t="str">
        <x:f>IF(J737="","",J737*(1+IF(K737="",0,K737)) )</x:f>
      </x:c>
      <x:c r="M737" s="138" t="str"/>
      <x:c r="N737" s="137" t="str">
        <x:v>Current model BOM seed</x:v>
      </x:c>
      <x:c r="O737" s="137" t="str"/>
      <x:c r="P737" s="137" t="str">
        <x:v>To Confirm</x:v>
      </x:c>
      <x:c r="Q737" s="137" t="str"/>
    </x:row>
    <x:row r="738">
      <x:c r="A738" s="137" t="str">
        <x:v>BOM-00734</x:v>
      </x:c>
      <x:c r="B738" s="137" t="str">
        <x:v>ARMOUR</x:v>
      </x:c>
      <x:c r="C738" s="137" t="str">
        <x:v>PER ORDER (V/L)</x:v>
      </x:c>
      <x:c r="D738" s="137" t="str">
        <x:v>2X5</x:v>
      </x:c>
      <x:c r="E738" s="137" t="str">
        <x:v>CUTTING</x:v>
      </x:c>
      <x:c r="F738" s="137" t="str">
        <x:v>MESH 58"||MTR</x:v>
      </x:c>
      <x:c r="G738" s="137" t="str">
        <x:v>Mesh 58"</x:v>
      </x:c>
      <x:c r="H738" s="137" t="str">
        <x:v>MTR</x:v>
      </x:c>
      <x:c r="I738" s="175" t="n">
        <x:v>0.06410256</x:v>
      </x:c>
      <x:c r="J738" s="176" t="str"/>
      <x:c r="K738" s="177" t="str"/>
      <x:c r="L738" s="178" t="str">
        <x:f>IF(J738="","",J738*(1+IF(K738="",0,K738)) )</x:f>
      </x:c>
      <x:c r="M738" s="138" t="str"/>
      <x:c r="N738" s="137" t="str">
        <x:v>Current model BOM seed</x:v>
      </x:c>
      <x:c r="O738" s="137" t="str"/>
      <x:c r="P738" s="137" t="str">
        <x:v>To Confirm</x:v>
      </x:c>
      <x:c r="Q738" s="137" t="str"/>
    </x:row>
    <x:row r="739">
      <x:c r="A739" s="137" t="str">
        <x:v>BOM-00735</x:v>
      </x:c>
      <x:c r="B739" s="137" t="str">
        <x:v>ARMOUR</x:v>
      </x:c>
      <x:c r="C739" s="137" t="str">
        <x:v>PER ORDER (V/L)</x:v>
      </x:c>
      <x:c r="D739" s="137" t="str">
        <x:v>2X5</x:v>
      </x:c>
      <x:c r="E739" s="137" t="str">
        <x:v>CUTTING</x:v>
      </x:c>
      <x:c r="F739" s="137" t="str">
        <x:v>SKINFIT 60"||MTR</x:v>
      </x:c>
      <x:c r="G739" s="137" t="str">
        <x:v>Skinfit 60"</x:v>
      </x:c>
      <x:c r="H739" s="137" t="str">
        <x:v>MTR</x:v>
      </x:c>
      <x:c r="I739" s="175" t="n">
        <x:v>0.12535496</x:v>
      </x:c>
      <x:c r="J739" s="176" t="str"/>
      <x:c r="K739" s="177" t="str"/>
      <x:c r="L739" s="178" t="str">
        <x:f>IF(J739="","",J739*(1+IF(K739="",0,K739)) )</x:f>
      </x:c>
      <x:c r="M739" s="138" t="str"/>
      <x:c r="N739" s="137" t="str">
        <x:v>Current model BOM seed</x:v>
      </x:c>
      <x:c r="O739" s="137" t="str"/>
      <x:c r="P739" s="137" t="str">
        <x:v>To Confirm</x:v>
      </x:c>
      <x:c r="Q739" s="137" t="str"/>
    </x:row>
    <x:row r="740">
      <x:c r="A740" s="137" t="str">
        <x:v>BOM-00736</x:v>
      </x:c>
      <x:c r="B740" s="137" t="str">
        <x:v>ARMOUR</x:v>
      </x:c>
      <x:c r="C740" s="137" t="str">
        <x:v>PER ORDER (V/L)</x:v>
      </x:c>
      <x:c r="D740" s="137" t="str">
        <x:v>2X5</x:v>
      </x:c>
      <x:c r="E740" s="137" t="str">
        <x:v>CUTTING</x:v>
      </x:c>
      <x:c r="F740" s="137" t="str">
        <x:v>SHEET 20MM||SHEET</x:v>
      </x:c>
      <x:c r="G740" s="137" t="str">
        <x:v>Sheet 20Mm</x:v>
      </x:c>
      <x:c r="H740" s="137" t="str">
        <x:v>SHEET</x:v>
      </x:c>
      <x:c r="I740" s="175" t="n">
        <x:v>0.01333333</x:v>
      </x:c>
      <x:c r="J740" s="176" t="str"/>
      <x:c r="K740" s="177" t="str"/>
      <x:c r="L740" s="178" t="str">
        <x:f>IF(J740="","",J740*(1+IF(K740="",0,K740)) )</x:f>
      </x:c>
      <x:c r="M740" s="138" t="str"/>
      <x:c r="N740" s="137" t="str">
        <x:v>Current model BOM seed</x:v>
      </x:c>
      <x:c r="O740" s="137" t="str"/>
      <x:c r="P740" s="137" t="str">
        <x:v>To Confirm</x:v>
      </x:c>
      <x:c r="Q740" s="137" t="str"/>
    </x:row>
    <x:row r="741">
      <x:c r="A741" s="137" t="str">
        <x:v>BOM-00737</x:v>
      </x:c>
      <x:c r="B741" s="137" t="str">
        <x:v>ARMOUR</x:v>
      </x:c>
      <x:c r="C741" s="137" t="str">
        <x:v>PER ORDER (V/L)</x:v>
      </x:c>
      <x:c r="D741" s="137" t="str">
        <x:v>2X5</x:v>
      </x:c>
      <x:c r="E741" s="137" t="str">
        <x:v>CUTTING</x:v>
      </x:c>
      <x:c r="F741" s="137" t="str">
        <x:v>SHEET 10MM||SHEET</x:v>
      </x:c>
      <x:c r="G741" s="137" t="str">
        <x:v>Sheet 10Mm</x:v>
      </x:c>
      <x:c r="H741" s="137" t="str">
        <x:v>SHEET</x:v>
      </x:c>
      <x:c r="I741" s="175" t="n">
        <x:v>0.01428571</x:v>
      </x:c>
      <x:c r="J741" s="176" t="str"/>
      <x:c r="K741" s="177" t="str"/>
      <x:c r="L741" s="178" t="str">
        <x:f>IF(J741="","",J741*(1+IF(K741="",0,K741)) )</x:f>
      </x:c>
      <x:c r="M741" s="138" t="str"/>
      <x:c r="N741" s="137" t="str">
        <x:v>Current model BOM seed</x:v>
      </x:c>
      <x:c r="O741" s="137" t="str"/>
      <x:c r="P741" s="137" t="str">
        <x:v>To Confirm</x:v>
      </x:c>
      <x:c r="Q741" s="137" t="str"/>
    </x:row>
    <x:row r="742">
      <x:c r="A742" s="137" t="str">
        <x:v>BOM-00738</x:v>
      </x:c>
      <x:c r="B742" s="137" t="str">
        <x:v>ARMOUR</x:v>
      </x:c>
      <x:c r="C742" s="137" t="str">
        <x:v>PER ORDER (V/L)</x:v>
      </x:c>
      <x:c r="D742" s="137" t="str">
        <x:v>2X5</x:v>
      </x:c>
      <x:c r="E742" s="137" t="str">
        <x:v>CUTTING</x:v>
      </x:c>
      <x:c r="F742" s="137" t="str">
        <x:v>SHEET 1.4MM||SHEET</x:v>
      </x:c>
      <x:c r="G742" s="137" t="str">
        <x:v>Sheet 1.4Mm</x:v>
      </x:c>
      <x:c r="H742" s="137" t="str">
        <x:v>SHEET</x:v>
      </x:c>
      <x:c r="I742" s="175" t="n">
        <x:v>0.04386838</x:v>
      </x:c>
      <x:c r="J742" s="176" t="str"/>
      <x:c r="K742" s="177" t="str"/>
      <x:c r="L742" s="178" t="str">
        <x:f>IF(J742="","",J742*(1+IF(K742="",0,K742)) )</x:f>
      </x:c>
      <x:c r="M742" s="138" t="str"/>
      <x:c r="N742" s="137" t="str">
        <x:v>Current model BOM seed</x:v>
      </x:c>
      <x:c r="O742" s="137" t="str"/>
      <x:c r="P742" s="137" t="str">
        <x:v>To Confirm</x:v>
      </x:c>
      <x:c r="Q742" s="137" t="str"/>
    </x:row>
    <x:row r="743">
      <x:c r="A743" s="137" t="str">
        <x:v>BOM-00739</x:v>
      </x:c>
      <x:c r="B743" s="137" t="str">
        <x:v>ARMOUR</x:v>
      </x:c>
      <x:c r="C743" s="137" t="str">
        <x:v>PER ORDER (V/L)</x:v>
      </x:c>
      <x:c r="D743" s="137" t="str">
        <x:v>2X5</x:v>
      </x:c>
      <x:c r="E743" s="137" t="str">
        <x:v>CUTTING</x:v>
      </x:c>
      <x:c r="F743" s="137" t="str">
        <x:v>SHEET 0.8MM||SHEET</x:v>
      </x:c>
      <x:c r="G743" s="137" t="str">
        <x:v>Sheet 0.8Mm</x:v>
      </x:c>
      <x:c r="H743" s="137" t="str">
        <x:v>SHEET</x:v>
      </x:c>
      <x:c r="I743" s="175" t="n">
        <x:v>0.01298701</x:v>
      </x:c>
      <x:c r="J743" s="176" t="str"/>
      <x:c r="K743" s="177" t="str"/>
      <x:c r="L743" s="178" t="str">
        <x:f>IF(J743="","",J743*(1+IF(K743="",0,K743)) )</x:f>
      </x:c>
      <x:c r="M743" s="138" t="str"/>
      <x:c r="N743" s="137" t="str">
        <x:v>Current model BOM seed</x:v>
      </x:c>
      <x:c r="O743" s="137" t="str"/>
      <x:c r="P743" s="137" t="str">
        <x:v>To Confirm</x:v>
      </x:c>
      <x:c r="Q743" s="137" t="str"/>
    </x:row>
    <x:row r="744">
      <x:c r="A744" s="137" t="str">
        <x:v>BOM-00740</x:v>
      </x:c>
      <x:c r="B744" s="137" t="str">
        <x:v>ARMOUR</x:v>
      </x:c>
      <x:c r="C744" s="137" t="str">
        <x:v>PER ORDER (V/L)</x:v>
      </x:c>
      <x:c r="D744" s="137" t="str">
        <x:v>2X5</x:v>
      </x:c>
      <x:c r="E744" s="137" t="str">
        <x:v>CUTTING</x:v>
      </x:c>
      <x:c r="F744" s="137" t="str">
        <x:v>INSOLE||PAIR</x:v>
      </x:c>
      <x:c r="G744" s="137" t="str">
        <x:v>INSOLE</x:v>
      </x:c>
      <x:c r="H744" s="137" t="str">
        <x:v>PAIR</x:v>
      </x:c>
      <x:c r="I744" s="175" t="n">
        <x:v>2</x:v>
      </x:c>
      <x:c r="J744" s="176" t="str"/>
      <x:c r="K744" s="177" t="str"/>
      <x:c r="L744" s="178" t="str">
        <x:f>IF(J744="","",J744*(1+IF(K744="",0,K744)) )</x:f>
      </x:c>
      <x:c r="M744" s="138" t="str"/>
      <x:c r="N744" s="137" t="str">
        <x:v>Current model BOM seed</x:v>
      </x:c>
      <x:c r="O744" s="137" t="str"/>
      <x:c r="P744" s="137" t="str">
        <x:v>To Confirm</x:v>
      </x:c>
      <x:c r="Q744" s="137" t="str"/>
    </x:row>
    <x:row r="745">
      <x:c r="A745" s="137" t="str">
        <x:v>BOM-00741</x:v>
      </x:c>
      <x:c r="B745" s="137" t="str">
        <x:v>ARMOUR</x:v>
      </x:c>
      <x:c r="C745" s="137" t="str">
        <x:v>PER ORDER (V/L)</x:v>
      </x:c>
      <x:c r="D745" s="137" t="str">
        <x:v>2X5</x:v>
      </x:c>
      <x:c r="E745" s="137" t="str">
        <x:v>MOLDING</x:v>
      </x:c>
      <x:c r="F745" s="137" t="str">
        <x:v>SOLE 1231 EVA||PAIR</x:v>
      </x:c>
      <x:c r="G745" s="137" t="str">
        <x:v>Sole 1231 EVA</x:v>
      </x:c>
      <x:c r="H745" s="137" t="str">
        <x:v>PAIR</x:v>
      </x:c>
      <x:c r="I745" s="175" t="n">
        <x:v>2</x:v>
      </x:c>
      <x:c r="J745" s="176" t="str"/>
      <x:c r="K745" s="177" t="str"/>
      <x:c r="L745" s="178" t="str">
        <x:f>IF(J745="","",J745*(1+IF(K745="",0,K745)) )</x:f>
      </x:c>
      <x:c r="M745" s="138" t="str"/>
      <x:c r="N745" s="137" t="str">
        <x:v>Current model BOM seed</x:v>
      </x:c>
      <x:c r="O745" s="137" t="str"/>
      <x:c r="P745" s="137" t="str">
        <x:v>To Confirm</x:v>
      </x:c>
      <x:c r="Q745" s="137" t="str"/>
    </x:row>
    <x:row r="746">
      <x:c r="A746" s="137" t="str">
        <x:v>BOM-00742</x:v>
      </x:c>
      <x:c r="B746" s="137" t="str">
        <x:v>ARMOUR</x:v>
      </x:c>
      <x:c r="C746" s="137" t="str">
        <x:v>PER ORDER (V/L)</x:v>
      </x:c>
      <x:c r="D746" s="137" t="str">
        <x:v>2X5</x:v>
      </x:c>
      <x:c r="E746" s="137" t="str">
        <x:v>PACKING</x:v>
      </x:c>
      <x:c r="F746" s="137" t="str">
        <x:v>TISSUE PAPER||PCS</x:v>
      </x:c>
      <x:c r="G746" s="137" t="str">
        <x:v>Tissue Paper</x:v>
      </x:c>
      <x:c r="H746" s="137" t="str">
        <x:v>PCS</x:v>
      </x:c>
      <x:c r="I746" s="175" t="n">
        <x:v>0.25</x:v>
      </x:c>
      <x:c r="J746" s="176" t="str"/>
      <x:c r="K746" s="177" t="str"/>
      <x:c r="L746" s="178" t="str">
        <x:f>IF(J746="","",J746*(1+IF(K746="",0,K746)) )</x:f>
      </x:c>
      <x:c r="M746" s="138" t="str"/>
      <x:c r="N746" s="137" t="str">
        <x:v>Current model BOM seed</x:v>
      </x:c>
      <x:c r="O746" s="137" t="str"/>
      <x:c r="P746" s="137" t="str">
        <x:v>To Confirm</x:v>
      </x:c>
      <x:c r="Q746" s="137" t="str"/>
    </x:row>
    <x:row r="747">
      <x:c r="A747" s="137" t="str">
        <x:v>BOM-00743</x:v>
      </x:c>
      <x:c r="B747" s="137" t="str">
        <x:v>ARMOUR</x:v>
      </x:c>
      <x:c r="C747" s="137" t="str">
        <x:v>PER ORDER (V/L)</x:v>
      </x:c>
      <x:c r="D747" s="137" t="str">
        <x:v>2X5</x:v>
      </x:c>
      <x:c r="E747" s="137" t="str">
        <x:v>PACKING</x:v>
      </x:c>
      <x:c r="F747" s="137" t="str">
        <x:v>SHOE SHINER||GRAM</x:v>
      </x:c>
      <x:c r="G747" s="137" t="str">
        <x:v>Shoe Shiner</x:v>
      </x:c>
      <x:c r="H747" s="137" t="str">
        <x:v>GRAM</x:v>
      </x:c>
      <x:c r="I747" s="175" t="n">
        <x:v>0.06666667</x:v>
      </x:c>
      <x:c r="J747" s="176" t="str"/>
      <x:c r="K747" s="177" t="str"/>
      <x:c r="L747" s="178" t="str">
        <x:f>IF(J747="","",J747*(1+IF(K747="",0,K747)) )</x:f>
      </x:c>
      <x:c r="M747" s="138" t="str"/>
      <x:c r="N747" s="137" t="str">
        <x:v>Current model BOM seed</x:v>
      </x:c>
      <x:c r="O747" s="137" t="str"/>
      <x:c r="P747" s="137" t="str">
        <x:v>To Confirm</x:v>
      </x:c>
      <x:c r="Q747" s="137" t="str"/>
    </x:row>
    <x:row r="748">
      <x:c r="A748" s="137" t="str">
        <x:v>BOM-00744</x:v>
      </x:c>
      <x:c r="B748" s="137" t="str">
        <x:v>ARMOUR</x:v>
      </x:c>
      <x:c r="C748" s="137" t="str">
        <x:v>PER ORDER (V/L)</x:v>
      </x:c>
      <x:c r="D748" s="137" t="str">
        <x:v>2X5</x:v>
      </x:c>
      <x:c r="E748" s="137" t="str">
        <x:v>PACKING</x:v>
      </x:c>
      <x:c r="F748" s="137" t="str">
        <x:v>EMYLE||GRAM</x:v>
      </x:c>
      <x:c r="G748" s="137" t="str">
        <x:v>EMYLE</x:v>
      </x:c>
      <x:c r="H748" s="137" t="str">
        <x:v>GRAM</x:v>
      </x:c>
      <x:c r="I748" s="175" t="n">
        <x:v>0.07142857</x:v>
      </x:c>
      <x:c r="J748" s="176" t="str"/>
      <x:c r="K748" s="177" t="str"/>
      <x:c r="L748" s="178" t="str">
        <x:f>IF(J748="","",J748*(1+IF(K748="",0,K748)) )</x:f>
      </x:c>
      <x:c r="M748" s="138" t="str"/>
      <x:c r="N748" s="137" t="str">
        <x:v>Current model BOM seed</x:v>
      </x:c>
      <x:c r="O748" s="137" t="str"/>
      <x:c r="P748" s="137" t="str">
        <x:v>To Confirm</x:v>
      </x:c>
      <x:c r="Q748" s="137" t="str"/>
    </x:row>
    <x:row r="749">
      <x:c r="A749" s="137" t="str">
        <x:v>BOM-00745</x:v>
      </x:c>
      <x:c r="B749" s="137" t="str">
        <x:v>ARMOUR</x:v>
      </x:c>
      <x:c r="C749" s="137" t="str">
        <x:v>PER ORDER (V/L)</x:v>
      </x:c>
      <x:c r="D749" s="137" t="str">
        <x:v>2X5</x:v>
      </x:c>
      <x:c r="E749" s="137" t="str">
        <x:v>PACKING</x:v>
      </x:c>
      <x:c r="F749" s="137" t="str">
        <x:v>TAG PIN||PCS</x:v>
      </x:c>
      <x:c r="G749" s="137" t="str">
        <x:v>Tag Pin</x:v>
      </x:c>
      <x:c r="H749" s="137" t="str">
        <x:v>PCS</x:v>
      </x:c>
      <x:c r="I749" s="175" t="n">
        <x:v>1</x:v>
      </x:c>
      <x:c r="J749" s="176" t="str"/>
      <x:c r="K749" s="177" t="str"/>
      <x:c r="L749" s="178" t="str">
        <x:f>IF(J749="","",J749*(1+IF(K749="",0,K749)) )</x:f>
      </x:c>
      <x:c r="M749" s="138" t="str"/>
      <x:c r="N749" s="137" t="str">
        <x:v>Current model BOM seed</x:v>
      </x:c>
      <x:c r="O749" s="137" t="str"/>
      <x:c r="P749" s="137" t="str">
        <x:v>To Confirm</x:v>
      </x:c>
      <x:c r="Q749" s="137" t="str"/>
    </x:row>
    <x:row r="750">
      <x:c r="A750" s="137" t="str">
        <x:v>BOM-00746</x:v>
      </x:c>
      <x:c r="B750" s="137" t="str">
        <x:v>ARMOUR</x:v>
      </x:c>
      <x:c r="C750" s="137" t="str">
        <x:v>PER ORDER (V/L)</x:v>
      </x:c>
      <x:c r="D750" s="137" t="str">
        <x:v>2X5</x:v>
      </x:c>
      <x:c r="E750" s="137" t="str">
        <x:v>PACKING</x:v>
      </x:c>
      <x:c r="F750" s="137" t="str">
        <x:v>TAG CARD||PCS</x:v>
      </x:c>
      <x:c r="G750" s="137" t="str">
        <x:v>Tag Card</x:v>
      </x:c>
      <x:c r="H750" s="137" t="str">
        <x:v>PCS</x:v>
      </x:c>
      <x:c r="I750" s="175" t="n">
        <x:v>1</x:v>
      </x:c>
      <x:c r="J750" s="176" t="str"/>
      <x:c r="K750" s="177" t="str"/>
      <x:c r="L750" s="178" t="str">
        <x:f>IF(J750="","",J750*(1+IF(K750="",0,K750)) )</x:f>
      </x:c>
      <x:c r="M750" s="138" t="str"/>
      <x:c r="N750" s="137" t="str">
        <x:v>Current model BOM seed</x:v>
      </x:c>
      <x:c r="O750" s="137" t="str"/>
      <x:c r="P750" s="137" t="str">
        <x:v>To Confirm</x:v>
      </x:c>
      <x:c r="Q750" s="137" t="str"/>
    </x:row>
    <x:row r="751">
      <x:c r="A751" s="137" t="str">
        <x:v>BOM-00747</x:v>
      </x:c>
      <x:c r="B751" s="137" t="str">
        <x:v>ARMOUR</x:v>
      </x:c>
      <x:c r="C751" s="137" t="str">
        <x:v>PER ORDER (V/L)</x:v>
      </x:c>
      <x:c r="D751" s="137" t="str">
        <x:v>2X5</x:v>
      </x:c>
      <x:c r="E751" s="137" t="str">
        <x:v>PACKING</x:v>
      </x:c>
      <x:c r="F751" s="137" t="str">
        <x:v>WRAPING PAPER||PCS</x:v>
      </x:c>
      <x:c r="G751" s="137" t="str">
        <x:v>Wraping Paper</x:v>
      </x:c>
      <x:c r="H751" s="137" t="str">
        <x:v>PCS</x:v>
      </x:c>
      <x:c r="I751" s="175" t="n">
        <x:v>1</x:v>
      </x:c>
      <x:c r="J751" s="176" t="str"/>
      <x:c r="K751" s="177" t="str"/>
      <x:c r="L751" s="178" t="str">
        <x:f>IF(J751="","",J751*(1+IF(K751="",0,K751)) )</x:f>
      </x:c>
      <x:c r="M751" s="138" t="str"/>
      <x:c r="N751" s="137" t="str">
        <x:v>Current model BOM seed</x:v>
      </x:c>
      <x:c r="O751" s="137" t="str"/>
      <x:c r="P751" s="137" t="str">
        <x:v>To Confirm</x:v>
      </x:c>
      <x:c r="Q751" s="137" t="str"/>
    </x:row>
    <x:row r="752">
      <x:c r="A752" s="137" t="str">
        <x:v>BOM-00748</x:v>
      </x:c>
      <x:c r="B752" s="137" t="str">
        <x:v>ARMOUR</x:v>
      </x:c>
      <x:c r="C752" s="137" t="str">
        <x:v>PER ORDER (V/L)</x:v>
      </x:c>
      <x:c r="D752" s="137" t="str">
        <x:v>2X5</x:v>
      </x:c>
      <x:c r="E752" s="137" t="str">
        <x:v>PACKING</x:v>
      </x:c>
      <x:c r="F752" s="137" t="str">
        <x:v>INNER||PCS</x:v>
      </x:c>
      <x:c r="G752" s="137" t="str">
        <x:v>INNER</x:v>
      </x:c>
      <x:c r="H752" s="137" t="str">
        <x:v>PCS</x:v>
      </x:c>
      <x:c r="I752" s="175" t="n">
        <x:v>1</x:v>
      </x:c>
      <x:c r="J752" s="176" t="str"/>
      <x:c r="K752" s="177" t="str"/>
      <x:c r="L752" s="178" t="str">
        <x:f>IF(J752="","",J752*(1+IF(K752="",0,K752)) )</x:f>
      </x:c>
      <x:c r="M752" s="138" t="str"/>
      <x:c r="N752" s="137" t="str">
        <x:v>Current model BOM seed</x:v>
      </x:c>
      <x:c r="O752" s="137" t="str"/>
      <x:c r="P752" s="137" t="str">
        <x:v>To Confirm</x:v>
      </x:c>
      <x:c r="Q752" s="137" t="str"/>
    </x:row>
    <x:row r="753">
      <x:c r="A753" s="137" t="str">
        <x:v>BOM-00749</x:v>
      </x:c>
      <x:c r="B753" s="137" t="str">
        <x:v>ARMOUR</x:v>
      </x:c>
      <x:c r="C753" s="137" t="str">
        <x:v>PER ORDER (V/L)</x:v>
      </x:c>
      <x:c r="D753" s="137" t="str">
        <x:v>2X5</x:v>
      </x:c>
      <x:c r="E753" s="137" t="str">
        <x:v>PACKING</x:v>
      </x:c>
      <x:c r="F753" s="137" t="str">
        <x:v>BARCODE STICKER||PCS</x:v>
      </x:c>
      <x:c r="G753" s="137" t="str">
        <x:v>Barcode Sticker</x:v>
      </x:c>
      <x:c r="H753" s="137" t="str">
        <x:v>PCS</x:v>
      </x:c>
      <x:c r="I753" s="175" t="n">
        <x:v>1</x:v>
      </x:c>
      <x:c r="J753" s="176" t="str"/>
      <x:c r="K753" s="177" t="str"/>
      <x:c r="L753" s="178" t="str">
        <x:f>IF(J753="","",J753*(1+IF(K753="",0,K753)) )</x:f>
      </x:c>
      <x:c r="M753" s="138" t="str"/>
      <x:c r="N753" s="137" t="str">
        <x:v>Current model BOM seed</x:v>
      </x:c>
      <x:c r="O753" s="137" t="str"/>
      <x:c r="P753" s="137" t="str">
        <x:v>To Confirm</x:v>
      </x:c>
      <x:c r="Q753" s="137" t="str"/>
    </x:row>
    <x:row r="754">
      <x:c r="A754" s="137" t="str">
        <x:v>BOM-00750</x:v>
      </x:c>
      <x:c r="B754" s="137" t="str">
        <x:v>ARMOUR</x:v>
      </x:c>
      <x:c r="C754" s="137" t="str">
        <x:v>PER ORDER (V/L)</x:v>
      </x:c>
      <x:c r="D754" s="137" t="str">
        <x:v>2X5</x:v>
      </x:c>
      <x:c r="E754" s="137" t="str">
        <x:v>PACKING</x:v>
      </x:c>
      <x:c r="F754" s="137" t="str">
        <x:v>CTN TAPE (1 CTN)||MTR</x:v>
      </x:c>
      <x:c r="G754" s="137" t="str">
        <x:v>Ctn Tape (1 Ctn)</x:v>
      </x:c>
      <x:c r="H754" s="137" t="str">
        <x:v>MTR</x:v>
      </x:c>
      <x:c r="I754" s="175" t="n">
        <x:v>0.5</x:v>
      </x:c>
      <x:c r="J754" s="176" t="str"/>
      <x:c r="K754" s="177" t="str"/>
      <x:c r="L754" s="178" t="str">
        <x:f>IF(J754="","",J754*(1+IF(K754="",0,K754)) )</x:f>
      </x:c>
      <x:c r="M754" s="138" t="str"/>
      <x:c r="N754" s="137" t="str">
        <x:v>Current model BOM seed</x:v>
      </x:c>
      <x:c r="O754" s="137" t="str"/>
      <x:c r="P754" s="137" t="str">
        <x:v>To Confirm</x:v>
      </x:c>
      <x:c r="Q754" s="137" t="str"/>
    </x:row>
    <x:row r="755">
      <x:c r="A755" s="137" t="str">
        <x:v>BOM-00751</x:v>
      </x:c>
      <x:c r="B755" s="137" t="str">
        <x:v>ARMOUR</x:v>
      </x:c>
      <x:c r="C755" s="137" t="str">
        <x:v>PER ORDER (V/L)</x:v>
      </x:c>
      <x:c r="D755" s="137" t="str">
        <x:v>2X5</x:v>
      </x:c>
      <x:c r="E755" s="137" t="str">
        <x:v>PACKING</x:v>
      </x:c>
      <x:c r="F755" s="137" t="str">
        <x:v>STRAPING ROLL (1CTN)||MTR</x:v>
      </x:c>
      <x:c r="G755" s="137" t="str">
        <x:v>Straping Roll (1Ctn)</x:v>
      </x:c>
      <x:c r="H755" s="137" t="str">
        <x:v>MTR</x:v>
      </x:c>
      <x:c r="I755" s="175" t="n">
        <x:v>0.25</x:v>
      </x:c>
      <x:c r="J755" s="176" t="str"/>
      <x:c r="K755" s="177" t="str"/>
      <x:c r="L755" s="178" t="str">
        <x:f>IF(J755="","",J755*(1+IF(K755="",0,K755)) )</x:f>
      </x:c>
      <x:c r="M755" s="138" t="str"/>
      <x:c r="N755" s="137" t="str">
        <x:v>Current model BOM seed</x:v>
      </x:c>
      <x:c r="O755" s="137" t="str"/>
      <x:c r="P755" s="137" t="str">
        <x:v>To Confirm</x:v>
      </x:c>
      <x:c r="Q755" s="137" t="str"/>
    </x:row>
    <x:row r="756">
      <x:c r="A756" s="137" t="str">
        <x:v>BOM-00752</x:v>
      </x:c>
      <x:c r="B756" s="137" t="str">
        <x:v>ARMOUR</x:v>
      </x:c>
      <x:c r="C756" s="137" t="str">
        <x:v>PER ORDER (V/L)</x:v>
      </x:c>
      <x:c r="D756" s="137" t="str">
        <x:v>2X5</x:v>
      </x:c>
      <x:c r="E756" s="137" t="str">
        <x:v>STITCHING</x:v>
      </x:c>
      <x:c r="F756" s="137" t="str">
        <x:v>THREAD 3 PLY||MTR</x:v>
      </x:c>
      <x:c r="G756" s="137" t="str">
        <x:v>Thread 3 Ply</x:v>
      </x:c>
      <x:c r="H756" s="137" t="str">
        <x:v>MTR</x:v>
      </x:c>
      <x:c r="I756" s="175" t="n">
        <x:v>23.07692308</x:v>
      </x:c>
      <x:c r="J756" s="176" t="str"/>
      <x:c r="K756" s="177" t="str"/>
      <x:c r="L756" s="178" t="str">
        <x:f>IF(J756="","",J756*(1+IF(K756="",0,K756)) )</x:f>
      </x:c>
      <x:c r="M756" s="138" t="str"/>
      <x:c r="N756" s="137" t="str">
        <x:v>Current model BOM seed</x:v>
      </x:c>
      <x:c r="O756" s="137" t="str"/>
      <x:c r="P756" s="137" t="str">
        <x:v>To Confirm</x:v>
      </x:c>
      <x:c r="Q756" s="137" t="str"/>
    </x:row>
    <x:row r="757">
      <x:c r="A757" s="137" t="str">
        <x:v>BOM-00753</x:v>
      </x:c>
      <x:c r="B757" s="137" t="str">
        <x:v>ARMOUR</x:v>
      </x:c>
      <x:c r="C757" s="137" t="str">
        <x:v>PER ORDER (V/L)</x:v>
      </x:c>
      <x:c r="D757" s="137" t="str">
        <x:v>2X5</x:v>
      </x:c>
      <x:c r="E757" s="137" t="str">
        <x:v>STITCHING</x:v>
      </x:c>
      <x:c r="F757" s="137" t="str">
        <x:v>SIZE LABEL||PCS</x:v>
      </x:c>
      <x:c r="G757" s="137" t="str">
        <x:v>SIZE LABEL</x:v>
      </x:c>
      <x:c r="H757" s="137" t="str">
        <x:v>PCS</x:v>
      </x:c>
      <x:c r="I757" s="175" t="n">
        <x:v>0.5</x:v>
      </x:c>
      <x:c r="J757" s="176" t="str"/>
      <x:c r="K757" s="177" t="str"/>
      <x:c r="L757" s="178" t="str">
        <x:f>IF(J757="","",J757*(1+IF(K757="",0,K757)) )</x:f>
      </x:c>
      <x:c r="M757" s="138" t="str"/>
      <x:c r="N757" s="137" t="str">
        <x:v>Current model BOM seed</x:v>
      </x:c>
      <x:c r="O757" s="137" t="str"/>
      <x:c r="P757" s="137" t="str">
        <x:v>To Confirm</x:v>
      </x:c>
      <x:c r="Q757" s="137" t="str"/>
    </x:row>
    <x:row r="758">
      <x:c r="A758" s="137" t="str">
        <x:v>BOM-00754</x:v>
      </x:c>
      <x:c r="B758" s="137" t="str">
        <x:v>ARMOUR</x:v>
      </x:c>
      <x:c r="C758" s="137" t="str">
        <x:v>PER ORDER (V/L)</x:v>
      </x:c>
      <x:c r="D758" s="137" t="str">
        <x:v>2X5</x:v>
      </x:c>
      <x:c r="E758" s="137" t="str">
        <x:v>STITCHING</x:v>
      </x:c>
      <x:c r="F758" s="137" t="str">
        <x:v>TOUNG LABEL SNEAKER||PCS</x:v>
      </x:c>
      <x:c r="G758" s="137" t="str">
        <x:v>TOUNG LABEL SNEAKER</x:v>
      </x:c>
      <x:c r="H758" s="137" t="str">
        <x:v>PCS</x:v>
      </x:c>
      <x:c r="I758" s="175" t="n">
        <x:v>0.5</x:v>
      </x:c>
      <x:c r="J758" s="176" t="str"/>
      <x:c r="K758" s="177" t="str"/>
      <x:c r="L758" s="178" t="str">
        <x:f>IF(J758="","",J758*(1+IF(K758="",0,K758)) )</x:f>
      </x:c>
      <x:c r="M758" s="138" t="str"/>
      <x:c r="N758" s="137" t="str">
        <x:v>Current model BOM seed</x:v>
      </x:c>
      <x:c r="O758" s="137" t="str"/>
      <x:c r="P758" s="137" t="str">
        <x:v>To Confirm</x:v>
      </x:c>
      <x:c r="Q758" s="137" t="str"/>
    </x:row>
    <x:row r="759">
      <x:c r="A759" s="137" t="str">
        <x:v>BOM-00755</x:v>
      </x:c>
      <x:c r="B759" s="137" t="str">
        <x:v>ARMOUR</x:v>
      </x:c>
      <x:c r="C759" s="137" t="str">
        <x:v>PER ORDER (V/L)</x:v>
      </x:c>
      <x:c r="D759" s="137" t="str">
        <x:v>2X5</x:v>
      </x:c>
      <x:c r="E759" s="137" t="str">
        <x:v>STITCHING</x:v>
      </x:c>
      <x:c r="F759" s="137" t="str">
        <x:v>PF-48||PCS</x:v>
      </x:c>
      <x:c r="G759" s="137" t="str">
        <x:v>PF-48</x:v>
      </x:c>
      <x:c r="H759" s="137" t="str">
        <x:v>PCS</x:v>
      </x:c>
      <x:c r="I759" s="175" t="n">
        <x:v>0.25</x:v>
      </x:c>
      <x:c r="J759" s="176" t="str"/>
      <x:c r="K759" s="177" t="str"/>
      <x:c r="L759" s="178" t="str">
        <x:f>IF(J759="","",J759*(1+IF(K759="",0,K759)) )</x:f>
      </x:c>
      <x:c r="M759" s="138" t="str"/>
      <x:c r="N759" s="137" t="str">
        <x:v>Current model BOM seed</x:v>
      </x:c>
      <x:c r="O759" s="137" t="str"/>
      <x:c r="P759" s="137" t="str">
        <x:v>To Confirm</x:v>
      </x:c>
      <x:c r="Q759" s="137" t="str"/>
    </x:row>
    <x:row r="760">
      <x:c r="A760" s="137" t="str">
        <x:v>BOM-00756</x:v>
      </x:c>
      <x:c r="B760" s="137" t="str">
        <x:v>ARMOUR</x:v>
      </x:c>
      <x:c r="C760" s="137" t="str">
        <x:v>PER ORDER (V/L)</x:v>
      </x:c>
      <x:c r="D760" s="137" t="str">
        <x:v>2X5</x:v>
      </x:c>
      <x:c r="E760" s="137" t="str">
        <x:v>STITCHING</x:v>
      </x:c>
      <x:c r="F760" s="137" t="str">
        <x:v>PF-3||PCS</x:v>
      </x:c>
      <x:c r="G760" s="137" t="str">
        <x:v>PF-3</x:v>
      </x:c>
      <x:c r="H760" s="137" t="str">
        <x:v>PCS</x:v>
      </x:c>
      <x:c r="I760" s="175" t="n">
        <x:v>0</x:v>
      </x:c>
      <x:c r="J760" s="176" t="str"/>
      <x:c r="K760" s="177" t="str"/>
      <x:c r="L760" s="178" t="str">
        <x:f>IF(J760="","",J760*(1+IF(K760="",0,K760)) )</x:f>
      </x:c>
      <x:c r="M760" s="138" t="str"/>
      <x:c r="N760" s="137" t="str">
        <x:v>Current model BOM seed</x:v>
      </x:c>
      <x:c r="O760" s="137" t="str"/>
      <x:c r="P760" s="137" t="str">
        <x:v>To Confirm</x:v>
      </x:c>
      <x:c r="Q760" s="137" t="str"/>
    </x:row>
    <x:row r="761">
      <x:c r="A761" s="137" t="str">
        <x:v>BOM-00757</x:v>
      </x:c>
      <x:c r="B761" s="137" t="str">
        <x:v>ARMOUR</x:v>
      </x:c>
      <x:c r="C761" s="137" t="str">
        <x:v>PER ORDER (V/L)</x:v>
      </x:c>
      <x:c r="D761" s="137" t="str">
        <x:v>2X5</x:v>
      </x:c>
      <x:c r="E761" s="137" t="str">
        <x:v>STITCHING</x:v>
      </x:c>
      <x:c r="F761" s="137" t="str">
        <x:v>VELCRO 20 MM HOOK||MTR</x:v>
      </x:c>
      <x:c r="G761" s="137" t="str">
        <x:v>VELCRO 20 MM HOOK</x:v>
      </x:c>
      <x:c r="H761" s="137" t="str">
        <x:v>MTR</x:v>
      </x:c>
      <x:c r="I761" s="175" t="n">
        <x:v>0.02702703</x:v>
      </x:c>
      <x:c r="J761" s="176" t="str"/>
      <x:c r="K761" s="177" t="str"/>
      <x:c r="L761" s="178" t="str">
        <x:f>IF(J761="","",J761*(1+IF(K761="",0,K761)) )</x:f>
      </x:c>
      <x:c r="M761" s="138" t="str"/>
      <x:c r="N761" s="137" t="str">
        <x:v>Current model BOM seed</x:v>
      </x:c>
      <x:c r="O761" s="137" t="str"/>
      <x:c r="P761" s="137" t="str">
        <x:v>To Confirm</x:v>
      </x:c>
      <x:c r="Q761" s="137" t="str"/>
    </x:row>
    <x:row r="762">
      <x:c r="A762" s="137" t="str">
        <x:v>BOM-00758</x:v>
      </x:c>
      <x:c r="B762" s="137" t="str">
        <x:v>ARMOUR</x:v>
      </x:c>
      <x:c r="C762" s="137" t="str">
        <x:v>PER ORDER (V/L)</x:v>
      </x:c>
      <x:c r="D762" s="137" t="str">
        <x:v>2X5</x:v>
      </x:c>
      <x:c r="E762" s="137" t="str">
        <x:v>STITCHING</x:v>
      </x:c>
      <x:c r="F762" s="137" t="str">
        <x:v>VELCRO 20 MM LOOP||MTR</x:v>
      </x:c>
      <x:c r="G762" s="137" t="str">
        <x:v>VELCRO 20 MM LOOP</x:v>
      </x:c>
      <x:c r="H762" s="137" t="str">
        <x:v>MTR</x:v>
      </x:c>
      <x:c r="I762" s="175" t="n">
        <x:v>0.02702703</x:v>
      </x:c>
      <x:c r="J762" s="176" t="str"/>
      <x:c r="K762" s="177" t="str"/>
      <x:c r="L762" s="178" t="str">
        <x:f>IF(J762="","",J762*(1+IF(K762="",0,K762)) )</x:f>
      </x:c>
      <x:c r="M762" s="138" t="str"/>
      <x:c r="N762" s="137" t="str">
        <x:v>Current model BOM seed</x:v>
      </x:c>
      <x:c r="O762" s="137" t="str"/>
      <x:c r="P762" s="137" t="str">
        <x:v>To Confirm</x:v>
      </x:c>
      <x:c r="Q762" s="137" t="str"/>
    </x:row>
    <x:row r="763">
      <x:c r="A763" s="137" t="str">
        <x:v>BOM-00759</x:v>
      </x:c>
      <x:c r="B763" s="137" t="str">
        <x:v>ARMOUR</x:v>
      </x:c>
      <x:c r="C763" s="137" t="str">
        <x:v>PER ORDER (V/L)</x:v>
      </x:c>
      <x:c r="D763" s="137" t="str">
        <x:v>2X5</x:v>
      </x:c>
      <x:c r="E763" s="137" t="str">
        <x:v>STITCHING</x:v>
      </x:c>
      <x:c r="F763" s="137" t="str">
        <x:v>VELCRO 25 MM HOOK||MTR</x:v>
      </x:c>
      <x:c r="G763" s="137" t="str">
        <x:v>VELCRO 25 MM HOOK</x:v>
      </x:c>
      <x:c r="H763" s="137" t="str">
        <x:v>MTR</x:v>
      </x:c>
      <x:c r="I763" s="175" t="n">
        <x:v>0</x:v>
      </x:c>
      <x:c r="J763" s="176" t="str"/>
      <x:c r="K763" s="177" t="str"/>
      <x:c r="L763" s="178" t="str">
        <x:f>IF(J763="","",J763*(1+IF(K763="",0,K763)) )</x:f>
      </x:c>
      <x:c r="M763" s="138" t="str"/>
      <x:c r="N763" s="137" t="str">
        <x:v>Current model BOM seed</x:v>
      </x:c>
      <x:c r="O763" s="137" t="str"/>
      <x:c r="P763" s="137" t="str">
        <x:v>To Confirm</x:v>
      </x:c>
      <x:c r="Q763" s="137" t="str"/>
    </x:row>
    <x:row r="764">
      <x:c r="A764" s="137" t="str">
        <x:v>BOM-00760</x:v>
      </x:c>
      <x:c r="B764" s="137" t="str">
        <x:v>ARMOUR</x:v>
      </x:c>
      <x:c r="C764" s="137" t="str">
        <x:v>PER ORDER (V/L)</x:v>
      </x:c>
      <x:c r="D764" s="137" t="str">
        <x:v>2X5</x:v>
      </x:c>
      <x:c r="E764" s="137" t="str">
        <x:v>STITCHING</x:v>
      </x:c>
      <x:c r="F764" s="137" t="str">
        <x:v>VELCRO 25 MM LOOP||MTR</x:v>
      </x:c>
      <x:c r="G764" s="137" t="str">
        <x:v>VELCRO 25 MM LOOP</x:v>
      </x:c>
      <x:c r="H764" s="137" t="str">
        <x:v>MTR</x:v>
      </x:c>
      <x:c r="I764" s="175" t="n">
        <x:v>0</x:v>
      </x:c>
      <x:c r="J764" s="176" t="str"/>
      <x:c r="K764" s="177" t="str"/>
      <x:c r="L764" s="178" t="str">
        <x:f>IF(J764="","",J764*(1+IF(K764="",0,K764)) )</x:f>
      </x:c>
      <x:c r="M764" s="138" t="str"/>
      <x:c r="N764" s="137" t="str">
        <x:v>Current model BOM seed</x:v>
      </x:c>
      <x:c r="O764" s="137" t="str"/>
      <x:c r="P764" s="137" t="str">
        <x:v>To Confirm</x:v>
      </x:c>
      <x:c r="Q764" s="137" t="str"/>
    </x:row>
    <x:row r="765">
      <x:c r="A765" s="137" t="str">
        <x:v>BOM-00761</x:v>
      </x:c>
      <x:c r="B765" s="137" t="str">
        <x:v>ARMOUR</x:v>
      </x:c>
      <x:c r="C765" s="137" t="str">
        <x:v>PER ORDER (V/L)</x:v>
      </x:c>
      <x:c r="D765" s="137" t="str">
        <x:v>2X5</x:v>
      </x:c>
      <x:c r="E765" s="137" t="str">
        <x:v>STITCHING</x:v>
      </x:c>
      <x:c r="F765" s="137" t="str">
        <x:v>POLYESTER BINDING 12 MM||MTR</x:v>
      </x:c>
      <x:c r="G765" s="137" t="str">
        <x:v>POLYESTER BINDING 12 MM</x:v>
      </x:c>
      <x:c r="H765" s="137" t="str">
        <x:v>MTR</x:v>
      </x:c>
      <x:c r="I765" s="175" t="n">
        <x:v>0.03125</x:v>
      </x:c>
      <x:c r="J765" s="176" t="str"/>
      <x:c r="K765" s="177" t="str"/>
      <x:c r="L765" s="178" t="str">
        <x:f>IF(J765="","",J765*(1+IF(K765="",0,K765)) )</x:f>
      </x:c>
      <x:c r="M765" s="138" t="str"/>
      <x:c r="N765" s="137" t="str">
        <x:v>Current model BOM seed</x:v>
      </x:c>
      <x:c r="O765" s="137" t="str"/>
      <x:c r="P765" s="137" t="str">
        <x:v>To Confirm</x:v>
      </x:c>
      <x:c r="Q765" s="137" t="str"/>
    </x:row>
    <x:row r="766">
      <x:c r="A766" s="137" t="str">
        <x:v>BOM-00762</x:v>
      </x:c>
      <x:c r="B766" s="137" t="str">
        <x:v>ARMOUR</x:v>
      </x:c>
      <x:c r="C766" s="137" t="str">
        <x:v>PER ORDER (V/L)</x:v>
      </x:c>
      <x:c r="D766" s="137" t="str">
        <x:v>2X5</x:v>
      </x:c>
      <x:c r="E766" s="137" t="str">
        <x:v>STITCHING</x:v>
      </x:c>
      <x:c r="F766" s="137" t="str">
        <x:v>BACK TAPE 14 MM||MTR</x:v>
      </x:c>
      <x:c r="G766" s="137" t="str">
        <x:v>BACK TAPE 14 MM</x:v>
      </x:c>
      <x:c r="H766" s="137" t="str">
        <x:v>MTR</x:v>
      </x:c>
      <x:c r="I766" s="175" t="n">
        <x:v>0.1</x:v>
      </x:c>
      <x:c r="J766" s="176" t="str"/>
      <x:c r="K766" s="177" t="str"/>
      <x:c r="L766" s="178" t="str">
        <x:f>IF(J766="","",J766*(1+IF(K766="",0,K766)) )</x:f>
      </x:c>
      <x:c r="M766" s="138" t="str"/>
      <x:c r="N766" s="137" t="str">
        <x:v>Current model BOM seed</x:v>
      </x:c>
      <x:c r="O766" s="137" t="str"/>
      <x:c r="P766" s="137" t="str">
        <x:v>To Confirm</x:v>
      </x:c>
      <x:c r="Q766" s="137" t="str"/>
    </x:row>
    <x:row r="767">
      <x:c r="A767" s="137" t="str">
        <x:v>BOM-00763</x:v>
      </x:c>
      <x:c r="B767" s="137" t="str">
        <x:v>ARMOUR</x:v>
      </x:c>
      <x:c r="C767" s="137" t="str">
        <x:v>PER ORDER (V/L)</x:v>
      </x:c>
      <x:c r="D767" s="137" t="str">
        <x:v>6X9</x:v>
      </x:c>
      <x:c r="E767" s="137" t="str">
        <x:v>CUTTING</x:v>
      </x:c>
      <x:c r="F767" s="137" t="str">
        <x:v>REXINE 54"||MTR</x:v>
      </x:c>
      <x:c r="G767" s="137" t="str">
        <x:v>Rexine 54"</x:v>
      </x:c>
      <x:c r="H767" s="137" t="str">
        <x:v>MTR</x:v>
      </x:c>
      <x:c r="I767" s="175" t="n">
        <x:v>0.14883753</x:v>
      </x:c>
      <x:c r="J767" s="176" t="str"/>
      <x:c r="K767" s="177" t="str"/>
      <x:c r="L767" s="178" t="str">
        <x:f>IF(J767="","",J767*(1+IF(K767="",0,K767)) )</x:f>
      </x:c>
      <x:c r="M767" s="138" t="str"/>
      <x:c r="N767" s="137" t="str">
        <x:v>Current model BOM seed</x:v>
      </x:c>
      <x:c r="O767" s="137" t="str"/>
      <x:c r="P767" s="137" t="str">
        <x:v>To Confirm</x:v>
      </x:c>
      <x:c r="Q767" s="137" t="str"/>
    </x:row>
    <x:row r="768">
      <x:c r="A768" s="137" t="str">
        <x:v>BOM-00764</x:v>
      </x:c>
      <x:c r="B768" s="137" t="str">
        <x:v>ARMOUR</x:v>
      </x:c>
      <x:c r="C768" s="137" t="str">
        <x:v>PER ORDER (V/L)</x:v>
      </x:c>
      <x:c r="D768" s="137" t="str">
        <x:v>6X9</x:v>
      </x:c>
      <x:c r="E768" s="137" t="str">
        <x:v>CUTTING</x:v>
      </x:c>
      <x:c r="F768" s="137" t="str">
        <x:v>MESH 58"||MTR</x:v>
      </x:c>
      <x:c r="G768" s="137" t="str">
        <x:v>Mesh 58"</x:v>
      </x:c>
      <x:c r="H768" s="137" t="str">
        <x:v>MTR</x:v>
      </x:c>
      <x:c r="I768" s="175" t="n">
        <x:v>0.08333333</x:v>
      </x:c>
      <x:c r="J768" s="176" t="str"/>
      <x:c r="K768" s="177" t="str"/>
      <x:c r="L768" s="178" t="str">
        <x:f>IF(J768="","",J768*(1+IF(K768="",0,K768)) )</x:f>
      </x:c>
      <x:c r="M768" s="138" t="str"/>
      <x:c r="N768" s="137" t="str">
        <x:v>Current model BOM seed</x:v>
      </x:c>
      <x:c r="O768" s="137" t="str"/>
      <x:c r="P768" s="137" t="str">
        <x:v>To Confirm</x:v>
      </x:c>
      <x:c r="Q768" s="137" t="str"/>
    </x:row>
    <x:row r="769">
      <x:c r="A769" s="137" t="str">
        <x:v>BOM-00765</x:v>
      </x:c>
      <x:c r="B769" s="137" t="str">
        <x:v>ARMOUR</x:v>
      </x:c>
      <x:c r="C769" s="137" t="str">
        <x:v>PER ORDER (V/L)</x:v>
      </x:c>
      <x:c r="D769" s="137" t="str">
        <x:v>6X9</x:v>
      </x:c>
      <x:c r="E769" s="137" t="str">
        <x:v>CUTTING</x:v>
      </x:c>
      <x:c r="F769" s="137" t="str">
        <x:v>SKINFIT 60"||MTR</x:v>
      </x:c>
      <x:c r="G769" s="137" t="str">
        <x:v>Skinfit 60"</x:v>
      </x:c>
      <x:c r="H769" s="137" t="str">
        <x:v>MTR</x:v>
      </x:c>
      <x:c r="I769" s="175" t="n">
        <x:v>0.14126693</x:v>
      </x:c>
      <x:c r="J769" s="176" t="str"/>
      <x:c r="K769" s="177" t="str"/>
      <x:c r="L769" s="178" t="str">
        <x:f>IF(J769="","",J769*(1+IF(K769="",0,K769)) )</x:f>
      </x:c>
      <x:c r="M769" s="138" t="str"/>
      <x:c r="N769" s="137" t="str">
        <x:v>Current model BOM seed</x:v>
      </x:c>
      <x:c r="O769" s="137" t="str"/>
      <x:c r="P769" s="137" t="str">
        <x:v>To Confirm</x:v>
      </x:c>
      <x:c r="Q769" s="137" t="str"/>
    </x:row>
    <x:row r="770">
      <x:c r="A770" s="137" t="str">
        <x:v>BOM-00766</x:v>
      </x:c>
      <x:c r="B770" s="137" t="str">
        <x:v>ARMOUR</x:v>
      </x:c>
      <x:c r="C770" s="137" t="str">
        <x:v>PER ORDER (V/L)</x:v>
      </x:c>
      <x:c r="D770" s="137" t="str">
        <x:v>6X9</x:v>
      </x:c>
      <x:c r="E770" s="137" t="str">
        <x:v>CUTTING</x:v>
      </x:c>
      <x:c r="F770" s="137" t="str">
        <x:v>SHEET 20MM||SHEET</x:v>
      </x:c>
      <x:c r="G770" s="137" t="str">
        <x:v>Sheet 20Mm</x:v>
      </x:c>
      <x:c r="H770" s="137" t="str">
        <x:v>SHEET</x:v>
      </x:c>
      <x:c r="I770" s="175" t="n">
        <x:v>0.01428571</x:v>
      </x:c>
      <x:c r="J770" s="176" t="str"/>
      <x:c r="K770" s="177" t="str"/>
      <x:c r="L770" s="178" t="str">
        <x:f>IF(J770="","",J770*(1+IF(K770="",0,K770)) )</x:f>
      </x:c>
      <x:c r="M770" s="138" t="str"/>
      <x:c r="N770" s="137" t="str">
        <x:v>Current model BOM seed</x:v>
      </x:c>
      <x:c r="O770" s="137" t="str"/>
      <x:c r="P770" s="137" t="str">
        <x:v>To Confirm</x:v>
      </x:c>
      <x:c r="Q770" s="137" t="str"/>
    </x:row>
    <x:row r="771">
      <x:c r="A771" s="137" t="str">
        <x:v>BOM-00767</x:v>
      </x:c>
      <x:c r="B771" s="137" t="str">
        <x:v>ARMOUR</x:v>
      </x:c>
      <x:c r="C771" s="137" t="str">
        <x:v>PER ORDER (V/L)</x:v>
      </x:c>
      <x:c r="D771" s="137" t="str">
        <x:v>6X9</x:v>
      </x:c>
      <x:c r="E771" s="137" t="str">
        <x:v>CUTTING</x:v>
      </x:c>
      <x:c r="F771" s="137" t="str">
        <x:v>SHEET 10MM||SHEET</x:v>
      </x:c>
      <x:c r="G771" s="137" t="str">
        <x:v>Sheet 10Mm</x:v>
      </x:c>
      <x:c r="H771" s="137" t="str">
        <x:v>SHEET</x:v>
      </x:c>
      <x:c r="I771" s="175" t="n">
        <x:v>0.01470588</x:v>
      </x:c>
      <x:c r="J771" s="176" t="str"/>
      <x:c r="K771" s="177" t="str"/>
      <x:c r="L771" s="178" t="str">
        <x:f>IF(J771="","",J771*(1+IF(K771="",0,K771)) )</x:f>
      </x:c>
      <x:c r="M771" s="138" t="str"/>
      <x:c r="N771" s="137" t="str">
        <x:v>Current model BOM seed</x:v>
      </x:c>
      <x:c r="O771" s="137" t="str"/>
      <x:c r="P771" s="137" t="str">
        <x:v>To Confirm</x:v>
      </x:c>
      <x:c r="Q771" s="137" t="str"/>
    </x:row>
    <x:row r="772">
      <x:c r="A772" s="137" t="str">
        <x:v>BOM-00768</x:v>
      </x:c>
      <x:c r="B772" s="137" t="str">
        <x:v>ARMOUR</x:v>
      </x:c>
      <x:c r="C772" s="137" t="str">
        <x:v>PER ORDER (V/L)</x:v>
      </x:c>
      <x:c r="D772" s="137" t="str">
        <x:v>6X9</x:v>
      </x:c>
      <x:c r="E772" s="137" t="str">
        <x:v>CUTTING</x:v>
      </x:c>
      <x:c r="F772" s="137" t="str">
        <x:v>SHEET 1.4MM||SHEET</x:v>
      </x:c>
      <x:c r="G772" s="137" t="str">
        <x:v>Sheet 1.4Mm</x:v>
      </x:c>
      <x:c r="H772" s="137" t="str">
        <x:v>SHEET</x:v>
      </x:c>
      <x:c r="I772" s="175" t="n">
        <x:v>0.04870687</x:v>
      </x:c>
      <x:c r="J772" s="176" t="str"/>
      <x:c r="K772" s="177" t="str"/>
      <x:c r="L772" s="178" t="str">
        <x:f>IF(J772="","",J772*(1+IF(K772="",0,K772)) )</x:f>
      </x:c>
      <x:c r="M772" s="138" t="str"/>
      <x:c r="N772" s="137" t="str">
        <x:v>Current model BOM seed</x:v>
      </x:c>
      <x:c r="O772" s="137" t="str"/>
      <x:c r="P772" s="137" t="str">
        <x:v>To Confirm</x:v>
      </x:c>
      <x:c r="Q772" s="137" t="str"/>
    </x:row>
    <x:row r="773">
      <x:c r="A773" s="137" t="str">
        <x:v>BOM-00769</x:v>
      </x:c>
      <x:c r="B773" s="137" t="str">
        <x:v>ARMOUR</x:v>
      </x:c>
      <x:c r="C773" s="137" t="str">
        <x:v>PER ORDER (V/L)</x:v>
      </x:c>
      <x:c r="D773" s="137" t="str">
        <x:v>6X9</x:v>
      </x:c>
      <x:c r="E773" s="137" t="str">
        <x:v>CUTTING</x:v>
      </x:c>
      <x:c r="F773" s="137" t="str">
        <x:v>SHEET 0.8MM||SHEET</x:v>
      </x:c>
      <x:c r="G773" s="137" t="str">
        <x:v>Sheet 0.8Mm</x:v>
      </x:c>
      <x:c r="H773" s="137" t="str">
        <x:v>SHEET</x:v>
      </x:c>
      <x:c r="I773" s="175" t="n">
        <x:v>0.01569859</x:v>
      </x:c>
      <x:c r="J773" s="176" t="str"/>
      <x:c r="K773" s="177" t="str"/>
      <x:c r="L773" s="178" t="str">
        <x:f>IF(J773="","",J773*(1+IF(K773="",0,K773)) )</x:f>
      </x:c>
      <x:c r="M773" s="138" t="str"/>
      <x:c r="N773" s="137" t="str">
        <x:v>Current model BOM seed</x:v>
      </x:c>
      <x:c r="O773" s="137" t="str"/>
      <x:c r="P773" s="137" t="str">
        <x:v>To Confirm</x:v>
      </x:c>
      <x:c r="Q773" s="137" t="str"/>
    </x:row>
    <x:row r="774">
      <x:c r="A774" s="137" t="str">
        <x:v>BOM-00770</x:v>
      </x:c>
      <x:c r="B774" s="137" t="str">
        <x:v>ARMOUR</x:v>
      </x:c>
      <x:c r="C774" s="137" t="str">
        <x:v>PER ORDER (V/L)</x:v>
      </x:c>
      <x:c r="D774" s="137" t="str">
        <x:v>6X9</x:v>
      </x:c>
      <x:c r="E774" s="137" t="str">
        <x:v>CUTTING</x:v>
      </x:c>
      <x:c r="F774" s="137" t="str">
        <x:v>INSOLE||PAIR</x:v>
      </x:c>
      <x:c r="G774" s="137" t="str">
        <x:v>INSOLE</x:v>
      </x:c>
      <x:c r="H774" s="137" t="str">
        <x:v>PAIR</x:v>
      </x:c>
      <x:c r="I774" s="175" t="n">
        <x:v>2</x:v>
      </x:c>
      <x:c r="J774" s="176" t="str"/>
      <x:c r="K774" s="177" t="str"/>
      <x:c r="L774" s="178" t="str">
        <x:f>IF(J774="","",J774*(1+IF(K774="",0,K774)) )</x:f>
      </x:c>
      <x:c r="M774" s="138" t="str"/>
      <x:c r="N774" s="137" t="str">
        <x:v>Current model BOM seed</x:v>
      </x:c>
      <x:c r="O774" s="137" t="str"/>
      <x:c r="P774" s="137" t="str">
        <x:v>To Confirm</x:v>
      </x:c>
      <x:c r="Q774" s="137" t="str"/>
    </x:row>
    <x:row r="775">
      <x:c r="A775" s="137" t="str">
        <x:v>BOM-00771</x:v>
      </x:c>
      <x:c r="B775" s="137" t="str">
        <x:v>ARMOUR</x:v>
      </x:c>
      <x:c r="C775" s="137" t="str">
        <x:v>PER ORDER (V/L)</x:v>
      </x:c>
      <x:c r="D775" s="137" t="str">
        <x:v>6X9</x:v>
      </x:c>
      <x:c r="E775" s="137" t="str">
        <x:v>MOLDING</x:v>
      </x:c>
      <x:c r="F775" s="137" t="str">
        <x:v>SOLE 1231 EVA||PAIR</x:v>
      </x:c>
      <x:c r="G775" s="137" t="str">
        <x:v>Sole 1231 EVA</x:v>
      </x:c>
      <x:c r="H775" s="137" t="str">
        <x:v>PAIR</x:v>
      </x:c>
      <x:c r="I775" s="175" t="n">
        <x:v>2</x:v>
      </x:c>
      <x:c r="J775" s="176" t="str"/>
      <x:c r="K775" s="177" t="str"/>
      <x:c r="L775" s="178" t="str">
        <x:f>IF(J775="","",J775*(1+IF(K775="",0,K775)) )</x:f>
      </x:c>
      <x:c r="M775" s="138" t="str"/>
      <x:c r="N775" s="137" t="str">
        <x:v>Current model BOM seed</x:v>
      </x:c>
      <x:c r="O775" s="137" t="str"/>
      <x:c r="P775" s="137" t="str">
        <x:v>To Confirm</x:v>
      </x:c>
      <x:c r="Q775" s="137" t="str"/>
    </x:row>
    <x:row r="776">
      <x:c r="A776" s="137" t="str">
        <x:v>BOM-00772</x:v>
      </x:c>
      <x:c r="B776" s="137" t="str">
        <x:v>ARMOUR</x:v>
      </x:c>
      <x:c r="C776" s="137" t="str">
        <x:v>PER ORDER (V/L)</x:v>
      </x:c>
      <x:c r="D776" s="137" t="str">
        <x:v>6X9</x:v>
      </x:c>
      <x:c r="E776" s="137" t="str">
        <x:v>PACKING</x:v>
      </x:c>
      <x:c r="F776" s="137" t="str">
        <x:v>TISSUE PAPER||PCS</x:v>
      </x:c>
      <x:c r="G776" s="137" t="str">
        <x:v>Tissue Paper</x:v>
      </x:c>
      <x:c r="H776" s="137" t="str">
        <x:v>PCS</x:v>
      </x:c>
      <x:c r="I776" s="175" t="n">
        <x:v>0.25</x:v>
      </x:c>
      <x:c r="J776" s="176" t="str"/>
      <x:c r="K776" s="177" t="str"/>
      <x:c r="L776" s="178" t="str">
        <x:f>IF(J776="","",J776*(1+IF(K776="",0,K776)) )</x:f>
      </x:c>
      <x:c r="M776" s="138" t="str"/>
      <x:c r="N776" s="137" t="str">
        <x:v>Current model BOM seed</x:v>
      </x:c>
      <x:c r="O776" s="137" t="str"/>
      <x:c r="P776" s="137" t="str">
        <x:v>To Confirm</x:v>
      </x:c>
      <x:c r="Q776" s="137" t="str"/>
    </x:row>
    <x:row r="777">
      <x:c r="A777" s="137" t="str">
        <x:v>BOM-00773</x:v>
      </x:c>
      <x:c r="B777" s="137" t="str">
        <x:v>ARMOUR</x:v>
      </x:c>
      <x:c r="C777" s="137" t="str">
        <x:v>PER ORDER (V/L)</x:v>
      </x:c>
      <x:c r="D777" s="137" t="str">
        <x:v>6X9</x:v>
      </x:c>
      <x:c r="E777" s="137" t="str">
        <x:v>PACKING</x:v>
      </x:c>
      <x:c r="F777" s="137" t="str">
        <x:v>SHOE SHINER||GRAM</x:v>
      </x:c>
      <x:c r="G777" s="137" t="str">
        <x:v>Shoe Shiner</x:v>
      </x:c>
      <x:c r="H777" s="137" t="str">
        <x:v>GRAM</x:v>
      </x:c>
      <x:c r="I777" s="175" t="n">
        <x:v>0.06666667</x:v>
      </x:c>
      <x:c r="J777" s="176" t="str"/>
      <x:c r="K777" s="177" t="str"/>
      <x:c r="L777" s="178" t="str">
        <x:f>IF(J777="","",J777*(1+IF(K777="",0,K777)) )</x:f>
      </x:c>
      <x:c r="M777" s="138" t="str"/>
      <x:c r="N777" s="137" t="str">
        <x:v>Current model BOM seed</x:v>
      </x:c>
      <x:c r="O777" s="137" t="str"/>
      <x:c r="P777" s="137" t="str">
        <x:v>To Confirm</x:v>
      </x:c>
      <x:c r="Q777" s="137" t="str"/>
    </x:row>
    <x:row r="778">
      <x:c r="A778" s="137" t="str">
        <x:v>BOM-00774</x:v>
      </x:c>
      <x:c r="B778" s="137" t="str">
        <x:v>ARMOUR</x:v>
      </x:c>
      <x:c r="C778" s="137" t="str">
        <x:v>PER ORDER (V/L)</x:v>
      </x:c>
      <x:c r="D778" s="137" t="str">
        <x:v>6X9</x:v>
      </x:c>
      <x:c r="E778" s="137" t="str">
        <x:v>PACKING</x:v>
      </x:c>
      <x:c r="F778" s="137" t="str">
        <x:v>EMYLE||GRAM</x:v>
      </x:c>
      <x:c r="G778" s="137" t="str">
        <x:v>EMYLE</x:v>
      </x:c>
      <x:c r="H778" s="137" t="str">
        <x:v>GRAM</x:v>
      </x:c>
      <x:c r="I778" s="175" t="n">
        <x:v>0.07142857</x:v>
      </x:c>
      <x:c r="J778" s="176" t="str"/>
      <x:c r="K778" s="177" t="str"/>
      <x:c r="L778" s="178" t="str">
        <x:f>IF(J778="","",J778*(1+IF(K778="",0,K778)) )</x:f>
      </x:c>
      <x:c r="M778" s="138" t="str"/>
      <x:c r="N778" s="137" t="str">
        <x:v>Current model BOM seed</x:v>
      </x:c>
      <x:c r="O778" s="137" t="str"/>
      <x:c r="P778" s="137" t="str">
        <x:v>To Confirm</x:v>
      </x:c>
      <x:c r="Q778" s="137" t="str"/>
    </x:row>
    <x:row r="779">
      <x:c r="A779" s="137" t="str">
        <x:v>BOM-00775</x:v>
      </x:c>
      <x:c r="B779" s="137" t="str">
        <x:v>ARMOUR</x:v>
      </x:c>
      <x:c r="C779" s="137" t="str">
        <x:v>PER ORDER (V/L)</x:v>
      </x:c>
      <x:c r="D779" s="137" t="str">
        <x:v>6X9</x:v>
      </x:c>
      <x:c r="E779" s="137" t="str">
        <x:v>PACKING</x:v>
      </x:c>
      <x:c r="F779" s="137" t="str">
        <x:v>TAG PIN||PCS</x:v>
      </x:c>
      <x:c r="G779" s="137" t="str">
        <x:v>Tag Pin</x:v>
      </x:c>
      <x:c r="H779" s="137" t="str">
        <x:v>PCS</x:v>
      </x:c>
      <x:c r="I779" s="175" t="n">
        <x:v>1</x:v>
      </x:c>
      <x:c r="J779" s="176" t="str"/>
      <x:c r="K779" s="177" t="str"/>
      <x:c r="L779" s="178" t="str">
        <x:f>IF(J779="","",J779*(1+IF(K779="",0,K779)) )</x:f>
      </x:c>
      <x:c r="M779" s="138" t="str"/>
      <x:c r="N779" s="137" t="str">
        <x:v>Current model BOM seed</x:v>
      </x:c>
      <x:c r="O779" s="137" t="str"/>
      <x:c r="P779" s="137" t="str">
        <x:v>To Confirm</x:v>
      </x:c>
      <x:c r="Q779" s="137" t="str"/>
    </x:row>
    <x:row r="780">
      <x:c r="A780" s="137" t="str">
        <x:v>BOM-00776</x:v>
      </x:c>
      <x:c r="B780" s="137" t="str">
        <x:v>ARMOUR</x:v>
      </x:c>
      <x:c r="C780" s="137" t="str">
        <x:v>PER ORDER (V/L)</x:v>
      </x:c>
      <x:c r="D780" s="137" t="str">
        <x:v>6X9</x:v>
      </x:c>
      <x:c r="E780" s="137" t="str">
        <x:v>PACKING</x:v>
      </x:c>
      <x:c r="F780" s="137" t="str">
        <x:v>TAG CARD||PCS</x:v>
      </x:c>
      <x:c r="G780" s="137" t="str">
        <x:v>Tag Card</x:v>
      </x:c>
      <x:c r="H780" s="137" t="str">
        <x:v>PCS</x:v>
      </x:c>
      <x:c r="I780" s="175" t="n">
        <x:v>1</x:v>
      </x:c>
      <x:c r="J780" s="176" t="str"/>
      <x:c r="K780" s="177" t="str"/>
      <x:c r="L780" s="178" t="str">
        <x:f>IF(J780="","",J780*(1+IF(K780="",0,K780)) )</x:f>
      </x:c>
      <x:c r="M780" s="138" t="str"/>
      <x:c r="N780" s="137" t="str">
        <x:v>Current model BOM seed</x:v>
      </x:c>
      <x:c r="O780" s="137" t="str"/>
      <x:c r="P780" s="137" t="str">
        <x:v>To Confirm</x:v>
      </x:c>
      <x:c r="Q780" s="137" t="str"/>
    </x:row>
    <x:row r="781">
      <x:c r="A781" s="137" t="str">
        <x:v>BOM-00777</x:v>
      </x:c>
      <x:c r="B781" s="137" t="str">
        <x:v>ARMOUR</x:v>
      </x:c>
      <x:c r="C781" s="137" t="str">
        <x:v>PER ORDER (V/L)</x:v>
      </x:c>
      <x:c r="D781" s="137" t="str">
        <x:v>6X9</x:v>
      </x:c>
      <x:c r="E781" s="137" t="str">
        <x:v>PACKING</x:v>
      </x:c>
      <x:c r="F781" s="137" t="str">
        <x:v>WRAPING PAPER||PCS</x:v>
      </x:c>
      <x:c r="G781" s="137" t="str">
        <x:v>Wraping Paper</x:v>
      </x:c>
      <x:c r="H781" s="137" t="str">
        <x:v>PCS</x:v>
      </x:c>
      <x:c r="I781" s="175" t="n">
        <x:v>1</x:v>
      </x:c>
      <x:c r="J781" s="176" t="str"/>
      <x:c r="K781" s="177" t="str"/>
      <x:c r="L781" s="178" t="str">
        <x:f>IF(J781="","",J781*(1+IF(K781="",0,K781)) )</x:f>
      </x:c>
      <x:c r="M781" s="138" t="str"/>
      <x:c r="N781" s="137" t="str">
        <x:v>Current model BOM seed</x:v>
      </x:c>
      <x:c r="O781" s="137" t="str"/>
      <x:c r="P781" s="137" t="str">
        <x:v>To Confirm</x:v>
      </x:c>
      <x:c r="Q781" s="137" t="str"/>
    </x:row>
    <x:row r="782">
      <x:c r="A782" s="137" t="str">
        <x:v>BOM-00778</x:v>
      </x:c>
      <x:c r="B782" s="137" t="str">
        <x:v>ARMOUR</x:v>
      </x:c>
      <x:c r="C782" s="137" t="str">
        <x:v>PER ORDER (V/L)</x:v>
      </x:c>
      <x:c r="D782" s="137" t="str">
        <x:v>6X9</x:v>
      </x:c>
      <x:c r="E782" s="137" t="str">
        <x:v>PACKING</x:v>
      </x:c>
      <x:c r="F782" s="137" t="str">
        <x:v>INNER||PCS</x:v>
      </x:c>
      <x:c r="G782" s="137" t="str">
        <x:v>INNER</x:v>
      </x:c>
      <x:c r="H782" s="137" t="str">
        <x:v>PCS</x:v>
      </x:c>
      <x:c r="I782" s="175" t="n">
        <x:v>1</x:v>
      </x:c>
      <x:c r="J782" s="176" t="str"/>
      <x:c r="K782" s="177" t="str"/>
      <x:c r="L782" s="178" t="str">
        <x:f>IF(J782="","",J782*(1+IF(K782="",0,K782)) )</x:f>
      </x:c>
      <x:c r="M782" s="138" t="str"/>
      <x:c r="N782" s="137" t="str">
        <x:v>Current model BOM seed</x:v>
      </x:c>
      <x:c r="O782" s="137" t="str"/>
      <x:c r="P782" s="137" t="str">
        <x:v>To Confirm</x:v>
      </x:c>
      <x:c r="Q782" s="137" t="str"/>
    </x:row>
    <x:row r="783">
      <x:c r="A783" s="137" t="str">
        <x:v>BOM-00779</x:v>
      </x:c>
      <x:c r="B783" s="137" t="str">
        <x:v>ARMOUR</x:v>
      </x:c>
      <x:c r="C783" s="137" t="str">
        <x:v>PER ORDER (V/L)</x:v>
      </x:c>
      <x:c r="D783" s="137" t="str">
        <x:v>6X9</x:v>
      </x:c>
      <x:c r="E783" s="137" t="str">
        <x:v>PACKING</x:v>
      </x:c>
      <x:c r="F783" s="137" t="str">
        <x:v>BARCODE STICKER||PCS</x:v>
      </x:c>
      <x:c r="G783" s="137" t="str">
        <x:v>Barcode Sticker</x:v>
      </x:c>
      <x:c r="H783" s="137" t="str">
        <x:v>PCS</x:v>
      </x:c>
      <x:c r="I783" s="175" t="n">
        <x:v>1</x:v>
      </x:c>
      <x:c r="J783" s="176" t="str"/>
      <x:c r="K783" s="177" t="str"/>
      <x:c r="L783" s="178" t="str">
        <x:f>IF(J783="","",J783*(1+IF(K783="",0,K783)) )</x:f>
      </x:c>
      <x:c r="M783" s="138" t="str"/>
      <x:c r="N783" s="137" t="str">
        <x:v>Current model BOM seed</x:v>
      </x:c>
      <x:c r="O783" s="137" t="str"/>
      <x:c r="P783" s="137" t="str">
        <x:v>To Confirm</x:v>
      </x:c>
      <x:c r="Q783" s="137" t="str"/>
    </x:row>
    <x:row r="784">
      <x:c r="A784" s="137" t="str">
        <x:v>BOM-00780</x:v>
      </x:c>
      <x:c r="B784" s="137" t="str">
        <x:v>ARMOUR</x:v>
      </x:c>
      <x:c r="C784" s="137" t="str">
        <x:v>PER ORDER (V/L)</x:v>
      </x:c>
      <x:c r="D784" s="137" t="str">
        <x:v>6X9</x:v>
      </x:c>
      <x:c r="E784" s="137" t="str">
        <x:v>PACKING</x:v>
      </x:c>
      <x:c r="F784" s="137" t="str">
        <x:v>CTN TAPE (1 CTN)||MTR</x:v>
      </x:c>
      <x:c r="G784" s="137" t="str">
        <x:v>Ctn Tape (1 Ctn)</x:v>
      </x:c>
      <x:c r="H784" s="137" t="str">
        <x:v>MTR</x:v>
      </x:c>
      <x:c r="I784" s="175" t="n">
        <x:v>0.5</x:v>
      </x:c>
      <x:c r="J784" s="176" t="str"/>
      <x:c r="K784" s="177" t="str"/>
      <x:c r="L784" s="178" t="str">
        <x:f>IF(J784="","",J784*(1+IF(K784="",0,K784)) )</x:f>
      </x:c>
      <x:c r="M784" s="138" t="str"/>
      <x:c r="N784" s="137" t="str">
        <x:v>Current model BOM seed</x:v>
      </x:c>
      <x:c r="O784" s="137" t="str"/>
      <x:c r="P784" s="137" t="str">
        <x:v>To Confirm</x:v>
      </x:c>
      <x:c r="Q784" s="137" t="str"/>
    </x:row>
    <x:row r="785">
      <x:c r="A785" s="137" t="str">
        <x:v>BOM-00781</x:v>
      </x:c>
      <x:c r="B785" s="137" t="str">
        <x:v>ARMOUR</x:v>
      </x:c>
      <x:c r="C785" s="137" t="str">
        <x:v>PER ORDER (V/L)</x:v>
      </x:c>
      <x:c r="D785" s="137" t="str">
        <x:v>6X9</x:v>
      </x:c>
      <x:c r="E785" s="137" t="str">
        <x:v>PACKING</x:v>
      </x:c>
      <x:c r="F785" s="137" t="str">
        <x:v>STRAPING ROLL (1CTN)||MTR</x:v>
      </x:c>
      <x:c r="G785" s="137" t="str">
        <x:v>Straping Roll (1Ctn)</x:v>
      </x:c>
      <x:c r="H785" s="137" t="str">
        <x:v>MTR</x:v>
      </x:c>
      <x:c r="I785" s="175" t="n">
        <x:v>0.25</x:v>
      </x:c>
      <x:c r="J785" s="176" t="str"/>
      <x:c r="K785" s="177" t="str"/>
      <x:c r="L785" s="178" t="str">
        <x:f>IF(J785="","",J785*(1+IF(K785="",0,K785)) )</x:f>
      </x:c>
      <x:c r="M785" s="138" t="str"/>
      <x:c r="N785" s="137" t="str">
        <x:v>Current model BOM seed</x:v>
      </x:c>
      <x:c r="O785" s="137" t="str"/>
      <x:c r="P785" s="137" t="str">
        <x:v>To Confirm</x:v>
      </x:c>
      <x:c r="Q785" s="137" t="str"/>
    </x:row>
    <x:row r="786">
      <x:c r="A786" s="137" t="str">
        <x:v>BOM-00782</x:v>
      </x:c>
      <x:c r="B786" s="137" t="str">
        <x:v>ARMOUR</x:v>
      </x:c>
      <x:c r="C786" s="137" t="str">
        <x:v>PER ORDER (V/L)</x:v>
      </x:c>
      <x:c r="D786" s="137" t="str">
        <x:v>6X9</x:v>
      </x:c>
      <x:c r="E786" s="137" t="str">
        <x:v>STITCHING</x:v>
      </x:c>
      <x:c r="F786" s="137" t="str">
        <x:v>THREAD 3 PLY||MTR</x:v>
      </x:c>
      <x:c r="G786" s="137" t="str">
        <x:v>Thread 3 Ply</x:v>
      </x:c>
      <x:c r="H786" s="137" t="str">
        <x:v>MTR</x:v>
      </x:c>
      <x:c r="I786" s="175" t="n">
        <x:v>20.83333333</x:v>
      </x:c>
      <x:c r="J786" s="176" t="str"/>
      <x:c r="K786" s="177" t="str"/>
      <x:c r="L786" s="178" t="str">
        <x:f>IF(J786="","",J786*(1+IF(K786="",0,K786)) )</x:f>
      </x:c>
      <x:c r="M786" s="138" t="str"/>
      <x:c r="N786" s="137" t="str">
        <x:v>Current model BOM seed</x:v>
      </x:c>
      <x:c r="O786" s="137" t="str"/>
      <x:c r="P786" s="137" t="str">
        <x:v>To Confirm</x:v>
      </x:c>
      <x:c r="Q786" s="137" t="str"/>
    </x:row>
    <x:row r="787">
      <x:c r="A787" s="137" t="str">
        <x:v>BOM-00783</x:v>
      </x:c>
      <x:c r="B787" s="137" t="str">
        <x:v>ARMOUR</x:v>
      </x:c>
      <x:c r="C787" s="137" t="str">
        <x:v>PER ORDER (V/L)</x:v>
      </x:c>
      <x:c r="D787" s="137" t="str">
        <x:v>6X9</x:v>
      </x:c>
      <x:c r="E787" s="137" t="str">
        <x:v>STITCHING</x:v>
      </x:c>
      <x:c r="F787" s="137" t="str">
        <x:v>SIZE LABEL||PCS</x:v>
      </x:c>
      <x:c r="G787" s="137" t="str">
        <x:v>SIZE LABEL</x:v>
      </x:c>
      <x:c r="H787" s="137" t="str">
        <x:v>PCS</x:v>
      </x:c>
      <x:c r="I787" s="175" t="n">
        <x:v>0.5</x:v>
      </x:c>
      <x:c r="J787" s="176" t="str"/>
      <x:c r="K787" s="177" t="str"/>
      <x:c r="L787" s="178" t="str">
        <x:f>IF(J787="","",J787*(1+IF(K787="",0,K787)) )</x:f>
      </x:c>
      <x:c r="M787" s="138" t="str"/>
      <x:c r="N787" s="137" t="str">
        <x:v>Current model BOM seed</x:v>
      </x:c>
      <x:c r="O787" s="137" t="str"/>
      <x:c r="P787" s="137" t="str">
        <x:v>To Confirm</x:v>
      </x:c>
      <x:c r="Q787" s="137" t="str"/>
    </x:row>
    <x:row r="788">
      <x:c r="A788" s="137" t="str">
        <x:v>BOM-00784</x:v>
      </x:c>
      <x:c r="B788" s="137" t="str">
        <x:v>ARMOUR</x:v>
      </x:c>
      <x:c r="C788" s="137" t="str">
        <x:v>PER ORDER (V/L)</x:v>
      </x:c>
      <x:c r="D788" s="137" t="str">
        <x:v>6X9</x:v>
      </x:c>
      <x:c r="E788" s="137" t="str">
        <x:v>STITCHING</x:v>
      </x:c>
      <x:c r="F788" s="137" t="str">
        <x:v>TOUNG LABEL SNEAKER||PCS</x:v>
      </x:c>
      <x:c r="G788" s="137" t="str">
        <x:v>TOUNG LABEL SNEAKER</x:v>
      </x:c>
      <x:c r="H788" s="137" t="str">
        <x:v>PCS</x:v>
      </x:c>
      <x:c r="I788" s="175" t="n">
        <x:v>0.5</x:v>
      </x:c>
      <x:c r="J788" s="176" t="str"/>
      <x:c r="K788" s="177" t="str"/>
      <x:c r="L788" s="178" t="str">
        <x:f>IF(J788="","",J788*(1+IF(K788="",0,K788)) )</x:f>
      </x:c>
      <x:c r="M788" s="138" t="str"/>
      <x:c r="N788" s="137" t="str">
        <x:v>Current model BOM seed</x:v>
      </x:c>
      <x:c r="O788" s="137" t="str"/>
      <x:c r="P788" s="137" t="str">
        <x:v>To Confirm</x:v>
      </x:c>
      <x:c r="Q788" s="137" t="str"/>
    </x:row>
    <x:row r="789">
      <x:c r="A789" s="137" t="str">
        <x:v>BOM-00785</x:v>
      </x:c>
      <x:c r="B789" s="137" t="str">
        <x:v>ARMOUR</x:v>
      </x:c>
      <x:c r="C789" s="137" t="str">
        <x:v>PER ORDER (V/L)</x:v>
      </x:c>
      <x:c r="D789" s="137" t="str">
        <x:v>6X9</x:v>
      </x:c>
      <x:c r="E789" s="137" t="str">
        <x:v>STITCHING</x:v>
      </x:c>
      <x:c r="F789" s="137" t="str">
        <x:v>PF-48||PCS</x:v>
      </x:c>
      <x:c r="G789" s="137" t="str">
        <x:v>PF-48</x:v>
      </x:c>
      <x:c r="H789" s="137" t="str">
        <x:v>PCS</x:v>
      </x:c>
      <x:c r="I789" s="175" t="n">
        <x:v>0</x:v>
      </x:c>
      <x:c r="J789" s="176" t="str"/>
      <x:c r="K789" s="177" t="str"/>
      <x:c r="L789" s="178" t="str">
        <x:f>IF(J789="","",J789*(1+IF(K789="",0,K789)) )</x:f>
      </x:c>
      <x:c r="M789" s="138" t="str"/>
      <x:c r="N789" s="137" t="str">
        <x:v>Current model BOM seed</x:v>
      </x:c>
      <x:c r="O789" s="137" t="str"/>
      <x:c r="P789" s="137" t="str">
        <x:v>To Confirm</x:v>
      </x:c>
      <x:c r="Q789" s="137" t="str"/>
    </x:row>
    <x:row r="790">
      <x:c r="A790" s="137" t="str">
        <x:v>BOM-00786</x:v>
      </x:c>
      <x:c r="B790" s="137" t="str">
        <x:v>ARMOUR</x:v>
      </x:c>
      <x:c r="C790" s="137" t="str">
        <x:v>PER ORDER (V/L)</x:v>
      </x:c>
      <x:c r="D790" s="137" t="str">
        <x:v>6X9</x:v>
      </x:c>
      <x:c r="E790" s="137" t="str">
        <x:v>STITCHING</x:v>
      </x:c>
      <x:c r="F790" s="137" t="str">
        <x:v>PF-3||PCS</x:v>
      </x:c>
      <x:c r="G790" s="137" t="str">
        <x:v>PF-3</x:v>
      </x:c>
      <x:c r="H790" s="137" t="str">
        <x:v>PCS</x:v>
      </x:c>
      <x:c r="I790" s="175" t="n">
        <x:v>0.25</x:v>
      </x:c>
      <x:c r="J790" s="176" t="str"/>
      <x:c r="K790" s="177" t="str"/>
      <x:c r="L790" s="178" t="str">
        <x:f>IF(J790="","",J790*(1+IF(K790="",0,K790)) )</x:f>
      </x:c>
      <x:c r="M790" s="138" t="str"/>
      <x:c r="N790" s="137" t="str">
        <x:v>Current model BOM seed</x:v>
      </x:c>
      <x:c r="O790" s="137" t="str"/>
      <x:c r="P790" s="137" t="str">
        <x:v>To Confirm</x:v>
      </x:c>
      <x:c r="Q790" s="137" t="str"/>
    </x:row>
    <x:row r="791">
      <x:c r="A791" s="137" t="str">
        <x:v>BOM-00787</x:v>
      </x:c>
      <x:c r="B791" s="137" t="str">
        <x:v>ARMOUR</x:v>
      </x:c>
      <x:c r="C791" s="137" t="str">
        <x:v>PER ORDER (V/L)</x:v>
      </x:c>
      <x:c r="D791" s="137" t="str">
        <x:v>6X9</x:v>
      </x:c>
      <x:c r="E791" s="137" t="str">
        <x:v>STITCHING</x:v>
      </x:c>
      <x:c r="F791" s="137" t="str">
        <x:v>VELCRO 20 MM HOOK||MTR</x:v>
      </x:c>
      <x:c r="G791" s="137" t="str">
        <x:v>VELCRO 20 MM HOOK</x:v>
      </x:c>
      <x:c r="H791" s="137" t="str">
        <x:v>MTR</x:v>
      </x:c>
      <x:c r="I791" s="175" t="n">
        <x:v>0</x:v>
      </x:c>
      <x:c r="J791" s="176" t="str"/>
      <x:c r="K791" s="177" t="str"/>
      <x:c r="L791" s="178" t="str">
        <x:f>IF(J791="","",J791*(1+IF(K791="",0,K791)) )</x:f>
      </x:c>
      <x:c r="M791" s="138" t="str"/>
      <x:c r="N791" s="137" t="str">
        <x:v>Current model BOM seed</x:v>
      </x:c>
      <x:c r="O791" s="137" t="str"/>
      <x:c r="P791" s="137" t="str">
        <x:v>To Confirm</x:v>
      </x:c>
      <x:c r="Q791" s="137" t="str"/>
    </x:row>
    <x:row r="792">
      <x:c r="A792" s="137" t="str">
        <x:v>BOM-00788</x:v>
      </x:c>
      <x:c r="B792" s="137" t="str">
        <x:v>ARMOUR</x:v>
      </x:c>
      <x:c r="C792" s="137" t="str">
        <x:v>PER ORDER (V/L)</x:v>
      </x:c>
      <x:c r="D792" s="137" t="str">
        <x:v>6X9</x:v>
      </x:c>
      <x:c r="E792" s="137" t="str">
        <x:v>STITCHING</x:v>
      </x:c>
      <x:c r="F792" s="137" t="str">
        <x:v>VELCRO 20 MM LOOP||MTR</x:v>
      </x:c>
      <x:c r="G792" s="137" t="str">
        <x:v>VELCRO 20 MM LOOP</x:v>
      </x:c>
      <x:c r="H792" s="137" t="str">
        <x:v>MTR</x:v>
      </x:c>
      <x:c r="I792" s="175" t="n">
        <x:v>0</x:v>
      </x:c>
      <x:c r="J792" s="176" t="str"/>
      <x:c r="K792" s="177" t="str"/>
      <x:c r="L792" s="178" t="str">
        <x:f>IF(J792="","",J792*(1+IF(K792="",0,K792)) )</x:f>
      </x:c>
      <x:c r="M792" s="138" t="str"/>
      <x:c r="N792" s="137" t="str">
        <x:v>Current model BOM seed</x:v>
      </x:c>
      <x:c r="O792" s="137" t="str"/>
      <x:c r="P792" s="137" t="str">
        <x:v>To Confirm</x:v>
      </x:c>
      <x:c r="Q792" s="137" t="str"/>
    </x:row>
    <x:row r="793">
      <x:c r="A793" s="137" t="str">
        <x:v>BOM-00789</x:v>
      </x:c>
      <x:c r="B793" s="137" t="str">
        <x:v>ARMOUR</x:v>
      </x:c>
      <x:c r="C793" s="137" t="str">
        <x:v>PER ORDER (V/L)</x:v>
      </x:c>
      <x:c r="D793" s="137" t="str">
        <x:v>6X9</x:v>
      </x:c>
      <x:c r="E793" s="137" t="str">
        <x:v>STITCHING</x:v>
      </x:c>
      <x:c r="F793" s="137" t="str">
        <x:v>VELCRO 25 MM HOOK||MTR</x:v>
      </x:c>
      <x:c r="G793" s="137" t="str">
        <x:v>VELCRO 25 MM HOOK</x:v>
      </x:c>
      <x:c r="H793" s="137" t="str">
        <x:v>MTR</x:v>
      </x:c>
      <x:c r="I793" s="175" t="n">
        <x:v>0.025</x:v>
      </x:c>
      <x:c r="J793" s="176" t="str"/>
      <x:c r="K793" s="177" t="str"/>
      <x:c r="L793" s="178" t="str">
        <x:f>IF(J793="","",J793*(1+IF(K793="",0,K793)) )</x:f>
      </x:c>
      <x:c r="M793" s="138" t="str"/>
      <x:c r="N793" s="137" t="str">
        <x:v>Current model BOM seed</x:v>
      </x:c>
      <x:c r="O793" s="137" t="str"/>
      <x:c r="P793" s="137" t="str">
        <x:v>To Confirm</x:v>
      </x:c>
      <x:c r="Q793" s="137" t="str"/>
    </x:row>
    <x:row r="794">
      <x:c r="A794" s="137" t="str">
        <x:v>BOM-00790</x:v>
      </x:c>
      <x:c r="B794" s="137" t="str">
        <x:v>ARMOUR</x:v>
      </x:c>
      <x:c r="C794" s="137" t="str">
        <x:v>PER ORDER (V/L)</x:v>
      </x:c>
      <x:c r="D794" s="137" t="str">
        <x:v>6X9</x:v>
      </x:c>
      <x:c r="E794" s="137" t="str">
        <x:v>STITCHING</x:v>
      </x:c>
      <x:c r="F794" s="137" t="str">
        <x:v>VELCRO 25 MM LOOP||MTR</x:v>
      </x:c>
      <x:c r="G794" s="137" t="str">
        <x:v>VELCRO 25 MM LOOP</x:v>
      </x:c>
      <x:c r="H794" s="137" t="str">
        <x:v>MTR</x:v>
      </x:c>
      <x:c r="I794" s="175" t="n">
        <x:v>0.025</x:v>
      </x:c>
      <x:c r="J794" s="176" t="str"/>
      <x:c r="K794" s="177" t="str"/>
      <x:c r="L794" s="178" t="str">
        <x:f>IF(J794="","",J794*(1+IF(K794="",0,K794)) )</x:f>
      </x:c>
      <x:c r="M794" s="138" t="str"/>
      <x:c r="N794" s="137" t="str">
        <x:v>Current model BOM seed</x:v>
      </x:c>
      <x:c r="O794" s="137" t="str"/>
      <x:c r="P794" s="137" t="str">
        <x:v>To Confirm</x:v>
      </x:c>
      <x:c r="Q794" s="137" t="str"/>
    </x:row>
    <x:row r="795">
      <x:c r="A795" s="137" t="str">
        <x:v>BOM-00791</x:v>
      </x:c>
      <x:c r="B795" s="137" t="str">
        <x:v>ARMOUR</x:v>
      </x:c>
      <x:c r="C795" s="137" t="str">
        <x:v>PER ORDER (V/L)</x:v>
      </x:c>
      <x:c r="D795" s="137" t="str">
        <x:v>6X9</x:v>
      </x:c>
      <x:c r="E795" s="137" t="str">
        <x:v>STITCHING</x:v>
      </x:c>
      <x:c r="F795" s="137" t="str">
        <x:v>POLYESTER BINDING 12 MM||MTR</x:v>
      </x:c>
      <x:c r="G795" s="137" t="str">
        <x:v>POLYESTER BINDING 12 MM</x:v>
      </x:c>
      <x:c r="H795" s="137" t="str">
        <x:v>MTR</x:v>
      </x:c>
      <x:c r="I795" s="175" t="n">
        <x:v>0.02941176</x:v>
      </x:c>
      <x:c r="J795" s="176" t="str"/>
      <x:c r="K795" s="177" t="str"/>
      <x:c r="L795" s="178" t="str">
        <x:f>IF(J795="","",J795*(1+IF(K795="",0,K795)) )</x:f>
      </x:c>
      <x:c r="M795" s="138" t="str"/>
      <x:c r="N795" s="137" t="str">
        <x:v>Current model BOM seed</x:v>
      </x:c>
      <x:c r="O795" s="137" t="str"/>
      <x:c r="P795" s="137" t="str">
        <x:v>To Confirm</x:v>
      </x:c>
      <x:c r="Q795" s="137" t="str"/>
    </x:row>
    <x:row r="796">
      <x:c r="A796" s="137" t="str">
        <x:v>BOM-00792</x:v>
      </x:c>
      <x:c r="B796" s="137" t="str">
        <x:v>ARMOUR</x:v>
      </x:c>
      <x:c r="C796" s="137" t="str">
        <x:v>PER ORDER (V/L)</x:v>
      </x:c>
      <x:c r="D796" s="137" t="str">
        <x:v>6X9</x:v>
      </x:c>
      <x:c r="E796" s="137" t="str">
        <x:v>STITCHING</x:v>
      </x:c>
      <x:c r="F796" s="137" t="str">
        <x:v>BACK TAPE 14 MM||MTR</x:v>
      </x:c>
      <x:c r="G796" s="137" t="str">
        <x:v>BACK TAPE 14 MM</x:v>
      </x:c>
      <x:c r="H796" s="137" t="str">
        <x:v>MTR</x:v>
      </x:c>
      <x:c r="I796" s="175" t="n">
        <x:v>0.08333333</x:v>
      </x:c>
      <x:c r="J796" s="176" t="str"/>
      <x:c r="K796" s="177" t="str"/>
      <x:c r="L796" s="178" t="str">
        <x:f>IF(J796="","",J796*(1+IF(K796="",0,K796)) )</x:f>
      </x:c>
      <x:c r="M796" s="138" t="str"/>
      <x:c r="N796" s="137" t="str">
        <x:v>Current model BOM seed</x:v>
      </x:c>
      <x:c r="O796" s="137" t="str"/>
      <x:c r="P796" s="137" t="str">
        <x:v>To Confirm</x:v>
      </x:c>
      <x:c r="Q796" s="137" t="str"/>
    </x:row>
    <x:row r="797">
      <x:c r="A797" s="137" t="str">
        <x:v>BOM-00793</x:v>
      </x:c>
      <x:c r="B797" s="137" t="str">
        <x:v>ARMOUR</x:v>
      </x:c>
      <x:c r="C797" s="137" t="str">
        <x:v>PER ORDER (V/L)</x:v>
      </x:c>
      <x:c r="D797" s="137" t="str">
        <x:v>9X12</x:v>
      </x:c>
      <x:c r="E797" s="137" t="str">
        <x:v>CUTTING</x:v>
      </x:c>
      <x:c r="F797" s="137" t="str">
        <x:v>REXINE 54"||MTR</x:v>
      </x:c>
      <x:c r="G797" s="137" t="str">
        <x:v>Rexine 54"</x:v>
      </x:c>
      <x:c r="H797" s="137" t="str">
        <x:v>MTR</x:v>
      </x:c>
      <x:c r="I797" s="175" t="n">
        <x:v>0.15673438</x:v>
      </x:c>
      <x:c r="J797" s="176" t="str"/>
      <x:c r="K797" s="177" t="str"/>
      <x:c r="L797" s="178" t="str">
        <x:f>IF(J797="","",J797*(1+IF(K797="",0,K797)) )</x:f>
      </x:c>
      <x:c r="M797" s="138" t="str"/>
      <x:c r="N797" s="137" t="str">
        <x:v>Current model BOM seed</x:v>
      </x:c>
      <x:c r="O797" s="137" t="str"/>
      <x:c r="P797" s="137" t="str">
        <x:v>To Confirm</x:v>
      </x:c>
      <x:c r="Q797" s="137" t="str"/>
    </x:row>
    <x:row r="798">
      <x:c r="A798" s="137" t="str">
        <x:v>BOM-00794</x:v>
      </x:c>
      <x:c r="B798" s="137" t="str">
        <x:v>ARMOUR</x:v>
      </x:c>
      <x:c r="C798" s="137" t="str">
        <x:v>PER ORDER (V/L)</x:v>
      </x:c>
      <x:c r="D798" s="137" t="str">
        <x:v>9X12</x:v>
      </x:c>
      <x:c r="E798" s="137" t="str">
        <x:v>CUTTING</x:v>
      </x:c>
      <x:c r="F798" s="137" t="str">
        <x:v>MESH 58"||MTR</x:v>
      </x:c>
      <x:c r="G798" s="137" t="str">
        <x:v>Mesh 58"</x:v>
      </x:c>
      <x:c r="H798" s="137" t="str">
        <x:v>MTR</x:v>
      </x:c>
      <x:c r="I798" s="175" t="n">
        <x:v>0.5</x:v>
      </x:c>
      <x:c r="J798" s="176" t="str"/>
      <x:c r="K798" s="177" t="str"/>
      <x:c r="L798" s="178" t="str">
        <x:f>IF(J798="","",J798*(1+IF(K798="",0,K798)) )</x:f>
      </x:c>
      <x:c r="M798" s="138" t="str"/>
      <x:c r="N798" s="137" t="str">
        <x:v>Current model BOM seed</x:v>
      </x:c>
      <x:c r="O798" s="137" t="str"/>
      <x:c r="P798" s="137" t="str">
        <x:v>To Confirm</x:v>
      </x:c>
      <x:c r="Q798" s="137" t="str"/>
    </x:row>
    <x:row r="799">
      <x:c r="A799" s="137" t="str">
        <x:v>BOM-00795</x:v>
      </x:c>
      <x:c r="B799" s="137" t="str">
        <x:v>ARMOUR</x:v>
      </x:c>
      <x:c r="C799" s="137" t="str">
        <x:v>PER ORDER (V/L)</x:v>
      </x:c>
      <x:c r="D799" s="137" t="str">
        <x:v>9X12</x:v>
      </x:c>
      <x:c r="E799" s="137" t="str">
        <x:v>CUTTING</x:v>
      </x:c>
      <x:c r="F799" s="137" t="str">
        <x:v>SKINFIT 60"||MTR</x:v>
      </x:c>
      <x:c r="G799" s="137" t="str">
        <x:v>Skinfit 60"</x:v>
      </x:c>
      <x:c r="H799" s="137" t="str">
        <x:v>MTR</x:v>
      </x:c>
      <x:c r="I799" s="175" t="n">
        <x:v>0.14122505</x:v>
      </x:c>
      <x:c r="J799" s="176" t="str"/>
      <x:c r="K799" s="177" t="str"/>
      <x:c r="L799" s="178" t="str">
        <x:f>IF(J799="","",J799*(1+IF(K799="",0,K799)) )</x:f>
      </x:c>
      <x:c r="M799" s="138" t="str"/>
      <x:c r="N799" s="137" t="str">
        <x:v>Current model BOM seed</x:v>
      </x:c>
      <x:c r="O799" s="137" t="str"/>
      <x:c r="P799" s="137" t="str">
        <x:v>To Confirm</x:v>
      </x:c>
      <x:c r="Q799" s="137" t="str"/>
    </x:row>
    <x:row r="800">
      <x:c r="A800" s="137" t="str">
        <x:v>BOM-00796</x:v>
      </x:c>
      <x:c r="B800" s="137" t="str">
        <x:v>ARMOUR</x:v>
      </x:c>
      <x:c r="C800" s="137" t="str">
        <x:v>PER ORDER (V/L)</x:v>
      </x:c>
      <x:c r="D800" s="137" t="str">
        <x:v>9X12</x:v>
      </x:c>
      <x:c r="E800" s="137" t="str">
        <x:v>CUTTING</x:v>
      </x:c>
      <x:c r="F800" s="137" t="str">
        <x:v>SHEET 20MM||SHEET</x:v>
      </x:c>
      <x:c r="G800" s="137" t="str">
        <x:v>Sheet 20Mm</x:v>
      </x:c>
      <x:c r="H800" s="137" t="str">
        <x:v>SHEET</x:v>
      </x:c>
      <x:c r="I800" s="175" t="n">
        <x:v>0.01408451</x:v>
      </x:c>
      <x:c r="J800" s="176" t="str"/>
      <x:c r="K800" s="177" t="str"/>
      <x:c r="L800" s="178" t="str">
        <x:f>IF(J800="","",J800*(1+IF(K800="",0,K800)) )</x:f>
      </x:c>
      <x:c r="M800" s="138" t="str"/>
      <x:c r="N800" s="137" t="str">
        <x:v>Current model BOM seed</x:v>
      </x:c>
      <x:c r="O800" s="137" t="str"/>
      <x:c r="P800" s="137" t="str">
        <x:v>To Confirm</x:v>
      </x:c>
      <x:c r="Q800" s="137" t="str"/>
    </x:row>
    <x:row r="801">
      <x:c r="A801" s="137" t="str">
        <x:v>BOM-00797</x:v>
      </x:c>
      <x:c r="B801" s="137" t="str">
        <x:v>ARMOUR</x:v>
      </x:c>
      <x:c r="C801" s="137" t="str">
        <x:v>PER ORDER (V/L)</x:v>
      </x:c>
      <x:c r="D801" s="137" t="str">
        <x:v>9X12</x:v>
      </x:c>
      <x:c r="E801" s="137" t="str">
        <x:v>CUTTING</x:v>
      </x:c>
      <x:c r="F801" s="137" t="str">
        <x:v>SHEET 10MM||SHEET</x:v>
      </x:c>
      <x:c r="G801" s="137" t="str">
        <x:v>Sheet 10Mm</x:v>
      </x:c>
      <x:c r="H801" s="137" t="str">
        <x:v>SHEET</x:v>
      </x:c>
      <x:c r="I801" s="175" t="n">
        <x:v>0.01449275</x:v>
      </x:c>
      <x:c r="J801" s="176" t="str"/>
      <x:c r="K801" s="177" t="str"/>
      <x:c r="L801" s="178" t="str">
        <x:f>IF(J801="","",J801*(1+IF(K801="",0,K801)) )</x:f>
      </x:c>
      <x:c r="M801" s="138" t="str"/>
      <x:c r="N801" s="137" t="str">
        <x:v>Current model BOM seed</x:v>
      </x:c>
      <x:c r="O801" s="137" t="str"/>
      <x:c r="P801" s="137" t="str">
        <x:v>To Confirm</x:v>
      </x:c>
      <x:c r="Q801" s="137" t="str"/>
    </x:row>
    <x:row r="802">
      <x:c r="A802" s="137" t="str">
        <x:v>BOM-00798</x:v>
      </x:c>
      <x:c r="B802" s="137" t="str">
        <x:v>ARMOUR</x:v>
      </x:c>
      <x:c r="C802" s="137" t="str">
        <x:v>PER ORDER (V/L)</x:v>
      </x:c>
      <x:c r="D802" s="137" t="str">
        <x:v>9X12</x:v>
      </x:c>
      <x:c r="E802" s="137" t="str">
        <x:v>CUTTING</x:v>
      </x:c>
      <x:c r="F802" s="137" t="str">
        <x:v>SHEET 1.4MM||SHEET</x:v>
      </x:c>
      <x:c r="G802" s="137" t="str">
        <x:v>Sheet 1.4Mm</x:v>
      </x:c>
      <x:c r="H802" s="137" t="str">
        <x:v>SHEET</x:v>
      </x:c>
      <x:c r="I802" s="175" t="n">
        <x:v>0.05807892</x:v>
      </x:c>
      <x:c r="J802" s="176" t="str"/>
      <x:c r="K802" s="177" t="str"/>
      <x:c r="L802" s="178" t="str">
        <x:f>IF(J802="","",J802*(1+IF(K802="",0,K802)) )</x:f>
      </x:c>
      <x:c r="M802" s="138" t="str"/>
      <x:c r="N802" s="137" t="str">
        <x:v>Current model BOM seed</x:v>
      </x:c>
      <x:c r="O802" s="137" t="str"/>
      <x:c r="P802" s="137" t="str">
        <x:v>To Confirm</x:v>
      </x:c>
      <x:c r="Q802" s="137" t="str"/>
    </x:row>
    <x:row r="803">
      <x:c r="A803" s="137" t="str">
        <x:v>BOM-00799</x:v>
      </x:c>
      <x:c r="B803" s="137" t="str">
        <x:v>ARMOUR</x:v>
      </x:c>
      <x:c r="C803" s="137" t="str">
        <x:v>PER ORDER (V/L)</x:v>
      </x:c>
      <x:c r="D803" s="137" t="str">
        <x:v>9X12</x:v>
      </x:c>
      <x:c r="E803" s="137" t="str">
        <x:v>CUTTING</x:v>
      </x:c>
      <x:c r="F803" s="137" t="str">
        <x:v>SHEET 0.8MM||SHEET</x:v>
      </x:c>
      <x:c r="G803" s="137" t="str">
        <x:v>Sheet 0.8Mm</x:v>
      </x:c>
      <x:c r="H803" s="137" t="str">
        <x:v>SHEET</x:v>
      </x:c>
      <x:c r="I803" s="175" t="n">
        <x:v>0.01470588</x:v>
      </x:c>
      <x:c r="J803" s="176" t="str"/>
      <x:c r="K803" s="177" t="str"/>
      <x:c r="L803" s="178" t="str">
        <x:f>IF(J803="","",J803*(1+IF(K803="",0,K803)) )</x:f>
      </x:c>
      <x:c r="M803" s="138" t="str"/>
      <x:c r="N803" s="137" t="str">
        <x:v>Current model BOM seed</x:v>
      </x:c>
      <x:c r="O803" s="137" t="str"/>
      <x:c r="P803" s="137" t="str">
        <x:v>To Confirm</x:v>
      </x:c>
      <x:c r="Q803" s="137" t="str"/>
    </x:row>
    <x:row r="804">
      <x:c r="A804" s="137" t="str">
        <x:v>BOM-00800</x:v>
      </x:c>
      <x:c r="B804" s="137" t="str">
        <x:v>ARMOUR</x:v>
      </x:c>
      <x:c r="C804" s="137" t="str">
        <x:v>PER ORDER (V/L)</x:v>
      </x:c>
      <x:c r="D804" s="137" t="str">
        <x:v>9X12</x:v>
      </x:c>
      <x:c r="E804" s="137" t="str">
        <x:v>CUTTING</x:v>
      </x:c>
      <x:c r="F804" s="137" t="str">
        <x:v>INSOLE||PAIR</x:v>
      </x:c>
      <x:c r="G804" s="137" t="str">
        <x:v>INSOLE</x:v>
      </x:c>
      <x:c r="H804" s="137" t="str">
        <x:v>PAIR</x:v>
      </x:c>
      <x:c r="I804" s="175" t="n">
        <x:v>2</x:v>
      </x:c>
      <x:c r="J804" s="176" t="str"/>
      <x:c r="K804" s="177" t="str"/>
      <x:c r="L804" s="178" t="str">
        <x:f>IF(J804="","",J804*(1+IF(K804="",0,K804)) )</x:f>
      </x:c>
      <x:c r="M804" s="138" t="str"/>
      <x:c r="N804" s="137" t="str">
        <x:v>Current model BOM seed</x:v>
      </x:c>
      <x:c r="O804" s="137" t="str"/>
      <x:c r="P804" s="137" t="str">
        <x:v>To Confirm</x:v>
      </x:c>
      <x:c r="Q804" s="137" t="str"/>
    </x:row>
    <x:row r="805">
      <x:c r="A805" s="137" t="str">
        <x:v>BOM-00801</x:v>
      </x:c>
      <x:c r="B805" s="137" t="str">
        <x:v>ARMOUR</x:v>
      </x:c>
      <x:c r="C805" s="137" t="str">
        <x:v>PER ORDER (V/L)</x:v>
      </x:c>
      <x:c r="D805" s="137" t="str">
        <x:v>9X12</x:v>
      </x:c>
      <x:c r="E805" s="137" t="str">
        <x:v>MOLDING</x:v>
      </x:c>
      <x:c r="F805" s="137" t="str">
        <x:v>SOLE 1231 EVA||PAIR</x:v>
      </x:c>
      <x:c r="G805" s="137" t="str">
        <x:v>Sole 1231 EVA</x:v>
      </x:c>
      <x:c r="H805" s="137" t="str">
        <x:v>PAIR</x:v>
      </x:c>
      <x:c r="I805" s="175" t="n">
        <x:v>2</x:v>
      </x:c>
      <x:c r="J805" s="176" t="str"/>
      <x:c r="K805" s="177" t="str"/>
      <x:c r="L805" s="178" t="str">
        <x:f>IF(J805="","",J805*(1+IF(K805="",0,K805)) )</x:f>
      </x:c>
      <x:c r="M805" s="138" t="str"/>
      <x:c r="N805" s="137" t="str">
        <x:v>Current model BOM seed</x:v>
      </x:c>
      <x:c r="O805" s="137" t="str"/>
      <x:c r="P805" s="137" t="str">
        <x:v>To Confirm</x:v>
      </x:c>
      <x:c r="Q805" s="137" t="str"/>
    </x:row>
    <x:row r="806">
      <x:c r="A806" s="137" t="str">
        <x:v>BOM-00802</x:v>
      </x:c>
      <x:c r="B806" s="137" t="str">
        <x:v>ARMOUR</x:v>
      </x:c>
      <x:c r="C806" s="137" t="str">
        <x:v>PER ORDER (V/L)</x:v>
      </x:c>
      <x:c r="D806" s="137" t="str">
        <x:v>9X12</x:v>
      </x:c>
      <x:c r="E806" s="137" t="str">
        <x:v>PACKING</x:v>
      </x:c>
      <x:c r="F806" s="137" t="str">
        <x:v>TISSUE PAPER||PCS</x:v>
      </x:c>
      <x:c r="G806" s="137" t="str">
        <x:v>Tissue Paper</x:v>
      </x:c>
      <x:c r="H806" s="137" t="str">
        <x:v>PCS</x:v>
      </x:c>
      <x:c r="I806" s="175" t="n">
        <x:v>0.25</x:v>
      </x:c>
      <x:c r="J806" s="176" t="str"/>
      <x:c r="K806" s="177" t="str"/>
      <x:c r="L806" s="178" t="str">
        <x:f>IF(J806="","",J806*(1+IF(K806="",0,K806)) )</x:f>
      </x:c>
      <x:c r="M806" s="138" t="str"/>
      <x:c r="N806" s="137" t="str">
        <x:v>Current model BOM seed</x:v>
      </x:c>
      <x:c r="O806" s="137" t="str"/>
      <x:c r="P806" s="137" t="str">
        <x:v>To Confirm</x:v>
      </x:c>
      <x:c r="Q806" s="137" t="str"/>
    </x:row>
    <x:row r="807">
      <x:c r="A807" s="137" t="str">
        <x:v>BOM-00803</x:v>
      </x:c>
      <x:c r="B807" s="137" t="str">
        <x:v>ARMOUR</x:v>
      </x:c>
      <x:c r="C807" s="137" t="str">
        <x:v>PER ORDER (V/L)</x:v>
      </x:c>
      <x:c r="D807" s="137" t="str">
        <x:v>9X12</x:v>
      </x:c>
      <x:c r="E807" s="137" t="str">
        <x:v>PACKING</x:v>
      </x:c>
      <x:c r="F807" s="137" t="str">
        <x:v>SHOE SHINER||GRAM</x:v>
      </x:c>
      <x:c r="G807" s="137" t="str">
        <x:v>Shoe Shiner</x:v>
      </x:c>
      <x:c r="H807" s="137" t="str">
        <x:v>GRAM</x:v>
      </x:c>
      <x:c r="I807" s="175" t="n">
        <x:v>0.06666667</x:v>
      </x:c>
      <x:c r="J807" s="176" t="str"/>
      <x:c r="K807" s="177" t="str"/>
      <x:c r="L807" s="178" t="str">
        <x:f>IF(J807="","",J807*(1+IF(K807="",0,K807)) )</x:f>
      </x:c>
      <x:c r="M807" s="138" t="str"/>
      <x:c r="N807" s="137" t="str">
        <x:v>Current model BOM seed</x:v>
      </x:c>
      <x:c r="O807" s="137" t="str"/>
      <x:c r="P807" s="137" t="str">
        <x:v>To Confirm</x:v>
      </x:c>
      <x:c r="Q807" s="137" t="str"/>
    </x:row>
    <x:row r="808">
      <x:c r="A808" s="137" t="str">
        <x:v>BOM-00804</x:v>
      </x:c>
      <x:c r="B808" s="137" t="str">
        <x:v>ARMOUR</x:v>
      </x:c>
      <x:c r="C808" s="137" t="str">
        <x:v>PER ORDER (V/L)</x:v>
      </x:c>
      <x:c r="D808" s="137" t="str">
        <x:v>9X12</x:v>
      </x:c>
      <x:c r="E808" s="137" t="str">
        <x:v>PACKING</x:v>
      </x:c>
      <x:c r="F808" s="137" t="str">
        <x:v>EMYLE||GRAM</x:v>
      </x:c>
      <x:c r="G808" s="137" t="str">
        <x:v>EMYLE</x:v>
      </x:c>
      <x:c r="H808" s="137" t="str">
        <x:v>GRAM</x:v>
      </x:c>
      <x:c r="I808" s="175" t="n">
        <x:v>0.07142857</x:v>
      </x:c>
      <x:c r="J808" s="176" t="str"/>
      <x:c r="K808" s="177" t="str"/>
      <x:c r="L808" s="178" t="str">
        <x:f>IF(J808="","",J808*(1+IF(K808="",0,K808)) )</x:f>
      </x:c>
      <x:c r="M808" s="138" t="str"/>
      <x:c r="N808" s="137" t="str">
        <x:v>Current model BOM seed</x:v>
      </x:c>
      <x:c r="O808" s="137" t="str"/>
      <x:c r="P808" s="137" t="str">
        <x:v>To Confirm</x:v>
      </x:c>
      <x:c r="Q808" s="137" t="str"/>
    </x:row>
    <x:row r="809">
      <x:c r="A809" s="137" t="str">
        <x:v>BOM-00805</x:v>
      </x:c>
      <x:c r="B809" s="137" t="str">
        <x:v>ARMOUR</x:v>
      </x:c>
      <x:c r="C809" s="137" t="str">
        <x:v>PER ORDER (V/L)</x:v>
      </x:c>
      <x:c r="D809" s="137" t="str">
        <x:v>9X12</x:v>
      </x:c>
      <x:c r="E809" s="137" t="str">
        <x:v>PACKING</x:v>
      </x:c>
      <x:c r="F809" s="137" t="str">
        <x:v>TAG PIN||PCS</x:v>
      </x:c>
      <x:c r="G809" s="137" t="str">
        <x:v>Tag Pin</x:v>
      </x:c>
      <x:c r="H809" s="137" t="str">
        <x:v>PCS</x:v>
      </x:c>
      <x:c r="I809" s="175" t="n">
        <x:v>1</x:v>
      </x:c>
      <x:c r="J809" s="176" t="str"/>
      <x:c r="K809" s="177" t="str"/>
      <x:c r="L809" s="178" t="str">
        <x:f>IF(J809="","",J809*(1+IF(K809="",0,K809)) )</x:f>
      </x:c>
      <x:c r="M809" s="138" t="str"/>
      <x:c r="N809" s="137" t="str">
        <x:v>Current model BOM seed</x:v>
      </x:c>
      <x:c r="O809" s="137" t="str"/>
      <x:c r="P809" s="137" t="str">
        <x:v>To Confirm</x:v>
      </x:c>
      <x:c r="Q809" s="137" t="str"/>
    </x:row>
    <x:row r="810">
      <x:c r="A810" s="137" t="str">
        <x:v>BOM-00806</x:v>
      </x:c>
      <x:c r="B810" s="137" t="str">
        <x:v>ARMOUR</x:v>
      </x:c>
      <x:c r="C810" s="137" t="str">
        <x:v>PER ORDER (V/L)</x:v>
      </x:c>
      <x:c r="D810" s="137" t="str">
        <x:v>9X12</x:v>
      </x:c>
      <x:c r="E810" s="137" t="str">
        <x:v>PACKING</x:v>
      </x:c>
      <x:c r="F810" s="137" t="str">
        <x:v>TAG CARD||PCS</x:v>
      </x:c>
      <x:c r="G810" s="137" t="str">
        <x:v>Tag Card</x:v>
      </x:c>
      <x:c r="H810" s="137" t="str">
        <x:v>PCS</x:v>
      </x:c>
      <x:c r="I810" s="175" t="n">
        <x:v>1</x:v>
      </x:c>
      <x:c r="J810" s="176" t="str"/>
      <x:c r="K810" s="177" t="str"/>
      <x:c r="L810" s="178" t="str">
        <x:f>IF(J810="","",J810*(1+IF(K810="",0,K810)) )</x:f>
      </x:c>
      <x:c r="M810" s="138" t="str"/>
      <x:c r="N810" s="137" t="str">
        <x:v>Current model BOM seed</x:v>
      </x:c>
      <x:c r="O810" s="137" t="str"/>
      <x:c r="P810" s="137" t="str">
        <x:v>To Confirm</x:v>
      </x:c>
      <x:c r="Q810" s="137" t="str"/>
    </x:row>
    <x:row r="811">
      <x:c r="A811" s="137" t="str">
        <x:v>BOM-00807</x:v>
      </x:c>
      <x:c r="B811" s="137" t="str">
        <x:v>ARMOUR</x:v>
      </x:c>
      <x:c r="C811" s="137" t="str">
        <x:v>PER ORDER (V/L)</x:v>
      </x:c>
      <x:c r="D811" s="137" t="str">
        <x:v>9X12</x:v>
      </x:c>
      <x:c r="E811" s="137" t="str">
        <x:v>PACKING</x:v>
      </x:c>
      <x:c r="F811" s="137" t="str">
        <x:v>WRAPING PAPER||PCS</x:v>
      </x:c>
      <x:c r="G811" s="137" t="str">
        <x:v>Wraping Paper</x:v>
      </x:c>
      <x:c r="H811" s="137" t="str">
        <x:v>PCS</x:v>
      </x:c>
      <x:c r="I811" s="175" t="n">
        <x:v>1</x:v>
      </x:c>
      <x:c r="J811" s="176" t="str"/>
      <x:c r="K811" s="177" t="str"/>
      <x:c r="L811" s="178" t="str">
        <x:f>IF(J811="","",J811*(1+IF(K811="",0,K811)) )</x:f>
      </x:c>
      <x:c r="M811" s="138" t="str"/>
      <x:c r="N811" s="137" t="str">
        <x:v>Current model BOM seed</x:v>
      </x:c>
      <x:c r="O811" s="137" t="str"/>
      <x:c r="P811" s="137" t="str">
        <x:v>To Confirm</x:v>
      </x:c>
      <x:c r="Q811" s="137" t="str"/>
    </x:row>
    <x:row r="812">
      <x:c r="A812" s="137" t="str">
        <x:v>BOM-00808</x:v>
      </x:c>
      <x:c r="B812" s="137" t="str">
        <x:v>ARMOUR</x:v>
      </x:c>
      <x:c r="C812" s="137" t="str">
        <x:v>PER ORDER (V/L)</x:v>
      </x:c>
      <x:c r="D812" s="137" t="str">
        <x:v>9X12</x:v>
      </x:c>
      <x:c r="E812" s="137" t="str">
        <x:v>PACKING</x:v>
      </x:c>
      <x:c r="F812" s="137" t="str">
        <x:v>INNER||PCS</x:v>
      </x:c>
      <x:c r="G812" s="137" t="str">
        <x:v>INNER</x:v>
      </x:c>
      <x:c r="H812" s="137" t="str">
        <x:v>PCS</x:v>
      </x:c>
      <x:c r="I812" s="175" t="n">
        <x:v>1</x:v>
      </x:c>
      <x:c r="J812" s="176" t="str"/>
      <x:c r="K812" s="177" t="str"/>
      <x:c r="L812" s="178" t="str">
        <x:f>IF(J812="","",J812*(1+IF(K812="",0,K812)) )</x:f>
      </x:c>
      <x:c r="M812" s="138" t="str"/>
      <x:c r="N812" s="137" t="str">
        <x:v>Current model BOM seed</x:v>
      </x:c>
      <x:c r="O812" s="137" t="str"/>
      <x:c r="P812" s="137" t="str">
        <x:v>To Confirm</x:v>
      </x:c>
      <x:c r="Q812" s="137" t="str"/>
    </x:row>
    <x:row r="813">
      <x:c r="A813" s="137" t="str">
        <x:v>BOM-00809</x:v>
      </x:c>
      <x:c r="B813" s="137" t="str">
        <x:v>ARMOUR</x:v>
      </x:c>
      <x:c r="C813" s="137" t="str">
        <x:v>PER ORDER (V/L)</x:v>
      </x:c>
      <x:c r="D813" s="137" t="str">
        <x:v>9X12</x:v>
      </x:c>
      <x:c r="E813" s="137" t="str">
        <x:v>PACKING</x:v>
      </x:c>
      <x:c r="F813" s="137" t="str">
        <x:v>BARCODE STICKER||PCS</x:v>
      </x:c>
      <x:c r="G813" s="137" t="str">
        <x:v>Barcode Sticker</x:v>
      </x:c>
      <x:c r="H813" s="137" t="str">
        <x:v>PCS</x:v>
      </x:c>
      <x:c r="I813" s="175" t="n">
        <x:v>1</x:v>
      </x:c>
      <x:c r="J813" s="176" t="str"/>
      <x:c r="K813" s="177" t="str"/>
      <x:c r="L813" s="178" t="str">
        <x:f>IF(J813="","",J813*(1+IF(K813="",0,K813)) )</x:f>
      </x:c>
      <x:c r="M813" s="138" t="str"/>
      <x:c r="N813" s="137" t="str">
        <x:v>Current model BOM seed</x:v>
      </x:c>
      <x:c r="O813" s="137" t="str"/>
      <x:c r="P813" s="137" t="str">
        <x:v>To Confirm</x:v>
      </x:c>
      <x:c r="Q813" s="137" t="str"/>
    </x:row>
    <x:row r="814">
      <x:c r="A814" s="137" t="str">
        <x:v>BOM-00810</x:v>
      </x:c>
      <x:c r="B814" s="137" t="str">
        <x:v>ARMOUR</x:v>
      </x:c>
      <x:c r="C814" s="137" t="str">
        <x:v>PER ORDER (V/L)</x:v>
      </x:c>
      <x:c r="D814" s="137" t="str">
        <x:v>9X12</x:v>
      </x:c>
      <x:c r="E814" s="137" t="str">
        <x:v>PACKING</x:v>
      </x:c>
      <x:c r="F814" s="137" t="str">
        <x:v>CTN TAPE (1 CTN)||MTR</x:v>
      </x:c>
      <x:c r="G814" s="137" t="str">
        <x:v>Ctn Tape (1 Ctn)</x:v>
      </x:c>
      <x:c r="H814" s="137" t="str">
        <x:v>MTR</x:v>
      </x:c>
      <x:c r="I814" s="175" t="n">
        <x:v>0.5</x:v>
      </x:c>
      <x:c r="J814" s="176" t="str"/>
      <x:c r="K814" s="177" t="str"/>
      <x:c r="L814" s="178" t="str">
        <x:f>IF(J814="","",J814*(1+IF(K814="",0,K814)) )</x:f>
      </x:c>
      <x:c r="M814" s="138" t="str"/>
      <x:c r="N814" s="137" t="str">
        <x:v>Current model BOM seed</x:v>
      </x:c>
      <x:c r="O814" s="137" t="str"/>
      <x:c r="P814" s="137" t="str">
        <x:v>To Confirm</x:v>
      </x:c>
      <x:c r="Q814" s="137" t="str"/>
    </x:row>
    <x:row r="815">
      <x:c r="A815" s="137" t="str">
        <x:v>BOM-00811</x:v>
      </x:c>
      <x:c r="B815" s="137" t="str">
        <x:v>ARMOUR</x:v>
      </x:c>
      <x:c r="C815" s="137" t="str">
        <x:v>PER ORDER (V/L)</x:v>
      </x:c>
      <x:c r="D815" s="137" t="str">
        <x:v>9X12</x:v>
      </x:c>
      <x:c r="E815" s="137" t="str">
        <x:v>PACKING</x:v>
      </x:c>
      <x:c r="F815" s="137" t="str">
        <x:v>STRAPING ROLL (1CTN)||MTR</x:v>
      </x:c>
      <x:c r="G815" s="137" t="str">
        <x:v>Straping Roll (1Ctn)</x:v>
      </x:c>
      <x:c r="H815" s="137" t="str">
        <x:v>MTR</x:v>
      </x:c>
      <x:c r="I815" s="175" t="n">
        <x:v>0.25</x:v>
      </x:c>
      <x:c r="J815" s="176" t="str"/>
      <x:c r="K815" s="177" t="str"/>
      <x:c r="L815" s="178" t="str">
        <x:f>IF(J815="","",J815*(1+IF(K815="",0,K815)) )</x:f>
      </x:c>
      <x:c r="M815" s="138" t="str"/>
      <x:c r="N815" s="137" t="str">
        <x:v>Current model BOM seed</x:v>
      </x:c>
      <x:c r="O815" s="137" t="str"/>
      <x:c r="P815" s="137" t="str">
        <x:v>To Confirm</x:v>
      </x:c>
      <x:c r="Q815" s="137" t="str"/>
    </x:row>
    <x:row r="816">
      <x:c r="A816" s="137" t="str">
        <x:v>BOM-00812</x:v>
      </x:c>
      <x:c r="B816" s="137" t="str">
        <x:v>ARMOUR</x:v>
      </x:c>
      <x:c r="C816" s="137" t="str">
        <x:v>PER ORDER (V/L)</x:v>
      </x:c>
      <x:c r="D816" s="137" t="str">
        <x:v>9X12</x:v>
      </x:c>
      <x:c r="E816" s="137" t="str">
        <x:v>STITCHING</x:v>
      </x:c>
      <x:c r="F816" s="137" t="str">
        <x:v>THREAD 3 PLY||MTR</x:v>
      </x:c>
      <x:c r="G816" s="137" t="str">
        <x:v>Thread 3 Ply</x:v>
      </x:c>
      <x:c r="H816" s="137" t="str">
        <x:v>MTR</x:v>
      </x:c>
      <x:c r="I816" s="175" t="n">
        <x:v>20.83333333</x:v>
      </x:c>
      <x:c r="J816" s="176" t="str"/>
      <x:c r="K816" s="177" t="str"/>
      <x:c r="L816" s="178" t="str">
        <x:f>IF(J816="","",J816*(1+IF(K816="",0,K816)) )</x:f>
      </x:c>
      <x:c r="M816" s="138" t="str"/>
      <x:c r="N816" s="137" t="str">
        <x:v>Current model BOM seed</x:v>
      </x:c>
      <x:c r="O816" s="137" t="str"/>
      <x:c r="P816" s="137" t="str">
        <x:v>To Confirm</x:v>
      </x:c>
      <x:c r="Q816" s="137" t="str"/>
    </x:row>
    <x:row r="817">
      <x:c r="A817" s="137" t="str">
        <x:v>BOM-00813</x:v>
      </x:c>
      <x:c r="B817" s="137" t="str">
        <x:v>ARMOUR</x:v>
      </x:c>
      <x:c r="C817" s="137" t="str">
        <x:v>PER ORDER (V/L)</x:v>
      </x:c>
      <x:c r="D817" s="137" t="str">
        <x:v>9X12</x:v>
      </x:c>
      <x:c r="E817" s="137" t="str">
        <x:v>STITCHING</x:v>
      </x:c>
      <x:c r="F817" s="137" t="str">
        <x:v>SIZE LABEL||PCS</x:v>
      </x:c>
      <x:c r="G817" s="137" t="str">
        <x:v>SIZE LABEL</x:v>
      </x:c>
      <x:c r="H817" s="137" t="str">
        <x:v>PCS</x:v>
      </x:c>
      <x:c r="I817" s="175" t="n">
        <x:v>0.5</x:v>
      </x:c>
      <x:c r="J817" s="176" t="str"/>
      <x:c r="K817" s="177" t="str"/>
      <x:c r="L817" s="178" t="str">
        <x:f>IF(J817="","",J817*(1+IF(K817="",0,K817)) )</x:f>
      </x:c>
      <x:c r="M817" s="138" t="str"/>
      <x:c r="N817" s="137" t="str">
        <x:v>Current model BOM seed</x:v>
      </x:c>
      <x:c r="O817" s="137" t="str"/>
      <x:c r="P817" s="137" t="str">
        <x:v>To Confirm</x:v>
      </x:c>
      <x:c r="Q817" s="137" t="str"/>
    </x:row>
    <x:row r="818">
      <x:c r="A818" s="137" t="str">
        <x:v>BOM-00814</x:v>
      </x:c>
      <x:c r="B818" s="137" t="str">
        <x:v>ARMOUR</x:v>
      </x:c>
      <x:c r="C818" s="137" t="str">
        <x:v>PER ORDER (V/L)</x:v>
      </x:c>
      <x:c r="D818" s="137" t="str">
        <x:v>9X12</x:v>
      </x:c>
      <x:c r="E818" s="137" t="str">
        <x:v>STITCHING</x:v>
      </x:c>
      <x:c r="F818" s="137" t="str">
        <x:v>TOUNG LABEL SNEAKER||PCS</x:v>
      </x:c>
      <x:c r="G818" s="137" t="str">
        <x:v>TOUNG LABEL SNEAKER</x:v>
      </x:c>
      <x:c r="H818" s="137" t="str">
        <x:v>PCS</x:v>
      </x:c>
      <x:c r="I818" s="175" t="n">
        <x:v>0.5</x:v>
      </x:c>
      <x:c r="J818" s="176" t="str"/>
      <x:c r="K818" s="177" t="str"/>
      <x:c r="L818" s="178" t="str">
        <x:f>IF(J818="","",J818*(1+IF(K818="",0,K818)) )</x:f>
      </x:c>
      <x:c r="M818" s="138" t="str"/>
      <x:c r="N818" s="137" t="str">
        <x:v>Current model BOM seed</x:v>
      </x:c>
      <x:c r="O818" s="137" t="str"/>
      <x:c r="P818" s="137" t="str">
        <x:v>To Confirm</x:v>
      </x:c>
      <x:c r="Q818" s="137" t="str"/>
    </x:row>
    <x:row r="819">
      <x:c r="A819" s="137" t="str">
        <x:v>BOM-00815</x:v>
      </x:c>
      <x:c r="B819" s="137" t="str">
        <x:v>ARMOUR</x:v>
      </x:c>
      <x:c r="C819" s="137" t="str">
        <x:v>PER ORDER (V/L)</x:v>
      </x:c>
      <x:c r="D819" s="137" t="str">
        <x:v>9X12</x:v>
      </x:c>
      <x:c r="E819" s="137" t="str">
        <x:v>STITCHING</x:v>
      </x:c>
      <x:c r="F819" s="137" t="str">
        <x:v>PF-48||PCS</x:v>
      </x:c>
      <x:c r="G819" s="137" t="str">
        <x:v>PF-48</x:v>
      </x:c>
      <x:c r="H819" s="137" t="str">
        <x:v>PCS</x:v>
      </x:c>
      <x:c r="I819" s="175" t="n">
        <x:v>0</x:v>
      </x:c>
      <x:c r="J819" s="176" t="str"/>
      <x:c r="K819" s="177" t="str"/>
      <x:c r="L819" s="178" t="str">
        <x:f>IF(J819="","",J819*(1+IF(K819="",0,K819)) )</x:f>
      </x:c>
      <x:c r="M819" s="138" t="str"/>
      <x:c r="N819" s="137" t="str">
        <x:v>Current model BOM seed</x:v>
      </x:c>
      <x:c r="O819" s="137" t="str"/>
      <x:c r="P819" s="137" t="str">
        <x:v>To Confirm</x:v>
      </x:c>
      <x:c r="Q819" s="137" t="str"/>
    </x:row>
    <x:row r="820">
      <x:c r="A820" s="137" t="str">
        <x:v>BOM-00816</x:v>
      </x:c>
      <x:c r="B820" s="137" t="str">
        <x:v>ARMOUR</x:v>
      </x:c>
      <x:c r="C820" s="137" t="str">
        <x:v>PER ORDER (V/L)</x:v>
      </x:c>
      <x:c r="D820" s="137" t="str">
        <x:v>9X12</x:v>
      </x:c>
      <x:c r="E820" s="137" t="str">
        <x:v>STITCHING</x:v>
      </x:c>
      <x:c r="F820" s="137" t="str">
        <x:v>PF-3||PCS</x:v>
      </x:c>
      <x:c r="G820" s="137" t="str">
        <x:v>PF-3</x:v>
      </x:c>
      <x:c r="H820" s="137" t="str">
        <x:v>PCS</x:v>
      </x:c>
      <x:c r="I820" s="175" t="n">
        <x:v>0.25</x:v>
      </x:c>
      <x:c r="J820" s="176" t="str"/>
      <x:c r="K820" s="177" t="str"/>
      <x:c r="L820" s="178" t="str">
        <x:f>IF(J820="","",J820*(1+IF(K820="",0,K820)) )</x:f>
      </x:c>
      <x:c r="M820" s="138" t="str"/>
      <x:c r="N820" s="137" t="str">
        <x:v>Current model BOM seed</x:v>
      </x:c>
      <x:c r="O820" s="137" t="str"/>
      <x:c r="P820" s="137" t="str">
        <x:v>To Confirm</x:v>
      </x:c>
      <x:c r="Q820" s="137" t="str"/>
    </x:row>
    <x:row r="821">
      <x:c r="A821" s="137" t="str">
        <x:v>BOM-00817</x:v>
      </x:c>
      <x:c r="B821" s="137" t="str">
        <x:v>ARMOUR</x:v>
      </x:c>
      <x:c r="C821" s="137" t="str">
        <x:v>PER ORDER (V/L)</x:v>
      </x:c>
      <x:c r="D821" s="137" t="str">
        <x:v>9X12</x:v>
      </x:c>
      <x:c r="E821" s="137" t="str">
        <x:v>STITCHING</x:v>
      </x:c>
      <x:c r="F821" s="137" t="str">
        <x:v>VELCRO 20 MM HOOK||MTR</x:v>
      </x:c>
      <x:c r="G821" s="137" t="str">
        <x:v>VELCRO 20 MM HOOK</x:v>
      </x:c>
      <x:c r="H821" s="137" t="str">
        <x:v>MTR</x:v>
      </x:c>
      <x:c r="I821" s="175" t="n">
        <x:v>0</x:v>
      </x:c>
      <x:c r="J821" s="176" t="str"/>
      <x:c r="K821" s="177" t="str"/>
      <x:c r="L821" s="178" t="str">
        <x:f>IF(J821="","",J821*(1+IF(K821="",0,K821)) )</x:f>
      </x:c>
      <x:c r="M821" s="138" t="str"/>
      <x:c r="N821" s="137" t="str">
        <x:v>Current model BOM seed</x:v>
      </x:c>
      <x:c r="O821" s="137" t="str"/>
      <x:c r="P821" s="137" t="str">
        <x:v>To Confirm</x:v>
      </x:c>
      <x:c r="Q821" s="137" t="str"/>
    </x:row>
    <x:row r="822">
      <x:c r="A822" s="137" t="str">
        <x:v>BOM-00818</x:v>
      </x:c>
      <x:c r="B822" s="137" t="str">
        <x:v>ARMOUR</x:v>
      </x:c>
      <x:c r="C822" s="137" t="str">
        <x:v>PER ORDER (V/L)</x:v>
      </x:c>
      <x:c r="D822" s="137" t="str">
        <x:v>9X12</x:v>
      </x:c>
      <x:c r="E822" s="137" t="str">
        <x:v>STITCHING</x:v>
      </x:c>
      <x:c r="F822" s="137" t="str">
        <x:v>VELCRO 20 MM LOOP||MTR</x:v>
      </x:c>
      <x:c r="G822" s="137" t="str">
        <x:v>VELCRO 20 MM LOOP</x:v>
      </x:c>
      <x:c r="H822" s="137" t="str">
        <x:v>MTR</x:v>
      </x:c>
      <x:c r="I822" s="175" t="n">
        <x:v>0</x:v>
      </x:c>
      <x:c r="J822" s="176" t="str"/>
      <x:c r="K822" s="177" t="str"/>
      <x:c r="L822" s="178" t="str">
        <x:f>IF(J822="","",J822*(1+IF(K822="",0,K822)) )</x:f>
      </x:c>
      <x:c r="M822" s="138" t="str"/>
      <x:c r="N822" s="137" t="str">
        <x:v>Current model BOM seed</x:v>
      </x:c>
      <x:c r="O822" s="137" t="str"/>
      <x:c r="P822" s="137" t="str">
        <x:v>To Confirm</x:v>
      </x:c>
      <x:c r="Q822" s="137" t="str"/>
    </x:row>
    <x:row r="823">
      <x:c r="A823" s="137" t="str">
        <x:v>BOM-00819</x:v>
      </x:c>
      <x:c r="B823" s="137" t="str">
        <x:v>ARMOUR</x:v>
      </x:c>
      <x:c r="C823" s="137" t="str">
        <x:v>PER ORDER (V/L)</x:v>
      </x:c>
      <x:c r="D823" s="137" t="str">
        <x:v>9X12</x:v>
      </x:c>
      <x:c r="E823" s="137" t="str">
        <x:v>STITCHING</x:v>
      </x:c>
      <x:c r="F823" s="137" t="str">
        <x:v>VELCRO 25 MM HOOK||MTR</x:v>
      </x:c>
      <x:c r="G823" s="137" t="str">
        <x:v>VELCRO 25 MM HOOK</x:v>
      </x:c>
      <x:c r="H823" s="137" t="str">
        <x:v>MTR</x:v>
      </x:c>
      <x:c r="I823" s="175" t="n">
        <x:v>0.025</x:v>
      </x:c>
      <x:c r="J823" s="176" t="str"/>
      <x:c r="K823" s="177" t="str"/>
      <x:c r="L823" s="178" t="str">
        <x:f>IF(J823="","",J823*(1+IF(K823="",0,K823)) )</x:f>
      </x:c>
      <x:c r="M823" s="138" t="str"/>
      <x:c r="N823" s="137" t="str">
        <x:v>Current model BOM seed</x:v>
      </x:c>
      <x:c r="O823" s="137" t="str"/>
      <x:c r="P823" s="137" t="str">
        <x:v>To Confirm</x:v>
      </x:c>
      <x:c r="Q823" s="137" t="str"/>
    </x:row>
    <x:row r="824">
      <x:c r="A824" s="137" t="str">
        <x:v>BOM-00820</x:v>
      </x:c>
      <x:c r="B824" s="137" t="str">
        <x:v>ARMOUR</x:v>
      </x:c>
      <x:c r="C824" s="137" t="str">
        <x:v>PER ORDER (V/L)</x:v>
      </x:c>
      <x:c r="D824" s="137" t="str">
        <x:v>9X12</x:v>
      </x:c>
      <x:c r="E824" s="137" t="str">
        <x:v>STITCHING</x:v>
      </x:c>
      <x:c r="F824" s="137" t="str">
        <x:v>VELCRO 25 MM LOOP||MTR</x:v>
      </x:c>
      <x:c r="G824" s="137" t="str">
        <x:v>VELCRO 25 MM LOOP</x:v>
      </x:c>
      <x:c r="H824" s="137" t="str">
        <x:v>MTR</x:v>
      </x:c>
      <x:c r="I824" s="175" t="n">
        <x:v>0.025</x:v>
      </x:c>
      <x:c r="J824" s="176" t="str"/>
      <x:c r="K824" s="177" t="str"/>
      <x:c r="L824" s="178" t="str">
        <x:f>IF(J824="","",J824*(1+IF(K824="",0,K824)) )</x:f>
      </x:c>
      <x:c r="M824" s="138" t="str"/>
      <x:c r="N824" s="137" t="str">
        <x:v>Current model BOM seed</x:v>
      </x:c>
      <x:c r="O824" s="137" t="str"/>
      <x:c r="P824" s="137" t="str">
        <x:v>To Confirm</x:v>
      </x:c>
      <x:c r="Q824" s="137" t="str"/>
    </x:row>
    <x:row r="825">
      <x:c r="A825" s="137" t="str">
        <x:v>BOM-00821</x:v>
      </x:c>
      <x:c r="B825" s="137" t="str">
        <x:v>ARMOUR</x:v>
      </x:c>
      <x:c r="C825" s="137" t="str">
        <x:v>PER ORDER (V/L)</x:v>
      </x:c>
      <x:c r="D825" s="137" t="str">
        <x:v>9X12</x:v>
      </x:c>
      <x:c r="E825" s="137" t="str">
        <x:v>STITCHING</x:v>
      </x:c>
      <x:c r="F825" s="137" t="str">
        <x:v>POLYESTER BINDING 12 MM||MTR</x:v>
      </x:c>
      <x:c r="G825" s="137" t="str">
        <x:v>POLYESTER BINDING 12 MM</x:v>
      </x:c>
      <x:c r="H825" s="137" t="str">
        <x:v>MTR</x:v>
      </x:c>
      <x:c r="I825" s="175" t="n">
        <x:v>0.02941176</x:v>
      </x:c>
      <x:c r="J825" s="176" t="str"/>
      <x:c r="K825" s="177" t="str"/>
      <x:c r="L825" s="178" t="str">
        <x:f>IF(J825="","",J825*(1+IF(K825="",0,K825)) )</x:f>
      </x:c>
      <x:c r="M825" s="138" t="str"/>
      <x:c r="N825" s="137" t="str">
        <x:v>Current model BOM seed</x:v>
      </x:c>
      <x:c r="O825" s="137" t="str"/>
      <x:c r="P825" s="137" t="str">
        <x:v>To Confirm</x:v>
      </x:c>
      <x:c r="Q825" s="137" t="str"/>
    </x:row>
    <x:row r="826">
      <x:c r="A826" s="137" t="str">
        <x:v>BOM-00822</x:v>
      </x:c>
      <x:c r="B826" s="137" t="str">
        <x:v>ARMOUR</x:v>
      </x:c>
      <x:c r="C826" s="137" t="str">
        <x:v>PER ORDER (V/L)</x:v>
      </x:c>
      <x:c r="D826" s="137" t="str">
        <x:v>9X12</x:v>
      </x:c>
      <x:c r="E826" s="137" t="str">
        <x:v>STITCHING</x:v>
      </x:c>
      <x:c r="F826" s="137" t="str">
        <x:v>BACK TAPE 14 MM||MTR</x:v>
      </x:c>
      <x:c r="G826" s="137" t="str">
        <x:v>BACK TAPE 14 MM</x:v>
      </x:c>
      <x:c r="H826" s="137" t="str">
        <x:v>MTR</x:v>
      </x:c>
      <x:c r="I826" s="175" t="n">
        <x:v>0.08333333</x:v>
      </x:c>
      <x:c r="J826" s="176" t="str"/>
      <x:c r="K826" s="177" t="str"/>
      <x:c r="L826" s="178" t="str">
        <x:f>IF(J826="","",J826*(1+IF(K826="",0,K826)) )</x:f>
      </x:c>
      <x:c r="M826" s="138" t="str"/>
      <x:c r="N826" s="137" t="str">
        <x:v>Current model BOM seed</x:v>
      </x:c>
      <x:c r="O826" s="137" t="str"/>
      <x:c r="P826" s="137" t="str">
        <x:v>To Confirm</x:v>
      </x:c>
      <x:c r="Q826" s="137" t="str"/>
    </x:row>
    <x:row r="827">
      <x:c r="A827" s="137" t="str">
        <x:v>BOM-00823</x:v>
      </x:c>
      <x:c r="B827" s="137" t="str">
        <x:v>PERCY</x:v>
      </x:c>
      <x:c r="C827" s="137" t="str">
        <x:v>PER ORDER (V/L)</x:v>
      </x:c>
      <x:c r="D827" s="137" t="str">
        <x:v>7X10S</x:v>
      </x:c>
      <x:c r="E827" s="137" t="str">
        <x:v>CUTTING</x:v>
      </x:c>
      <x:c r="F827" s="137" t="str">
        <x:v>MESH 58"||MTR</x:v>
      </x:c>
      <x:c r="G827" s="137" t="str">
        <x:v>Mesh 58"</x:v>
      </x:c>
      <x:c r="H827" s="137" t="str">
        <x:v>MTR</x:v>
      </x:c>
      <x:c r="I827" s="175" t="n">
        <x:v>0.07686181</x:v>
      </x:c>
      <x:c r="J827" s="176" t="str"/>
      <x:c r="K827" s="177" t="str"/>
      <x:c r="L827" s="178" t="str">
        <x:f>IF(J827="","",J827*(1+IF(K827="",0,K827)) )</x:f>
      </x:c>
      <x:c r="M827" s="138" t="str"/>
      <x:c r="N827" s="137" t="str">
        <x:v>Current model BOM seed</x:v>
      </x:c>
      <x:c r="O827" s="137" t="str"/>
      <x:c r="P827" s="137" t="str">
        <x:v>To Confirm</x:v>
      </x:c>
      <x:c r="Q827" s="137" t="str"/>
    </x:row>
    <x:row r="828">
      <x:c r="A828" s="137" t="str">
        <x:v>BOM-00824</x:v>
      </x:c>
      <x:c r="B828" s="137" t="str">
        <x:v>PERCY</x:v>
      </x:c>
      <x:c r="C828" s="137" t="str">
        <x:v>PER ORDER (V/L)</x:v>
      </x:c>
      <x:c r="D828" s="137" t="str">
        <x:v>7X10S</x:v>
      </x:c>
      <x:c r="E828" s="137" t="str">
        <x:v>CUTTING</x:v>
      </x:c>
      <x:c r="F828" s="137" t="str">
        <x:v>SKINFIT 60"||MTR</x:v>
      </x:c>
      <x:c r="G828" s="137" t="str">
        <x:v>Skinfit 60"</x:v>
      </x:c>
      <x:c r="H828" s="137" t="str">
        <x:v>MTR</x:v>
      </x:c>
      <x:c r="I828" s="175" t="n">
        <x:v>0.04805997</x:v>
      </x:c>
      <x:c r="J828" s="176" t="str"/>
      <x:c r="K828" s="177" t="str"/>
      <x:c r="L828" s="178" t="str">
        <x:f>IF(J828="","",J828*(1+IF(K828="",0,K828)) )</x:f>
      </x:c>
      <x:c r="M828" s="138" t="str"/>
      <x:c r="N828" s="137" t="str">
        <x:v>Current model BOM seed</x:v>
      </x:c>
      <x:c r="O828" s="137" t="str"/>
      <x:c r="P828" s="137" t="str">
        <x:v>To Confirm</x:v>
      </x:c>
      <x:c r="Q828" s="137" t="str"/>
    </x:row>
    <x:row r="829">
      <x:c r="A829" s="137" t="str">
        <x:v>BOM-00825</x:v>
      </x:c>
      <x:c r="B829" s="137" t="str">
        <x:v>PERCY</x:v>
      </x:c>
      <x:c r="C829" s="137" t="str">
        <x:v>PER ORDER (V/L)</x:v>
      </x:c>
      <x:c r="D829" s="137" t="str">
        <x:v>7X10S</x:v>
      </x:c>
      <x:c r="E829" s="137" t="str">
        <x:v>CUTTING</x:v>
      </x:c>
      <x:c r="F829" s="137" t="str">
        <x:v>REXINE 54"||MTR</x:v>
      </x:c>
      <x:c r="G829" s="137" t="str">
        <x:v>Rexine 54"</x:v>
      </x:c>
      <x:c r="H829" s="137" t="str">
        <x:v>MTR</x:v>
      </x:c>
      <x:c r="I829" s="175" t="n">
        <x:v>0.07379381</x:v>
      </x:c>
      <x:c r="J829" s="176" t="str"/>
      <x:c r="K829" s="177" t="str"/>
      <x:c r="L829" s="178" t="str">
        <x:f>IF(J829="","",J829*(1+IF(K829="",0,K829)) )</x:f>
      </x:c>
      <x:c r="M829" s="138" t="str"/>
      <x:c r="N829" s="137" t="str">
        <x:v>Current model BOM seed</x:v>
      </x:c>
      <x:c r="O829" s="137" t="str"/>
      <x:c r="P829" s="137" t="str">
        <x:v>To Confirm</x:v>
      </x:c>
      <x:c r="Q829" s="137" t="str"/>
    </x:row>
    <x:row r="830">
      <x:c r="A830" s="137" t="str">
        <x:v>BOM-00826</x:v>
      </x:c>
      <x:c r="B830" s="137" t="str">
        <x:v>PERCY</x:v>
      </x:c>
      <x:c r="C830" s="137" t="str">
        <x:v>PER ORDER (V/L)</x:v>
      </x:c>
      <x:c r="D830" s="137" t="str">
        <x:v>7X10S</x:v>
      </x:c>
      <x:c r="E830" s="137" t="str">
        <x:v>CUTTING</x:v>
      </x:c>
      <x:c r="F830" s="137" t="str">
        <x:v>SHEET 1.4MM||SHEET</x:v>
      </x:c>
      <x:c r="G830" s="137" t="str">
        <x:v>Sheet 1.4Mm</x:v>
      </x:c>
      <x:c r="H830" s="137" t="str">
        <x:v>SHEET</x:v>
      </x:c>
      <x:c r="I830" s="175" t="n">
        <x:v>0.01010101</x:v>
      </x:c>
      <x:c r="J830" s="176" t="str"/>
      <x:c r="K830" s="177" t="str"/>
      <x:c r="L830" s="178" t="str">
        <x:f>IF(J830="","",J830*(1+IF(K830="",0,K830)) )</x:f>
      </x:c>
      <x:c r="M830" s="138" t="str"/>
      <x:c r="N830" s="137" t="str">
        <x:v>Current model BOM seed</x:v>
      </x:c>
      <x:c r="O830" s="137" t="str"/>
      <x:c r="P830" s="137" t="str">
        <x:v>To Confirm</x:v>
      </x:c>
      <x:c r="Q830" s="137" t="str"/>
    </x:row>
    <x:row r="831">
      <x:c r="A831" s="137" t="str">
        <x:v>BOM-00827</x:v>
      </x:c>
      <x:c r="B831" s="137" t="str">
        <x:v>PERCY</x:v>
      </x:c>
      <x:c r="C831" s="137" t="str">
        <x:v>PER ORDER (V/L)</x:v>
      </x:c>
      <x:c r="D831" s="137" t="str">
        <x:v>7X10S</x:v>
      </x:c>
      <x:c r="E831" s="137" t="str">
        <x:v>CUTTING</x:v>
      </x:c>
      <x:c r="F831" s="137" t="str">
        <x:v>SHEET 0.8MM||SHEET</x:v>
      </x:c>
      <x:c r="G831" s="137" t="str">
        <x:v>Sheet 0.8Mm</x:v>
      </x:c>
      <x:c r="H831" s="137" t="str">
        <x:v>SHEET</x:v>
      </x:c>
      <x:c r="I831" s="175" t="n">
        <x:v>0.00892857</x:v>
      </x:c>
      <x:c r="J831" s="176" t="str"/>
      <x:c r="K831" s="177" t="str"/>
      <x:c r="L831" s="178" t="str">
        <x:f>IF(J831="","",J831*(1+IF(K831="",0,K831)) )</x:f>
      </x:c>
      <x:c r="M831" s="138" t="str"/>
      <x:c r="N831" s="137" t="str">
        <x:v>Current model BOM seed</x:v>
      </x:c>
      <x:c r="O831" s="137" t="str"/>
      <x:c r="P831" s="137" t="str">
        <x:v>To Confirm</x:v>
      </x:c>
      <x:c r="Q831" s="137" t="str"/>
    </x:row>
    <x:row r="832">
      <x:c r="A832" s="137" t="str">
        <x:v>BOM-00828</x:v>
      </x:c>
      <x:c r="B832" s="137" t="str">
        <x:v>PERCY</x:v>
      </x:c>
      <x:c r="C832" s="137" t="str">
        <x:v>PER ORDER (V/L)</x:v>
      </x:c>
      <x:c r="D832" s="137" t="str">
        <x:v>7X10S</x:v>
      </x:c>
      <x:c r="E832" s="137" t="str">
        <x:v>CUTTING</x:v>
      </x:c>
      <x:c r="F832" s="137" t="str">
        <x:v>SHEET 20MM||SHEET</x:v>
      </x:c>
      <x:c r="G832" s="137" t="str">
        <x:v>Sheet 20Mm</x:v>
      </x:c>
      <x:c r="H832" s="137" t="str">
        <x:v>SHEET</x:v>
      </x:c>
      <x:c r="I832" s="175" t="n">
        <x:v>0.00784314</x:v>
      </x:c>
      <x:c r="J832" s="176" t="str"/>
      <x:c r="K832" s="177" t="str"/>
      <x:c r="L832" s="178" t="str">
        <x:f>IF(J832="","",J832*(1+IF(K832="",0,K832)) )</x:f>
      </x:c>
      <x:c r="M832" s="138" t="str"/>
      <x:c r="N832" s="137" t="str">
        <x:v>Current model BOM seed</x:v>
      </x:c>
      <x:c r="O832" s="137" t="str"/>
      <x:c r="P832" s="137" t="str">
        <x:v>To Confirm</x:v>
      </x:c>
      <x:c r="Q832" s="137" t="str"/>
    </x:row>
    <x:row r="833">
      <x:c r="A833" s="137" t="str">
        <x:v>BOM-00829</x:v>
      </x:c>
      <x:c r="B833" s="137" t="str">
        <x:v>PERCY</x:v>
      </x:c>
      <x:c r="C833" s="137" t="str">
        <x:v>PER ORDER (V/L)</x:v>
      </x:c>
      <x:c r="D833" s="137" t="str">
        <x:v>7X10S</x:v>
      </x:c>
      <x:c r="E833" s="137" t="str">
        <x:v>CUTTING</x:v>
      </x:c>
      <x:c r="F833" s="137" t="str">
        <x:v>INSOLE||PAIR</x:v>
      </x:c>
      <x:c r="G833" s="137" t="str">
        <x:v>INSOLE</x:v>
      </x:c>
      <x:c r="H833" s="137" t="str">
        <x:v>PAIR</x:v>
      </x:c>
      <x:c r="I833" s="175" t="n">
        <x:v>2</x:v>
      </x:c>
      <x:c r="J833" s="176" t="str"/>
      <x:c r="K833" s="177" t="str"/>
      <x:c r="L833" s="178" t="str">
        <x:f>IF(J833="","",J833*(1+IF(K833="",0,K833)) )</x:f>
      </x:c>
      <x:c r="M833" s="138" t="str"/>
      <x:c r="N833" s="137" t="str">
        <x:v>Current model BOM seed</x:v>
      </x:c>
      <x:c r="O833" s="137" t="str"/>
      <x:c r="P833" s="137" t="str">
        <x:v>To Confirm</x:v>
      </x:c>
      <x:c r="Q833" s="137" t="str"/>
    </x:row>
    <x:row r="834">
      <x:c r="A834" s="137" t="str">
        <x:v>BOM-00830</x:v>
      </x:c>
      <x:c r="B834" s="137" t="str">
        <x:v>PERCY</x:v>
      </x:c>
      <x:c r="C834" s="137" t="str">
        <x:v>PER ORDER (V/L)</x:v>
      </x:c>
      <x:c r="D834" s="137" t="str">
        <x:v>7X10S</x:v>
      </x:c>
      <x:c r="E834" s="137" t="str">
        <x:v>MOLDING</x:v>
      </x:c>
      <x:c r="F834" s="137" t="str">
        <x:v>SOLE 1231 EVA||PAIR</x:v>
      </x:c>
      <x:c r="G834" s="137" t="str">
        <x:v>Sole 1231 EVA</x:v>
      </x:c>
      <x:c r="H834" s="137" t="str">
        <x:v>PAIR</x:v>
      </x:c>
      <x:c r="I834" s="175" t="n">
        <x:v>2</x:v>
      </x:c>
      <x:c r="J834" s="176" t="str"/>
      <x:c r="K834" s="177" t="str"/>
      <x:c r="L834" s="178" t="str">
        <x:f>IF(J834="","",J834*(1+IF(K834="",0,K834)) )</x:f>
      </x:c>
      <x:c r="M834" s="138" t="str"/>
      <x:c r="N834" s="137" t="str">
        <x:v>Current model BOM seed</x:v>
      </x:c>
      <x:c r="O834" s="137" t="str"/>
      <x:c r="P834" s="137" t="str">
        <x:v>To Confirm</x:v>
      </x:c>
      <x:c r="Q834" s="137" t="str"/>
    </x:row>
    <x:row r="835">
      <x:c r="A835" s="137" t="str">
        <x:v>BOM-00831</x:v>
      </x:c>
      <x:c r="B835" s="137" t="str">
        <x:v>PERCY</x:v>
      </x:c>
      <x:c r="C835" s="137" t="str">
        <x:v>PER ORDER (V/L)</x:v>
      </x:c>
      <x:c r="D835" s="137" t="str">
        <x:v>7X10S</x:v>
      </x:c>
      <x:c r="E835" s="137" t="str">
        <x:v>PACKING</x:v>
      </x:c>
      <x:c r="F835" s="137" t="str">
        <x:v>TISSUE PAPER||PCS</x:v>
      </x:c>
      <x:c r="G835" s="137" t="str">
        <x:v>Tissue Paper</x:v>
      </x:c>
      <x:c r="H835" s="137" t="str">
        <x:v>PCS</x:v>
      </x:c>
      <x:c r="I835" s="175" t="n">
        <x:v>0.25</x:v>
      </x:c>
      <x:c r="J835" s="176" t="str"/>
      <x:c r="K835" s="177" t="str"/>
      <x:c r="L835" s="178" t="str">
        <x:f>IF(J835="","",J835*(1+IF(K835="",0,K835)) )</x:f>
      </x:c>
      <x:c r="M835" s="138" t="str"/>
      <x:c r="N835" s="137" t="str">
        <x:v>Current model BOM seed</x:v>
      </x:c>
      <x:c r="O835" s="137" t="str"/>
      <x:c r="P835" s="137" t="str">
        <x:v>To Confirm</x:v>
      </x:c>
      <x:c r="Q835" s="137" t="str"/>
    </x:row>
    <x:row r="836">
      <x:c r="A836" s="137" t="str">
        <x:v>BOM-00832</x:v>
      </x:c>
      <x:c r="B836" s="137" t="str">
        <x:v>PERCY</x:v>
      </x:c>
      <x:c r="C836" s="137" t="str">
        <x:v>PER ORDER (V/L)</x:v>
      </x:c>
      <x:c r="D836" s="137" t="str">
        <x:v>7X10S</x:v>
      </x:c>
      <x:c r="E836" s="137" t="str">
        <x:v>PACKING</x:v>
      </x:c>
      <x:c r="F836" s="137" t="str">
        <x:v>SHOE SHINER||GRAM</x:v>
      </x:c>
      <x:c r="G836" s="137" t="str">
        <x:v>Shoe Shiner</x:v>
      </x:c>
      <x:c r="H836" s="137" t="str">
        <x:v>GRAM</x:v>
      </x:c>
      <x:c r="I836" s="175" t="n">
        <x:v>0.06666667</x:v>
      </x:c>
      <x:c r="J836" s="176" t="str"/>
      <x:c r="K836" s="177" t="str"/>
      <x:c r="L836" s="178" t="str">
        <x:f>IF(J836="","",J836*(1+IF(K836="",0,K836)) )</x:f>
      </x:c>
      <x:c r="M836" s="138" t="str"/>
      <x:c r="N836" s="137" t="str">
        <x:v>Current model BOM seed</x:v>
      </x:c>
      <x:c r="O836" s="137" t="str"/>
      <x:c r="P836" s="137" t="str">
        <x:v>To Confirm</x:v>
      </x:c>
      <x:c r="Q836" s="137" t="str"/>
    </x:row>
    <x:row r="837">
      <x:c r="A837" s="137" t="str">
        <x:v>BOM-00833</x:v>
      </x:c>
      <x:c r="B837" s="137" t="str">
        <x:v>PERCY</x:v>
      </x:c>
      <x:c r="C837" s="137" t="str">
        <x:v>PER ORDER (V/L)</x:v>
      </x:c>
      <x:c r="D837" s="137" t="str">
        <x:v>7X10S</x:v>
      </x:c>
      <x:c r="E837" s="137" t="str">
        <x:v>PACKING</x:v>
      </x:c>
      <x:c r="F837" s="137" t="str">
        <x:v>EMYLE||GRAM</x:v>
      </x:c>
      <x:c r="G837" s="137" t="str">
        <x:v>EMYLE</x:v>
      </x:c>
      <x:c r="H837" s="137" t="str">
        <x:v>GRAM</x:v>
      </x:c>
      <x:c r="I837" s="175" t="n">
        <x:v>0.07142857</x:v>
      </x:c>
      <x:c r="J837" s="176" t="str"/>
      <x:c r="K837" s="177" t="str"/>
      <x:c r="L837" s="178" t="str">
        <x:f>IF(J837="","",J837*(1+IF(K837="",0,K837)) )</x:f>
      </x:c>
      <x:c r="M837" s="138" t="str"/>
      <x:c r="N837" s="137" t="str">
        <x:v>Current model BOM seed</x:v>
      </x:c>
      <x:c r="O837" s="137" t="str"/>
      <x:c r="P837" s="137" t="str">
        <x:v>To Confirm</x:v>
      </x:c>
      <x:c r="Q837" s="137" t="str"/>
    </x:row>
    <x:row r="838">
      <x:c r="A838" s="137" t="str">
        <x:v>BOM-00834</x:v>
      </x:c>
      <x:c r="B838" s="137" t="str">
        <x:v>PERCY</x:v>
      </x:c>
      <x:c r="C838" s="137" t="str">
        <x:v>PER ORDER (V/L)</x:v>
      </x:c>
      <x:c r="D838" s="137" t="str">
        <x:v>7X10S</x:v>
      </x:c>
      <x:c r="E838" s="137" t="str">
        <x:v>PACKING</x:v>
      </x:c>
      <x:c r="F838" s="137" t="str">
        <x:v>TAG PIN||PCS</x:v>
      </x:c>
      <x:c r="G838" s="137" t="str">
        <x:v>Tag Pin</x:v>
      </x:c>
      <x:c r="H838" s="137" t="str">
        <x:v>PCS</x:v>
      </x:c>
      <x:c r="I838" s="175" t="n">
        <x:v>1</x:v>
      </x:c>
      <x:c r="J838" s="176" t="str"/>
      <x:c r="K838" s="177" t="str"/>
      <x:c r="L838" s="178" t="str">
        <x:f>IF(J838="","",J838*(1+IF(K838="",0,K838)) )</x:f>
      </x:c>
      <x:c r="M838" s="138" t="str"/>
      <x:c r="N838" s="137" t="str">
        <x:v>Current model BOM seed</x:v>
      </x:c>
      <x:c r="O838" s="137" t="str"/>
      <x:c r="P838" s="137" t="str">
        <x:v>To Confirm</x:v>
      </x:c>
      <x:c r="Q838" s="137" t="str"/>
    </x:row>
    <x:row r="839">
      <x:c r="A839" s="137" t="str">
        <x:v>BOM-00835</x:v>
      </x:c>
      <x:c r="B839" s="137" t="str">
        <x:v>PERCY</x:v>
      </x:c>
      <x:c r="C839" s="137" t="str">
        <x:v>PER ORDER (V/L)</x:v>
      </x:c>
      <x:c r="D839" s="137" t="str">
        <x:v>7X10S</x:v>
      </x:c>
      <x:c r="E839" s="137" t="str">
        <x:v>PACKING</x:v>
      </x:c>
      <x:c r="F839" s="137" t="str">
        <x:v>TAG CARD||PCS</x:v>
      </x:c>
      <x:c r="G839" s="137" t="str">
        <x:v>Tag Card</x:v>
      </x:c>
      <x:c r="H839" s="137" t="str">
        <x:v>PCS</x:v>
      </x:c>
      <x:c r="I839" s="175" t="n">
        <x:v>1</x:v>
      </x:c>
      <x:c r="J839" s="176" t="str"/>
      <x:c r="K839" s="177" t="str"/>
      <x:c r="L839" s="178" t="str">
        <x:f>IF(J839="","",J839*(1+IF(K839="",0,K839)) )</x:f>
      </x:c>
      <x:c r="M839" s="138" t="str"/>
      <x:c r="N839" s="137" t="str">
        <x:v>Current model BOM seed</x:v>
      </x:c>
      <x:c r="O839" s="137" t="str"/>
      <x:c r="P839" s="137" t="str">
        <x:v>To Confirm</x:v>
      </x:c>
      <x:c r="Q839" s="137" t="str"/>
    </x:row>
    <x:row r="840">
      <x:c r="A840" s="137" t="str">
        <x:v>BOM-00836</x:v>
      </x:c>
      <x:c r="B840" s="137" t="str">
        <x:v>PERCY</x:v>
      </x:c>
      <x:c r="C840" s="137" t="str">
        <x:v>PER ORDER (V/L)</x:v>
      </x:c>
      <x:c r="D840" s="137" t="str">
        <x:v>7X10S</x:v>
      </x:c>
      <x:c r="E840" s="137" t="str">
        <x:v>PACKING</x:v>
      </x:c>
      <x:c r="F840" s="137" t="str">
        <x:v>WRAPING PAPER||PCS</x:v>
      </x:c>
      <x:c r="G840" s="137" t="str">
        <x:v>Wraping Paper</x:v>
      </x:c>
      <x:c r="H840" s="137" t="str">
        <x:v>PCS</x:v>
      </x:c>
      <x:c r="I840" s="175" t="n">
        <x:v>1</x:v>
      </x:c>
      <x:c r="J840" s="176" t="str"/>
      <x:c r="K840" s="177" t="str"/>
      <x:c r="L840" s="178" t="str">
        <x:f>IF(J840="","",J840*(1+IF(K840="",0,K840)) )</x:f>
      </x:c>
      <x:c r="M840" s="138" t="str"/>
      <x:c r="N840" s="137" t="str">
        <x:v>Current model BOM seed</x:v>
      </x:c>
      <x:c r="O840" s="137" t="str"/>
      <x:c r="P840" s="137" t="str">
        <x:v>To Confirm</x:v>
      </x:c>
      <x:c r="Q840" s="137" t="str"/>
    </x:row>
    <x:row r="841">
      <x:c r="A841" s="137" t="str">
        <x:v>BOM-00837</x:v>
      </x:c>
      <x:c r="B841" s="137" t="str">
        <x:v>PERCY</x:v>
      </x:c>
      <x:c r="C841" s="137" t="str">
        <x:v>PER ORDER (V/L)</x:v>
      </x:c>
      <x:c r="D841" s="137" t="str">
        <x:v>7X10S</x:v>
      </x:c>
      <x:c r="E841" s="137" t="str">
        <x:v>PACKING</x:v>
      </x:c>
      <x:c r="F841" s="137" t="str">
        <x:v>INNER||PCS</x:v>
      </x:c>
      <x:c r="G841" s="137" t="str">
        <x:v>INNER</x:v>
      </x:c>
      <x:c r="H841" s="137" t="str">
        <x:v>PCS</x:v>
      </x:c>
      <x:c r="I841" s="175" t="n">
        <x:v>1</x:v>
      </x:c>
      <x:c r="J841" s="176" t="str"/>
      <x:c r="K841" s="177" t="str"/>
      <x:c r="L841" s="178" t="str">
        <x:f>IF(J841="","",J841*(1+IF(K841="",0,K841)) )</x:f>
      </x:c>
      <x:c r="M841" s="138" t="str"/>
      <x:c r="N841" s="137" t="str">
        <x:v>Current model BOM seed</x:v>
      </x:c>
      <x:c r="O841" s="137" t="str"/>
      <x:c r="P841" s="137" t="str">
        <x:v>To Confirm</x:v>
      </x:c>
      <x:c r="Q841" s="137" t="str"/>
    </x:row>
    <x:row r="842">
      <x:c r="A842" s="137" t="str">
        <x:v>BOM-00838</x:v>
      </x:c>
      <x:c r="B842" s="137" t="str">
        <x:v>PERCY</x:v>
      </x:c>
      <x:c r="C842" s="137" t="str">
        <x:v>PER ORDER (V/L)</x:v>
      </x:c>
      <x:c r="D842" s="137" t="str">
        <x:v>7X10S</x:v>
      </x:c>
      <x:c r="E842" s="137" t="str">
        <x:v>PACKING</x:v>
      </x:c>
      <x:c r="F842" s="137" t="str">
        <x:v>BARCODE STICKER||PCS</x:v>
      </x:c>
      <x:c r="G842" s="137" t="str">
        <x:v>Barcode Sticker</x:v>
      </x:c>
      <x:c r="H842" s="137" t="str">
        <x:v>PCS</x:v>
      </x:c>
      <x:c r="I842" s="175" t="n">
        <x:v>1</x:v>
      </x:c>
      <x:c r="J842" s="176" t="str"/>
      <x:c r="K842" s="177" t="str"/>
      <x:c r="L842" s="178" t="str">
        <x:f>IF(J842="","",J842*(1+IF(K842="",0,K842)) )</x:f>
      </x:c>
      <x:c r="M842" s="138" t="str"/>
      <x:c r="N842" s="137" t="str">
        <x:v>Current model BOM seed</x:v>
      </x:c>
      <x:c r="O842" s="137" t="str"/>
      <x:c r="P842" s="137" t="str">
        <x:v>To Confirm</x:v>
      </x:c>
      <x:c r="Q842" s="137" t="str"/>
    </x:row>
    <x:row r="843">
      <x:c r="A843" s="137" t="str">
        <x:v>BOM-00839</x:v>
      </x:c>
      <x:c r="B843" s="137" t="str">
        <x:v>PERCY</x:v>
      </x:c>
      <x:c r="C843" s="137" t="str">
        <x:v>PER ORDER (V/L)</x:v>
      </x:c>
      <x:c r="D843" s="137" t="str">
        <x:v>7X10S</x:v>
      </x:c>
      <x:c r="E843" s="137" t="str">
        <x:v>PACKING</x:v>
      </x:c>
      <x:c r="F843" s="137" t="str">
        <x:v>CTN TAPE (1 CTN)||MTR</x:v>
      </x:c>
      <x:c r="G843" s="137" t="str">
        <x:v>Ctn Tape (1 Ctn)</x:v>
      </x:c>
      <x:c r="H843" s="137" t="str">
        <x:v>MTR</x:v>
      </x:c>
      <x:c r="I843" s="175" t="n">
        <x:v>0.5</x:v>
      </x:c>
      <x:c r="J843" s="176" t="str"/>
      <x:c r="K843" s="177" t="str"/>
      <x:c r="L843" s="178" t="str">
        <x:f>IF(J843="","",J843*(1+IF(K843="",0,K843)) )</x:f>
      </x:c>
      <x:c r="M843" s="138" t="str"/>
      <x:c r="N843" s="137" t="str">
        <x:v>Current model BOM seed</x:v>
      </x:c>
      <x:c r="O843" s="137" t="str"/>
      <x:c r="P843" s="137" t="str">
        <x:v>To Confirm</x:v>
      </x:c>
      <x:c r="Q843" s="137" t="str"/>
    </x:row>
    <x:row r="844">
      <x:c r="A844" s="137" t="str">
        <x:v>BOM-00840</x:v>
      </x:c>
      <x:c r="B844" s="137" t="str">
        <x:v>PERCY</x:v>
      </x:c>
      <x:c r="C844" s="137" t="str">
        <x:v>PER ORDER (V/L)</x:v>
      </x:c>
      <x:c r="D844" s="137" t="str">
        <x:v>7X10S</x:v>
      </x:c>
      <x:c r="E844" s="137" t="str">
        <x:v>PACKING</x:v>
      </x:c>
      <x:c r="F844" s="137" t="str">
        <x:v>STRAPING ROLL (1CTN)||MTR</x:v>
      </x:c>
      <x:c r="G844" s="137" t="str">
        <x:v>Straping Roll (1Ctn)</x:v>
      </x:c>
      <x:c r="H844" s="137" t="str">
        <x:v>MTR</x:v>
      </x:c>
      <x:c r="I844" s="175" t="n">
        <x:v>0.25</x:v>
      </x:c>
      <x:c r="J844" s="176" t="str"/>
      <x:c r="K844" s="177" t="str"/>
      <x:c r="L844" s="178" t="str">
        <x:f>IF(J844="","",J844*(1+IF(K844="",0,K844)) )</x:f>
      </x:c>
      <x:c r="M844" s="138" t="str"/>
      <x:c r="N844" s="137" t="str">
        <x:v>Current model BOM seed</x:v>
      </x:c>
      <x:c r="O844" s="137" t="str"/>
      <x:c r="P844" s="137" t="str">
        <x:v>To Confirm</x:v>
      </x:c>
      <x:c r="Q844" s="137" t="str"/>
    </x:row>
    <x:row r="845">
      <x:c r="A845" s="137" t="str">
        <x:v>BOM-00841</x:v>
      </x:c>
      <x:c r="B845" s="137" t="str">
        <x:v>PERCY</x:v>
      </x:c>
      <x:c r="C845" s="137" t="str">
        <x:v>PER ORDER (V/L)</x:v>
      </x:c>
      <x:c r="D845" s="137" t="str">
        <x:v>7X10S</x:v>
      </x:c>
      <x:c r="E845" s="137" t="str">
        <x:v>STITCHING</x:v>
      </x:c>
      <x:c r="F845" s="137" t="str">
        <x:v>THREAD 3 PLY||SPOOL</x:v>
      </x:c>
      <x:c r="G845" s="137" t="str">
        <x:v>THREAD 3 PLY</x:v>
      </x:c>
      <x:c r="H845" s="137" t="str">
        <x:v>SPOOL</x:v>
      </x:c>
      <x:c r="I845" s="175" t="n">
        <x:v>50</x:v>
      </x:c>
      <x:c r="J845" s="176" t="str"/>
      <x:c r="K845" s="177" t="str"/>
      <x:c r="L845" s="178" t="str">
        <x:f>IF(J845="","",J845*(1+IF(K845="",0,K845)) )</x:f>
      </x:c>
      <x:c r="M845" s="138" t="str"/>
      <x:c r="N845" s="137" t="str">
        <x:v>Current model BOM seed</x:v>
      </x:c>
      <x:c r="O845" s="137" t="str"/>
      <x:c r="P845" s="137" t="str">
        <x:v>To Confirm</x:v>
      </x:c>
      <x:c r="Q845" s="137" t="str"/>
    </x:row>
    <x:row r="846">
      <x:c r="A846" s="137" t="str">
        <x:v>BOM-00842</x:v>
      </x:c>
      <x:c r="B846" s="137" t="str">
        <x:v>PERCY</x:v>
      </x:c>
      <x:c r="C846" s="137" t="str">
        <x:v>PER ORDER (V/L)</x:v>
      </x:c>
      <x:c r="D846" s="137" t="str">
        <x:v>7X10S</x:v>
      </x:c>
      <x:c r="E846" s="137" t="str">
        <x:v>STITCHING</x:v>
      </x:c>
      <x:c r="F846" s="137" t="str">
        <x:v>SIZE LABEL||PCS</x:v>
      </x:c>
      <x:c r="G846" s="137" t="str">
        <x:v>SIZE LABEL</x:v>
      </x:c>
      <x:c r="H846" s="137" t="str">
        <x:v>PCS</x:v>
      </x:c>
      <x:c r="I846" s="175" t="n">
        <x:v>0.5</x:v>
      </x:c>
      <x:c r="J846" s="176" t="str"/>
      <x:c r="K846" s="177" t="str"/>
      <x:c r="L846" s="178" t="str">
        <x:f>IF(J846="","",J846*(1+IF(K846="",0,K846)) )</x:f>
      </x:c>
      <x:c r="M846" s="138" t="str"/>
      <x:c r="N846" s="137" t="str">
        <x:v>Current model BOM seed</x:v>
      </x:c>
      <x:c r="O846" s="137" t="str"/>
      <x:c r="P846" s="137" t="str">
        <x:v>To Confirm</x:v>
      </x:c>
      <x:c r="Q846" s="137" t="str"/>
    </x:row>
    <x:row r="847">
      <x:c r="A847" s="137" t="str">
        <x:v>BOM-00843</x:v>
      </x:c>
      <x:c r="B847" s="137" t="str">
        <x:v>PERCY</x:v>
      </x:c>
      <x:c r="C847" s="137" t="str">
        <x:v>PER ORDER (V/L)</x:v>
      </x:c>
      <x:c r="D847" s="137" t="str">
        <x:v>7X10S</x:v>
      </x:c>
      <x:c r="E847" s="137" t="str">
        <x:v>STITCHING</x:v>
      </x:c>
      <x:c r="F847" s="137" t="str">
        <x:v>TOUNG LABEL SNEAKER||PCS</x:v>
      </x:c>
      <x:c r="G847" s="137" t="str">
        <x:v>TOUNG LABEL SNEAKER</x:v>
      </x:c>
      <x:c r="H847" s="137" t="str">
        <x:v>PCS</x:v>
      </x:c>
      <x:c r="I847" s="175" t="n">
        <x:v>0.5</x:v>
      </x:c>
      <x:c r="J847" s="176" t="str"/>
      <x:c r="K847" s="177" t="str"/>
      <x:c r="L847" s="178" t="str">
        <x:f>IF(J847="","",J847*(1+IF(K847="",0,K847)) )</x:f>
      </x:c>
      <x:c r="M847" s="138" t="str"/>
      <x:c r="N847" s="137" t="str">
        <x:v>Current model BOM seed</x:v>
      </x:c>
      <x:c r="O847" s="137" t="str"/>
      <x:c r="P847" s="137" t="str">
        <x:v>To Confirm</x:v>
      </x:c>
      <x:c r="Q847" s="137" t="str"/>
    </x:row>
    <x:row r="848">
      <x:c r="A848" s="137" t="str">
        <x:v>BOM-00844</x:v>
      </x:c>
      <x:c r="B848" s="137" t="str">
        <x:v>PERCY</x:v>
      </x:c>
      <x:c r="C848" s="137" t="str">
        <x:v>PER ORDER (V/L)</x:v>
      </x:c>
      <x:c r="D848" s="137" t="str">
        <x:v>7X10S</x:v>
      </x:c>
      <x:c r="E848" s="137" t="str">
        <x:v>STITCHING</x:v>
      </x:c>
      <x:c r="F848" s="137" t="str">
        <x:v>PF-48||PCS</x:v>
      </x:c>
      <x:c r="G848" s="137" t="str">
        <x:v>PF-48</x:v>
      </x:c>
      <x:c r="H848" s="137" t="str">
        <x:v>PCS</x:v>
      </x:c>
      <x:c r="I848" s="175" t="n">
        <x:v>0.25</x:v>
      </x:c>
      <x:c r="J848" s="176" t="str"/>
      <x:c r="K848" s="177" t="str"/>
      <x:c r="L848" s="178" t="str">
        <x:f>IF(J848="","",J848*(1+IF(K848="",0,K848)) )</x:f>
      </x:c>
      <x:c r="M848" s="138" t="str"/>
      <x:c r="N848" s="137" t="str">
        <x:v>Current model BOM seed</x:v>
      </x:c>
      <x:c r="O848" s="137" t="str"/>
      <x:c r="P848" s="137" t="str">
        <x:v>To Confirm</x:v>
      </x:c>
      <x:c r="Q848" s="137" t="str"/>
    </x:row>
    <x:row r="849">
      <x:c r="A849" s="137" t="str">
        <x:v>BOM-00845</x:v>
      </x:c>
      <x:c r="B849" s="137" t="str">
        <x:v>PERCY</x:v>
      </x:c>
      <x:c r="C849" s="137" t="str">
        <x:v>PER ORDER (V/L)</x:v>
      </x:c>
      <x:c r="D849" s="137" t="str">
        <x:v>7X10S</x:v>
      </x:c>
      <x:c r="E849" s="137" t="str">
        <x:v>STITCHING</x:v>
      </x:c>
      <x:c r="F849" s="137" t="str">
        <x:v>PF-3||PCS</x:v>
      </x:c>
      <x:c r="G849" s="137" t="str">
        <x:v>PF-3</x:v>
      </x:c>
      <x:c r="H849" s="137" t="str">
        <x:v>PCS</x:v>
      </x:c>
      <x:c r="I849" s="175" t="n">
        <x:v>0</x:v>
      </x:c>
      <x:c r="J849" s="176" t="str"/>
      <x:c r="K849" s="177" t="str"/>
      <x:c r="L849" s="178" t="str">
        <x:f>IF(J849="","",J849*(1+IF(K849="",0,K849)) )</x:f>
      </x:c>
      <x:c r="M849" s="138" t="str"/>
      <x:c r="N849" s="137" t="str">
        <x:v>Current model BOM seed</x:v>
      </x:c>
      <x:c r="O849" s="137" t="str"/>
      <x:c r="P849" s="137" t="str">
        <x:v>To Confirm</x:v>
      </x:c>
      <x:c r="Q849" s="137" t="str"/>
    </x:row>
    <x:row r="850">
      <x:c r="A850" s="137" t="str">
        <x:v>BOM-00846</x:v>
      </x:c>
      <x:c r="B850" s="137" t="str">
        <x:v>PERCY</x:v>
      </x:c>
      <x:c r="C850" s="137" t="str">
        <x:v>PER ORDER (V/L)</x:v>
      </x:c>
      <x:c r="D850" s="137" t="str">
        <x:v>7X10S</x:v>
      </x:c>
      <x:c r="E850" s="137" t="str">
        <x:v>STITCHING</x:v>
      </x:c>
      <x:c r="F850" s="137" t="str">
        <x:v>VELCRO 20 MM HOOK||MTR</x:v>
      </x:c>
      <x:c r="G850" s="137" t="str">
        <x:v>VELCRO 20 MM HOOK</x:v>
      </x:c>
      <x:c r="H850" s="137" t="str">
        <x:v>MTR</x:v>
      </x:c>
      <x:c r="I850" s="175" t="n">
        <x:v>3.57142857</x:v>
      </x:c>
      <x:c r="J850" s="176" t="str"/>
      <x:c r="K850" s="177" t="str"/>
      <x:c r="L850" s="178" t="str">
        <x:f>IF(J850="","",J850*(1+IF(K850="",0,K850)) )</x:f>
      </x:c>
      <x:c r="M850" s="138" t="str"/>
      <x:c r="N850" s="137" t="str">
        <x:v>Current model BOM seed</x:v>
      </x:c>
      <x:c r="O850" s="137" t="str"/>
      <x:c r="P850" s="137" t="str">
        <x:v>To Confirm</x:v>
      </x:c>
      <x:c r="Q850" s="137" t="str"/>
    </x:row>
    <x:row r="851">
      <x:c r="A851" s="137" t="str">
        <x:v>BOM-00847</x:v>
      </x:c>
      <x:c r="B851" s="137" t="str">
        <x:v>PERCY</x:v>
      </x:c>
      <x:c r="C851" s="137" t="str">
        <x:v>PER ORDER (V/L)</x:v>
      </x:c>
      <x:c r="D851" s="137" t="str">
        <x:v>7X10S</x:v>
      </x:c>
      <x:c r="E851" s="137" t="str">
        <x:v>STITCHING</x:v>
      </x:c>
      <x:c r="F851" s="137" t="str">
        <x:v>VELCRO 20 MM LOOP||MTR</x:v>
      </x:c>
      <x:c r="G851" s="137" t="str">
        <x:v>VELCRO 20 MM LOOP</x:v>
      </x:c>
      <x:c r="H851" s="137" t="str">
        <x:v>MTR</x:v>
      </x:c>
      <x:c r="I851" s="175" t="n">
        <x:v>3.57142857</x:v>
      </x:c>
      <x:c r="J851" s="176" t="str"/>
      <x:c r="K851" s="177" t="str"/>
      <x:c r="L851" s="178" t="str">
        <x:f>IF(J851="","",J851*(1+IF(K851="",0,K851)) )</x:f>
      </x:c>
      <x:c r="M851" s="138" t="str"/>
      <x:c r="N851" s="137" t="str">
        <x:v>Current model BOM seed</x:v>
      </x:c>
      <x:c r="O851" s="137" t="str"/>
      <x:c r="P851" s="137" t="str">
        <x:v>To Confirm</x:v>
      </x:c>
      <x:c r="Q851" s="137" t="str"/>
    </x:row>
    <x:row r="852">
      <x:c r="A852" s="137" t="str">
        <x:v>BOM-00848</x:v>
      </x:c>
      <x:c r="B852" s="137" t="str">
        <x:v>PERCY</x:v>
      </x:c>
      <x:c r="C852" s="137" t="str">
        <x:v>PER ORDER (V/L)</x:v>
      </x:c>
      <x:c r="D852" s="137" t="str">
        <x:v>7X10S</x:v>
      </x:c>
      <x:c r="E852" s="137" t="str">
        <x:v>STITCHING</x:v>
      </x:c>
      <x:c r="F852" s="137" t="str">
        <x:v>VELCRO 25 MM HOOK||MTR</x:v>
      </x:c>
      <x:c r="G852" s="137" t="str">
        <x:v>VELCRO 25 MM HOOK</x:v>
      </x:c>
      <x:c r="H852" s="137" t="str">
        <x:v>MTR</x:v>
      </x:c>
      <x:c r="I852" s="175" t="n">
        <x:v>0</x:v>
      </x:c>
      <x:c r="J852" s="176" t="str"/>
      <x:c r="K852" s="177" t="str"/>
      <x:c r="L852" s="178" t="str">
        <x:f>IF(J852="","",J852*(1+IF(K852="",0,K852)) )</x:f>
      </x:c>
      <x:c r="M852" s="138" t="str"/>
      <x:c r="N852" s="137" t="str">
        <x:v>Current model BOM seed</x:v>
      </x:c>
      <x:c r="O852" s="137" t="str"/>
      <x:c r="P852" s="137" t="str">
        <x:v>To Confirm</x:v>
      </x:c>
      <x:c r="Q852" s="137" t="str"/>
    </x:row>
    <x:row r="853">
      <x:c r="A853" s="137" t="str">
        <x:v>BOM-00849</x:v>
      </x:c>
      <x:c r="B853" s="137" t="str">
        <x:v>PERCY</x:v>
      </x:c>
      <x:c r="C853" s="137" t="str">
        <x:v>PER ORDER (V/L)</x:v>
      </x:c>
      <x:c r="D853" s="137" t="str">
        <x:v>7X10S</x:v>
      </x:c>
      <x:c r="E853" s="137" t="str">
        <x:v>STITCHING</x:v>
      </x:c>
      <x:c r="F853" s="137" t="str">
        <x:v>VELCRO 25 MM LOOP||MTR</x:v>
      </x:c>
      <x:c r="G853" s="137" t="str">
        <x:v>VELCRO 25 MM LOOP</x:v>
      </x:c>
      <x:c r="H853" s="137" t="str">
        <x:v>MTR</x:v>
      </x:c>
      <x:c r="I853" s="175" t="n">
        <x:v>0</x:v>
      </x:c>
      <x:c r="J853" s="176" t="str"/>
      <x:c r="K853" s="177" t="str"/>
      <x:c r="L853" s="178" t="str">
        <x:f>IF(J853="","",J853*(1+IF(K853="",0,K853)) )</x:f>
      </x:c>
      <x:c r="M853" s="138" t="str"/>
      <x:c r="N853" s="137" t="str">
        <x:v>Current model BOM seed</x:v>
      </x:c>
      <x:c r="O853" s="137" t="str"/>
      <x:c r="P853" s="137" t="str">
        <x:v>To Confirm</x:v>
      </x:c>
      <x:c r="Q853" s="137" t="str"/>
    </x:row>
    <x:row r="854">
      <x:c r="A854" s="137" t="str">
        <x:v>BOM-00850</x:v>
      </x:c>
      <x:c r="B854" s="137" t="str">
        <x:v>PERCY</x:v>
      </x:c>
      <x:c r="C854" s="137" t="str">
        <x:v>PER ORDER (V/L)</x:v>
      </x:c>
      <x:c r="D854" s="137" t="str">
        <x:v>7X10S</x:v>
      </x:c>
      <x:c r="E854" s="137" t="str">
        <x:v>STITCHING</x:v>
      </x:c>
      <x:c r="F854" s="137" t="str">
        <x:v>PP BAG||PCS</x:v>
      </x:c>
      <x:c r="G854" s="137" t="str">
        <x:v>Pp Bag</x:v>
      </x:c>
      <x:c r="H854" s="137" t="str">
        <x:v>PCS</x:v>
      </x:c>
      <x:c r="I854" s="175" t="n">
        <x:v>0.04</x:v>
      </x:c>
      <x:c r="J854" s="176" t="str"/>
      <x:c r="K854" s="177" t="str"/>
      <x:c r="L854" s="178" t="str">
        <x:f>IF(J854="","",J854*(1+IF(K854="",0,K854)) )</x:f>
      </x:c>
      <x:c r="M854" s="138" t="str"/>
      <x:c r="N854" s="137" t="str">
        <x:v>Current model BOM seed</x:v>
      </x:c>
      <x:c r="O854" s="137" t="str"/>
      <x:c r="P854" s="137" t="str">
        <x:v>To Confirm</x:v>
      </x:c>
      <x:c r="Q854" s="137" t="str"/>
    </x:row>
    <x:row r="855">
      <x:c r="A855" s="137" t="str">
        <x:v>BOM-00851</x:v>
      </x:c>
      <x:c r="B855" s="137" t="str">
        <x:v>PERCY</x:v>
      </x:c>
      <x:c r="C855" s="137" t="str">
        <x:v>PER ORDER (V/L)</x:v>
      </x:c>
      <x:c r="D855" s="137" t="str">
        <x:v>7X10S</x:v>
      </x:c>
      <x:c r="E855" s="137" t="str">
        <x:v>STITCHING</x:v>
      </x:c>
      <x:c r="F855" s="137" t="str">
        <x:v>BACK TAPE 14 MM||MTR</x:v>
      </x:c>
      <x:c r="G855" s="137" t="str">
        <x:v>BACK TAPE 14 MM</x:v>
      </x:c>
      <x:c r="H855" s="137" t="str">
        <x:v>MTR</x:v>
      </x:c>
      <x:c r="I855" s="175" t="n">
        <x:v>10</x:v>
      </x:c>
      <x:c r="J855" s="176" t="str"/>
      <x:c r="K855" s="177" t="str"/>
      <x:c r="L855" s="178" t="str">
        <x:f>IF(J855="","",J855*(1+IF(K855="",0,K855)) )</x:f>
      </x:c>
      <x:c r="M855" s="138" t="str"/>
      <x:c r="N855" s="137" t="str">
        <x:v>Current model BOM seed</x:v>
      </x:c>
      <x:c r="O855" s="137" t="str"/>
      <x:c r="P855" s="137" t="str">
        <x:v>To Confirm</x:v>
      </x:c>
      <x:c r="Q855" s="137" t="str"/>
    </x:row>
    <x:row r="856">
      <x:c r="A856" s="137" t="str">
        <x:v>BOM-00852</x:v>
      </x:c>
      <x:c r="B856" s="137" t="str">
        <x:v>PERCY</x:v>
      </x:c>
      <x:c r="C856" s="137" t="str">
        <x:v>PER ORDER (V/L)</x:v>
      </x:c>
      <x:c r="D856" s="137" t="str">
        <x:v>7X10S</x:v>
      </x:c>
      <x:c r="E856" s="137" t="str">
        <x:v>STITCHING</x:v>
      </x:c>
      <x:c r="F856" s="137" t="str">
        <x:v>POLYESTER BINDING 12 MM||MTR</x:v>
      </x:c>
      <x:c r="G856" s="137" t="str">
        <x:v>POLYESTER BINDING 12 MM</x:v>
      </x:c>
      <x:c r="H856" s="137" t="str">
        <x:v>MTR</x:v>
      </x:c>
      <x:c r="I856" s="175" t="n">
        <x:v>16.66666667</x:v>
      </x:c>
      <x:c r="J856" s="176" t="str"/>
      <x:c r="K856" s="177" t="str"/>
      <x:c r="L856" s="178" t="str">
        <x:f>IF(J856="","",J856*(1+IF(K856="",0,K856)) )</x:f>
      </x:c>
      <x:c r="M856" s="138" t="str"/>
      <x:c r="N856" s="137" t="str">
        <x:v>Current model BOM seed</x:v>
      </x:c>
      <x:c r="O856" s="137" t="str"/>
      <x:c r="P856" s="137" t="str">
        <x:v>To Confirm</x:v>
      </x:c>
      <x:c r="Q856" s="137" t="str"/>
    </x:row>
    <x:row r="857">
      <x:c r="A857" s="137" t="str">
        <x:v>BOM-00853</x:v>
      </x:c>
      <x:c r="B857" s="137" t="str">
        <x:v>PERCY</x:v>
      </x:c>
      <x:c r="C857" s="137" t="str">
        <x:v>PER ORDER (V/L)</x:v>
      </x:c>
      <x:c r="D857" s="137" t="str">
        <x:v>11X1</x:v>
      </x:c>
      <x:c r="E857" s="137" t="str">
        <x:v>CUTTING</x:v>
      </x:c>
      <x:c r="F857" s="137" t="str">
        <x:v>MESH 58"||MTR</x:v>
      </x:c>
      <x:c r="G857" s="137" t="str">
        <x:v>Mesh 58"</x:v>
      </x:c>
      <x:c r="H857" s="137" t="str">
        <x:v>MTR</x:v>
      </x:c>
      <x:c r="I857" s="175" t="n">
        <x:v>0.08325123</x:v>
      </x:c>
      <x:c r="J857" s="176" t="str"/>
      <x:c r="K857" s="177" t="str"/>
      <x:c r="L857" s="178" t="str">
        <x:f>IF(J857="","",J857*(1+IF(K857="",0,K857)) )</x:f>
      </x:c>
      <x:c r="M857" s="138" t="str"/>
      <x:c r="N857" s="137" t="str">
        <x:v>Current model BOM seed</x:v>
      </x:c>
      <x:c r="O857" s="137" t="str"/>
      <x:c r="P857" s="137" t="str">
        <x:v>To Confirm</x:v>
      </x:c>
      <x:c r="Q857" s="137" t="str"/>
    </x:row>
    <x:row r="858">
      <x:c r="A858" s="137" t="str">
        <x:v>BOM-00854</x:v>
      </x:c>
      <x:c r="B858" s="137" t="str">
        <x:v>PERCY</x:v>
      </x:c>
      <x:c r="C858" s="137" t="str">
        <x:v>PER ORDER (V/L)</x:v>
      </x:c>
      <x:c r="D858" s="137" t="str">
        <x:v>11X1</x:v>
      </x:c>
      <x:c r="E858" s="137" t="str">
        <x:v>CUTTING</x:v>
      </x:c>
      <x:c r="F858" s="137" t="str">
        <x:v>SKINFIT 60"||MTR</x:v>
      </x:c>
      <x:c r="G858" s="137" t="str">
        <x:v>Skinfit 60"</x:v>
      </x:c>
      <x:c r="H858" s="137" t="str">
        <x:v>MTR</x:v>
      </x:c>
      <x:c r="I858" s="175" t="n">
        <x:v>0.05132275</x:v>
      </x:c>
      <x:c r="J858" s="176" t="str"/>
      <x:c r="K858" s="177" t="str"/>
      <x:c r="L858" s="178" t="str">
        <x:f>IF(J858="","",J858*(1+IF(K858="",0,K858)) )</x:f>
      </x:c>
      <x:c r="M858" s="138" t="str"/>
      <x:c r="N858" s="137" t="str">
        <x:v>Current model BOM seed</x:v>
      </x:c>
      <x:c r="O858" s="137" t="str"/>
      <x:c r="P858" s="137" t="str">
        <x:v>To Confirm</x:v>
      </x:c>
      <x:c r="Q858" s="137" t="str"/>
    </x:row>
    <x:row r="859">
      <x:c r="A859" s="137" t="str">
        <x:v>BOM-00855</x:v>
      </x:c>
      <x:c r="B859" s="137" t="str">
        <x:v>PERCY</x:v>
      </x:c>
      <x:c r="C859" s="137" t="str">
        <x:v>PER ORDER (V/L)</x:v>
      </x:c>
      <x:c r="D859" s="137" t="str">
        <x:v>11X1</x:v>
      </x:c>
      <x:c r="E859" s="137" t="str">
        <x:v>CUTTING</x:v>
      </x:c>
      <x:c r="F859" s="137" t="str">
        <x:v>REXINE 54"||MTR</x:v>
      </x:c>
      <x:c r="G859" s="137" t="str">
        <x:v>Rexine 54"</x:v>
      </x:c>
      <x:c r="H859" s="137" t="str">
        <x:v>MTR</x:v>
      </x:c>
      <x:c r="I859" s="175" t="n">
        <x:v>0.08209859</x:v>
      </x:c>
      <x:c r="J859" s="176" t="str"/>
      <x:c r="K859" s="177" t="str"/>
      <x:c r="L859" s="178" t="str">
        <x:f>IF(J859="","",J859*(1+IF(K859="",0,K859)) )</x:f>
      </x:c>
      <x:c r="M859" s="138" t="str"/>
      <x:c r="N859" s="137" t="str">
        <x:v>Current model BOM seed</x:v>
      </x:c>
      <x:c r="O859" s="137" t="str"/>
      <x:c r="P859" s="137" t="str">
        <x:v>To Confirm</x:v>
      </x:c>
      <x:c r="Q859" s="137" t="str"/>
    </x:row>
    <x:row r="860">
      <x:c r="A860" s="137" t="str">
        <x:v>BOM-00856</x:v>
      </x:c>
      <x:c r="B860" s="137" t="str">
        <x:v>PERCY</x:v>
      </x:c>
      <x:c r="C860" s="137" t="str">
        <x:v>PER ORDER (V/L)</x:v>
      </x:c>
      <x:c r="D860" s="137" t="str">
        <x:v>11X1</x:v>
      </x:c>
      <x:c r="E860" s="137" t="str">
        <x:v>CUTTING</x:v>
      </x:c>
      <x:c r="F860" s="137" t="str">
        <x:v>SHEET 1.4MM||SHEET</x:v>
      </x:c>
      <x:c r="G860" s="137" t="str">
        <x:v>Sheet 1.4Mm</x:v>
      </x:c>
      <x:c r="H860" s="137" t="str">
        <x:v>SHEET</x:v>
      </x:c>
      <x:c r="I860" s="175" t="n">
        <x:v>0.01036269</x:v>
      </x:c>
      <x:c r="J860" s="176" t="str"/>
      <x:c r="K860" s="177" t="str"/>
      <x:c r="L860" s="178" t="str">
        <x:f>IF(J860="","",J860*(1+IF(K860="",0,K860)) )</x:f>
      </x:c>
      <x:c r="M860" s="138" t="str"/>
      <x:c r="N860" s="137" t="str">
        <x:v>Current model BOM seed</x:v>
      </x:c>
      <x:c r="O860" s="137" t="str"/>
      <x:c r="P860" s="137" t="str">
        <x:v>To Confirm</x:v>
      </x:c>
      <x:c r="Q860" s="137" t="str"/>
    </x:row>
    <x:row r="861">
      <x:c r="A861" s="137" t="str">
        <x:v>BOM-00857</x:v>
      </x:c>
      <x:c r="B861" s="137" t="str">
        <x:v>PERCY</x:v>
      </x:c>
      <x:c r="C861" s="137" t="str">
        <x:v>PER ORDER (V/L)</x:v>
      </x:c>
      <x:c r="D861" s="137" t="str">
        <x:v>11X1</x:v>
      </x:c>
      <x:c r="E861" s="137" t="str">
        <x:v>CUTTING</x:v>
      </x:c>
      <x:c r="F861" s="137" t="str">
        <x:v>SHEET 0.8MM||SHEET</x:v>
      </x:c>
      <x:c r="G861" s="137" t="str">
        <x:v>Sheet 0.8Mm</x:v>
      </x:c>
      <x:c r="H861" s="137" t="str">
        <x:v>SHEET</x:v>
      </x:c>
      <x:c r="I861" s="175" t="n">
        <x:v>0.00925926</x:v>
      </x:c>
      <x:c r="J861" s="176" t="str"/>
      <x:c r="K861" s="177" t="str"/>
      <x:c r="L861" s="178" t="str">
        <x:f>IF(J861="","",J861*(1+IF(K861="",0,K861)) )</x:f>
      </x:c>
      <x:c r="M861" s="138" t="str"/>
      <x:c r="N861" s="137" t="str">
        <x:v>Current model BOM seed</x:v>
      </x:c>
      <x:c r="O861" s="137" t="str"/>
      <x:c r="P861" s="137" t="str">
        <x:v>To Confirm</x:v>
      </x:c>
      <x:c r="Q861" s="137" t="str"/>
    </x:row>
    <x:row r="862">
      <x:c r="A862" s="137" t="str">
        <x:v>BOM-00858</x:v>
      </x:c>
      <x:c r="B862" s="137" t="str">
        <x:v>PERCY</x:v>
      </x:c>
      <x:c r="C862" s="137" t="str">
        <x:v>PER ORDER (V/L)</x:v>
      </x:c>
      <x:c r="D862" s="137" t="str">
        <x:v>11X1</x:v>
      </x:c>
      <x:c r="E862" s="137" t="str">
        <x:v>CUTTING</x:v>
      </x:c>
      <x:c r="F862" s="137" t="str">
        <x:v>SHEET 20MM||SHEET</x:v>
      </x:c>
      <x:c r="G862" s="137" t="str">
        <x:v>Sheet 20Mm</x:v>
      </x:c>
      <x:c r="H862" s="137" t="str">
        <x:v>SHEET</x:v>
      </x:c>
      <x:c r="I862" s="175" t="n">
        <x:v>0.00952381</x:v>
      </x:c>
      <x:c r="J862" s="176" t="str"/>
      <x:c r="K862" s="177" t="str"/>
      <x:c r="L862" s="178" t="str">
        <x:f>IF(J862="","",J862*(1+IF(K862="",0,K862)) )</x:f>
      </x:c>
      <x:c r="M862" s="138" t="str"/>
      <x:c r="N862" s="137" t="str">
        <x:v>Current model BOM seed</x:v>
      </x:c>
      <x:c r="O862" s="137" t="str"/>
      <x:c r="P862" s="137" t="str">
        <x:v>To Confirm</x:v>
      </x:c>
      <x:c r="Q862" s="137" t="str"/>
    </x:row>
    <x:row r="863">
      <x:c r="A863" s="137" t="str">
        <x:v>BOM-00859</x:v>
      </x:c>
      <x:c r="B863" s="137" t="str">
        <x:v>PERCY</x:v>
      </x:c>
      <x:c r="C863" s="137" t="str">
        <x:v>PER ORDER (V/L)</x:v>
      </x:c>
      <x:c r="D863" s="137" t="str">
        <x:v>11X1</x:v>
      </x:c>
      <x:c r="E863" s="137" t="str">
        <x:v>CUTTING</x:v>
      </x:c>
      <x:c r="F863" s="137" t="str">
        <x:v>INSOLE||PAIR</x:v>
      </x:c>
      <x:c r="G863" s="137" t="str">
        <x:v>INSOLE</x:v>
      </x:c>
      <x:c r="H863" s="137" t="str">
        <x:v>PAIR</x:v>
      </x:c>
      <x:c r="I863" s="175" t="n">
        <x:v>2</x:v>
      </x:c>
      <x:c r="J863" s="176" t="str"/>
      <x:c r="K863" s="177" t="str"/>
      <x:c r="L863" s="178" t="str">
        <x:f>IF(J863="","",J863*(1+IF(K863="",0,K863)) )</x:f>
      </x:c>
      <x:c r="M863" s="138" t="str"/>
      <x:c r="N863" s="137" t="str">
        <x:v>Current model BOM seed</x:v>
      </x:c>
      <x:c r="O863" s="137" t="str"/>
      <x:c r="P863" s="137" t="str">
        <x:v>To Confirm</x:v>
      </x:c>
      <x:c r="Q863" s="137" t="str"/>
    </x:row>
    <x:row r="864">
      <x:c r="A864" s="137" t="str">
        <x:v>BOM-00860</x:v>
      </x:c>
      <x:c r="B864" s="137" t="str">
        <x:v>PERCY</x:v>
      </x:c>
      <x:c r="C864" s="137" t="str">
        <x:v>PER ORDER (V/L)</x:v>
      </x:c>
      <x:c r="D864" s="137" t="str">
        <x:v>11X1</x:v>
      </x:c>
      <x:c r="E864" s="137" t="str">
        <x:v>MOLDING</x:v>
      </x:c>
      <x:c r="F864" s="137" t="str">
        <x:v>SOLE 1231 EVA||PAIR</x:v>
      </x:c>
      <x:c r="G864" s="137" t="str">
        <x:v>Sole 1231 EVA</x:v>
      </x:c>
      <x:c r="H864" s="137" t="str">
        <x:v>PAIR</x:v>
      </x:c>
      <x:c r="I864" s="175" t="n">
        <x:v>2</x:v>
      </x:c>
      <x:c r="J864" s="176" t="str"/>
      <x:c r="K864" s="177" t="str"/>
      <x:c r="L864" s="178" t="str">
        <x:f>IF(J864="","",J864*(1+IF(K864="",0,K864)) )</x:f>
      </x:c>
      <x:c r="M864" s="138" t="str"/>
      <x:c r="N864" s="137" t="str">
        <x:v>Current model BOM seed</x:v>
      </x:c>
      <x:c r="O864" s="137" t="str"/>
      <x:c r="P864" s="137" t="str">
        <x:v>To Confirm</x:v>
      </x:c>
      <x:c r="Q864" s="137" t="str"/>
    </x:row>
    <x:row r="865">
      <x:c r="A865" s="137" t="str">
        <x:v>BOM-00861</x:v>
      </x:c>
      <x:c r="B865" s="137" t="str">
        <x:v>PERCY</x:v>
      </x:c>
      <x:c r="C865" s="137" t="str">
        <x:v>PER ORDER (V/L)</x:v>
      </x:c>
      <x:c r="D865" s="137" t="str">
        <x:v>11X1</x:v>
      </x:c>
      <x:c r="E865" s="137" t="str">
        <x:v>PACKING</x:v>
      </x:c>
      <x:c r="F865" s="137" t="str">
        <x:v>TISSUE PAPER||PCS</x:v>
      </x:c>
      <x:c r="G865" s="137" t="str">
        <x:v>Tissue Paper</x:v>
      </x:c>
      <x:c r="H865" s="137" t="str">
        <x:v>PCS</x:v>
      </x:c>
      <x:c r="I865" s="175" t="n">
        <x:v>0.25</x:v>
      </x:c>
      <x:c r="J865" s="176" t="str"/>
      <x:c r="K865" s="177" t="str"/>
      <x:c r="L865" s="178" t="str">
        <x:f>IF(J865="","",J865*(1+IF(K865="",0,K865)) )</x:f>
      </x:c>
      <x:c r="M865" s="138" t="str"/>
      <x:c r="N865" s="137" t="str">
        <x:v>Current model BOM seed</x:v>
      </x:c>
      <x:c r="O865" s="137" t="str"/>
      <x:c r="P865" s="137" t="str">
        <x:v>To Confirm</x:v>
      </x:c>
      <x:c r="Q865" s="137" t="str"/>
    </x:row>
    <x:row r="866">
      <x:c r="A866" s="137" t="str">
        <x:v>BOM-00862</x:v>
      </x:c>
      <x:c r="B866" s="137" t="str">
        <x:v>PERCY</x:v>
      </x:c>
      <x:c r="C866" s="137" t="str">
        <x:v>PER ORDER (V/L)</x:v>
      </x:c>
      <x:c r="D866" s="137" t="str">
        <x:v>11X1</x:v>
      </x:c>
      <x:c r="E866" s="137" t="str">
        <x:v>PACKING</x:v>
      </x:c>
      <x:c r="F866" s="137" t="str">
        <x:v>SHOE SHINER||GRAM</x:v>
      </x:c>
      <x:c r="G866" s="137" t="str">
        <x:v>Shoe Shiner</x:v>
      </x:c>
      <x:c r="H866" s="137" t="str">
        <x:v>GRAM</x:v>
      </x:c>
      <x:c r="I866" s="175" t="n">
        <x:v>0.06666667</x:v>
      </x:c>
      <x:c r="J866" s="176" t="str"/>
      <x:c r="K866" s="177" t="str"/>
      <x:c r="L866" s="178" t="str">
        <x:f>IF(J866="","",J866*(1+IF(K866="",0,K866)) )</x:f>
      </x:c>
      <x:c r="M866" s="138" t="str"/>
      <x:c r="N866" s="137" t="str">
        <x:v>Current model BOM seed</x:v>
      </x:c>
      <x:c r="O866" s="137" t="str"/>
      <x:c r="P866" s="137" t="str">
        <x:v>To Confirm</x:v>
      </x:c>
      <x:c r="Q866" s="137" t="str"/>
    </x:row>
    <x:row r="867">
      <x:c r="A867" s="137" t="str">
        <x:v>BOM-00863</x:v>
      </x:c>
      <x:c r="B867" s="137" t="str">
        <x:v>PERCY</x:v>
      </x:c>
      <x:c r="C867" s="137" t="str">
        <x:v>PER ORDER (V/L)</x:v>
      </x:c>
      <x:c r="D867" s="137" t="str">
        <x:v>11X1</x:v>
      </x:c>
      <x:c r="E867" s="137" t="str">
        <x:v>PACKING</x:v>
      </x:c>
      <x:c r="F867" s="137" t="str">
        <x:v>EMYLE||GRAM</x:v>
      </x:c>
      <x:c r="G867" s="137" t="str">
        <x:v>EMYLE</x:v>
      </x:c>
      <x:c r="H867" s="137" t="str">
        <x:v>GRAM</x:v>
      </x:c>
      <x:c r="I867" s="175" t="n">
        <x:v>0.07142857</x:v>
      </x:c>
      <x:c r="J867" s="176" t="str"/>
      <x:c r="K867" s="177" t="str"/>
      <x:c r="L867" s="178" t="str">
        <x:f>IF(J867="","",J867*(1+IF(K867="",0,K867)) )</x:f>
      </x:c>
      <x:c r="M867" s="138" t="str"/>
      <x:c r="N867" s="137" t="str">
        <x:v>Current model BOM seed</x:v>
      </x:c>
      <x:c r="O867" s="137" t="str"/>
      <x:c r="P867" s="137" t="str">
        <x:v>To Confirm</x:v>
      </x:c>
      <x:c r="Q867" s="137" t="str"/>
    </x:row>
    <x:row r="868">
      <x:c r="A868" s="137" t="str">
        <x:v>BOM-00864</x:v>
      </x:c>
      <x:c r="B868" s="137" t="str">
        <x:v>PERCY</x:v>
      </x:c>
      <x:c r="C868" s="137" t="str">
        <x:v>PER ORDER (V/L)</x:v>
      </x:c>
      <x:c r="D868" s="137" t="str">
        <x:v>11X1</x:v>
      </x:c>
      <x:c r="E868" s="137" t="str">
        <x:v>PACKING</x:v>
      </x:c>
      <x:c r="F868" s="137" t="str">
        <x:v>TAG PIN||PCS</x:v>
      </x:c>
      <x:c r="G868" s="137" t="str">
        <x:v>Tag Pin</x:v>
      </x:c>
      <x:c r="H868" s="137" t="str">
        <x:v>PCS</x:v>
      </x:c>
      <x:c r="I868" s="175" t="n">
        <x:v>1</x:v>
      </x:c>
      <x:c r="J868" s="176" t="str"/>
      <x:c r="K868" s="177" t="str"/>
      <x:c r="L868" s="178" t="str">
        <x:f>IF(J868="","",J868*(1+IF(K868="",0,K868)) )</x:f>
      </x:c>
      <x:c r="M868" s="138" t="str"/>
      <x:c r="N868" s="137" t="str">
        <x:v>Current model BOM seed</x:v>
      </x:c>
      <x:c r="O868" s="137" t="str"/>
      <x:c r="P868" s="137" t="str">
        <x:v>To Confirm</x:v>
      </x:c>
      <x:c r="Q868" s="137" t="str"/>
    </x:row>
    <x:row r="869">
      <x:c r="A869" s="137" t="str">
        <x:v>BOM-00865</x:v>
      </x:c>
      <x:c r="B869" s="137" t="str">
        <x:v>PERCY</x:v>
      </x:c>
      <x:c r="C869" s="137" t="str">
        <x:v>PER ORDER (V/L)</x:v>
      </x:c>
      <x:c r="D869" s="137" t="str">
        <x:v>11X1</x:v>
      </x:c>
      <x:c r="E869" s="137" t="str">
        <x:v>PACKING</x:v>
      </x:c>
      <x:c r="F869" s="137" t="str">
        <x:v>TAG CARD||PCS</x:v>
      </x:c>
      <x:c r="G869" s="137" t="str">
        <x:v>Tag Card</x:v>
      </x:c>
      <x:c r="H869" s="137" t="str">
        <x:v>PCS</x:v>
      </x:c>
      <x:c r="I869" s="175" t="n">
        <x:v>1</x:v>
      </x:c>
      <x:c r="J869" s="176" t="str"/>
      <x:c r="K869" s="177" t="str"/>
      <x:c r="L869" s="178" t="str">
        <x:f>IF(J869="","",J869*(1+IF(K869="",0,K869)) )</x:f>
      </x:c>
      <x:c r="M869" s="138" t="str"/>
      <x:c r="N869" s="137" t="str">
        <x:v>Current model BOM seed</x:v>
      </x:c>
      <x:c r="O869" s="137" t="str"/>
      <x:c r="P869" s="137" t="str">
        <x:v>To Confirm</x:v>
      </x:c>
      <x:c r="Q869" s="137" t="str"/>
    </x:row>
    <x:row r="870">
      <x:c r="A870" s="137" t="str">
        <x:v>BOM-00866</x:v>
      </x:c>
      <x:c r="B870" s="137" t="str">
        <x:v>PERCY</x:v>
      </x:c>
      <x:c r="C870" s="137" t="str">
        <x:v>PER ORDER (V/L)</x:v>
      </x:c>
      <x:c r="D870" s="137" t="str">
        <x:v>11X1</x:v>
      </x:c>
      <x:c r="E870" s="137" t="str">
        <x:v>PACKING</x:v>
      </x:c>
      <x:c r="F870" s="137" t="str">
        <x:v>WRAPING PAPER||PCS</x:v>
      </x:c>
      <x:c r="G870" s="137" t="str">
        <x:v>Wraping Paper</x:v>
      </x:c>
      <x:c r="H870" s="137" t="str">
        <x:v>PCS</x:v>
      </x:c>
      <x:c r="I870" s="175" t="n">
        <x:v>1</x:v>
      </x:c>
      <x:c r="J870" s="176" t="str"/>
      <x:c r="K870" s="177" t="str"/>
      <x:c r="L870" s="178" t="str">
        <x:f>IF(J870="","",J870*(1+IF(K870="",0,K870)) )</x:f>
      </x:c>
      <x:c r="M870" s="138" t="str"/>
      <x:c r="N870" s="137" t="str">
        <x:v>Current model BOM seed</x:v>
      </x:c>
      <x:c r="O870" s="137" t="str"/>
      <x:c r="P870" s="137" t="str">
        <x:v>To Confirm</x:v>
      </x:c>
      <x:c r="Q870" s="137" t="str"/>
    </x:row>
    <x:row r="871">
      <x:c r="A871" s="137" t="str">
        <x:v>BOM-00867</x:v>
      </x:c>
      <x:c r="B871" s="137" t="str">
        <x:v>PERCY</x:v>
      </x:c>
      <x:c r="C871" s="137" t="str">
        <x:v>PER ORDER (V/L)</x:v>
      </x:c>
      <x:c r="D871" s="137" t="str">
        <x:v>11X1</x:v>
      </x:c>
      <x:c r="E871" s="137" t="str">
        <x:v>PACKING</x:v>
      </x:c>
      <x:c r="F871" s="137" t="str">
        <x:v>INNER||PCS</x:v>
      </x:c>
      <x:c r="G871" s="137" t="str">
        <x:v>INNER</x:v>
      </x:c>
      <x:c r="H871" s="137" t="str">
        <x:v>PCS</x:v>
      </x:c>
      <x:c r="I871" s="175" t="n">
        <x:v>1</x:v>
      </x:c>
      <x:c r="J871" s="176" t="str"/>
      <x:c r="K871" s="177" t="str"/>
      <x:c r="L871" s="178" t="str">
        <x:f>IF(J871="","",J871*(1+IF(K871="",0,K871)) )</x:f>
      </x:c>
      <x:c r="M871" s="138" t="str"/>
      <x:c r="N871" s="137" t="str">
        <x:v>Current model BOM seed</x:v>
      </x:c>
      <x:c r="O871" s="137" t="str"/>
      <x:c r="P871" s="137" t="str">
        <x:v>To Confirm</x:v>
      </x:c>
      <x:c r="Q871" s="137" t="str"/>
    </x:row>
    <x:row r="872">
      <x:c r="A872" s="137" t="str">
        <x:v>BOM-00868</x:v>
      </x:c>
      <x:c r="B872" s="137" t="str">
        <x:v>PERCY</x:v>
      </x:c>
      <x:c r="C872" s="137" t="str">
        <x:v>PER ORDER (V/L)</x:v>
      </x:c>
      <x:c r="D872" s="137" t="str">
        <x:v>11X1</x:v>
      </x:c>
      <x:c r="E872" s="137" t="str">
        <x:v>PACKING</x:v>
      </x:c>
      <x:c r="F872" s="137" t="str">
        <x:v>BARCODE STICKER||PCS</x:v>
      </x:c>
      <x:c r="G872" s="137" t="str">
        <x:v>Barcode Sticker</x:v>
      </x:c>
      <x:c r="H872" s="137" t="str">
        <x:v>PCS</x:v>
      </x:c>
      <x:c r="I872" s="175" t="n">
        <x:v>1</x:v>
      </x:c>
      <x:c r="J872" s="176" t="str"/>
      <x:c r="K872" s="177" t="str"/>
      <x:c r="L872" s="178" t="str">
        <x:f>IF(J872="","",J872*(1+IF(K872="",0,K872)) )</x:f>
      </x:c>
      <x:c r="M872" s="138" t="str"/>
      <x:c r="N872" s="137" t="str">
        <x:v>Current model BOM seed</x:v>
      </x:c>
      <x:c r="O872" s="137" t="str"/>
      <x:c r="P872" s="137" t="str">
        <x:v>To Confirm</x:v>
      </x:c>
      <x:c r="Q872" s="137" t="str"/>
    </x:row>
    <x:row r="873">
      <x:c r="A873" s="137" t="str">
        <x:v>BOM-00869</x:v>
      </x:c>
      <x:c r="B873" s="137" t="str">
        <x:v>PERCY</x:v>
      </x:c>
      <x:c r="C873" s="137" t="str">
        <x:v>PER ORDER (V/L)</x:v>
      </x:c>
      <x:c r="D873" s="137" t="str">
        <x:v>11X1</x:v>
      </x:c>
      <x:c r="E873" s="137" t="str">
        <x:v>PACKING</x:v>
      </x:c>
      <x:c r="F873" s="137" t="str">
        <x:v>CTN TAPE (1 CTN)||MTR</x:v>
      </x:c>
      <x:c r="G873" s="137" t="str">
        <x:v>Ctn Tape (1 Ctn)</x:v>
      </x:c>
      <x:c r="H873" s="137" t="str">
        <x:v>MTR</x:v>
      </x:c>
      <x:c r="I873" s="175" t="n">
        <x:v>0.5</x:v>
      </x:c>
      <x:c r="J873" s="176" t="str"/>
      <x:c r="K873" s="177" t="str"/>
      <x:c r="L873" s="178" t="str">
        <x:f>IF(J873="","",J873*(1+IF(K873="",0,K873)) )</x:f>
      </x:c>
      <x:c r="M873" s="138" t="str"/>
      <x:c r="N873" s="137" t="str">
        <x:v>Current model BOM seed</x:v>
      </x:c>
      <x:c r="O873" s="137" t="str"/>
      <x:c r="P873" s="137" t="str">
        <x:v>To Confirm</x:v>
      </x:c>
      <x:c r="Q873" s="137" t="str"/>
    </x:row>
    <x:row r="874">
      <x:c r="A874" s="137" t="str">
        <x:v>BOM-00870</x:v>
      </x:c>
      <x:c r="B874" s="137" t="str">
        <x:v>PERCY</x:v>
      </x:c>
      <x:c r="C874" s="137" t="str">
        <x:v>PER ORDER (V/L)</x:v>
      </x:c>
      <x:c r="D874" s="137" t="str">
        <x:v>11X1</x:v>
      </x:c>
      <x:c r="E874" s="137" t="str">
        <x:v>PACKING</x:v>
      </x:c>
      <x:c r="F874" s="137" t="str">
        <x:v>STRAPING ROLL (1CTN)||MTR</x:v>
      </x:c>
      <x:c r="G874" s="137" t="str">
        <x:v>Straping Roll (1Ctn)</x:v>
      </x:c>
      <x:c r="H874" s="137" t="str">
        <x:v>MTR</x:v>
      </x:c>
      <x:c r="I874" s="175" t="n">
        <x:v>0.25</x:v>
      </x:c>
      <x:c r="J874" s="176" t="str"/>
      <x:c r="K874" s="177" t="str"/>
      <x:c r="L874" s="178" t="str">
        <x:f>IF(J874="","",J874*(1+IF(K874="",0,K874)) )</x:f>
      </x:c>
      <x:c r="M874" s="138" t="str"/>
      <x:c r="N874" s="137" t="str">
        <x:v>Current model BOM seed</x:v>
      </x:c>
      <x:c r="O874" s="137" t="str"/>
      <x:c r="P874" s="137" t="str">
        <x:v>To Confirm</x:v>
      </x:c>
      <x:c r="Q874" s="137" t="str"/>
    </x:row>
    <x:row r="875">
      <x:c r="A875" s="137" t="str">
        <x:v>BOM-00871</x:v>
      </x:c>
      <x:c r="B875" s="137" t="str">
        <x:v>PERCY</x:v>
      </x:c>
      <x:c r="C875" s="137" t="str">
        <x:v>PER ORDER (V/L)</x:v>
      </x:c>
      <x:c r="D875" s="137" t="str">
        <x:v>11X1</x:v>
      </x:c>
      <x:c r="E875" s="137" t="str">
        <x:v>STITCHING</x:v>
      </x:c>
      <x:c r="F875" s="137" t="str">
        <x:v>THREAD 3 PLY||SPOOL</x:v>
      </x:c>
      <x:c r="G875" s="137" t="str">
        <x:v>THREAD 3 PLY</x:v>
      </x:c>
      <x:c r="H875" s="137" t="str">
        <x:v>SPOOL</x:v>
      </x:c>
      <x:c r="I875" s="175" t="n">
        <x:v>42.85714286</x:v>
      </x:c>
      <x:c r="J875" s="176" t="str"/>
      <x:c r="K875" s="177" t="str"/>
      <x:c r="L875" s="178" t="str">
        <x:f>IF(J875="","",J875*(1+IF(K875="",0,K875)) )</x:f>
      </x:c>
      <x:c r="M875" s="138" t="str"/>
      <x:c r="N875" s="137" t="str">
        <x:v>Current model BOM seed</x:v>
      </x:c>
      <x:c r="O875" s="137" t="str"/>
      <x:c r="P875" s="137" t="str">
        <x:v>To Confirm</x:v>
      </x:c>
      <x:c r="Q875" s="137" t="str"/>
    </x:row>
    <x:row r="876">
      <x:c r="A876" s="137" t="str">
        <x:v>BOM-00872</x:v>
      </x:c>
      <x:c r="B876" s="137" t="str">
        <x:v>PERCY</x:v>
      </x:c>
      <x:c r="C876" s="137" t="str">
        <x:v>PER ORDER (V/L)</x:v>
      </x:c>
      <x:c r="D876" s="137" t="str">
        <x:v>11X1</x:v>
      </x:c>
      <x:c r="E876" s="137" t="str">
        <x:v>STITCHING</x:v>
      </x:c>
      <x:c r="F876" s="137" t="str">
        <x:v>SIZE LABEL||PCS</x:v>
      </x:c>
      <x:c r="G876" s="137" t="str">
        <x:v>SIZE LABEL</x:v>
      </x:c>
      <x:c r="H876" s="137" t="str">
        <x:v>PCS</x:v>
      </x:c>
      <x:c r="I876" s="175" t="n">
        <x:v>0.5</x:v>
      </x:c>
      <x:c r="J876" s="176" t="str"/>
      <x:c r="K876" s="177" t="str"/>
      <x:c r="L876" s="178" t="str">
        <x:f>IF(J876="","",J876*(1+IF(K876="",0,K876)) )</x:f>
      </x:c>
      <x:c r="M876" s="138" t="str"/>
      <x:c r="N876" s="137" t="str">
        <x:v>Current model BOM seed</x:v>
      </x:c>
      <x:c r="O876" s="137" t="str"/>
      <x:c r="P876" s="137" t="str">
        <x:v>To Confirm</x:v>
      </x:c>
      <x:c r="Q876" s="137" t="str"/>
    </x:row>
    <x:row r="877">
      <x:c r="A877" s="137" t="str">
        <x:v>BOM-00873</x:v>
      </x:c>
      <x:c r="B877" s="137" t="str">
        <x:v>PERCY</x:v>
      </x:c>
      <x:c r="C877" s="137" t="str">
        <x:v>PER ORDER (V/L)</x:v>
      </x:c>
      <x:c r="D877" s="137" t="str">
        <x:v>11X1</x:v>
      </x:c>
      <x:c r="E877" s="137" t="str">
        <x:v>STITCHING</x:v>
      </x:c>
      <x:c r="F877" s="137" t="str">
        <x:v>TOUNG LABEL SNEAKER||PCS</x:v>
      </x:c>
      <x:c r="G877" s="137" t="str">
        <x:v>TOUNG LABEL SNEAKER</x:v>
      </x:c>
      <x:c r="H877" s="137" t="str">
        <x:v>PCS</x:v>
      </x:c>
      <x:c r="I877" s="175" t="n">
        <x:v>0.5</x:v>
      </x:c>
      <x:c r="J877" s="176" t="str"/>
      <x:c r="K877" s="177" t="str"/>
      <x:c r="L877" s="178" t="str">
        <x:f>IF(J877="","",J877*(1+IF(K877="",0,K877)) )</x:f>
      </x:c>
      <x:c r="M877" s="138" t="str"/>
      <x:c r="N877" s="137" t="str">
        <x:v>Current model BOM seed</x:v>
      </x:c>
      <x:c r="O877" s="137" t="str"/>
      <x:c r="P877" s="137" t="str">
        <x:v>To Confirm</x:v>
      </x:c>
      <x:c r="Q877" s="137" t="str"/>
    </x:row>
    <x:row r="878">
      <x:c r="A878" s="137" t="str">
        <x:v>BOM-00874</x:v>
      </x:c>
      <x:c r="B878" s="137" t="str">
        <x:v>PERCY</x:v>
      </x:c>
      <x:c r="C878" s="137" t="str">
        <x:v>PER ORDER (V/L)</x:v>
      </x:c>
      <x:c r="D878" s="137" t="str">
        <x:v>11X1</x:v>
      </x:c>
      <x:c r="E878" s="137" t="str">
        <x:v>STITCHING</x:v>
      </x:c>
      <x:c r="F878" s="137" t="str">
        <x:v>PF-48||PCS</x:v>
      </x:c>
      <x:c r="G878" s="137" t="str">
        <x:v>PF-48</x:v>
      </x:c>
      <x:c r="H878" s="137" t="str">
        <x:v>PCS</x:v>
      </x:c>
      <x:c r="I878" s="175" t="n">
        <x:v>0.25</x:v>
      </x:c>
      <x:c r="J878" s="176" t="str"/>
      <x:c r="K878" s="177" t="str"/>
      <x:c r="L878" s="178" t="str">
        <x:f>IF(J878="","",J878*(1+IF(K878="",0,K878)) )</x:f>
      </x:c>
      <x:c r="M878" s="138" t="str"/>
      <x:c r="N878" s="137" t="str">
        <x:v>Current model BOM seed</x:v>
      </x:c>
      <x:c r="O878" s="137" t="str"/>
      <x:c r="P878" s="137" t="str">
        <x:v>To Confirm</x:v>
      </x:c>
      <x:c r="Q878" s="137" t="str"/>
    </x:row>
    <x:row r="879">
      <x:c r="A879" s="137" t="str">
        <x:v>BOM-00875</x:v>
      </x:c>
      <x:c r="B879" s="137" t="str">
        <x:v>PERCY</x:v>
      </x:c>
      <x:c r="C879" s="137" t="str">
        <x:v>PER ORDER (V/L)</x:v>
      </x:c>
      <x:c r="D879" s="137" t="str">
        <x:v>11X1</x:v>
      </x:c>
      <x:c r="E879" s="137" t="str">
        <x:v>STITCHING</x:v>
      </x:c>
      <x:c r="F879" s="137" t="str">
        <x:v>PF-3||PCS</x:v>
      </x:c>
      <x:c r="G879" s="137" t="str">
        <x:v>PF-3</x:v>
      </x:c>
      <x:c r="H879" s="137" t="str">
        <x:v>PCS</x:v>
      </x:c>
      <x:c r="I879" s="175" t="n">
        <x:v>0</x:v>
      </x:c>
      <x:c r="J879" s="176" t="str"/>
      <x:c r="K879" s="177" t="str"/>
      <x:c r="L879" s="178" t="str">
        <x:f>IF(J879="","",J879*(1+IF(K879="",0,K879)) )</x:f>
      </x:c>
      <x:c r="M879" s="138" t="str"/>
      <x:c r="N879" s="137" t="str">
        <x:v>Current model BOM seed</x:v>
      </x:c>
      <x:c r="O879" s="137" t="str"/>
      <x:c r="P879" s="137" t="str">
        <x:v>To Confirm</x:v>
      </x:c>
      <x:c r="Q879" s="137" t="str"/>
    </x:row>
    <x:row r="880">
      <x:c r="A880" s="137" t="str">
        <x:v>BOM-00876</x:v>
      </x:c>
      <x:c r="B880" s="137" t="str">
        <x:v>PERCY</x:v>
      </x:c>
      <x:c r="C880" s="137" t="str">
        <x:v>PER ORDER (V/L)</x:v>
      </x:c>
      <x:c r="D880" s="137" t="str">
        <x:v>11X1</x:v>
      </x:c>
      <x:c r="E880" s="137" t="str">
        <x:v>STITCHING</x:v>
      </x:c>
      <x:c r="F880" s="137" t="str">
        <x:v>VELCRO 20 MM HOOK||MTR</x:v>
      </x:c>
      <x:c r="G880" s="137" t="str">
        <x:v>VELCRO 20 MM HOOK</x:v>
      </x:c>
      <x:c r="H880" s="137" t="str">
        <x:v>MTR</x:v>
      </x:c>
      <x:c r="I880" s="175" t="n">
        <x:v>3.33333333</x:v>
      </x:c>
      <x:c r="J880" s="176" t="str"/>
      <x:c r="K880" s="177" t="str"/>
      <x:c r="L880" s="178" t="str">
        <x:f>IF(J880="","",J880*(1+IF(K880="",0,K880)) )</x:f>
      </x:c>
      <x:c r="M880" s="138" t="str"/>
      <x:c r="N880" s="137" t="str">
        <x:v>Current model BOM seed</x:v>
      </x:c>
      <x:c r="O880" s="137" t="str"/>
      <x:c r="P880" s="137" t="str">
        <x:v>To Confirm</x:v>
      </x:c>
      <x:c r="Q880" s="137" t="str"/>
    </x:row>
    <x:row r="881">
      <x:c r="A881" s="137" t="str">
        <x:v>BOM-00877</x:v>
      </x:c>
      <x:c r="B881" s="137" t="str">
        <x:v>PERCY</x:v>
      </x:c>
      <x:c r="C881" s="137" t="str">
        <x:v>PER ORDER (V/L)</x:v>
      </x:c>
      <x:c r="D881" s="137" t="str">
        <x:v>11X1</x:v>
      </x:c>
      <x:c r="E881" s="137" t="str">
        <x:v>STITCHING</x:v>
      </x:c>
      <x:c r="F881" s="137" t="str">
        <x:v>VELCRO 20 MM LOOP||MTR</x:v>
      </x:c>
      <x:c r="G881" s="137" t="str">
        <x:v>VELCRO 20 MM LOOP</x:v>
      </x:c>
      <x:c r="H881" s="137" t="str">
        <x:v>MTR</x:v>
      </x:c>
      <x:c r="I881" s="175" t="n">
        <x:v>3.33333333</x:v>
      </x:c>
      <x:c r="J881" s="176" t="str"/>
      <x:c r="K881" s="177" t="str"/>
      <x:c r="L881" s="178" t="str">
        <x:f>IF(J881="","",J881*(1+IF(K881="",0,K881)) )</x:f>
      </x:c>
      <x:c r="M881" s="138" t="str"/>
      <x:c r="N881" s="137" t="str">
        <x:v>Current model BOM seed</x:v>
      </x:c>
      <x:c r="O881" s="137" t="str"/>
      <x:c r="P881" s="137" t="str">
        <x:v>To Confirm</x:v>
      </x:c>
      <x:c r="Q881" s="137" t="str"/>
    </x:row>
    <x:row r="882">
      <x:c r="A882" s="137" t="str">
        <x:v>BOM-00878</x:v>
      </x:c>
      <x:c r="B882" s="137" t="str">
        <x:v>PERCY</x:v>
      </x:c>
      <x:c r="C882" s="137" t="str">
        <x:v>PER ORDER (V/L)</x:v>
      </x:c>
      <x:c r="D882" s="137" t="str">
        <x:v>11X1</x:v>
      </x:c>
      <x:c r="E882" s="137" t="str">
        <x:v>STITCHING</x:v>
      </x:c>
      <x:c r="F882" s="137" t="str">
        <x:v>VELCRO 25 MM HOOK||MTR</x:v>
      </x:c>
      <x:c r="G882" s="137" t="str">
        <x:v>VELCRO 25 MM HOOK</x:v>
      </x:c>
      <x:c r="H882" s="137" t="str">
        <x:v>MTR</x:v>
      </x:c>
      <x:c r="I882" s="175" t="n">
        <x:v>0</x:v>
      </x:c>
      <x:c r="J882" s="176" t="str"/>
      <x:c r="K882" s="177" t="str"/>
      <x:c r="L882" s="178" t="str">
        <x:f>IF(J882="","",J882*(1+IF(K882="",0,K882)) )</x:f>
      </x:c>
      <x:c r="M882" s="138" t="str"/>
      <x:c r="N882" s="137" t="str">
        <x:v>Current model BOM seed</x:v>
      </x:c>
      <x:c r="O882" s="137" t="str"/>
      <x:c r="P882" s="137" t="str">
        <x:v>To Confirm</x:v>
      </x:c>
      <x:c r="Q882" s="137" t="str"/>
    </x:row>
    <x:row r="883">
      <x:c r="A883" s="137" t="str">
        <x:v>BOM-00879</x:v>
      </x:c>
      <x:c r="B883" s="137" t="str">
        <x:v>PERCY</x:v>
      </x:c>
      <x:c r="C883" s="137" t="str">
        <x:v>PER ORDER (V/L)</x:v>
      </x:c>
      <x:c r="D883" s="137" t="str">
        <x:v>11X1</x:v>
      </x:c>
      <x:c r="E883" s="137" t="str">
        <x:v>STITCHING</x:v>
      </x:c>
      <x:c r="F883" s="137" t="str">
        <x:v>VELCRO 25 MM LOOP||MTR</x:v>
      </x:c>
      <x:c r="G883" s="137" t="str">
        <x:v>VELCRO 25 MM LOOP</x:v>
      </x:c>
      <x:c r="H883" s="137" t="str">
        <x:v>MTR</x:v>
      </x:c>
      <x:c r="I883" s="175" t="n">
        <x:v>0</x:v>
      </x:c>
      <x:c r="J883" s="176" t="str"/>
      <x:c r="K883" s="177" t="str"/>
      <x:c r="L883" s="178" t="str">
        <x:f>IF(J883="","",J883*(1+IF(K883="",0,K883)) )</x:f>
      </x:c>
      <x:c r="M883" s="138" t="str"/>
      <x:c r="N883" s="137" t="str">
        <x:v>Current model BOM seed</x:v>
      </x:c>
      <x:c r="O883" s="137" t="str"/>
      <x:c r="P883" s="137" t="str">
        <x:v>To Confirm</x:v>
      </x:c>
      <x:c r="Q883" s="137" t="str"/>
    </x:row>
    <x:row r="884">
      <x:c r="A884" s="137" t="str">
        <x:v>BOM-00880</x:v>
      </x:c>
      <x:c r="B884" s="137" t="str">
        <x:v>PERCY</x:v>
      </x:c>
      <x:c r="C884" s="137" t="str">
        <x:v>PER ORDER (V/L)</x:v>
      </x:c>
      <x:c r="D884" s="137" t="str">
        <x:v>11X1</x:v>
      </x:c>
      <x:c r="E884" s="137" t="str">
        <x:v>STITCHING</x:v>
      </x:c>
      <x:c r="F884" s="137" t="str">
        <x:v>PP BAG||PCS</x:v>
      </x:c>
      <x:c r="G884" s="137" t="str">
        <x:v>Pp Bag</x:v>
      </x:c>
      <x:c r="H884" s="137" t="str">
        <x:v>PCS</x:v>
      </x:c>
      <x:c r="I884" s="175" t="n">
        <x:v>0</x:v>
      </x:c>
      <x:c r="J884" s="176" t="str"/>
      <x:c r="K884" s="177" t="str"/>
      <x:c r="L884" s="178" t="str">
        <x:f>IF(J884="","",J884*(1+IF(K884="",0,K884)) )</x:f>
      </x:c>
      <x:c r="M884" s="138" t="str"/>
      <x:c r="N884" s="137" t="str">
        <x:v>Current model BOM seed</x:v>
      </x:c>
      <x:c r="O884" s="137" t="str"/>
      <x:c r="P884" s="137" t="str">
        <x:v>To Confirm</x:v>
      </x:c>
      <x:c r="Q884" s="137" t="str"/>
    </x:row>
    <x:row r="885">
      <x:c r="A885" s="137" t="str">
        <x:v>BOM-00881</x:v>
      </x:c>
      <x:c r="B885" s="137" t="str">
        <x:v>PERCY</x:v>
      </x:c>
      <x:c r="C885" s="137" t="str">
        <x:v>PER ORDER (V/L)</x:v>
      </x:c>
      <x:c r="D885" s="137" t="str">
        <x:v>11X1</x:v>
      </x:c>
      <x:c r="E885" s="137" t="str">
        <x:v>STITCHING</x:v>
      </x:c>
      <x:c r="F885" s="137" t="str">
        <x:v>BACK TAPE 14 MM||MTR</x:v>
      </x:c>
      <x:c r="G885" s="137" t="str">
        <x:v>BACK TAPE 14 MM</x:v>
      </x:c>
      <x:c r="H885" s="137" t="str">
        <x:v>MTR</x:v>
      </x:c>
      <x:c r="I885" s="175" t="n">
        <x:v>8.33333333</x:v>
      </x:c>
      <x:c r="J885" s="176" t="str"/>
      <x:c r="K885" s="177" t="str"/>
      <x:c r="L885" s="178" t="str">
        <x:f>IF(J885="","",J885*(1+IF(K885="",0,K885)) )</x:f>
      </x:c>
      <x:c r="M885" s="138" t="str"/>
      <x:c r="N885" s="137" t="str">
        <x:v>Current model BOM seed</x:v>
      </x:c>
      <x:c r="O885" s="137" t="str"/>
      <x:c r="P885" s="137" t="str">
        <x:v>To Confirm</x:v>
      </x:c>
      <x:c r="Q885" s="137" t="str"/>
    </x:row>
    <x:row r="886">
      <x:c r="A886" s="137" t="str">
        <x:v>BOM-00882</x:v>
      </x:c>
      <x:c r="B886" s="137" t="str">
        <x:v>PERCY</x:v>
      </x:c>
      <x:c r="C886" s="137" t="str">
        <x:v>PER ORDER (V/L)</x:v>
      </x:c>
      <x:c r="D886" s="137" t="str">
        <x:v>11X1</x:v>
      </x:c>
      <x:c r="E886" s="137" t="str">
        <x:v>STITCHING</x:v>
      </x:c>
      <x:c r="F886" s="137" t="str">
        <x:v>POLYESTER BINDING 12 MM||MTR</x:v>
      </x:c>
      <x:c r="G886" s="137" t="str">
        <x:v>POLYESTER BINDING 12 MM</x:v>
      </x:c>
      <x:c r="H886" s="137" t="str">
        <x:v>MTR</x:v>
      </x:c>
      <x:c r="I886" s="175" t="n">
        <x:v>16.66666667</x:v>
      </x:c>
      <x:c r="J886" s="176" t="str"/>
      <x:c r="K886" s="177" t="str"/>
      <x:c r="L886" s="178" t="str">
        <x:f>IF(J886="","",J886*(1+IF(K886="",0,K886)) )</x:f>
      </x:c>
      <x:c r="M886" s="138" t="str"/>
      <x:c r="N886" s="137" t="str">
        <x:v>Current model BOM seed</x:v>
      </x:c>
      <x:c r="O886" s="137" t="str"/>
      <x:c r="P886" s="137" t="str">
        <x:v>To Confirm</x:v>
      </x:c>
      <x:c r="Q886" s="137" t="str"/>
    </x:row>
    <x:row r="887">
      <x:c r="A887" s="137" t="str">
        <x:v>BOM-00883</x:v>
      </x:c>
      <x:c r="B887" s="137" t="str">
        <x:v>PERCY</x:v>
      </x:c>
      <x:c r="C887" s="137" t="str">
        <x:v>PER ORDER (V/L)</x:v>
      </x:c>
      <x:c r="D887" s="137" t="str">
        <x:v>2X5</x:v>
      </x:c>
      <x:c r="E887" s="137" t="str">
        <x:v>CUTTING</x:v>
      </x:c>
      <x:c r="F887" s="137" t="str">
        <x:v>MESH 58"||MTR</x:v>
      </x:c>
      <x:c r="G887" s="137" t="str">
        <x:v>Mesh 58"</x:v>
      </x:c>
      <x:c r="H887" s="137" t="str">
        <x:v>MTR</x:v>
      </x:c>
      <x:c r="I887" s="175" t="n">
        <x:v>0.11256912</x:v>
      </x:c>
      <x:c r="J887" s="176" t="str"/>
      <x:c r="K887" s="177" t="str"/>
      <x:c r="L887" s="178" t="str">
        <x:f>IF(J887="","",J887*(1+IF(K887="",0,K887)) )</x:f>
      </x:c>
      <x:c r="M887" s="138" t="str"/>
      <x:c r="N887" s="137" t="str">
        <x:v>Current model BOM seed</x:v>
      </x:c>
      <x:c r="O887" s="137" t="str"/>
      <x:c r="P887" s="137" t="str">
        <x:v>To Confirm</x:v>
      </x:c>
      <x:c r="Q887" s="137" t="str"/>
    </x:row>
    <x:row r="888">
      <x:c r="A888" s="137" t="str">
        <x:v>BOM-00884</x:v>
      </x:c>
      <x:c r="B888" s="137" t="str">
        <x:v>PERCY</x:v>
      </x:c>
      <x:c r="C888" s="137" t="str">
        <x:v>PER ORDER (V/L)</x:v>
      </x:c>
      <x:c r="D888" s="137" t="str">
        <x:v>2X5</x:v>
      </x:c>
      <x:c r="E888" s="137" t="str">
        <x:v>CUTTING</x:v>
      </x:c>
      <x:c r="F888" s="137" t="str">
        <x:v>SKINFIT 60"||MTR</x:v>
      </x:c>
      <x:c r="G888" s="137" t="str">
        <x:v>Skinfit 60"</x:v>
      </x:c>
      <x:c r="H888" s="137" t="str">
        <x:v>MTR</x:v>
      </x:c>
      <x:c r="I888" s="175" t="n">
        <x:v>0.05703578</x:v>
      </x:c>
      <x:c r="J888" s="176" t="str"/>
      <x:c r="K888" s="177" t="str"/>
      <x:c r="L888" s="178" t="str">
        <x:f>IF(J888="","",J888*(1+IF(K888="",0,K888)) )</x:f>
      </x:c>
      <x:c r="M888" s="138" t="str"/>
      <x:c r="N888" s="137" t="str">
        <x:v>Current model BOM seed</x:v>
      </x:c>
      <x:c r="O888" s="137" t="str"/>
      <x:c r="P888" s="137" t="str">
        <x:v>To Confirm</x:v>
      </x:c>
      <x:c r="Q888" s="137" t="str"/>
    </x:row>
    <x:row r="889">
      <x:c r="A889" s="137" t="str">
        <x:v>BOM-00885</x:v>
      </x:c>
      <x:c r="B889" s="137" t="str">
        <x:v>PERCY</x:v>
      </x:c>
      <x:c r="C889" s="137" t="str">
        <x:v>PER ORDER (V/L)</x:v>
      </x:c>
      <x:c r="D889" s="137" t="str">
        <x:v>2X5</x:v>
      </x:c>
      <x:c r="E889" s="137" t="str">
        <x:v>CUTTING</x:v>
      </x:c>
      <x:c r="F889" s="137" t="str">
        <x:v>REXINE 54"||MTR</x:v>
      </x:c>
      <x:c r="G889" s="137" t="str">
        <x:v>Rexine 54"</x:v>
      </x:c>
      <x:c r="H889" s="137" t="str">
        <x:v>MTR</x:v>
      </x:c>
      <x:c r="I889" s="175" t="n">
        <x:v>0.09812519</x:v>
      </x:c>
      <x:c r="J889" s="176" t="str"/>
      <x:c r="K889" s="177" t="str"/>
      <x:c r="L889" s="178" t="str">
        <x:f>IF(J889="","",J889*(1+IF(K889="",0,K889)) )</x:f>
      </x:c>
      <x:c r="M889" s="138" t="str"/>
      <x:c r="N889" s="137" t="str">
        <x:v>Current model BOM seed</x:v>
      </x:c>
      <x:c r="O889" s="137" t="str"/>
      <x:c r="P889" s="137" t="str">
        <x:v>To Confirm</x:v>
      </x:c>
      <x:c r="Q889" s="137" t="str"/>
    </x:row>
    <x:row r="890">
      <x:c r="A890" s="137" t="str">
        <x:v>BOM-00886</x:v>
      </x:c>
      <x:c r="B890" s="137" t="str">
        <x:v>PERCY</x:v>
      </x:c>
      <x:c r="C890" s="137" t="str">
        <x:v>PER ORDER (V/L)</x:v>
      </x:c>
      <x:c r="D890" s="137" t="str">
        <x:v>2X5</x:v>
      </x:c>
      <x:c r="E890" s="137" t="str">
        <x:v>CUTTING</x:v>
      </x:c>
      <x:c r="F890" s="137" t="str">
        <x:v>SHEET 1.4MM||SHEET</x:v>
      </x:c>
      <x:c r="G890" s="137" t="str">
        <x:v>Sheet 1.4Mm</x:v>
      </x:c>
      <x:c r="H890" s="137" t="str">
        <x:v>SHEET</x:v>
      </x:c>
      <x:c r="I890" s="175" t="n">
        <x:v>0.01298701</x:v>
      </x:c>
      <x:c r="J890" s="176" t="str"/>
      <x:c r="K890" s="177" t="str"/>
      <x:c r="L890" s="178" t="str">
        <x:f>IF(J890="","",J890*(1+IF(K890="",0,K890)) )</x:f>
      </x:c>
      <x:c r="M890" s="138" t="str"/>
      <x:c r="N890" s="137" t="str">
        <x:v>Current model BOM seed</x:v>
      </x:c>
      <x:c r="O890" s="137" t="str"/>
      <x:c r="P890" s="137" t="str">
        <x:v>To Confirm</x:v>
      </x:c>
      <x:c r="Q890" s="137" t="str"/>
    </x:row>
    <x:row r="891">
      <x:c r="A891" s="137" t="str">
        <x:v>BOM-00887</x:v>
      </x:c>
      <x:c r="B891" s="137" t="str">
        <x:v>PERCY</x:v>
      </x:c>
      <x:c r="C891" s="137" t="str">
        <x:v>PER ORDER (V/L)</x:v>
      </x:c>
      <x:c r="D891" s="137" t="str">
        <x:v>2X5</x:v>
      </x:c>
      <x:c r="E891" s="137" t="str">
        <x:v>CUTTING</x:v>
      </x:c>
      <x:c r="F891" s="137" t="str">
        <x:v>SHEET 0.8MM||SHEET</x:v>
      </x:c>
      <x:c r="G891" s="137" t="str">
        <x:v>Sheet 0.8Mm</x:v>
      </x:c>
      <x:c r="H891" s="137" t="str">
        <x:v>SHEET</x:v>
      </x:c>
      <x:c r="I891" s="175" t="n">
        <x:v>0.01270648</x:v>
      </x:c>
      <x:c r="J891" s="176" t="str"/>
      <x:c r="K891" s="177" t="str"/>
      <x:c r="L891" s="178" t="str">
        <x:f>IF(J891="","",J891*(1+IF(K891="",0,K891)) )</x:f>
      </x:c>
      <x:c r="M891" s="138" t="str"/>
      <x:c r="N891" s="137" t="str">
        <x:v>Current model BOM seed</x:v>
      </x:c>
      <x:c r="O891" s="137" t="str"/>
      <x:c r="P891" s="137" t="str">
        <x:v>To Confirm</x:v>
      </x:c>
      <x:c r="Q891" s="137" t="str"/>
    </x:row>
    <x:row r="892">
      <x:c r="A892" s="137" t="str">
        <x:v>BOM-00888</x:v>
      </x:c>
      <x:c r="B892" s="137" t="str">
        <x:v>PERCY</x:v>
      </x:c>
      <x:c r="C892" s="137" t="str">
        <x:v>PER ORDER (V/L)</x:v>
      </x:c>
      <x:c r="D892" s="137" t="str">
        <x:v>2X5</x:v>
      </x:c>
      <x:c r="E892" s="137" t="str">
        <x:v>CUTTING</x:v>
      </x:c>
      <x:c r="F892" s="137" t="str">
        <x:v>SHEET 20MM||SHEET</x:v>
      </x:c>
      <x:c r="G892" s="137" t="str">
        <x:v>Sheet 20Mm</x:v>
      </x:c>
      <x:c r="H892" s="137" t="str">
        <x:v>SHEET</x:v>
      </x:c>
      <x:c r="I892" s="175" t="n">
        <x:v>0.01052632</x:v>
      </x:c>
      <x:c r="J892" s="176" t="str"/>
      <x:c r="K892" s="177" t="str"/>
      <x:c r="L892" s="178" t="str">
        <x:f>IF(J892="","",J892*(1+IF(K892="",0,K892)) )</x:f>
      </x:c>
      <x:c r="M892" s="138" t="str"/>
      <x:c r="N892" s="137" t="str">
        <x:v>Current model BOM seed</x:v>
      </x:c>
      <x:c r="O892" s="137" t="str"/>
      <x:c r="P892" s="137" t="str">
        <x:v>To Confirm</x:v>
      </x:c>
      <x:c r="Q892" s="137" t="str"/>
    </x:row>
    <x:row r="893">
      <x:c r="A893" s="137" t="str">
        <x:v>BOM-00889</x:v>
      </x:c>
      <x:c r="B893" s="137" t="str">
        <x:v>PERCY</x:v>
      </x:c>
      <x:c r="C893" s="137" t="str">
        <x:v>PER ORDER (V/L)</x:v>
      </x:c>
      <x:c r="D893" s="137" t="str">
        <x:v>2X5</x:v>
      </x:c>
      <x:c r="E893" s="137" t="str">
        <x:v>CUTTING</x:v>
      </x:c>
      <x:c r="F893" s="137" t="str">
        <x:v>INSOLE||PAIR</x:v>
      </x:c>
      <x:c r="G893" s="137" t="str">
        <x:v>INSOLE</x:v>
      </x:c>
      <x:c r="H893" s="137" t="str">
        <x:v>PAIR</x:v>
      </x:c>
      <x:c r="I893" s="175" t="n">
        <x:v>2</x:v>
      </x:c>
      <x:c r="J893" s="176" t="str"/>
      <x:c r="K893" s="177" t="str"/>
      <x:c r="L893" s="178" t="str">
        <x:f>IF(J893="","",J893*(1+IF(K893="",0,K893)) )</x:f>
      </x:c>
      <x:c r="M893" s="138" t="str"/>
      <x:c r="N893" s="137" t="str">
        <x:v>Current model BOM seed</x:v>
      </x:c>
      <x:c r="O893" s="137" t="str"/>
      <x:c r="P893" s="137" t="str">
        <x:v>To Confirm</x:v>
      </x:c>
      <x:c r="Q893" s="137" t="str"/>
    </x:row>
    <x:row r="894">
      <x:c r="A894" s="137" t="str">
        <x:v>BOM-00890</x:v>
      </x:c>
      <x:c r="B894" s="137" t="str">
        <x:v>PERCY</x:v>
      </x:c>
      <x:c r="C894" s="137" t="str">
        <x:v>PER ORDER (V/L)</x:v>
      </x:c>
      <x:c r="D894" s="137" t="str">
        <x:v>2X5</x:v>
      </x:c>
      <x:c r="E894" s="137" t="str">
        <x:v>MOLDING</x:v>
      </x:c>
      <x:c r="F894" s="137" t="str">
        <x:v>SOLE 1231 EVA||PAIR</x:v>
      </x:c>
      <x:c r="G894" s="137" t="str">
        <x:v>Sole 1231 EVA</x:v>
      </x:c>
      <x:c r="H894" s="137" t="str">
        <x:v>PAIR</x:v>
      </x:c>
      <x:c r="I894" s="175" t="n">
        <x:v>2</x:v>
      </x:c>
      <x:c r="J894" s="176" t="str"/>
      <x:c r="K894" s="177" t="str"/>
      <x:c r="L894" s="178" t="str">
        <x:f>IF(J894="","",J894*(1+IF(K894="",0,K894)) )</x:f>
      </x:c>
      <x:c r="M894" s="138" t="str"/>
      <x:c r="N894" s="137" t="str">
        <x:v>Current model BOM seed</x:v>
      </x:c>
      <x:c r="O894" s="137" t="str"/>
      <x:c r="P894" s="137" t="str">
        <x:v>To Confirm</x:v>
      </x:c>
      <x:c r="Q894" s="137" t="str"/>
    </x:row>
    <x:row r="895">
      <x:c r="A895" s="137" t="str">
        <x:v>BOM-00891</x:v>
      </x:c>
      <x:c r="B895" s="137" t="str">
        <x:v>PERCY</x:v>
      </x:c>
      <x:c r="C895" s="137" t="str">
        <x:v>PER ORDER (V/L)</x:v>
      </x:c>
      <x:c r="D895" s="137" t="str">
        <x:v>2X5</x:v>
      </x:c>
      <x:c r="E895" s="137" t="str">
        <x:v>PACKING</x:v>
      </x:c>
      <x:c r="F895" s="137" t="str">
        <x:v>TISSUE PAPER||PCS</x:v>
      </x:c>
      <x:c r="G895" s="137" t="str">
        <x:v>Tissue Paper</x:v>
      </x:c>
      <x:c r="H895" s="137" t="str">
        <x:v>PCS</x:v>
      </x:c>
      <x:c r="I895" s="175" t="n">
        <x:v>0.25</x:v>
      </x:c>
      <x:c r="J895" s="176" t="str"/>
      <x:c r="K895" s="177" t="str"/>
      <x:c r="L895" s="178" t="str">
        <x:f>IF(J895="","",J895*(1+IF(K895="",0,K895)) )</x:f>
      </x:c>
      <x:c r="M895" s="138" t="str"/>
      <x:c r="N895" s="137" t="str">
        <x:v>Current model BOM seed</x:v>
      </x:c>
      <x:c r="O895" s="137" t="str"/>
      <x:c r="P895" s="137" t="str">
        <x:v>To Confirm</x:v>
      </x:c>
      <x:c r="Q895" s="137" t="str"/>
    </x:row>
    <x:row r="896">
      <x:c r="A896" s="137" t="str">
        <x:v>BOM-00892</x:v>
      </x:c>
      <x:c r="B896" s="137" t="str">
        <x:v>PERCY</x:v>
      </x:c>
      <x:c r="C896" s="137" t="str">
        <x:v>PER ORDER (V/L)</x:v>
      </x:c>
      <x:c r="D896" s="137" t="str">
        <x:v>2X5</x:v>
      </x:c>
      <x:c r="E896" s="137" t="str">
        <x:v>PACKING</x:v>
      </x:c>
      <x:c r="F896" s="137" t="str">
        <x:v>SHOE SHINER||GRAM</x:v>
      </x:c>
      <x:c r="G896" s="137" t="str">
        <x:v>Shoe Shiner</x:v>
      </x:c>
      <x:c r="H896" s="137" t="str">
        <x:v>GRAM</x:v>
      </x:c>
      <x:c r="I896" s="175" t="n">
        <x:v>0.06666667</x:v>
      </x:c>
      <x:c r="J896" s="176" t="str"/>
      <x:c r="K896" s="177" t="str"/>
      <x:c r="L896" s="178" t="str">
        <x:f>IF(J896="","",J896*(1+IF(K896="",0,K896)) )</x:f>
      </x:c>
      <x:c r="M896" s="138" t="str"/>
      <x:c r="N896" s="137" t="str">
        <x:v>Current model BOM seed</x:v>
      </x:c>
      <x:c r="O896" s="137" t="str"/>
      <x:c r="P896" s="137" t="str">
        <x:v>To Confirm</x:v>
      </x:c>
      <x:c r="Q896" s="137" t="str"/>
    </x:row>
    <x:row r="897">
      <x:c r="A897" s="137" t="str">
        <x:v>BOM-00893</x:v>
      </x:c>
      <x:c r="B897" s="137" t="str">
        <x:v>PERCY</x:v>
      </x:c>
      <x:c r="C897" s="137" t="str">
        <x:v>PER ORDER (V/L)</x:v>
      </x:c>
      <x:c r="D897" s="137" t="str">
        <x:v>2X5</x:v>
      </x:c>
      <x:c r="E897" s="137" t="str">
        <x:v>PACKING</x:v>
      </x:c>
      <x:c r="F897" s="137" t="str">
        <x:v>EMYLE||GRAM</x:v>
      </x:c>
      <x:c r="G897" s="137" t="str">
        <x:v>EMYLE</x:v>
      </x:c>
      <x:c r="H897" s="137" t="str">
        <x:v>GRAM</x:v>
      </x:c>
      <x:c r="I897" s="175" t="n">
        <x:v>0.07142857</x:v>
      </x:c>
      <x:c r="J897" s="176" t="str"/>
      <x:c r="K897" s="177" t="str"/>
      <x:c r="L897" s="178" t="str">
        <x:f>IF(J897="","",J897*(1+IF(K897="",0,K897)) )</x:f>
      </x:c>
      <x:c r="M897" s="138" t="str"/>
      <x:c r="N897" s="137" t="str">
        <x:v>Current model BOM seed</x:v>
      </x:c>
      <x:c r="O897" s="137" t="str"/>
      <x:c r="P897" s="137" t="str">
        <x:v>To Confirm</x:v>
      </x:c>
      <x:c r="Q897" s="137" t="str"/>
    </x:row>
    <x:row r="898">
      <x:c r="A898" s="137" t="str">
        <x:v>BOM-00894</x:v>
      </x:c>
      <x:c r="B898" s="137" t="str">
        <x:v>PERCY</x:v>
      </x:c>
      <x:c r="C898" s="137" t="str">
        <x:v>PER ORDER (V/L)</x:v>
      </x:c>
      <x:c r="D898" s="137" t="str">
        <x:v>2X5</x:v>
      </x:c>
      <x:c r="E898" s="137" t="str">
        <x:v>PACKING</x:v>
      </x:c>
      <x:c r="F898" s="137" t="str">
        <x:v>TAG PIN||PCS</x:v>
      </x:c>
      <x:c r="G898" s="137" t="str">
        <x:v>Tag Pin</x:v>
      </x:c>
      <x:c r="H898" s="137" t="str">
        <x:v>PCS</x:v>
      </x:c>
      <x:c r="I898" s="175" t="n">
        <x:v>1</x:v>
      </x:c>
      <x:c r="J898" s="176" t="str"/>
      <x:c r="K898" s="177" t="str"/>
      <x:c r="L898" s="178" t="str">
        <x:f>IF(J898="","",J898*(1+IF(K898="",0,K898)) )</x:f>
      </x:c>
      <x:c r="M898" s="138" t="str"/>
      <x:c r="N898" s="137" t="str">
        <x:v>Current model BOM seed</x:v>
      </x:c>
      <x:c r="O898" s="137" t="str"/>
      <x:c r="P898" s="137" t="str">
        <x:v>To Confirm</x:v>
      </x:c>
      <x:c r="Q898" s="137" t="str"/>
    </x:row>
    <x:row r="899">
      <x:c r="A899" s="137" t="str">
        <x:v>BOM-00895</x:v>
      </x:c>
      <x:c r="B899" s="137" t="str">
        <x:v>PERCY</x:v>
      </x:c>
      <x:c r="C899" s="137" t="str">
        <x:v>PER ORDER (V/L)</x:v>
      </x:c>
      <x:c r="D899" s="137" t="str">
        <x:v>2X5</x:v>
      </x:c>
      <x:c r="E899" s="137" t="str">
        <x:v>PACKING</x:v>
      </x:c>
      <x:c r="F899" s="137" t="str">
        <x:v>TAG CARD||PCS</x:v>
      </x:c>
      <x:c r="G899" s="137" t="str">
        <x:v>Tag Card</x:v>
      </x:c>
      <x:c r="H899" s="137" t="str">
        <x:v>PCS</x:v>
      </x:c>
      <x:c r="I899" s="175" t="n">
        <x:v>1</x:v>
      </x:c>
      <x:c r="J899" s="176" t="str"/>
      <x:c r="K899" s="177" t="str"/>
      <x:c r="L899" s="178" t="str">
        <x:f>IF(J899="","",J899*(1+IF(K899="",0,K899)) )</x:f>
      </x:c>
      <x:c r="M899" s="138" t="str"/>
      <x:c r="N899" s="137" t="str">
        <x:v>Current model BOM seed</x:v>
      </x:c>
      <x:c r="O899" s="137" t="str"/>
      <x:c r="P899" s="137" t="str">
        <x:v>To Confirm</x:v>
      </x:c>
      <x:c r="Q899" s="137" t="str"/>
    </x:row>
    <x:row r="900">
      <x:c r="A900" s="137" t="str">
        <x:v>BOM-00896</x:v>
      </x:c>
      <x:c r="B900" s="137" t="str">
        <x:v>PERCY</x:v>
      </x:c>
      <x:c r="C900" s="137" t="str">
        <x:v>PER ORDER (V/L)</x:v>
      </x:c>
      <x:c r="D900" s="137" t="str">
        <x:v>2X5</x:v>
      </x:c>
      <x:c r="E900" s="137" t="str">
        <x:v>PACKING</x:v>
      </x:c>
      <x:c r="F900" s="137" t="str">
        <x:v>WRAPING PAPER||PCS</x:v>
      </x:c>
      <x:c r="G900" s="137" t="str">
        <x:v>Wraping Paper</x:v>
      </x:c>
      <x:c r="H900" s="137" t="str">
        <x:v>PCS</x:v>
      </x:c>
      <x:c r="I900" s="175" t="n">
        <x:v>1</x:v>
      </x:c>
      <x:c r="J900" s="176" t="str"/>
      <x:c r="K900" s="177" t="str"/>
      <x:c r="L900" s="178" t="str">
        <x:f>IF(J900="","",J900*(1+IF(K900="",0,K900)) )</x:f>
      </x:c>
      <x:c r="M900" s="138" t="str"/>
      <x:c r="N900" s="137" t="str">
        <x:v>Current model BOM seed</x:v>
      </x:c>
      <x:c r="O900" s="137" t="str"/>
      <x:c r="P900" s="137" t="str">
        <x:v>To Confirm</x:v>
      </x:c>
      <x:c r="Q900" s="137" t="str"/>
    </x:row>
    <x:row r="901">
      <x:c r="A901" s="137" t="str">
        <x:v>BOM-00897</x:v>
      </x:c>
      <x:c r="B901" s="137" t="str">
        <x:v>PERCY</x:v>
      </x:c>
      <x:c r="C901" s="137" t="str">
        <x:v>PER ORDER (V/L)</x:v>
      </x:c>
      <x:c r="D901" s="137" t="str">
        <x:v>2X5</x:v>
      </x:c>
      <x:c r="E901" s="137" t="str">
        <x:v>PACKING</x:v>
      </x:c>
      <x:c r="F901" s="137" t="str">
        <x:v>INNER||PCS</x:v>
      </x:c>
      <x:c r="G901" s="137" t="str">
        <x:v>INNER</x:v>
      </x:c>
      <x:c r="H901" s="137" t="str">
        <x:v>PCS</x:v>
      </x:c>
      <x:c r="I901" s="175" t="n">
        <x:v>1</x:v>
      </x:c>
      <x:c r="J901" s="176" t="str"/>
      <x:c r="K901" s="177" t="str"/>
      <x:c r="L901" s="178" t="str">
        <x:f>IF(J901="","",J901*(1+IF(K901="",0,K901)) )</x:f>
      </x:c>
      <x:c r="M901" s="138" t="str"/>
      <x:c r="N901" s="137" t="str">
        <x:v>Current model BOM seed</x:v>
      </x:c>
      <x:c r="O901" s="137" t="str"/>
      <x:c r="P901" s="137" t="str">
        <x:v>To Confirm</x:v>
      </x:c>
      <x:c r="Q901" s="137" t="str"/>
    </x:row>
    <x:row r="902">
      <x:c r="A902" s="137" t="str">
        <x:v>BOM-00898</x:v>
      </x:c>
      <x:c r="B902" s="137" t="str">
        <x:v>PERCY</x:v>
      </x:c>
      <x:c r="C902" s="137" t="str">
        <x:v>PER ORDER (V/L)</x:v>
      </x:c>
      <x:c r="D902" s="137" t="str">
        <x:v>2X5</x:v>
      </x:c>
      <x:c r="E902" s="137" t="str">
        <x:v>PACKING</x:v>
      </x:c>
      <x:c r="F902" s="137" t="str">
        <x:v>BARCODE STICKER||PCS</x:v>
      </x:c>
      <x:c r="G902" s="137" t="str">
        <x:v>Barcode Sticker</x:v>
      </x:c>
      <x:c r="H902" s="137" t="str">
        <x:v>PCS</x:v>
      </x:c>
      <x:c r="I902" s="175" t="n">
        <x:v>1</x:v>
      </x:c>
      <x:c r="J902" s="176" t="str"/>
      <x:c r="K902" s="177" t="str"/>
      <x:c r="L902" s="178" t="str">
        <x:f>IF(J902="","",J902*(1+IF(K902="",0,K902)) )</x:f>
      </x:c>
      <x:c r="M902" s="138" t="str"/>
      <x:c r="N902" s="137" t="str">
        <x:v>Current model BOM seed</x:v>
      </x:c>
      <x:c r="O902" s="137" t="str"/>
      <x:c r="P902" s="137" t="str">
        <x:v>To Confirm</x:v>
      </x:c>
      <x:c r="Q902" s="137" t="str"/>
    </x:row>
    <x:row r="903">
      <x:c r="A903" s="137" t="str">
        <x:v>BOM-00899</x:v>
      </x:c>
      <x:c r="B903" s="137" t="str">
        <x:v>PERCY</x:v>
      </x:c>
      <x:c r="C903" s="137" t="str">
        <x:v>PER ORDER (V/L)</x:v>
      </x:c>
      <x:c r="D903" s="137" t="str">
        <x:v>2X5</x:v>
      </x:c>
      <x:c r="E903" s="137" t="str">
        <x:v>PACKING</x:v>
      </x:c>
      <x:c r="F903" s="137" t="str">
        <x:v>CTN TAPE (1 CTN)||MTR</x:v>
      </x:c>
      <x:c r="G903" s="137" t="str">
        <x:v>Ctn Tape (1 Ctn)</x:v>
      </x:c>
      <x:c r="H903" s="137" t="str">
        <x:v>MTR</x:v>
      </x:c>
      <x:c r="I903" s="175" t="n">
        <x:v>0.5</x:v>
      </x:c>
      <x:c r="J903" s="176" t="str"/>
      <x:c r="K903" s="177" t="str"/>
      <x:c r="L903" s="178" t="str">
        <x:f>IF(J903="","",J903*(1+IF(K903="",0,K903)) )</x:f>
      </x:c>
      <x:c r="M903" s="138" t="str"/>
      <x:c r="N903" s="137" t="str">
        <x:v>Current model BOM seed</x:v>
      </x:c>
      <x:c r="O903" s="137" t="str"/>
      <x:c r="P903" s="137" t="str">
        <x:v>To Confirm</x:v>
      </x:c>
      <x:c r="Q903" s="137" t="str"/>
    </x:row>
    <x:row r="904">
      <x:c r="A904" s="137" t="str">
        <x:v>BOM-00900</x:v>
      </x:c>
      <x:c r="B904" s="137" t="str">
        <x:v>PERCY</x:v>
      </x:c>
      <x:c r="C904" s="137" t="str">
        <x:v>PER ORDER (V/L)</x:v>
      </x:c>
      <x:c r="D904" s="137" t="str">
        <x:v>2X5</x:v>
      </x:c>
      <x:c r="E904" s="137" t="str">
        <x:v>PACKING</x:v>
      </x:c>
      <x:c r="F904" s="137" t="str">
        <x:v>STRAPING ROLL (1CTN)||MTR</x:v>
      </x:c>
      <x:c r="G904" s="137" t="str">
        <x:v>Straping Roll (1Ctn)</x:v>
      </x:c>
      <x:c r="H904" s="137" t="str">
        <x:v>MTR</x:v>
      </x:c>
      <x:c r="I904" s="175" t="n">
        <x:v>0.25</x:v>
      </x:c>
      <x:c r="J904" s="176" t="str"/>
      <x:c r="K904" s="177" t="str"/>
      <x:c r="L904" s="178" t="str">
        <x:f>IF(J904="","",J904*(1+IF(K904="",0,K904)) )</x:f>
      </x:c>
      <x:c r="M904" s="138" t="str"/>
      <x:c r="N904" s="137" t="str">
        <x:v>Current model BOM seed</x:v>
      </x:c>
      <x:c r="O904" s="137" t="str"/>
      <x:c r="P904" s="137" t="str">
        <x:v>To Confirm</x:v>
      </x:c>
      <x:c r="Q904" s="137" t="str"/>
    </x:row>
    <x:row r="905">
      <x:c r="A905" s="137" t="str">
        <x:v>BOM-00901</x:v>
      </x:c>
      <x:c r="B905" s="137" t="str">
        <x:v>PERCY</x:v>
      </x:c>
      <x:c r="C905" s="137" t="str">
        <x:v>PER ORDER (V/L)</x:v>
      </x:c>
      <x:c r="D905" s="137" t="str">
        <x:v>2X5</x:v>
      </x:c>
      <x:c r="E905" s="137" t="str">
        <x:v>STITCHING</x:v>
      </x:c>
      <x:c r="F905" s="137" t="str">
        <x:v>THREAD 3 PLY||SPOOL</x:v>
      </x:c>
      <x:c r="G905" s="137" t="str">
        <x:v>THREAD 3 PLY</x:v>
      </x:c>
      <x:c r="H905" s="137" t="str">
        <x:v>SPOOL</x:v>
      </x:c>
      <x:c r="I905" s="175" t="n">
        <x:v>37.5</x:v>
      </x:c>
      <x:c r="J905" s="176" t="str"/>
      <x:c r="K905" s="177" t="str"/>
      <x:c r="L905" s="178" t="str">
        <x:f>IF(J905="","",J905*(1+IF(K905="",0,K905)) )</x:f>
      </x:c>
      <x:c r="M905" s="138" t="str"/>
      <x:c r="N905" s="137" t="str">
        <x:v>Current model BOM seed</x:v>
      </x:c>
      <x:c r="O905" s="137" t="str"/>
      <x:c r="P905" s="137" t="str">
        <x:v>To Confirm</x:v>
      </x:c>
      <x:c r="Q905" s="137" t="str"/>
    </x:row>
    <x:row r="906">
      <x:c r="A906" s="137" t="str">
        <x:v>BOM-00902</x:v>
      </x:c>
      <x:c r="B906" s="137" t="str">
        <x:v>PERCY</x:v>
      </x:c>
      <x:c r="C906" s="137" t="str">
        <x:v>PER ORDER (V/L)</x:v>
      </x:c>
      <x:c r="D906" s="137" t="str">
        <x:v>2X5</x:v>
      </x:c>
      <x:c r="E906" s="137" t="str">
        <x:v>STITCHING</x:v>
      </x:c>
      <x:c r="F906" s="137" t="str">
        <x:v>SIZE LABEL||PCS</x:v>
      </x:c>
      <x:c r="G906" s="137" t="str">
        <x:v>SIZE LABEL</x:v>
      </x:c>
      <x:c r="H906" s="137" t="str">
        <x:v>PCS</x:v>
      </x:c>
      <x:c r="I906" s="175" t="n">
        <x:v>0.5</x:v>
      </x:c>
      <x:c r="J906" s="176" t="str"/>
      <x:c r="K906" s="177" t="str"/>
      <x:c r="L906" s="178" t="str">
        <x:f>IF(J906="","",J906*(1+IF(K906="",0,K906)) )</x:f>
      </x:c>
      <x:c r="M906" s="138" t="str"/>
      <x:c r="N906" s="137" t="str">
        <x:v>Current model BOM seed</x:v>
      </x:c>
      <x:c r="O906" s="137" t="str"/>
      <x:c r="P906" s="137" t="str">
        <x:v>To Confirm</x:v>
      </x:c>
      <x:c r="Q906" s="137" t="str"/>
    </x:row>
    <x:row r="907">
      <x:c r="A907" s="137" t="str">
        <x:v>BOM-00903</x:v>
      </x:c>
      <x:c r="B907" s="137" t="str">
        <x:v>PERCY</x:v>
      </x:c>
      <x:c r="C907" s="137" t="str">
        <x:v>PER ORDER (V/L)</x:v>
      </x:c>
      <x:c r="D907" s="137" t="str">
        <x:v>2X5</x:v>
      </x:c>
      <x:c r="E907" s="137" t="str">
        <x:v>STITCHING</x:v>
      </x:c>
      <x:c r="F907" s="137" t="str">
        <x:v>TOUNG LABEL SNEAKER||PCS</x:v>
      </x:c>
      <x:c r="G907" s="137" t="str">
        <x:v>TOUNG LABEL SNEAKER</x:v>
      </x:c>
      <x:c r="H907" s="137" t="str">
        <x:v>PCS</x:v>
      </x:c>
      <x:c r="I907" s="175" t="n">
        <x:v>0.5</x:v>
      </x:c>
      <x:c r="J907" s="176" t="str"/>
      <x:c r="K907" s="177" t="str"/>
      <x:c r="L907" s="178" t="str">
        <x:f>IF(J907="","",J907*(1+IF(K907="",0,K907)) )</x:f>
      </x:c>
      <x:c r="M907" s="138" t="str"/>
      <x:c r="N907" s="137" t="str">
        <x:v>Current model BOM seed</x:v>
      </x:c>
      <x:c r="O907" s="137" t="str"/>
      <x:c r="P907" s="137" t="str">
        <x:v>To Confirm</x:v>
      </x:c>
      <x:c r="Q907" s="137" t="str"/>
    </x:row>
    <x:row r="908">
      <x:c r="A908" s="137" t="str">
        <x:v>BOM-00904</x:v>
      </x:c>
      <x:c r="B908" s="137" t="str">
        <x:v>PERCY</x:v>
      </x:c>
      <x:c r="C908" s="137" t="str">
        <x:v>PER ORDER (V/L)</x:v>
      </x:c>
      <x:c r="D908" s="137" t="str">
        <x:v>2X5</x:v>
      </x:c>
      <x:c r="E908" s="137" t="str">
        <x:v>STITCHING</x:v>
      </x:c>
      <x:c r="F908" s="137" t="str">
        <x:v>PF-48||PCS</x:v>
      </x:c>
      <x:c r="G908" s="137" t="str">
        <x:v>PF-48</x:v>
      </x:c>
      <x:c r="H908" s="137" t="str">
        <x:v>PCS</x:v>
      </x:c>
      <x:c r="I908" s="175" t="n">
        <x:v>0.25</x:v>
      </x:c>
      <x:c r="J908" s="176" t="str"/>
      <x:c r="K908" s="177" t="str"/>
      <x:c r="L908" s="178" t="str">
        <x:f>IF(J908="","",J908*(1+IF(K908="",0,K908)) )</x:f>
      </x:c>
      <x:c r="M908" s="138" t="str"/>
      <x:c r="N908" s="137" t="str">
        <x:v>Current model BOM seed</x:v>
      </x:c>
      <x:c r="O908" s="137" t="str"/>
      <x:c r="P908" s="137" t="str">
        <x:v>To Confirm</x:v>
      </x:c>
      <x:c r="Q908" s="137" t="str"/>
    </x:row>
    <x:row r="909">
      <x:c r="A909" s="137" t="str">
        <x:v>BOM-00905</x:v>
      </x:c>
      <x:c r="B909" s="137" t="str">
        <x:v>PERCY</x:v>
      </x:c>
      <x:c r="C909" s="137" t="str">
        <x:v>PER ORDER (V/L)</x:v>
      </x:c>
      <x:c r="D909" s="137" t="str">
        <x:v>2X5</x:v>
      </x:c>
      <x:c r="E909" s="137" t="str">
        <x:v>STITCHING</x:v>
      </x:c>
      <x:c r="F909" s="137" t="str">
        <x:v>PF-3||PCS</x:v>
      </x:c>
      <x:c r="G909" s="137" t="str">
        <x:v>PF-3</x:v>
      </x:c>
      <x:c r="H909" s="137" t="str">
        <x:v>PCS</x:v>
      </x:c>
      <x:c r="I909" s="175" t="n">
        <x:v>0</x:v>
      </x:c>
      <x:c r="J909" s="176" t="str"/>
      <x:c r="K909" s="177" t="str"/>
      <x:c r="L909" s="178" t="str">
        <x:f>IF(J909="","",J909*(1+IF(K909="",0,K909)) )</x:f>
      </x:c>
      <x:c r="M909" s="138" t="str"/>
      <x:c r="N909" s="137" t="str">
        <x:v>Current model BOM seed</x:v>
      </x:c>
      <x:c r="O909" s="137" t="str"/>
      <x:c r="P909" s="137" t="str">
        <x:v>To Confirm</x:v>
      </x:c>
      <x:c r="Q909" s="137" t="str"/>
    </x:row>
    <x:row r="910">
      <x:c r="A910" s="137" t="str">
        <x:v>BOM-00906</x:v>
      </x:c>
      <x:c r="B910" s="137" t="str">
        <x:v>PERCY</x:v>
      </x:c>
      <x:c r="C910" s="137" t="str">
        <x:v>PER ORDER (V/L)</x:v>
      </x:c>
      <x:c r="D910" s="137" t="str">
        <x:v>2X5</x:v>
      </x:c>
      <x:c r="E910" s="137" t="str">
        <x:v>STITCHING</x:v>
      </x:c>
      <x:c r="F910" s="137" t="str">
        <x:v>VELCRO 20 MM HOOK||MTR</x:v>
      </x:c>
      <x:c r="G910" s="137" t="str">
        <x:v>VELCRO 20 MM HOOK</x:v>
      </x:c>
      <x:c r="H910" s="137" t="str">
        <x:v>MTR</x:v>
      </x:c>
      <x:c r="I910" s="175" t="n">
        <x:v>2.7027027</x:v>
      </x:c>
      <x:c r="J910" s="176" t="str"/>
      <x:c r="K910" s="177" t="str"/>
      <x:c r="L910" s="178" t="str">
        <x:f>IF(J910="","",J910*(1+IF(K910="",0,K910)) )</x:f>
      </x:c>
      <x:c r="M910" s="138" t="str"/>
      <x:c r="N910" s="137" t="str">
        <x:v>Current model BOM seed</x:v>
      </x:c>
      <x:c r="O910" s="137" t="str"/>
      <x:c r="P910" s="137" t="str">
        <x:v>To Confirm</x:v>
      </x:c>
      <x:c r="Q910" s="137" t="str"/>
    </x:row>
    <x:row r="911">
      <x:c r="A911" s="137" t="str">
        <x:v>BOM-00907</x:v>
      </x:c>
      <x:c r="B911" s="137" t="str">
        <x:v>PERCY</x:v>
      </x:c>
      <x:c r="C911" s="137" t="str">
        <x:v>PER ORDER (V/L)</x:v>
      </x:c>
      <x:c r="D911" s="137" t="str">
        <x:v>2X5</x:v>
      </x:c>
      <x:c r="E911" s="137" t="str">
        <x:v>STITCHING</x:v>
      </x:c>
      <x:c r="F911" s="137" t="str">
        <x:v>VELCRO 20 MM LOOP||MTR</x:v>
      </x:c>
      <x:c r="G911" s="137" t="str">
        <x:v>VELCRO 20 MM LOOP</x:v>
      </x:c>
      <x:c r="H911" s="137" t="str">
        <x:v>MTR</x:v>
      </x:c>
      <x:c r="I911" s="175" t="n">
        <x:v>2.7027027</x:v>
      </x:c>
      <x:c r="J911" s="176" t="str"/>
      <x:c r="K911" s="177" t="str"/>
      <x:c r="L911" s="178" t="str">
        <x:f>IF(J911="","",J911*(1+IF(K911="",0,K911)) )</x:f>
      </x:c>
      <x:c r="M911" s="138" t="str"/>
      <x:c r="N911" s="137" t="str">
        <x:v>Current model BOM seed</x:v>
      </x:c>
      <x:c r="O911" s="137" t="str"/>
      <x:c r="P911" s="137" t="str">
        <x:v>To Confirm</x:v>
      </x:c>
      <x:c r="Q911" s="137" t="str"/>
    </x:row>
    <x:row r="912">
      <x:c r="A912" s="137" t="str">
        <x:v>BOM-00908</x:v>
      </x:c>
      <x:c r="B912" s="137" t="str">
        <x:v>PERCY</x:v>
      </x:c>
      <x:c r="C912" s="137" t="str">
        <x:v>PER ORDER (V/L)</x:v>
      </x:c>
      <x:c r="D912" s="137" t="str">
        <x:v>2X5</x:v>
      </x:c>
      <x:c r="E912" s="137" t="str">
        <x:v>STITCHING</x:v>
      </x:c>
      <x:c r="F912" s="137" t="str">
        <x:v>VELCRO 25 MM HOOK||MTR</x:v>
      </x:c>
      <x:c r="G912" s="137" t="str">
        <x:v>VELCRO 25 MM HOOK</x:v>
      </x:c>
      <x:c r="H912" s="137" t="str">
        <x:v>MTR</x:v>
      </x:c>
      <x:c r="I912" s="175" t="n">
        <x:v>0</x:v>
      </x:c>
      <x:c r="J912" s="176" t="str"/>
      <x:c r="K912" s="177" t="str"/>
      <x:c r="L912" s="178" t="str">
        <x:f>IF(J912="","",J912*(1+IF(K912="",0,K912)) )</x:f>
      </x:c>
      <x:c r="M912" s="138" t="str"/>
      <x:c r="N912" s="137" t="str">
        <x:v>Current model BOM seed</x:v>
      </x:c>
      <x:c r="O912" s="137" t="str"/>
      <x:c r="P912" s="137" t="str">
        <x:v>To Confirm</x:v>
      </x:c>
      <x:c r="Q912" s="137" t="str"/>
    </x:row>
    <x:row r="913">
      <x:c r="A913" s="137" t="str">
        <x:v>BOM-00909</x:v>
      </x:c>
      <x:c r="B913" s="137" t="str">
        <x:v>PERCY</x:v>
      </x:c>
      <x:c r="C913" s="137" t="str">
        <x:v>PER ORDER (V/L)</x:v>
      </x:c>
      <x:c r="D913" s="137" t="str">
        <x:v>2X5</x:v>
      </x:c>
      <x:c r="E913" s="137" t="str">
        <x:v>STITCHING</x:v>
      </x:c>
      <x:c r="F913" s="137" t="str">
        <x:v>VELCRO 25 MM LOOP||MTR</x:v>
      </x:c>
      <x:c r="G913" s="137" t="str">
        <x:v>VELCRO 25 MM LOOP</x:v>
      </x:c>
      <x:c r="H913" s="137" t="str">
        <x:v>MTR</x:v>
      </x:c>
      <x:c r="I913" s="175" t="n">
        <x:v>0</x:v>
      </x:c>
      <x:c r="J913" s="176" t="str"/>
      <x:c r="K913" s="177" t="str"/>
      <x:c r="L913" s="178" t="str">
        <x:f>IF(J913="","",J913*(1+IF(K913="",0,K913)) )</x:f>
      </x:c>
      <x:c r="M913" s="138" t="str"/>
      <x:c r="N913" s="137" t="str">
        <x:v>Current model BOM seed</x:v>
      </x:c>
      <x:c r="O913" s="137" t="str"/>
      <x:c r="P913" s="137" t="str">
        <x:v>To Confirm</x:v>
      </x:c>
      <x:c r="Q913" s="137" t="str"/>
    </x:row>
    <x:row r="914">
      <x:c r="A914" s="137" t="str">
        <x:v>BOM-00910</x:v>
      </x:c>
      <x:c r="B914" s="137" t="str">
        <x:v>PERCY</x:v>
      </x:c>
      <x:c r="C914" s="137" t="str">
        <x:v>PER ORDER (V/L)</x:v>
      </x:c>
      <x:c r="D914" s="137" t="str">
        <x:v>2X5</x:v>
      </x:c>
      <x:c r="E914" s="137" t="str">
        <x:v>STITCHING</x:v>
      </x:c>
      <x:c r="F914" s="137" t="str">
        <x:v>PP BAG||PCS</x:v>
      </x:c>
      <x:c r="G914" s="137" t="str">
        <x:v>Pp Bag</x:v>
      </x:c>
      <x:c r="H914" s="137" t="str">
        <x:v>PCS</x:v>
      </x:c>
      <x:c r="I914" s="175" t="n">
        <x:v>0</x:v>
      </x:c>
      <x:c r="J914" s="176" t="str"/>
      <x:c r="K914" s="177" t="str"/>
      <x:c r="L914" s="178" t="str">
        <x:f>IF(J914="","",J914*(1+IF(K914="",0,K914)) )</x:f>
      </x:c>
      <x:c r="M914" s="138" t="str"/>
      <x:c r="N914" s="137" t="str">
        <x:v>Current model BOM seed</x:v>
      </x:c>
      <x:c r="O914" s="137" t="str"/>
      <x:c r="P914" s="137" t="str">
        <x:v>To Confirm</x:v>
      </x:c>
      <x:c r="Q914" s="137" t="str"/>
    </x:row>
    <x:row r="915">
      <x:c r="A915" s="137" t="str">
        <x:v>BOM-00911</x:v>
      </x:c>
      <x:c r="B915" s="137" t="str">
        <x:v>PERCY</x:v>
      </x:c>
      <x:c r="C915" s="137" t="str">
        <x:v>PER ORDER (V/L)</x:v>
      </x:c>
      <x:c r="D915" s="137" t="str">
        <x:v>2X5</x:v>
      </x:c>
      <x:c r="E915" s="137" t="str">
        <x:v>STITCHING</x:v>
      </x:c>
      <x:c r="F915" s="137" t="str">
        <x:v>BACK TAPE 14 MM||MTR</x:v>
      </x:c>
      <x:c r="G915" s="137" t="str">
        <x:v>BACK TAPE 14 MM</x:v>
      </x:c>
      <x:c r="H915" s="137" t="str">
        <x:v>MTR</x:v>
      </x:c>
      <x:c r="I915" s="175" t="n">
        <x:v>7.69230769</x:v>
      </x:c>
      <x:c r="J915" s="176" t="str"/>
      <x:c r="K915" s="177" t="str"/>
      <x:c r="L915" s="178" t="str">
        <x:f>IF(J915="","",J915*(1+IF(K915="",0,K915)) )</x:f>
      </x:c>
      <x:c r="M915" s="138" t="str"/>
      <x:c r="N915" s="137" t="str">
        <x:v>Current model BOM seed</x:v>
      </x:c>
      <x:c r="O915" s="137" t="str"/>
      <x:c r="P915" s="137" t="str">
        <x:v>To Confirm</x:v>
      </x:c>
      <x:c r="Q915" s="137" t="str"/>
    </x:row>
    <x:row r="916">
      <x:c r="A916" s="137" t="str">
        <x:v>BOM-00912</x:v>
      </x:c>
      <x:c r="B916" s="137" t="str">
        <x:v>PERCY</x:v>
      </x:c>
      <x:c r="C916" s="137" t="str">
        <x:v>PER ORDER (V/L)</x:v>
      </x:c>
      <x:c r="D916" s="137" t="str">
        <x:v>2X5</x:v>
      </x:c>
      <x:c r="E916" s="137" t="str">
        <x:v>STITCHING</x:v>
      </x:c>
      <x:c r="F916" s="137" t="str">
        <x:v>POLYESTER BINDING 12 MM||MTR</x:v>
      </x:c>
      <x:c r="G916" s="137" t="str">
        <x:v>POLYESTER BINDING 12 MM</x:v>
      </x:c>
      <x:c r="H916" s="137" t="str">
        <x:v>MTR</x:v>
      </x:c>
      <x:c r="I916" s="175" t="n">
        <x:v>14.28571429</x:v>
      </x:c>
      <x:c r="J916" s="176" t="str"/>
      <x:c r="K916" s="177" t="str"/>
      <x:c r="L916" s="178" t="str">
        <x:f>IF(J916="","",J916*(1+IF(K916="",0,K916)) )</x:f>
      </x:c>
      <x:c r="M916" s="138" t="str"/>
      <x:c r="N916" s="137" t="str">
        <x:v>Current model BOM seed</x:v>
      </x:c>
      <x:c r="O916" s="137" t="str"/>
      <x:c r="P916" s="137" t="str">
        <x:v>To Confirm</x:v>
      </x:c>
      <x:c r="Q916" s="137" t="str"/>
    </x:row>
    <x:row r="917">
      <x:c r="A917" s="137" t="str">
        <x:v>BOM-00913</x:v>
      </x:c>
      <x:c r="B917" s="137" t="str">
        <x:v>PERCY</x:v>
      </x:c>
      <x:c r="C917" s="137" t="str">
        <x:v>PER ORDER (V/L)</x:v>
      </x:c>
      <x:c r="D917" s="137" t="str">
        <x:v>6X8</x:v>
      </x:c>
      <x:c r="E917" s="137" t="str">
        <x:v>CUTTING</x:v>
      </x:c>
      <x:c r="F917" s="137" t="str">
        <x:v>MESH 58"||MTR</x:v>
      </x:c>
      <x:c r="G917" s="137" t="str">
        <x:v>Mesh 58"</x:v>
      </x:c>
      <x:c r="H917" s="137" t="str">
        <x:v>MTR</x:v>
      </x:c>
      <x:c r="I917" s="175" t="n">
        <x:v>0.11994949</x:v>
      </x:c>
      <x:c r="J917" s="176" t="str"/>
      <x:c r="K917" s="177" t="str"/>
      <x:c r="L917" s="178" t="str">
        <x:f>IF(J917="","",J917*(1+IF(K917="",0,K917)) )</x:f>
      </x:c>
      <x:c r="M917" s="138" t="str"/>
      <x:c r="N917" s="137" t="str">
        <x:v>Current model BOM seed</x:v>
      </x:c>
      <x:c r="O917" s="137" t="str"/>
      <x:c r="P917" s="137" t="str">
        <x:v>To Confirm</x:v>
      </x:c>
      <x:c r="Q917" s="137" t="str"/>
    </x:row>
    <x:row r="918">
      <x:c r="A918" s="137" t="str">
        <x:v>BOM-00914</x:v>
      </x:c>
      <x:c r="B918" s="137" t="str">
        <x:v>PERCY</x:v>
      </x:c>
      <x:c r="C918" s="137" t="str">
        <x:v>PER ORDER (V/L)</x:v>
      </x:c>
      <x:c r="D918" s="137" t="str">
        <x:v>6X8</x:v>
      </x:c>
      <x:c r="E918" s="137" t="str">
        <x:v>CUTTING</x:v>
      </x:c>
      <x:c r="F918" s="137" t="str">
        <x:v>SKINFIT 60"||MTR</x:v>
      </x:c>
      <x:c r="G918" s="137" t="str">
        <x:v>Skinfit 60"</x:v>
      </x:c>
      <x:c r="H918" s="137" t="str">
        <x:v>MTR</x:v>
      </x:c>
      <x:c r="I918" s="175" t="n">
        <x:v>0.07022144</x:v>
      </x:c>
      <x:c r="J918" s="176" t="str"/>
      <x:c r="K918" s="177" t="str"/>
      <x:c r="L918" s="178" t="str">
        <x:f>IF(J918="","",J918*(1+IF(K918="",0,K918)) )</x:f>
      </x:c>
      <x:c r="M918" s="138" t="str"/>
      <x:c r="N918" s="137" t="str">
        <x:v>Current model BOM seed</x:v>
      </x:c>
      <x:c r="O918" s="137" t="str"/>
      <x:c r="P918" s="137" t="str">
        <x:v>To Confirm</x:v>
      </x:c>
      <x:c r="Q918" s="137" t="str"/>
    </x:row>
    <x:row r="919">
      <x:c r="A919" s="137" t="str">
        <x:v>BOM-00915</x:v>
      </x:c>
      <x:c r="B919" s="137" t="str">
        <x:v>PERCY</x:v>
      </x:c>
      <x:c r="C919" s="137" t="str">
        <x:v>PER ORDER (V/L)</x:v>
      </x:c>
      <x:c r="D919" s="137" t="str">
        <x:v>6X8</x:v>
      </x:c>
      <x:c r="E919" s="137" t="str">
        <x:v>CUTTING</x:v>
      </x:c>
      <x:c r="F919" s="137" t="str">
        <x:v>REXINE 54"||MTR</x:v>
      </x:c>
      <x:c r="G919" s="137" t="str">
        <x:v>Rexine 54"</x:v>
      </x:c>
      <x:c r="H919" s="137" t="str">
        <x:v>MTR</x:v>
      </x:c>
      <x:c r="I919" s="175" t="n">
        <x:v>0.11163456</x:v>
      </x:c>
      <x:c r="J919" s="176" t="str"/>
      <x:c r="K919" s="177" t="str"/>
      <x:c r="L919" s="178" t="str">
        <x:f>IF(J919="","",J919*(1+IF(K919="",0,K919)) )</x:f>
      </x:c>
      <x:c r="M919" s="138" t="str"/>
      <x:c r="N919" s="137" t="str">
        <x:v>Current model BOM seed</x:v>
      </x:c>
      <x:c r="O919" s="137" t="str"/>
      <x:c r="P919" s="137" t="str">
        <x:v>To Confirm</x:v>
      </x:c>
      <x:c r="Q919" s="137" t="str"/>
    </x:row>
    <x:row r="920">
      <x:c r="A920" s="137" t="str">
        <x:v>BOM-00916</x:v>
      </x:c>
      <x:c r="B920" s="137" t="str">
        <x:v>PERCY</x:v>
      </x:c>
      <x:c r="C920" s="137" t="str">
        <x:v>PER ORDER (V/L)</x:v>
      </x:c>
      <x:c r="D920" s="137" t="str">
        <x:v>6X8</x:v>
      </x:c>
      <x:c r="E920" s="137" t="str">
        <x:v>CUTTING</x:v>
      </x:c>
      <x:c r="F920" s="137" t="str">
        <x:v>SHEET 1.4MM||SHEET</x:v>
      </x:c>
      <x:c r="G920" s="137" t="str">
        <x:v>Sheet 1.4Mm</x:v>
      </x:c>
      <x:c r="H920" s="137" t="str">
        <x:v>SHEET</x:v>
      </x:c>
      <x:c r="I920" s="175" t="n">
        <x:v>0.01315789</x:v>
      </x:c>
      <x:c r="J920" s="176" t="str"/>
      <x:c r="K920" s="177" t="str"/>
      <x:c r="L920" s="178" t="str">
        <x:f>IF(J920="","",J920*(1+IF(K920="",0,K920)) )</x:f>
      </x:c>
      <x:c r="M920" s="138" t="str"/>
      <x:c r="N920" s="137" t="str">
        <x:v>Current model BOM seed</x:v>
      </x:c>
      <x:c r="O920" s="137" t="str"/>
      <x:c r="P920" s="137" t="str">
        <x:v>To Confirm</x:v>
      </x:c>
      <x:c r="Q920" s="137" t="str"/>
    </x:row>
    <x:row r="921">
      <x:c r="A921" s="137" t="str">
        <x:v>BOM-00917</x:v>
      </x:c>
      <x:c r="B921" s="137" t="str">
        <x:v>PERCY</x:v>
      </x:c>
      <x:c r="C921" s="137" t="str">
        <x:v>PER ORDER (V/L)</x:v>
      </x:c>
      <x:c r="D921" s="137" t="str">
        <x:v>6X8</x:v>
      </x:c>
      <x:c r="E921" s="137" t="str">
        <x:v>CUTTING</x:v>
      </x:c>
      <x:c r="F921" s="137" t="str">
        <x:v>SHEET 0.8MM||SHEET</x:v>
      </x:c>
      <x:c r="G921" s="137" t="str">
        <x:v>Sheet 0.8Mm</x:v>
      </x:c>
      <x:c r="H921" s="137" t="str">
        <x:v>SHEET</x:v>
      </x:c>
      <x:c r="I921" s="175" t="n">
        <x:v>0.01408451</x:v>
      </x:c>
      <x:c r="J921" s="176" t="str"/>
      <x:c r="K921" s="177" t="str"/>
      <x:c r="L921" s="178" t="str">
        <x:f>IF(J921="","",J921*(1+IF(K921="",0,K921)) )</x:f>
      </x:c>
      <x:c r="M921" s="138" t="str"/>
      <x:c r="N921" s="137" t="str">
        <x:v>Current model BOM seed</x:v>
      </x:c>
      <x:c r="O921" s="137" t="str"/>
      <x:c r="P921" s="137" t="str">
        <x:v>To Confirm</x:v>
      </x:c>
      <x:c r="Q921" s="137" t="str"/>
    </x:row>
    <x:row r="922">
      <x:c r="A922" s="137" t="str">
        <x:v>BOM-00918</x:v>
      </x:c>
      <x:c r="B922" s="137" t="str">
        <x:v>PERCY</x:v>
      </x:c>
      <x:c r="C922" s="137" t="str">
        <x:v>PER ORDER (V/L)</x:v>
      </x:c>
      <x:c r="D922" s="137" t="str">
        <x:v>6X8</x:v>
      </x:c>
      <x:c r="E922" s="137" t="str">
        <x:v>CUTTING</x:v>
      </x:c>
      <x:c r="F922" s="137" t="str">
        <x:v>SHEET 20MM||SHEET</x:v>
      </x:c>
      <x:c r="G922" s="137" t="str">
        <x:v>Sheet 20Mm</x:v>
      </x:c>
      <x:c r="H922" s="137" t="str">
        <x:v>SHEET</x:v>
      </x:c>
      <x:c r="I922" s="175" t="n">
        <x:v>0.01492537</x:v>
      </x:c>
      <x:c r="J922" s="176" t="str"/>
      <x:c r="K922" s="177" t="str"/>
      <x:c r="L922" s="178" t="str">
        <x:f>IF(J922="","",J922*(1+IF(K922="",0,K922)) )</x:f>
      </x:c>
      <x:c r="M922" s="138" t="str"/>
      <x:c r="N922" s="137" t="str">
        <x:v>Current model BOM seed</x:v>
      </x:c>
      <x:c r="O922" s="137" t="str"/>
      <x:c r="P922" s="137" t="str">
        <x:v>To Confirm</x:v>
      </x:c>
      <x:c r="Q922" s="137" t="str"/>
    </x:row>
    <x:row r="923">
      <x:c r="A923" s="137" t="str">
        <x:v>BOM-00919</x:v>
      </x:c>
      <x:c r="B923" s="137" t="str">
        <x:v>PERCY</x:v>
      </x:c>
      <x:c r="C923" s="137" t="str">
        <x:v>PER ORDER (V/L)</x:v>
      </x:c>
      <x:c r="D923" s="137" t="str">
        <x:v>6X8</x:v>
      </x:c>
      <x:c r="E923" s="137" t="str">
        <x:v>CUTTING</x:v>
      </x:c>
      <x:c r="F923" s="137" t="str">
        <x:v>INSOLE||PAIR</x:v>
      </x:c>
      <x:c r="G923" s="137" t="str">
        <x:v>INSOLE</x:v>
      </x:c>
      <x:c r="H923" s="137" t="str">
        <x:v>PAIR</x:v>
      </x:c>
      <x:c r="I923" s="175" t="n">
        <x:v>2</x:v>
      </x:c>
      <x:c r="J923" s="176" t="str"/>
      <x:c r="K923" s="177" t="str"/>
      <x:c r="L923" s="178" t="str">
        <x:f>IF(J923="","",J923*(1+IF(K923="",0,K923)) )</x:f>
      </x:c>
      <x:c r="M923" s="138" t="str"/>
      <x:c r="N923" s="137" t="str">
        <x:v>Current model BOM seed</x:v>
      </x:c>
      <x:c r="O923" s="137" t="str"/>
      <x:c r="P923" s="137" t="str">
        <x:v>To Confirm</x:v>
      </x:c>
      <x:c r="Q923" s="137" t="str"/>
    </x:row>
    <x:row r="924">
      <x:c r="A924" s="137" t="str">
        <x:v>BOM-00920</x:v>
      </x:c>
      <x:c r="B924" s="137" t="str">
        <x:v>PERCY</x:v>
      </x:c>
      <x:c r="C924" s="137" t="str">
        <x:v>PER ORDER (V/L)</x:v>
      </x:c>
      <x:c r="D924" s="137" t="str">
        <x:v>6X8</x:v>
      </x:c>
      <x:c r="E924" s="137" t="str">
        <x:v>MOLDING</x:v>
      </x:c>
      <x:c r="F924" s="137" t="str">
        <x:v>SOLE 1231 EVA||PAIR</x:v>
      </x:c>
      <x:c r="G924" s="137" t="str">
        <x:v>Sole 1231 EVA</x:v>
      </x:c>
      <x:c r="H924" s="137" t="str">
        <x:v>PAIR</x:v>
      </x:c>
      <x:c r="I924" s="175" t="n">
        <x:v>2</x:v>
      </x:c>
      <x:c r="J924" s="176" t="str"/>
      <x:c r="K924" s="177" t="str"/>
      <x:c r="L924" s="178" t="str">
        <x:f>IF(J924="","",J924*(1+IF(K924="",0,K924)) )</x:f>
      </x:c>
      <x:c r="M924" s="138" t="str"/>
      <x:c r="N924" s="137" t="str">
        <x:v>Current model BOM seed</x:v>
      </x:c>
      <x:c r="O924" s="137" t="str"/>
      <x:c r="P924" s="137" t="str">
        <x:v>To Confirm</x:v>
      </x:c>
      <x:c r="Q924" s="137" t="str"/>
    </x:row>
    <x:row r="925">
      <x:c r="A925" s="137" t="str">
        <x:v>BOM-00921</x:v>
      </x:c>
      <x:c r="B925" s="137" t="str">
        <x:v>PERCY</x:v>
      </x:c>
      <x:c r="C925" s="137" t="str">
        <x:v>PER ORDER (V/L)</x:v>
      </x:c>
      <x:c r="D925" s="137" t="str">
        <x:v>6X8</x:v>
      </x:c>
      <x:c r="E925" s="137" t="str">
        <x:v>PACKING</x:v>
      </x:c>
      <x:c r="F925" s="137" t="str">
        <x:v>TISSUE PAPER||PCS</x:v>
      </x:c>
      <x:c r="G925" s="137" t="str">
        <x:v>Tissue Paper</x:v>
      </x:c>
      <x:c r="H925" s="137" t="str">
        <x:v>PCS</x:v>
      </x:c>
      <x:c r="I925" s="175" t="n">
        <x:v>0.25</x:v>
      </x:c>
      <x:c r="J925" s="176" t="str"/>
      <x:c r="K925" s="177" t="str"/>
      <x:c r="L925" s="178" t="str">
        <x:f>IF(J925="","",J925*(1+IF(K925="",0,K925)) )</x:f>
      </x:c>
      <x:c r="M925" s="138" t="str"/>
      <x:c r="N925" s="137" t="str">
        <x:v>Current model BOM seed</x:v>
      </x:c>
      <x:c r="O925" s="137" t="str"/>
      <x:c r="P925" s="137" t="str">
        <x:v>To Confirm</x:v>
      </x:c>
      <x:c r="Q925" s="137" t="str"/>
    </x:row>
    <x:row r="926">
      <x:c r="A926" s="137" t="str">
        <x:v>BOM-00922</x:v>
      </x:c>
      <x:c r="B926" s="137" t="str">
        <x:v>PERCY</x:v>
      </x:c>
      <x:c r="C926" s="137" t="str">
        <x:v>PER ORDER (V/L)</x:v>
      </x:c>
      <x:c r="D926" s="137" t="str">
        <x:v>6X8</x:v>
      </x:c>
      <x:c r="E926" s="137" t="str">
        <x:v>PACKING</x:v>
      </x:c>
      <x:c r="F926" s="137" t="str">
        <x:v>SHOE SHINER||GRAM</x:v>
      </x:c>
      <x:c r="G926" s="137" t="str">
        <x:v>Shoe Shiner</x:v>
      </x:c>
      <x:c r="H926" s="137" t="str">
        <x:v>GRAM</x:v>
      </x:c>
      <x:c r="I926" s="175" t="n">
        <x:v>0.06666667</x:v>
      </x:c>
      <x:c r="J926" s="176" t="str"/>
      <x:c r="K926" s="177" t="str"/>
      <x:c r="L926" s="178" t="str">
        <x:f>IF(J926="","",J926*(1+IF(K926="",0,K926)) )</x:f>
      </x:c>
      <x:c r="M926" s="138" t="str"/>
      <x:c r="N926" s="137" t="str">
        <x:v>Current model BOM seed</x:v>
      </x:c>
      <x:c r="O926" s="137" t="str"/>
      <x:c r="P926" s="137" t="str">
        <x:v>To Confirm</x:v>
      </x:c>
      <x:c r="Q926" s="137" t="str"/>
    </x:row>
    <x:row r="927">
      <x:c r="A927" s="137" t="str">
        <x:v>BOM-00923</x:v>
      </x:c>
      <x:c r="B927" s="137" t="str">
        <x:v>PERCY</x:v>
      </x:c>
      <x:c r="C927" s="137" t="str">
        <x:v>PER ORDER (V/L)</x:v>
      </x:c>
      <x:c r="D927" s="137" t="str">
        <x:v>6X8</x:v>
      </x:c>
      <x:c r="E927" s="137" t="str">
        <x:v>PACKING</x:v>
      </x:c>
      <x:c r="F927" s="137" t="str">
        <x:v>EMYLE||GRAM</x:v>
      </x:c>
      <x:c r="G927" s="137" t="str">
        <x:v>EMYLE</x:v>
      </x:c>
      <x:c r="H927" s="137" t="str">
        <x:v>GRAM</x:v>
      </x:c>
      <x:c r="I927" s="175" t="n">
        <x:v>0.07142857</x:v>
      </x:c>
      <x:c r="J927" s="176" t="str"/>
      <x:c r="K927" s="177" t="str"/>
      <x:c r="L927" s="178" t="str">
        <x:f>IF(J927="","",J927*(1+IF(K927="",0,K927)) )</x:f>
      </x:c>
      <x:c r="M927" s="138" t="str"/>
      <x:c r="N927" s="137" t="str">
        <x:v>Current model BOM seed</x:v>
      </x:c>
      <x:c r="O927" s="137" t="str"/>
      <x:c r="P927" s="137" t="str">
        <x:v>To Confirm</x:v>
      </x:c>
      <x:c r="Q927" s="137" t="str"/>
    </x:row>
    <x:row r="928">
      <x:c r="A928" s="137" t="str">
        <x:v>BOM-00924</x:v>
      </x:c>
      <x:c r="B928" s="137" t="str">
        <x:v>PERCY</x:v>
      </x:c>
      <x:c r="C928" s="137" t="str">
        <x:v>PER ORDER (V/L)</x:v>
      </x:c>
      <x:c r="D928" s="137" t="str">
        <x:v>6X8</x:v>
      </x:c>
      <x:c r="E928" s="137" t="str">
        <x:v>PACKING</x:v>
      </x:c>
      <x:c r="F928" s="137" t="str">
        <x:v>TAG PIN||PCS</x:v>
      </x:c>
      <x:c r="G928" s="137" t="str">
        <x:v>Tag Pin</x:v>
      </x:c>
      <x:c r="H928" s="137" t="str">
        <x:v>PCS</x:v>
      </x:c>
      <x:c r="I928" s="175" t="n">
        <x:v>1</x:v>
      </x:c>
      <x:c r="J928" s="176" t="str"/>
      <x:c r="K928" s="177" t="str"/>
      <x:c r="L928" s="178" t="str">
        <x:f>IF(J928="","",J928*(1+IF(K928="",0,K928)) )</x:f>
      </x:c>
      <x:c r="M928" s="138" t="str"/>
      <x:c r="N928" s="137" t="str">
        <x:v>Current model BOM seed</x:v>
      </x:c>
      <x:c r="O928" s="137" t="str"/>
      <x:c r="P928" s="137" t="str">
        <x:v>To Confirm</x:v>
      </x:c>
      <x:c r="Q928" s="137" t="str"/>
    </x:row>
    <x:row r="929">
      <x:c r="A929" s="137" t="str">
        <x:v>BOM-00925</x:v>
      </x:c>
      <x:c r="B929" s="137" t="str">
        <x:v>PERCY</x:v>
      </x:c>
      <x:c r="C929" s="137" t="str">
        <x:v>PER ORDER (V/L)</x:v>
      </x:c>
      <x:c r="D929" s="137" t="str">
        <x:v>6X8</x:v>
      </x:c>
      <x:c r="E929" s="137" t="str">
        <x:v>PACKING</x:v>
      </x:c>
      <x:c r="F929" s="137" t="str">
        <x:v>TAG CARD||PCS</x:v>
      </x:c>
      <x:c r="G929" s="137" t="str">
        <x:v>Tag Card</x:v>
      </x:c>
      <x:c r="H929" s="137" t="str">
        <x:v>PCS</x:v>
      </x:c>
      <x:c r="I929" s="175" t="n">
        <x:v>1</x:v>
      </x:c>
      <x:c r="J929" s="176" t="str"/>
      <x:c r="K929" s="177" t="str"/>
      <x:c r="L929" s="178" t="str">
        <x:f>IF(J929="","",J929*(1+IF(K929="",0,K929)) )</x:f>
      </x:c>
      <x:c r="M929" s="138" t="str"/>
      <x:c r="N929" s="137" t="str">
        <x:v>Current model BOM seed</x:v>
      </x:c>
      <x:c r="O929" s="137" t="str"/>
      <x:c r="P929" s="137" t="str">
        <x:v>To Confirm</x:v>
      </x:c>
      <x:c r="Q929" s="137" t="str"/>
    </x:row>
    <x:row r="930">
      <x:c r="A930" s="137" t="str">
        <x:v>BOM-00926</x:v>
      </x:c>
      <x:c r="B930" s="137" t="str">
        <x:v>PERCY</x:v>
      </x:c>
      <x:c r="C930" s="137" t="str">
        <x:v>PER ORDER (V/L)</x:v>
      </x:c>
      <x:c r="D930" s="137" t="str">
        <x:v>6X8</x:v>
      </x:c>
      <x:c r="E930" s="137" t="str">
        <x:v>PACKING</x:v>
      </x:c>
      <x:c r="F930" s="137" t="str">
        <x:v>WRAPING PAPER||PCS</x:v>
      </x:c>
      <x:c r="G930" s="137" t="str">
        <x:v>Wraping Paper</x:v>
      </x:c>
      <x:c r="H930" s="137" t="str">
        <x:v>PCS</x:v>
      </x:c>
      <x:c r="I930" s="175" t="n">
        <x:v>1</x:v>
      </x:c>
      <x:c r="J930" s="176" t="str"/>
      <x:c r="K930" s="177" t="str"/>
      <x:c r="L930" s="178" t="str">
        <x:f>IF(J930="","",J930*(1+IF(K930="",0,K930)) )</x:f>
      </x:c>
      <x:c r="M930" s="138" t="str"/>
      <x:c r="N930" s="137" t="str">
        <x:v>Current model BOM seed</x:v>
      </x:c>
      <x:c r="O930" s="137" t="str"/>
      <x:c r="P930" s="137" t="str">
        <x:v>To Confirm</x:v>
      </x:c>
      <x:c r="Q930" s="137" t="str"/>
    </x:row>
    <x:row r="931">
      <x:c r="A931" s="137" t="str">
        <x:v>BOM-00927</x:v>
      </x:c>
      <x:c r="B931" s="137" t="str">
        <x:v>PERCY</x:v>
      </x:c>
      <x:c r="C931" s="137" t="str">
        <x:v>PER ORDER (V/L)</x:v>
      </x:c>
      <x:c r="D931" s="137" t="str">
        <x:v>6X8</x:v>
      </x:c>
      <x:c r="E931" s="137" t="str">
        <x:v>PACKING</x:v>
      </x:c>
      <x:c r="F931" s="137" t="str">
        <x:v>INNER||PCS</x:v>
      </x:c>
      <x:c r="G931" s="137" t="str">
        <x:v>INNER</x:v>
      </x:c>
      <x:c r="H931" s="137" t="str">
        <x:v>PCS</x:v>
      </x:c>
      <x:c r="I931" s="175" t="n">
        <x:v>1</x:v>
      </x:c>
      <x:c r="J931" s="176" t="str"/>
      <x:c r="K931" s="177" t="str"/>
      <x:c r="L931" s="178" t="str">
        <x:f>IF(J931="","",J931*(1+IF(K931="",0,K931)) )</x:f>
      </x:c>
      <x:c r="M931" s="138" t="str"/>
      <x:c r="N931" s="137" t="str">
        <x:v>Current model BOM seed</x:v>
      </x:c>
      <x:c r="O931" s="137" t="str"/>
      <x:c r="P931" s="137" t="str">
        <x:v>To Confirm</x:v>
      </x:c>
      <x:c r="Q931" s="137" t="str"/>
    </x:row>
    <x:row r="932">
      <x:c r="A932" s="137" t="str">
        <x:v>BOM-00928</x:v>
      </x:c>
      <x:c r="B932" s="137" t="str">
        <x:v>PERCY</x:v>
      </x:c>
      <x:c r="C932" s="137" t="str">
        <x:v>PER ORDER (V/L)</x:v>
      </x:c>
      <x:c r="D932" s="137" t="str">
        <x:v>6X8</x:v>
      </x:c>
      <x:c r="E932" s="137" t="str">
        <x:v>PACKING</x:v>
      </x:c>
      <x:c r="F932" s="137" t="str">
        <x:v>BARCODE STICKER||PCS</x:v>
      </x:c>
      <x:c r="G932" s="137" t="str">
        <x:v>Barcode Sticker</x:v>
      </x:c>
      <x:c r="H932" s="137" t="str">
        <x:v>PCS</x:v>
      </x:c>
      <x:c r="I932" s="175" t="n">
        <x:v>1</x:v>
      </x:c>
      <x:c r="J932" s="176" t="str"/>
      <x:c r="K932" s="177" t="str"/>
      <x:c r="L932" s="178" t="str">
        <x:f>IF(J932="","",J932*(1+IF(K932="",0,K932)) )</x:f>
      </x:c>
      <x:c r="M932" s="138" t="str"/>
      <x:c r="N932" s="137" t="str">
        <x:v>Current model BOM seed</x:v>
      </x:c>
      <x:c r="O932" s="137" t="str"/>
      <x:c r="P932" s="137" t="str">
        <x:v>To Confirm</x:v>
      </x:c>
      <x:c r="Q932" s="137" t="str"/>
    </x:row>
    <x:row r="933">
      <x:c r="A933" s="137" t="str">
        <x:v>BOM-00929</x:v>
      </x:c>
      <x:c r="B933" s="137" t="str">
        <x:v>PERCY</x:v>
      </x:c>
      <x:c r="C933" s="137" t="str">
        <x:v>PER ORDER (V/L)</x:v>
      </x:c>
      <x:c r="D933" s="137" t="str">
        <x:v>6X8</x:v>
      </x:c>
      <x:c r="E933" s="137" t="str">
        <x:v>PACKING</x:v>
      </x:c>
      <x:c r="F933" s="137" t="str">
        <x:v>CTN TAPE (1 CTN)||MTR</x:v>
      </x:c>
      <x:c r="G933" s="137" t="str">
        <x:v>Ctn Tape (1 Ctn)</x:v>
      </x:c>
      <x:c r="H933" s="137" t="str">
        <x:v>MTR</x:v>
      </x:c>
      <x:c r="I933" s="175" t="n">
        <x:v>0.5</x:v>
      </x:c>
      <x:c r="J933" s="176" t="str"/>
      <x:c r="K933" s="177" t="str"/>
      <x:c r="L933" s="178" t="str">
        <x:f>IF(J933="","",J933*(1+IF(K933="",0,K933)) )</x:f>
      </x:c>
      <x:c r="M933" s="138" t="str"/>
      <x:c r="N933" s="137" t="str">
        <x:v>Current model BOM seed</x:v>
      </x:c>
      <x:c r="O933" s="137" t="str"/>
      <x:c r="P933" s="137" t="str">
        <x:v>To Confirm</x:v>
      </x:c>
      <x:c r="Q933" s="137" t="str"/>
    </x:row>
    <x:row r="934">
      <x:c r="A934" s="137" t="str">
        <x:v>BOM-00930</x:v>
      </x:c>
      <x:c r="B934" s="137" t="str">
        <x:v>PERCY</x:v>
      </x:c>
      <x:c r="C934" s="137" t="str">
        <x:v>PER ORDER (V/L)</x:v>
      </x:c>
      <x:c r="D934" s="137" t="str">
        <x:v>6X8</x:v>
      </x:c>
      <x:c r="E934" s="137" t="str">
        <x:v>PACKING</x:v>
      </x:c>
      <x:c r="F934" s="137" t="str">
        <x:v>STRAPING ROLL (1CTN)||MTR</x:v>
      </x:c>
      <x:c r="G934" s="137" t="str">
        <x:v>Straping Roll (1Ctn)</x:v>
      </x:c>
      <x:c r="H934" s="137" t="str">
        <x:v>MTR</x:v>
      </x:c>
      <x:c r="I934" s="175" t="n">
        <x:v>0.25</x:v>
      </x:c>
      <x:c r="J934" s="176" t="str"/>
      <x:c r="K934" s="177" t="str"/>
      <x:c r="L934" s="178" t="str">
        <x:f>IF(J934="","",J934*(1+IF(K934="",0,K934)) )</x:f>
      </x:c>
      <x:c r="M934" s="138" t="str"/>
      <x:c r="N934" s="137" t="str">
        <x:v>Current model BOM seed</x:v>
      </x:c>
      <x:c r="O934" s="137" t="str"/>
      <x:c r="P934" s="137" t="str">
        <x:v>To Confirm</x:v>
      </x:c>
      <x:c r="Q934" s="137" t="str"/>
    </x:row>
    <x:row r="935">
      <x:c r="A935" s="137" t="str">
        <x:v>BOM-00931</x:v>
      </x:c>
      <x:c r="B935" s="137" t="str">
        <x:v>PERCY</x:v>
      </x:c>
      <x:c r="C935" s="137" t="str">
        <x:v>PER ORDER (V/L)</x:v>
      </x:c>
      <x:c r="D935" s="137" t="str">
        <x:v>6X8</x:v>
      </x:c>
      <x:c r="E935" s="137" t="str">
        <x:v>STITCHING</x:v>
      </x:c>
      <x:c r="F935" s="137" t="str">
        <x:v>THREAD 3 PLY||SPOOL</x:v>
      </x:c>
      <x:c r="G935" s="137" t="str">
        <x:v>THREAD 3 PLY</x:v>
      </x:c>
      <x:c r="H935" s="137" t="str">
        <x:v>SPOOL</x:v>
      </x:c>
      <x:c r="I935" s="175" t="n">
        <x:v>33.33333333</x:v>
      </x:c>
      <x:c r="J935" s="176" t="str"/>
      <x:c r="K935" s="177" t="str"/>
      <x:c r="L935" s="178" t="str">
        <x:f>IF(J935="","",J935*(1+IF(K935="",0,K935)) )</x:f>
      </x:c>
      <x:c r="M935" s="138" t="str"/>
      <x:c r="N935" s="137" t="str">
        <x:v>Current model BOM seed</x:v>
      </x:c>
      <x:c r="O935" s="137" t="str"/>
      <x:c r="P935" s="137" t="str">
        <x:v>To Confirm</x:v>
      </x:c>
      <x:c r="Q935" s="137" t="str"/>
    </x:row>
    <x:row r="936">
      <x:c r="A936" s="137" t="str">
        <x:v>BOM-00932</x:v>
      </x:c>
      <x:c r="B936" s="137" t="str">
        <x:v>PERCY</x:v>
      </x:c>
      <x:c r="C936" s="137" t="str">
        <x:v>PER ORDER (V/L)</x:v>
      </x:c>
      <x:c r="D936" s="137" t="str">
        <x:v>6X8</x:v>
      </x:c>
      <x:c r="E936" s="137" t="str">
        <x:v>STITCHING</x:v>
      </x:c>
      <x:c r="F936" s="137" t="str">
        <x:v>SIZE LABEL||PCS</x:v>
      </x:c>
      <x:c r="G936" s="137" t="str">
        <x:v>SIZE LABEL</x:v>
      </x:c>
      <x:c r="H936" s="137" t="str">
        <x:v>PCS</x:v>
      </x:c>
      <x:c r="I936" s="175" t="n">
        <x:v>0.5</x:v>
      </x:c>
      <x:c r="J936" s="176" t="str"/>
      <x:c r="K936" s="177" t="str"/>
      <x:c r="L936" s="178" t="str">
        <x:f>IF(J936="","",J936*(1+IF(K936="",0,K936)) )</x:f>
      </x:c>
      <x:c r="M936" s="138" t="str"/>
      <x:c r="N936" s="137" t="str">
        <x:v>Current model BOM seed</x:v>
      </x:c>
      <x:c r="O936" s="137" t="str"/>
      <x:c r="P936" s="137" t="str">
        <x:v>To Confirm</x:v>
      </x:c>
      <x:c r="Q936" s="137" t="str"/>
    </x:row>
    <x:row r="937">
      <x:c r="A937" s="137" t="str">
        <x:v>BOM-00933</x:v>
      </x:c>
      <x:c r="B937" s="137" t="str">
        <x:v>PERCY</x:v>
      </x:c>
      <x:c r="C937" s="137" t="str">
        <x:v>PER ORDER (V/L)</x:v>
      </x:c>
      <x:c r="D937" s="137" t="str">
        <x:v>6X8</x:v>
      </x:c>
      <x:c r="E937" s="137" t="str">
        <x:v>STITCHING</x:v>
      </x:c>
      <x:c r="F937" s="137" t="str">
        <x:v>TOUNG LABEL SNEAKER||PCS</x:v>
      </x:c>
      <x:c r="G937" s="137" t="str">
        <x:v>TOUNG LABEL SNEAKER</x:v>
      </x:c>
      <x:c r="H937" s="137" t="str">
        <x:v>PCS</x:v>
      </x:c>
      <x:c r="I937" s="175" t="n">
        <x:v>0.5</x:v>
      </x:c>
      <x:c r="J937" s="176" t="str"/>
      <x:c r="K937" s="177" t="str"/>
      <x:c r="L937" s="178" t="str">
        <x:f>IF(J937="","",J937*(1+IF(K937="",0,K937)) )</x:f>
      </x:c>
      <x:c r="M937" s="138" t="str"/>
      <x:c r="N937" s="137" t="str">
        <x:v>Current model BOM seed</x:v>
      </x:c>
      <x:c r="O937" s="137" t="str"/>
      <x:c r="P937" s="137" t="str">
        <x:v>To Confirm</x:v>
      </x:c>
      <x:c r="Q937" s="137" t="str"/>
    </x:row>
    <x:row r="938">
      <x:c r="A938" s="137" t="str">
        <x:v>BOM-00934</x:v>
      </x:c>
      <x:c r="B938" s="137" t="str">
        <x:v>PERCY</x:v>
      </x:c>
      <x:c r="C938" s="137" t="str">
        <x:v>PER ORDER (V/L)</x:v>
      </x:c>
      <x:c r="D938" s="137" t="str">
        <x:v>6X8</x:v>
      </x:c>
      <x:c r="E938" s="137" t="str">
        <x:v>STITCHING</x:v>
      </x:c>
      <x:c r="F938" s="137" t="str">
        <x:v>PF-48||PCS</x:v>
      </x:c>
      <x:c r="G938" s="137" t="str">
        <x:v>PF-48</x:v>
      </x:c>
      <x:c r="H938" s="137" t="str">
        <x:v>PCS</x:v>
      </x:c>
      <x:c r="I938" s="175" t="n">
        <x:v>0</x:v>
      </x:c>
      <x:c r="J938" s="176" t="str"/>
      <x:c r="K938" s="177" t="str"/>
      <x:c r="L938" s="178" t="str">
        <x:f>IF(J938="","",J938*(1+IF(K938="",0,K938)) )</x:f>
      </x:c>
      <x:c r="M938" s="138" t="str"/>
      <x:c r="N938" s="137" t="str">
        <x:v>Current model BOM seed</x:v>
      </x:c>
      <x:c r="O938" s="137" t="str"/>
      <x:c r="P938" s="137" t="str">
        <x:v>To Confirm</x:v>
      </x:c>
      <x:c r="Q938" s="137" t="str"/>
    </x:row>
    <x:row r="939">
      <x:c r="A939" s="137" t="str">
        <x:v>BOM-00935</x:v>
      </x:c>
      <x:c r="B939" s="137" t="str">
        <x:v>PERCY</x:v>
      </x:c>
      <x:c r="C939" s="137" t="str">
        <x:v>PER ORDER (V/L)</x:v>
      </x:c>
      <x:c r="D939" s="137" t="str">
        <x:v>6X8</x:v>
      </x:c>
      <x:c r="E939" s="137" t="str">
        <x:v>STITCHING</x:v>
      </x:c>
      <x:c r="F939" s="137" t="str">
        <x:v>PF-3||PCS</x:v>
      </x:c>
      <x:c r="G939" s="137" t="str">
        <x:v>PF-3</x:v>
      </x:c>
      <x:c r="H939" s="137" t="str">
        <x:v>PCS</x:v>
      </x:c>
      <x:c r="I939" s="175" t="n">
        <x:v>0.25</x:v>
      </x:c>
      <x:c r="J939" s="176" t="str"/>
      <x:c r="K939" s="177" t="str"/>
      <x:c r="L939" s="178" t="str">
        <x:f>IF(J939="","",J939*(1+IF(K939="",0,K939)) )</x:f>
      </x:c>
      <x:c r="M939" s="138" t="str"/>
      <x:c r="N939" s="137" t="str">
        <x:v>Current model BOM seed</x:v>
      </x:c>
      <x:c r="O939" s="137" t="str"/>
      <x:c r="P939" s="137" t="str">
        <x:v>To Confirm</x:v>
      </x:c>
      <x:c r="Q939" s="137" t="str"/>
    </x:row>
    <x:row r="940">
      <x:c r="A940" s="137" t="str">
        <x:v>BOM-00936</x:v>
      </x:c>
      <x:c r="B940" s="137" t="str">
        <x:v>PERCY</x:v>
      </x:c>
      <x:c r="C940" s="137" t="str">
        <x:v>PER ORDER (V/L)</x:v>
      </x:c>
      <x:c r="D940" s="137" t="str">
        <x:v>6X8</x:v>
      </x:c>
      <x:c r="E940" s="137" t="str">
        <x:v>STITCHING</x:v>
      </x:c>
      <x:c r="F940" s="137" t="str">
        <x:v>VELCRO 20 MM HOOK||MTR</x:v>
      </x:c>
      <x:c r="G940" s="137" t="str">
        <x:v>VELCRO 20 MM HOOK</x:v>
      </x:c>
      <x:c r="H940" s="137" t="str">
        <x:v>MTR</x:v>
      </x:c>
      <x:c r="I940" s="175" t="n">
        <x:v>0</x:v>
      </x:c>
      <x:c r="J940" s="176" t="str"/>
      <x:c r="K940" s="177" t="str"/>
      <x:c r="L940" s="178" t="str">
        <x:f>IF(J940="","",J940*(1+IF(K940="",0,K940)) )</x:f>
      </x:c>
      <x:c r="M940" s="138" t="str"/>
      <x:c r="N940" s="137" t="str">
        <x:v>Current model BOM seed</x:v>
      </x:c>
      <x:c r="O940" s="137" t="str"/>
      <x:c r="P940" s="137" t="str">
        <x:v>To Confirm</x:v>
      </x:c>
      <x:c r="Q940" s="137" t="str"/>
    </x:row>
    <x:row r="941">
      <x:c r="A941" s="137" t="str">
        <x:v>BOM-00937</x:v>
      </x:c>
      <x:c r="B941" s="137" t="str">
        <x:v>PERCY</x:v>
      </x:c>
      <x:c r="C941" s="137" t="str">
        <x:v>PER ORDER (V/L)</x:v>
      </x:c>
      <x:c r="D941" s="137" t="str">
        <x:v>6X8</x:v>
      </x:c>
      <x:c r="E941" s="137" t="str">
        <x:v>STITCHING</x:v>
      </x:c>
      <x:c r="F941" s="137" t="str">
        <x:v>VELCRO 20 MM LOOP||MTR</x:v>
      </x:c>
      <x:c r="G941" s="137" t="str">
        <x:v>VELCRO 20 MM LOOP</x:v>
      </x:c>
      <x:c r="H941" s="137" t="str">
        <x:v>MTR</x:v>
      </x:c>
      <x:c r="I941" s="175" t="n">
        <x:v>0</x:v>
      </x:c>
      <x:c r="J941" s="176" t="str"/>
      <x:c r="K941" s="177" t="str"/>
      <x:c r="L941" s="178" t="str">
        <x:f>IF(J941="","",J941*(1+IF(K941="",0,K941)) )</x:f>
      </x:c>
      <x:c r="M941" s="138" t="str"/>
      <x:c r="N941" s="137" t="str">
        <x:v>Current model BOM seed</x:v>
      </x:c>
      <x:c r="O941" s="137" t="str"/>
      <x:c r="P941" s="137" t="str">
        <x:v>To Confirm</x:v>
      </x:c>
      <x:c r="Q941" s="137" t="str"/>
    </x:row>
    <x:row r="942">
      <x:c r="A942" s="137" t="str">
        <x:v>BOM-00938</x:v>
      </x:c>
      <x:c r="B942" s="137" t="str">
        <x:v>PERCY</x:v>
      </x:c>
      <x:c r="C942" s="137" t="str">
        <x:v>PER ORDER (V/L)</x:v>
      </x:c>
      <x:c r="D942" s="137" t="str">
        <x:v>6X8</x:v>
      </x:c>
      <x:c r="E942" s="137" t="str">
        <x:v>STITCHING</x:v>
      </x:c>
      <x:c r="F942" s="137" t="str">
        <x:v>VELCRO 25 MM HOOK||MTR</x:v>
      </x:c>
      <x:c r="G942" s="137" t="str">
        <x:v>VELCRO 25 MM HOOK</x:v>
      </x:c>
      <x:c r="H942" s="137" t="str">
        <x:v>MTR</x:v>
      </x:c>
      <x:c r="I942" s="175" t="n">
        <x:v>2.5</x:v>
      </x:c>
      <x:c r="J942" s="176" t="str"/>
      <x:c r="K942" s="177" t="str"/>
      <x:c r="L942" s="178" t="str">
        <x:f>IF(J942="","",J942*(1+IF(K942="",0,K942)) )</x:f>
      </x:c>
      <x:c r="M942" s="138" t="str"/>
      <x:c r="N942" s="137" t="str">
        <x:v>Current model BOM seed</x:v>
      </x:c>
      <x:c r="O942" s="137" t="str"/>
      <x:c r="P942" s="137" t="str">
        <x:v>To Confirm</x:v>
      </x:c>
      <x:c r="Q942" s="137" t="str"/>
    </x:row>
    <x:row r="943">
      <x:c r="A943" s="137" t="str">
        <x:v>BOM-00939</x:v>
      </x:c>
      <x:c r="B943" s="137" t="str">
        <x:v>PERCY</x:v>
      </x:c>
      <x:c r="C943" s="137" t="str">
        <x:v>PER ORDER (V/L)</x:v>
      </x:c>
      <x:c r="D943" s="137" t="str">
        <x:v>6X8</x:v>
      </x:c>
      <x:c r="E943" s="137" t="str">
        <x:v>STITCHING</x:v>
      </x:c>
      <x:c r="F943" s="137" t="str">
        <x:v>VELCRO 25 MM LOOP||MTR</x:v>
      </x:c>
      <x:c r="G943" s="137" t="str">
        <x:v>VELCRO 25 MM LOOP</x:v>
      </x:c>
      <x:c r="H943" s="137" t="str">
        <x:v>MTR</x:v>
      </x:c>
      <x:c r="I943" s="175" t="n">
        <x:v>2.5</x:v>
      </x:c>
      <x:c r="J943" s="176" t="str"/>
      <x:c r="K943" s="177" t="str"/>
      <x:c r="L943" s="178" t="str">
        <x:f>IF(J943="","",J943*(1+IF(K943="",0,K943)) )</x:f>
      </x:c>
      <x:c r="M943" s="138" t="str"/>
      <x:c r="N943" s="137" t="str">
        <x:v>Current model BOM seed</x:v>
      </x:c>
      <x:c r="O943" s="137" t="str"/>
      <x:c r="P943" s="137" t="str">
        <x:v>To Confirm</x:v>
      </x:c>
      <x:c r="Q943" s="137" t="str"/>
    </x:row>
    <x:row r="944">
      <x:c r="A944" s="137" t="str">
        <x:v>BOM-00940</x:v>
      </x:c>
      <x:c r="B944" s="137" t="str">
        <x:v>PERCY</x:v>
      </x:c>
      <x:c r="C944" s="137" t="str">
        <x:v>PER ORDER (V/L)</x:v>
      </x:c>
      <x:c r="D944" s="137" t="str">
        <x:v>6X8</x:v>
      </x:c>
      <x:c r="E944" s="137" t="str">
        <x:v>STITCHING</x:v>
      </x:c>
      <x:c r="F944" s="137" t="str">
        <x:v>PP BAG||PCS</x:v>
      </x:c>
      <x:c r="G944" s="137" t="str">
        <x:v>Pp Bag</x:v>
      </x:c>
      <x:c r="H944" s="137" t="str">
        <x:v>PCS</x:v>
      </x:c>
      <x:c r="I944" s="175" t="n">
        <x:v>0</x:v>
      </x:c>
      <x:c r="J944" s="176" t="str"/>
      <x:c r="K944" s="177" t="str"/>
      <x:c r="L944" s="178" t="str">
        <x:f>IF(J944="","",J944*(1+IF(K944="",0,K944)) )</x:f>
      </x:c>
      <x:c r="M944" s="138" t="str"/>
      <x:c r="N944" s="137" t="str">
        <x:v>Current model BOM seed</x:v>
      </x:c>
      <x:c r="O944" s="137" t="str"/>
      <x:c r="P944" s="137" t="str">
        <x:v>To Confirm</x:v>
      </x:c>
      <x:c r="Q944" s="137" t="str"/>
    </x:row>
    <x:row r="945">
      <x:c r="A945" s="137" t="str">
        <x:v>BOM-00941</x:v>
      </x:c>
      <x:c r="B945" s="137" t="str">
        <x:v>PERCY</x:v>
      </x:c>
      <x:c r="C945" s="137" t="str">
        <x:v>PER ORDER (V/L)</x:v>
      </x:c>
      <x:c r="D945" s="137" t="str">
        <x:v>6X8</x:v>
      </x:c>
      <x:c r="E945" s="137" t="str">
        <x:v>STITCHING</x:v>
      </x:c>
      <x:c r="F945" s="137" t="str">
        <x:v>BACK TAPE 14 MM||MTR</x:v>
      </x:c>
      <x:c r="G945" s="137" t="str">
        <x:v>BACK TAPE 14 MM</x:v>
      </x:c>
      <x:c r="H945" s="137" t="str">
        <x:v>MTR</x:v>
      </x:c>
      <x:c r="I945" s="175" t="n">
        <x:v>6.66666667</x:v>
      </x:c>
      <x:c r="J945" s="176" t="str"/>
      <x:c r="K945" s="177" t="str"/>
      <x:c r="L945" s="178" t="str">
        <x:f>IF(J945="","",J945*(1+IF(K945="",0,K945)) )</x:f>
      </x:c>
      <x:c r="M945" s="138" t="str"/>
      <x:c r="N945" s="137" t="str">
        <x:v>Current model BOM seed</x:v>
      </x:c>
      <x:c r="O945" s="137" t="str"/>
      <x:c r="P945" s="137" t="str">
        <x:v>To Confirm</x:v>
      </x:c>
      <x:c r="Q945" s="137" t="str"/>
    </x:row>
    <x:row r="946">
      <x:c r="A946" s="137" t="str">
        <x:v>BOM-00942</x:v>
      </x:c>
      <x:c r="B946" s="137" t="str">
        <x:v>PERCY</x:v>
      </x:c>
      <x:c r="C946" s="137" t="str">
        <x:v>PER ORDER (V/L)</x:v>
      </x:c>
      <x:c r="D946" s="137" t="str">
        <x:v>6X8</x:v>
      </x:c>
      <x:c r="E946" s="137" t="str">
        <x:v>STITCHING</x:v>
      </x:c>
      <x:c r="F946" s="137" t="str">
        <x:v>POLYESTER BINDING 12 MM||MTR</x:v>
      </x:c>
      <x:c r="G946" s="137" t="str">
        <x:v>POLYESTER BINDING 12 MM</x:v>
      </x:c>
      <x:c r="H946" s="137" t="str">
        <x:v>MTR</x:v>
      </x:c>
      <x:c r="I946" s="175" t="n">
        <x:v>14.28571429</x:v>
      </x:c>
      <x:c r="J946" s="176" t="str"/>
      <x:c r="K946" s="177" t="str"/>
      <x:c r="L946" s="178" t="str">
        <x:f>IF(J946="","",J946*(1+IF(K946="",0,K946)) )</x:f>
      </x:c>
      <x:c r="M946" s="138" t="str"/>
      <x:c r="N946" s="137" t="str">
        <x:v>Current model BOM seed</x:v>
      </x:c>
      <x:c r="O946" s="137" t="str"/>
      <x:c r="P946" s="137" t="str">
        <x:v>To Confirm</x:v>
      </x:c>
      <x:c r="Q946" s="137" t="str"/>
    </x:row>
    <x:row r="947">
      <x:c r="A947" s="137" t="str">
        <x:v>BOM-00943</x:v>
      </x:c>
      <x:c r="B947" s="137" t="str">
        <x:v>PERCY</x:v>
      </x:c>
      <x:c r="C947" s="137" t="str">
        <x:v>PER ORDER (V/L)</x:v>
      </x:c>
      <x:c r="D947" s="137" t="str">
        <x:v>9X12</x:v>
      </x:c>
      <x:c r="E947" s="137" t="str">
        <x:v>CUTTING</x:v>
      </x:c>
      <x:c r="F947" s="137" t="str">
        <x:v>MESH 58"||MTR</x:v>
      </x:c>
      <x:c r="G947" s="137" t="str">
        <x:v>Mesh 58"</x:v>
      </x:c>
      <x:c r="H947" s="137" t="str">
        <x:v>MTR</x:v>
      </x:c>
      <x:c r="I947" s="175" t="n">
        <x:v>0.13412816</x:v>
      </x:c>
      <x:c r="J947" s="176" t="str"/>
      <x:c r="K947" s="177" t="str"/>
      <x:c r="L947" s="178" t="str">
        <x:f>IF(J947="","",J947*(1+IF(K947="",0,K947)) )</x:f>
      </x:c>
      <x:c r="M947" s="138" t="str"/>
      <x:c r="N947" s="137" t="str">
        <x:v>Current model BOM seed</x:v>
      </x:c>
      <x:c r="O947" s="137" t="str"/>
      <x:c r="P947" s="137" t="str">
        <x:v>To Confirm</x:v>
      </x:c>
      <x:c r="Q947" s="137" t="str"/>
    </x:row>
    <x:row r="948">
      <x:c r="A948" s="137" t="str">
        <x:v>BOM-00944</x:v>
      </x:c>
      <x:c r="B948" s="137" t="str">
        <x:v>PERCY</x:v>
      </x:c>
      <x:c r="C948" s="137" t="str">
        <x:v>PER ORDER (V/L)</x:v>
      </x:c>
      <x:c r="D948" s="137" t="str">
        <x:v>9X12</x:v>
      </x:c>
      <x:c r="E948" s="137" t="str">
        <x:v>CUTTING</x:v>
      </x:c>
      <x:c r="F948" s="137" t="str">
        <x:v>SKINFIT 60"||MTR</x:v>
      </x:c>
      <x:c r="G948" s="137" t="str">
        <x:v>Skinfit 60"</x:v>
      </x:c>
      <x:c r="H948" s="137" t="str">
        <x:v>MTR</x:v>
      </x:c>
      <x:c r="I948" s="175" t="n">
        <x:v>0.07454585</x:v>
      </x:c>
      <x:c r="J948" s="176" t="str"/>
      <x:c r="K948" s="177" t="str"/>
      <x:c r="L948" s="178" t="str">
        <x:f>IF(J948="","",J948*(1+IF(K948="",0,K948)) )</x:f>
      </x:c>
      <x:c r="M948" s="138" t="str"/>
      <x:c r="N948" s="137" t="str">
        <x:v>Current model BOM seed</x:v>
      </x:c>
      <x:c r="O948" s="137" t="str"/>
      <x:c r="P948" s="137" t="str">
        <x:v>To Confirm</x:v>
      </x:c>
      <x:c r="Q948" s="137" t="str"/>
    </x:row>
    <x:row r="949">
      <x:c r="A949" s="137" t="str">
        <x:v>BOM-00945</x:v>
      </x:c>
      <x:c r="B949" s="137" t="str">
        <x:v>PERCY</x:v>
      </x:c>
      <x:c r="C949" s="137" t="str">
        <x:v>PER ORDER (V/L)</x:v>
      </x:c>
      <x:c r="D949" s="137" t="str">
        <x:v>9X12</x:v>
      </x:c>
      <x:c r="E949" s="137" t="str">
        <x:v>CUTTING</x:v>
      </x:c>
      <x:c r="F949" s="137" t="str">
        <x:v>REXINE 54"||MTR</x:v>
      </x:c>
      <x:c r="G949" s="137" t="str">
        <x:v>Rexine 54"</x:v>
      </x:c>
      <x:c r="H949" s="137" t="str">
        <x:v>MTR</x:v>
      </x:c>
      <x:c r="I949" s="175" t="n">
        <x:v>0.0956253</x:v>
      </x:c>
      <x:c r="J949" s="176" t="str"/>
      <x:c r="K949" s="177" t="str"/>
      <x:c r="L949" s="178" t="str">
        <x:f>IF(J949="","",J949*(1+IF(K949="",0,K949)) )</x:f>
      </x:c>
      <x:c r="M949" s="138" t="str"/>
      <x:c r="N949" s="137" t="str">
        <x:v>Current model BOM seed</x:v>
      </x:c>
      <x:c r="O949" s="137" t="str"/>
      <x:c r="P949" s="137" t="str">
        <x:v>To Confirm</x:v>
      </x:c>
      <x:c r="Q949" s="137" t="str"/>
    </x:row>
    <x:row r="950">
      <x:c r="A950" s="137" t="str">
        <x:v>BOM-00946</x:v>
      </x:c>
      <x:c r="B950" s="137" t="str">
        <x:v>PERCY</x:v>
      </x:c>
      <x:c r="C950" s="137" t="str">
        <x:v>PER ORDER (V/L)</x:v>
      </x:c>
      <x:c r="D950" s="137" t="str">
        <x:v>9X12</x:v>
      </x:c>
      <x:c r="E950" s="137" t="str">
        <x:v>CUTTING</x:v>
      </x:c>
      <x:c r="F950" s="137" t="str">
        <x:v>SHEET 1.4MM||SHEET</x:v>
      </x:c>
      <x:c r="G950" s="137" t="str">
        <x:v>Sheet 1.4Mm</x:v>
      </x:c>
      <x:c r="H950" s="137" t="str">
        <x:v>SHEET</x:v>
      </x:c>
      <x:c r="I950" s="175" t="n">
        <x:v>0.01333333</x:v>
      </x:c>
      <x:c r="J950" s="176" t="str"/>
      <x:c r="K950" s="177" t="str"/>
      <x:c r="L950" s="178" t="str">
        <x:f>IF(J950="","",J950*(1+IF(K950="",0,K950)) )</x:f>
      </x:c>
      <x:c r="M950" s="138" t="str"/>
      <x:c r="N950" s="137" t="str">
        <x:v>Current model BOM seed</x:v>
      </x:c>
      <x:c r="O950" s="137" t="str"/>
      <x:c r="P950" s="137" t="str">
        <x:v>To Confirm</x:v>
      </x:c>
      <x:c r="Q950" s="137" t="str"/>
    </x:row>
    <x:row r="951">
      <x:c r="A951" s="137" t="str">
        <x:v>BOM-00947</x:v>
      </x:c>
      <x:c r="B951" s="137" t="str">
        <x:v>PERCY</x:v>
      </x:c>
      <x:c r="C951" s="137" t="str">
        <x:v>PER ORDER (V/L)</x:v>
      </x:c>
      <x:c r="D951" s="137" t="str">
        <x:v>9X12</x:v>
      </x:c>
      <x:c r="E951" s="137" t="str">
        <x:v>CUTTING</x:v>
      </x:c>
      <x:c r="F951" s="137" t="str">
        <x:v>SHEET 0.8MM||SHEET</x:v>
      </x:c>
      <x:c r="G951" s="137" t="str">
        <x:v>Sheet 0.8Mm</x:v>
      </x:c>
      <x:c r="H951" s="137" t="str">
        <x:v>SHEET</x:v>
      </x:c>
      <x:c r="I951" s="175" t="n">
        <x:v>0.01680672</x:v>
      </x:c>
      <x:c r="J951" s="176" t="str"/>
      <x:c r="K951" s="177" t="str"/>
      <x:c r="L951" s="178" t="str">
        <x:f>IF(J951="","",J951*(1+IF(K951="",0,K951)) )</x:f>
      </x:c>
      <x:c r="M951" s="138" t="str"/>
      <x:c r="N951" s="137" t="str">
        <x:v>Current model BOM seed</x:v>
      </x:c>
      <x:c r="O951" s="137" t="str"/>
      <x:c r="P951" s="137" t="str">
        <x:v>To Confirm</x:v>
      </x:c>
      <x:c r="Q951" s="137" t="str"/>
    </x:row>
    <x:row r="952">
      <x:c r="A952" s="137" t="str">
        <x:v>BOM-00948</x:v>
      </x:c>
      <x:c r="B952" s="137" t="str">
        <x:v>PERCY</x:v>
      </x:c>
      <x:c r="C952" s="137" t="str">
        <x:v>PER ORDER (V/L)</x:v>
      </x:c>
      <x:c r="D952" s="137" t="str">
        <x:v>9X12</x:v>
      </x:c>
      <x:c r="E952" s="137" t="str">
        <x:v>CUTTING</x:v>
      </x:c>
      <x:c r="F952" s="137" t="str">
        <x:v>SHEET 20MM||SHEET</x:v>
      </x:c>
      <x:c r="G952" s="137" t="str">
        <x:v>Sheet 20Mm</x:v>
      </x:c>
      <x:c r="H952" s="137" t="str">
        <x:v>SHEET</x:v>
      </x:c>
      <x:c r="I952" s="175" t="n">
        <x:v>0.01666667</x:v>
      </x:c>
      <x:c r="J952" s="176" t="str"/>
      <x:c r="K952" s="177" t="str"/>
      <x:c r="L952" s="178" t="str">
        <x:f>IF(J952="","",J952*(1+IF(K952="",0,K952)) )</x:f>
      </x:c>
      <x:c r="M952" s="138" t="str"/>
      <x:c r="N952" s="137" t="str">
        <x:v>Current model BOM seed</x:v>
      </x:c>
      <x:c r="O952" s="137" t="str"/>
      <x:c r="P952" s="137" t="str">
        <x:v>To Confirm</x:v>
      </x:c>
      <x:c r="Q952" s="137" t="str"/>
    </x:row>
    <x:row r="953">
      <x:c r="A953" s="137" t="str">
        <x:v>BOM-00949</x:v>
      </x:c>
      <x:c r="B953" s="137" t="str">
        <x:v>PERCY</x:v>
      </x:c>
      <x:c r="C953" s="137" t="str">
        <x:v>PER ORDER (V/L)</x:v>
      </x:c>
      <x:c r="D953" s="137" t="str">
        <x:v>9X12</x:v>
      </x:c>
      <x:c r="E953" s="137" t="str">
        <x:v>CUTTING</x:v>
      </x:c>
      <x:c r="F953" s="137" t="str">
        <x:v>INSOLE||PAIR</x:v>
      </x:c>
      <x:c r="G953" s="137" t="str">
        <x:v>INSOLE</x:v>
      </x:c>
      <x:c r="H953" s="137" t="str">
        <x:v>PAIR</x:v>
      </x:c>
      <x:c r="I953" s="175" t="n">
        <x:v>2</x:v>
      </x:c>
      <x:c r="J953" s="176" t="str"/>
      <x:c r="K953" s="177" t="str"/>
      <x:c r="L953" s="178" t="str">
        <x:f>IF(J953="","",J953*(1+IF(K953="",0,K953)) )</x:f>
      </x:c>
      <x:c r="M953" s="138" t="str"/>
      <x:c r="N953" s="137" t="str">
        <x:v>Current model BOM seed</x:v>
      </x:c>
      <x:c r="O953" s="137" t="str"/>
      <x:c r="P953" s="137" t="str">
        <x:v>To Confirm</x:v>
      </x:c>
      <x:c r="Q953" s="137" t="str"/>
    </x:row>
    <x:row r="954">
      <x:c r="A954" s="137" t="str">
        <x:v>BOM-00950</x:v>
      </x:c>
      <x:c r="B954" s="137" t="str">
        <x:v>PERCY</x:v>
      </x:c>
      <x:c r="C954" s="137" t="str">
        <x:v>PER ORDER (V/L)</x:v>
      </x:c>
      <x:c r="D954" s="137" t="str">
        <x:v>9X12</x:v>
      </x:c>
      <x:c r="E954" s="137" t="str">
        <x:v>MOLDING</x:v>
      </x:c>
      <x:c r="F954" s="137" t="str">
        <x:v>SOLE 1231 EVA||PAIR</x:v>
      </x:c>
      <x:c r="G954" s="137" t="str">
        <x:v>Sole 1231 EVA</x:v>
      </x:c>
      <x:c r="H954" s="137" t="str">
        <x:v>PAIR</x:v>
      </x:c>
      <x:c r="I954" s="175" t="n">
        <x:v>2</x:v>
      </x:c>
      <x:c r="J954" s="176" t="str"/>
      <x:c r="K954" s="177" t="str"/>
      <x:c r="L954" s="178" t="str">
        <x:f>IF(J954="","",J954*(1+IF(K954="",0,K954)) )</x:f>
      </x:c>
      <x:c r="M954" s="138" t="str"/>
      <x:c r="N954" s="137" t="str">
        <x:v>Current model BOM seed</x:v>
      </x:c>
      <x:c r="O954" s="137" t="str"/>
      <x:c r="P954" s="137" t="str">
        <x:v>To Confirm</x:v>
      </x:c>
      <x:c r="Q954" s="137" t="str"/>
    </x:row>
    <x:row r="955">
      <x:c r="A955" s="137" t="str">
        <x:v>BOM-00951</x:v>
      </x:c>
      <x:c r="B955" s="137" t="str">
        <x:v>PERCY</x:v>
      </x:c>
      <x:c r="C955" s="137" t="str">
        <x:v>PER ORDER (V/L)</x:v>
      </x:c>
      <x:c r="D955" s="137" t="str">
        <x:v>9X12</x:v>
      </x:c>
      <x:c r="E955" s="137" t="str">
        <x:v>PACKING</x:v>
      </x:c>
      <x:c r="F955" s="137" t="str">
        <x:v>TISSUE PAPER||PCS</x:v>
      </x:c>
      <x:c r="G955" s="137" t="str">
        <x:v>Tissue Paper</x:v>
      </x:c>
      <x:c r="H955" s="137" t="str">
        <x:v>PCS</x:v>
      </x:c>
      <x:c r="I955" s="175" t="n">
        <x:v>0.25</x:v>
      </x:c>
      <x:c r="J955" s="176" t="str"/>
      <x:c r="K955" s="177" t="str"/>
      <x:c r="L955" s="178" t="str">
        <x:f>IF(J955="","",J955*(1+IF(K955="",0,K955)) )</x:f>
      </x:c>
      <x:c r="M955" s="138" t="str"/>
      <x:c r="N955" s="137" t="str">
        <x:v>Current model BOM seed</x:v>
      </x:c>
      <x:c r="O955" s="137" t="str"/>
      <x:c r="P955" s="137" t="str">
        <x:v>To Confirm</x:v>
      </x:c>
      <x:c r="Q955" s="137" t="str"/>
    </x:row>
    <x:row r="956">
      <x:c r="A956" s="137" t="str">
        <x:v>BOM-00952</x:v>
      </x:c>
      <x:c r="B956" s="137" t="str">
        <x:v>PERCY</x:v>
      </x:c>
      <x:c r="C956" s="137" t="str">
        <x:v>PER ORDER (V/L)</x:v>
      </x:c>
      <x:c r="D956" s="137" t="str">
        <x:v>9X12</x:v>
      </x:c>
      <x:c r="E956" s="137" t="str">
        <x:v>PACKING</x:v>
      </x:c>
      <x:c r="F956" s="137" t="str">
        <x:v>SHOE SHINER||GRAM</x:v>
      </x:c>
      <x:c r="G956" s="137" t="str">
        <x:v>Shoe Shiner</x:v>
      </x:c>
      <x:c r="H956" s="137" t="str">
        <x:v>GRAM</x:v>
      </x:c>
      <x:c r="I956" s="175" t="n">
        <x:v>0.06666667</x:v>
      </x:c>
      <x:c r="J956" s="176" t="str"/>
      <x:c r="K956" s="177" t="str"/>
      <x:c r="L956" s="178" t="str">
        <x:f>IF(J956="","",J956*(1+IF(K956="",0,K956)) )</x:f>
      </x:c>
      <x:c r="M956" s="138" t="str"/>
      <x:c r="N956" s="137" t="str">
        <x:v>Current model BOM seed</x:v>
      </x:c>
      <x:c r="O956" s="137" t="str"/>
      <x:c r="P956" s="137" t="str">
        <x:v>To Confirm</x:v>
      </x:c>
      <x:c r="Q956" s="137" t="str"/>
    </x:row>
    <x:row r="957">
      <x:c r="A957" s="137" t="str">
        <x:v>BOM-00953</x:v>
      </x:c>
      <x:c r="B957" s="137" t="str">
        <x:v>PERCY</x:v>
      </x:c>
      <x:c r="C957" s="137" t="str">
        <x:v>PER ORDER (V/L)</x:v>
      </x:c>
      <x:c r="D957" s="137" t="str">
        <x:v>9X12</x:v>
      </x:c>
      <x:c r="E957" s="137" t="str">
        <x:v>PACKING</x:v>
      </x:c>
      <x:c r="F957" s="137" t="str">
        <x:v>EMYLE||GRAM</x:v>
      </x:c>
      <x:c r="G957" s="137" t="str">
        <x:v>EMYLE</x:v>
      </x:c>
      <x:c r="H957" s="137" t="str">
        <x:v>GRAM</x:v>
      </x:c>
      <x:c r="I957" s="175" t="n">
        <x:v>0.07142857</x:v>
      </x:c>
      <x:c r="J957" s="176" t="str"/>
      <x:c r="K957" s="177" t="str"/>
      <x:c r="L957" s="178" t="str">
        <x:f>IF(J957="","",J957*(1+IF(K957="",0,K957)) )</x:f>
      </x:c>
      <x:c r="M957" s="138" t="str"/>
      <x:c r="N957" s="137" t="str">
        <x:v>Current model BOM seed</x:v>
      </x:c>
      <x:c r="O957" s="137" t="str"/>
      <x:c r="P957" s="137" t="str">
        <x:v>To Confirm</x:v>
      </x:c>
      <x:c r="Q957" s="137" t="str"/>
    </x:row>
    <x:row r="958">
      <x:c r="A958" s="137" t="str">
        <x:v>BOM-00954</x:v>
      </x:c>
      <x:c r="B958" s="137" t="str">
        <x:v>PERCY</x:v>
      </x:c>
      <x:c r="C958" s="137" t="str">
        <x:v>PER ORDER (V/L)</x:v>
      </x:c>
      <x:c r="D958" s="137" t="str">
        <x:v>9X12</x:v>
      </x:c>
      <x:c r="E958" s="137" t="str">
        <x:v>PACKING</x:v>
      </x:c>
      <x:c r="F958" s="137" t="str">
        <x:v>TAG PIN||PCS</x:v>
      </x:c>
      <x:c r="G958" s="137" t="str">
        <x:v>Tag Pin</x:v>
      </x:c>
      <x:c r="H958" s="137" t="str">
        <x:v>PCS</x:v>
      </x:c>
      <x:c r="I958" s="175" t="n">
        <x:v>1</x:v>
      </x:c>
      <x:c r="J958" s="176" t="str"/>
      <x:c r="K958" s="177" t="str"/>
      <x:c r="L958" s="178" t="str">
        <x:f>IF(J958="","",J958*(1+IF(K958="",0,K958)) )</x:f>
      </x:c>
      <x:c r="M958" s="138" t="str"/>
      <x:c r="N958" s="137" t="str">
        <x:v>Current model BOM seed</x:v>
      </x:c>
      <x:c r="O958" s="137" t="str"/>
      <x:c r="P958" s="137" t="str">
        <x:v>To Confirm</x:v>
      </x:c>
      <x:c r="Q958" s="137" t="str"/>
    </x:row>
    <x:row r="959">
      <x:c r="A959" s="137" t="str">
        <x:v>BOM-00955</x:v>
      </x:c>
      <x:c r="B959" s="137" t="str">
        <x:v>PERCY</x:v>
      </x:c>
      <x:c r="C959" s="137" t="str">
        <x:v>PER ORDER (V/L)</x:v>
      </x:c>
      <x:c r="D959" s="137" t="str">
        <x:v>9X12</x:v>
      </x:c>
      <x:c r="E959" s="137" t="str">
        <x:v>PACKING</x:v>
      </x:c>
      <x:c r="F959" s="137" t="str">
        <x:v>TAG CARD||PCS</x:v>
      </x:c>
      <x:c r="G959" s="137" t="str">
        <x:v>Tag Card</x:v>
      </x:c>
      <x:c r="H959" s="137" t="str">
        <x:v>PCS</x:v>
      </x:c>
      <x:c r="I959" s="175" t="n">
        <x:v>1</x:v>
      </x:c>
      <x:c r="J959" s="176" t="str"/>
      <x:c r="K959" s="177" t="str"/>
      <x:c r="L959" s="178" t="str">
        <x:f>IF(J959="","",J959*(1+IF(K959="",0,K959)) )</x:f>
      </x:c>
      <x:c r="M959" s="138" t="str"/>
      <x:c r="N959" s="137" t="str">
        <x:v>Current model BOM seed</x:v>
      </x:c>
      <x:c r="O959" s="137" t="str"/>
      <x:c r="P959" s="137" t="str">
        <x:v>To Confirm</x:v>
      </x:c>
      <x:c r="Q959" s="137" t="str"/>
    </x:row>
    <x:row r="960">
      <x:c r="A960" s="137" t="str">
        <x:v>BOM-00956</x:v>
      </x:c>
      <x:c r="B960" s="137" t="str">
        <x:v>PERCY</x:v>
      </x:c>
      <x:c r="C960" s="137" t="str">
        <x:v>PER ORDER (V/L)</x:v>
      </x:c>
      <x:c r="D960" s="137" t="str">
        <x:v>9X12</x:v>
      </x:c>
      <x:c r="E960" s="137" t="str">
        <x:v>PACKING</x:v>
      </x:c>
      <x:c r="F960" s="137" t="str">
        <x:v>WRAPING PAPER||PCS</x:v>
      </x:c>
      <x:c r="G960" s="137" t="str">
        <x:v>Wraping Paper</x:v>
      </x:c>
      <x:c r="H960" s="137" t="str">
        <x:v>PCS</x:v>
      </x:c>
      <x:c r="I960" s="175" t="n">
        <x:v>1</x:v>
      </x:c>
      <x:c r="J960" s="176" t="str"/>
      <x:c r="K960" s="177" t="str"/>
      <x:c r="L960" s="178" t="str">
        <x:f>IF(J960="","",J960*(1+IF(K960="",0,K960)) )</x:f>
      </x:c>
      <x:c r="M960" s="138" t="str"/>
      <x:c r="N960" s="137" t="str">
        <x:v>Current model BOM seed</x:v>
      </x:c>
      <x:c r="O960" s="137" t="str"/>
      <x:c r="P960" s="137" t="str">
        <x:v>To Confirm</x:v>
      </x:c>
      <x:c r="Q960" s="137" t="str"/>
    </x:row>
    <x:row r="961">
      <x:c r="A961" s="137" t="str">
        <x:v>BOM-00957</x:v>
      </x:c>
      <x:c r="B961" s="137" t="str">
        <x:v>PERCY</x:v>
      </x:c>
      <x:c r="C961" s="137" t="str">
        <x:v>PER ORDER (V/L)</x:v>
      </x:c>
      <x:c r="D961" s="137" t="str">
        <x:v>9X12</x:v>
      </x:c>
      <x:c r="E961" s="137" t="str">
        <x:v>PACKING</x:v>
      </x:c>
      <x:c r="F961" s="137" t="str">
        <x:v>INNER||PCS</x:v>
      </x:c>
      <x:c r="G961" s="137" t="str">
        <x:v>INNER</x:v>
      </x:c>
      <x:c r="H961" s="137" t="str">
        <x:v>PCS</x:v>
      </x:c>
      <x:c r="I961" s="175" t="n">
        <x:v>1</x:v>
      </x:c>
      <x:c r="J961" s="176" t="str"/>
      <x:c r="K961" s="177" t="str"/>
      <x:c r="L961" s="178" t="str">
        <x:f>IF(J961="","",J961*(1+IF(K961="",0,K961)) )</x:f>
      </x:c>
      <x:c r="M961" s="138" t="str"/>
      <x:c r="N961" s="137" t="str">
        <x:v>Current model BOM seed</x:v>
      </x:c>
      <x:c r="O961" s="137" t="str"/>
      <x:c r="P961" s="137" t="str">
        <x:v>To Confirm</x:v>
      </x:c>
      <x:c r="Q961" s="137" t="str"/>
    </x:row>
    <x:row r="962">
      <x:c r="A962" s="137" t="str">
        <x:v>BOM-00958</x:v>
      </x:c>
      <x:c r="B962" s="137" t="str">
        <x:v>PERCY</x:v>
      </x:c>
      <x:c r="C962" s="137" t="str">
        <x:v>PER ORDER (V/L)</x:v>
      </x:c>
      <x:c r="D962" s="137" t="str">
        <x:v>9X12</x:v>
      </x:c>
      <x:c r="E962" s="137" t="str">
        <x:v>PACKING</x:v>
      </x:c>
      <x:c r="F962" s="137" t="str">
        <x:v>BARCODE STICKER||PCS</x:v>
      </x:c>
      <x:c r="G962" s="137" t="str">
        <x:v>Barcode Sticker</x:v>
      </x:c>
      <x:c r="H962" s="137" t="str">
        <x:v>PCS</x:v>
      </x:c>
      <x:c r="I962" s="175" t="n">
        <x:v>1</x:v>
      </x:c>
      <x:c r="J962" s="176" t="str"/>
      <x:c r="K962" s="177" t="str"/>
      <x:c r="L962" s="178" t="str">
        <x:f>IF(J962="","",J962*(1+IF(K962="",0,K962)) )</x:f>
      </x:c>
      <x:c r="M962" s="138" t="str"/>
      <x:c r="N962" s="137" t="str">
        <x:v>Current model BOM seed</x:v>
      </x:c>
      <x:c r="O962" s="137" t="str"/>
      <x:c r="P962" s="137" t="str">
        <x:v>To Confirm</x:v>
      </x:c>
      <x:c r="Q962" s="137" t="str"/>
    </x:row>
    <x:row r="963">
      <x:c r="A963" s="137" t="str">
        <x:v>BOM-00959</x:v>
      </x:c>
      <x:c r="B963" s="137" t="str">
        <x:v>PERCY</x:v>
      </x:c>
      <x:c r="C963" s="137" t="str">
        <x:v>PER ORDER (V/L)</x:v>
      </x:c>
      <x:c r="D963" s="137" t="str">
        <x:v>9X12</x:v>
      </x:c>
      <x:c r="E963" s="137" t="str">
        <x:v>PACKING</x:v>
      </x:c>
      <x:c r="F963" s="137" t="str">
        <x:v>CTN TAPE (1 CTN)||MTR</x:v>
      </x:c>
      <x:c r="G963" s="137" t="str">
        <x:v>Ctn Tape (1 Ctn)</x:v>
      </x:c>
      <x:c r="H963" s="137" t="str">
        <x:v>MTR</x:v>
      </x:c>
      <x:c r="I963" s="175" t="n">
        <x:v>0.5</x:v>
      </x:c>
      <x:c r="J963" s="176" t="str"/>
      <x:c r="K963" s="177" t="str"/>
      <x:c r="L963" s="178" t="str">
        <x:f>IF(J963="","",J963*(1+IF(K963="",0,K963)) )</x:f>
      </x:c>
      <x:c r="M963" s="138" t="str"/>
      <x:c r="N963" s="137" t="str">
        <x:v>Current model BOM seed</x:v>
      </x:c>
      <x:c r="O963" s="137" t="str"/>
      <x:c r="P963" s="137" t="str">
        <x:v>To Confirm</x:v>
      </x:c>
      <x:c r="Q963" s="137" t="str"/>
    </x:row>
    <x:row r="964">
      <x:c r="A964" s="137" t="str">
        <x:v>BOM-00960</x:v>
      </x:c>
      <x:c r="B964" s="137" t="str">
        <x:v>PERCY</x:v>
      </x:c>
      <x:c r="C964" s="137" t="str">
        <x:v>PER ORDER (V/L)</x:v>
      </x:c>
      <x:c r="D964" s="137" t="str">
        <x:v>9X12</x:v>
      </x:c>
      <x:c r="E964" s="137" t="str">
        <x:v>PACKING</x:v>
      </x:c>
      <x:c r="F964" s="137" t="str">
        <x:v>STRAPING ROLL (1CTN)||MTR</x:v>
      </x:c>
      <x:c r="G964" s="137" t="str">
        <x:v>Straping Roll (1Ctn)</x:v>
      </x:c>
      <x:c r="H964" s="137" t="str">
        <x:v>MTR</x:v>
      </x:c>
      <x:c r="I964" s="175" t="n">
        <x:v>0.25</x:v>
      </x:c>
      <x:c r="J964" s="176" t="str"/>
      <x:c r="K964" s="177" t="str"/>
      <x:c r="L964" s="178" t="str">
        <x:f>IF(J964="","",J964*(1+IF(K964="",0,K964)) )</x:f>
      </x:c>
      <x:c r="M964" s="138" t="str"/>
      <x:c r="N964" s="137" t="str">
        <x:v>Current model BOM seed</x:v>
      </x:c>
      <x:c r="O964" s="137" t="str"/>
      <x:c r="P964" s="137" t="str">
        <x:v>To Confirm</x:v>
      </x:c>
      <x:c r="Q964" s="137" t="str"/>
    </x:row>
    <x:row r="965">
      <x:c r="A965" s="137" t="str">
        <x:v>BOM-00961</x:v>
      </x:c>
      <x:c r="B965" s="137" t="str">
        <x:v>PERCY</x:v>
      </x:c>
      <x:c r="C965" s="137" t="str">
        <x:v>PER ORDER (V/L)</x:v>
      </x:c>
      <x:c r="D965" s="137" t="str">
        <x:v>9X12</x:v>
      </x:c>
      <x:c r="E965" s="137" t="str">
        <x:v>STITCHING</x:v>
      </x:c>
      <x:c r="F965" s="137" t="str">
        <x:v>THREAD 3 PLY||SPOOL</x:v>
      </x:c>
      <x:c r="G965" s="137" t="str">
        <x:v>THREAD 3 PLY</x:v>
      </x:c>
      <x:c r="H965" s="137" t="str">
        <x:v>SPOOL</x:v>
      </x:c>
      <x:c r="I965" s="175" t="n">
        <x:v>33.33333333</x:v>
      </x:c>
      <x:c r="J965" s="176" t="str"/>
      <x:c r="K965" s="177" t="str"/>
      <x:c r="L965" s="178" t="str">
        <x:f>IF(J965="","",J965*(1+IF(K965="",0,K965)) )</x:f>
      </x:c>
      <x:c r="M965" s="138" t="str"/>
      <x:c r="N965" s="137" t="str">
        <x:v>Current model BOM seed</x:v>
      </x:c>
      <x:c r="O965" s="137" t="str"/>
      <x:c r="P965" s="137" t="str">
        <x:v>To Confirm</x:v>
      </x:c>
      <x:c r="Q965" s="137" t="str"/>
    </x:row>
    <x:row r="966">
      <x:c r="A966" s="137" t="str">
        <x:v>BOM-00962</x:v>
      </x:c>
      <x:c r="B966" s="137" t="str">
        <x:v>PERCY</x:v>
      </x:c>
      <x:c r="C966" s="137" t="str">
        <x:v>PER ORDER (V/L)</x:v>
      </x:c>
      <x:c r="D966" s="137" t="str">
        <x:v>9X12</x:v>
      </x:c>
      <x:c r="E966" s="137" t="str">
        <x:v>STITCHING</x:v>
      </x:c>
      <x:c r="F966" s="137" t="str">
        <x:v>SIZE LABEL||PCS</x:v>
      </x:c>
      <x:c r="G966" s="137" t="str">
        <x:v>SIZE LABEL</x:v>
      </x:c>
      <x:c r="H966" s="137" t="str">
        <x:v>PCS</x:v>
      </x:c>
      <x:c r="I966" s="175" t="n">
        <x:v>0.5</x:v>
      </x:c>
      <x:c r="J966" s="176" t="str"/>
      <x:c r="K966" s="177" t="str"/>
      <x:c r="L966" s="178" t="str">
        <x:f>IF(J966="","",J966*(1+IF(K966="",0,K966)) )</x:f>
      </x:c>
      <x:c r="M966" s="138" t="str"/>
      <x:c r="N966" s="137" t="str">
        <x:v>Current model BOM seed</x:v>
      </x:c>
      <x:c r="O966" s="137" t="str"/>
      <x:c r="P966" s="137" t="str">
        <x:v>To Confirm</x:v>
      </x:c>
      <x:c r="Q966" s="137" t="str"/>
    </x:row>
    <x:row r="967">
      <x:c r="A967" s="137" t="str">
        <x:v>BOM-00963</x:v>
      </x:c>
      <x:c r="B967" s="137" t="str">
        <x:v>PERCY</x:v>
      </x:c>
      <x:c r="C967" s="137" t="str">
        <x:v>PER ORDER (V/L)</x:v>
      </x:c>
      <x:c r="D967" s="137" t="str">
        <x:v>9X12</x:v>
      </x:c>
      <x:c r="E967" s="137" t="str">
        <x:v>STITCHING</x:v>
      </x:c>
      <x:c r="F967" s="137" t="str">
        <x:v>TOUNG LABEL SNEAKER||PCS</x:v>
      </x:c>
      <x:c r="G967" s="137" t="str">
        <x:v>TOUNG LABEL SNEAKER</x:v>
      </x:c>
      <x:c r="H967" s="137" t="str">
        <x:v>PCS</x:v>
      </x:c>
      <x:c r="I967" s="175" t="n">
        <x:v>0.5</x:v>
      </x:c>
      <x:c r="J967" s="176" t="str"/>
      <x:c r="K967" s="177" t="str"/>
      <x:c r="L967" s="178" t="str">
        <x:f>IF(J967="","",J967*(1+IF(K967="",0,K967)) )</x:f>
      </x:c>
      <x:c r="M967" s="138" t="str"/>
      <x:c r="N967" s="137" t="str">
        <x:v>Current model BOM seed</x:v>
      </x:c>
      <x:c r="O967" s="137" t="str"/>
      <x:c r="P967" s="137" t="str">
        <x:v>To Confirm</x:v>
      </x:c>
      <x:c r="Q967" s="137" t="str"/>
    </x:row>
    <x:row r="968">
      <x:c r="A968" s="137" t="str">
        <x:v>BOM-00964</x:v>
      </x:c>
      <x:c r="B968" s="137" t="str">
        <x:v>PERCY</x:v>
      </x:c>
      <x:c r="C968" s="137" t="str">
        <x:v>PER ORDER (V/L)</x:v>
      </x:c>
      <x:c r="D968" s="137" t="str">
        <x:v>9X12</x:v>
      </x:c>
      <x:c r="E968" s="137" t="str">
        <x:v>STITCHING</x:v>
      </x:c>
      <x:c r="F968" s="137" t="str">
        <x:v>PF-48||PCS</x:v>
      </x:c>
      <x:c r="G968" s="137" t="str">
        <x:v>PF-48</x:v>
      </x:c>
      <x:c r="H968" s="137" t="str">
        <x:v>PCS</x:v>
      </x:c>
      <x:c r="I968" s="175" t="n">
        <x:v>0</x:v>
      </x:c>
      <x:c r="J968" s="176" t="str"/>
      <x:c r="K968" s="177" t="str"/>
      <x:c r="L968" s="178" t="str">
        <x:f>IF(J968="","",J968*(1+IF(K968="",0,K968)) )</x:f>
      </x:c>
      <x:c r="M968" s="138" t="str"/>
      <x:c r="N968" s="137" t="str">
        <x:v>Current model BOM seed</x:v>
      </x:c>
      <x:c r="O968" s="137" t="str"/>
      <x:c r="P968" s="137" t="str">
        <x:v>To Confirm</x:v>
      </x:c>
      <x:c r="Q968" s="137" t="str"/>
    </x:row>
    <x:row r="969">
      <x:c r="A969" s="137" t="str">
        <x:v>BOM-00965</x:v>
      </x:c>
      <x:c r="B969" s="137" t="str">
        <x:v>PERCY</x:v>
      </x:c>
      <x:c r="C969" s="137" t="str">
        <x:v>PER ORDER (V/L)</x:v>
      </x:c>
      <x:c r="D969" s="137" t="str">
        <x:v>9X12</x:v>
      </x:c>
      <x:c r="E969" s="137" t="str">
        <x:v>STITCHING</x:v>
      </x:c>
      <x:c r="F969" s="137" t="str">
        <x:v>PF-3||PCS</x:v>
      </x:c>
      <x:c r="G969" s="137" t="str">
        <x:v>PF-3</x:v>
      </x:c>
      <x:c r="H969" s="137" t="str">
        <x:v>PCS</x:v>
      </x:c>
      <x:c r="I969" s="175" t="n">
        <x:v>0.25</x:v>
      </x:c>
      <x:c r="J969" s="176" t="str"/>
      <x:c r="K969" s="177" t="str"/>
      <x:c r="L969" s="178" t="str">
        <x:f>IF(J969="","",J969*(1+IF(K969="",0,K969)) )</x:f>
      </x:c>
      <x:c r="M969" s="138" t="str"/>
      <x:c r="N969" s="137" t="str">
        <x:v>Current model BOM seed</x:v>
      </x:c>
      <x:c r="O969" s="137" t="str"/>
      <x:c r="P969" s="137" t="str">
        <x:v>To Confirm</x:v>
      </x:c>
      <x:c r="Q969" s="137" t="str"/>
    </x:row>
    <x:row r="970">
      <x:c r="A970" s="137" t="str">
        <x:v>BOM-00966</x:v>
      </x:c>
      <x:c r="B970" s="137" t="str">
        <x:v>PERCY</x:v>
      </x:c>
      <x:c r="C970" s="137" t="str">
        <x:v>PER ORDER (V/L)</x:v>
      </x:c>
      <x:c r="D970" s="137" t="str">
        <x:v>9X12</x:v>
      </x:c>
      <x:c r="E970" s="137" t="str">
        <x:v>STITCHING</x:v>
      </x:c>
      <x:c r="F970" s="137" t="str">
        <x:v>VELCRO 20 MM HOOK||MTR</x:v>
      </x:c>
      <x:c r="G970" s="137" t="str">
        <x:v>VELCRO 20 MM HOOK</x:v>
      </x:c>
      <x:c r="H970" s="137" t="str">
        <x:v>MTR</x:v>
      </x:c>
      <x:c r="I970" s="175" t="n">
        <x:v>0</x:v>
      </x:c>
      <x:c r="J970" s="176" t="str"/>
      <x:c r="K970" s="177" t="str"/>
      <x:c r="L970" s="178" t="str">
        <x:f>IF(J970="","",J970*(1+IF(K970="",0,K970)) )</x:f>
      </x:c>
      <x:c r="M970" s="138" t="str"/>
      <x:c r="N970" s="137" t="str">
        <x:v>Current model BOM seed</x:v>
      </x:c>
      <x:c r="O970" s="137" t="str"/>
      <x:c r="P970" s="137" t="str">
        <x:v>To Confirm</x:v>
      </x:c>
      <x:c r="Q970" s="137" t="str"/>
    </x:row>
    <x:row r="971">
      <x:c r="A971" s="137" t="str">
        <x:v>BOM-00967</x:v>
      </x:c>
      <x:c r="B971" s="137" t="str">
        <x:v>PERCY</x:v>
      </x:c>
      <x:c r="C971" s="137" t="str">
        <x:v>PER ORDER (V/L)</x:v>
      </x:c>
      <x:c r="D971" s="137" t="str">
        <x:v>9X12</x:v>
      </x:c>
      <x:c r="E971" s="137" t="str">
        <x:v>STITCHING</x:v>
      </x:c>
      <x:c r="F971" s="137" t="str">
        <x:v>VELCRO 20 MM LOOP||MTR</x:v>
      </x:c>
      <x:c r="G971" s="137" t="str">
        <x:v>VELCRO 20 MM LOOP</x:v>
      </x:c>
      <x:c r="H971" s="137" t="str">
        <x:v>MTR</x:v>
      </x:c>
      <x:c r="I971" s="175" t="n">
        <x:v>0</x:v>
      </x:c>
      <x:c r="J971" s="176" t="str"/>
      <x:c r="K971" s="177" t="str"/>
      <x:c r="L971" s="178" t="str">
        <x:f>IF(J971="","",J971*(1+IF(K971="",0,K971)) )</x:f>
      </x:c>
      <x:c r="M971" s="138" t="str"/>
      <x:c r="N971" s="137" t="str">
        <x:v>Current model BOM seed</x:v>
      </x:c>
      <x:c r="O971" s="137" t="str"/>
      <x:c r="P971" s="137" t="str">
        <x:v>To Confirm</x:v>
      </x:c>
      <x:c r="Q971" s="137" t="str"/>
    </x:row>
    <x:row r="972">
      <x:c r="A972" s="137" t="str">
        <x:v>BOM-00968</x:v>
      </x:c>
      <x:c r="B972" s="137" t="str">
        <x:v>PERCY</x:v>
      </x:c>
      <x:c r="C972" s="137" t="str">
        <x:v>PER ORDER (V/L)</x:v>
      </x:c>
      <x:c r="D972" s="137" t="str">
        <x:v>9X12</x:v>
      </x:c>
      <x:c r="E972" s="137" t="str">
        <x:v>STITCHING</x:v>
      </x:c>
      <x:c r="F972" s="137" t="str">
        <x:v>VELCRO 25 MM HOOK||MTR</x:v>
      </x:c>
      <x:c r="G972" s="137" t="str">
        <x:v>VELCRO 25 MM HOOK</x:v>
      </x:c>
      <x:c r="H972" s="137" t="str">
        <x:v>MTR</x:v>
      </x:c>
      <x:c r="I972" s="175" t="n">
        <x:v>2.5</x:v>
      </x:c>
      <x:c r="J972" s="176" t="str"/>
      <x:c r="K972" s="177" t="str"/>
      <x:c r="L972" s="178" t="str">
        <x:f>IF(J972="","",J972*(1+IF(K972="",0,K972)) )</x:f>
      </x:c>
      <x:c r="M972" s="138" t="str"/>
      <x:c r="N972" s="137" t="str">
        <x:v>Current model BOM seed</x:v>
      </x:c>
      <x:c r="O972" s="137" t="str"/>
      <x:c r="P972" s="137" t="str">
        <x:v>To Confirm</x:v>
      </x:c>
      <x:c r="Q972" s="137" t="str"/>
    </x:row>
    <x:row r="973">
      <x:c r="A973" s="137" t="str">
        <x:v>BOM-00969</x:v>
      </x:c>
      <x:c r="B973" s="137" t="str">
        <x:v>PERCY</x:v>
      </x:c>
      <x:c r="C973" s="137" t="str">
        <x:v>PER ORDER (V/L)</x:v>
      </x:c>
      <x:c r="D973" s="137" t="str">
        <x:v>9X12</x:v>
      </x:c>
      <x:c r="E973" s="137" t="str">
        <x:v>STITCHING</x:v>
      </x:c>
      <x:c r="F973" s="137" t="str">
        <x:v>VELCRO 25 MM LOOP||MTR</x:v>
      </x:c>
      <x:c r="G973" s="137" t="str">
        <x:v>VELCRO 25 MM LOOP</x:v>
      </x:c>
      <x:c r="H973" s="137" t="str">
        <x:v>MTR</x:v>
      </x:c>
      <x:c r="I973" s="175" t="n">
        <x:v>2.5</x:v>
      </x:c>
      <x:c r="J973" s="176" t="str"/>
      <x:c r="K973" s="177" t="str"/>
      <x:c r="L973" s="178" t="str">
        <x:f>IF(J973="","",J973*(1+IF(K973="",0,K973)) )</x:f>
      </x:c>
      <x:c r="M973" s="138" t="str"/>
      <x:c r="N973" s="137" t="str">
        <x:v>Current model BOM seed</x:v>
      </x:c>
      <x:c r="O973" s="137" t="str"/>
      <x:c r="P973" s="137" t="str">
        <x:v>To Confirm</x:v>
      </x:c>
      <x:c r="Q973" s="137" t="str"/>
    </x:row>
    <x:row r="974">
      <x:c r="A974" s="137" t="str">
        <x:v>BOM-00970</x:v>
      </x:c>
      <x:c r="B974" s="137" t="str">
        <x:v>PERCY</x:v>
      </x:c>
      <x:c r="C974" s="137" t="str">
        <x:v>PER ORDER (V/L)</x:v>
      </x:c>
      <x:c r="D974" s="137" t="str">
        <x:v>9X12</x:v>
      </x:c>
      <x:c r="E974" s="137" t="str">
        <x:v>STITCHING</x:v>
      </x:c>
      <x:c r="F974" s="137" t="str">
        <x:v>PP BAG||PCS</x:v>
      </x:c>
      <x:c r="G974" s="137" t="str">
        <x:v>Pp Bag</x:v>
      </x:c>
      <x:c r="H974" s="137" t="str">
        <x:v>PCS</x:v>
      </x:c>
      <x:c r="I974" s="175" t="n">
        <x:v>0</x:v>
      </x:c>
      <x:c r="J974" s="176" t="str"/>
      <x:c r="K974" s="177" t="str"/>
      <x:c r="L974" s="178" t="str">
        <x:f>IF(J974="","",J974*(1+IF(K974="",0,K974)) )</x:f>
      </x:c>
      <x:c r="M974" s="138" t="str"/>
      <x:c r="N974" s="137" t="str">
        <x:v>Current model BOM seed</x:v>
      </x:c>
      <x:c r="O974" s="137" t="str"/>
      <x:c r="P974" s="137" t="str">
        <x:v>To Confirm</x:v>
      </x:c>
      <x:c r="Q974" s="137" t="str"/>
    </x:row>
    <x:row r="975">
      <x:c r="A975" s="137" t="str">
        <x:v>BOM-00971</x:v>
      </x:c>
      <x:c r="B975" s="137" t="str">
        <x:v>PERCY</x:v>
      </x:c>
      <x:c r="C975" s="137" t="str">
        <x:v>PER ORDER (V/L)</x:v>
      </x:c>
      <x:c r="D975" s="137" t="str">
        <x:v>9X12</x:v>
      </x:c>
      <x:c r="E975" s="137" t="str">
        <x:v>STITCHING</x:v>
      </x:c>
      <x:c r="F975" s="137" t="str">
        <x:v>BACK TAPE 14 MM||MTR</x:v>
      </x:c>
      <x:c r="G975" s="137" t="str">
        <x:v>BACK TAPE 14 MM</x:v>
      </x:c>
      <x:c r="H975" s="137" t="str">
        <x:v>MTR</x:v>
      </x:c>
      <x:c r="I975" s="175" t="n">
        <x:v>6.66666667</x:v>
      </x:c>
      <x:c r="J975" s="176" t="str"/>
      <x:c r="K975" s="177" t="str"/>
      <x:c r="L975" s="178" t="str">
        <x:f>IF(J975="","",J975*(1+IF(K975="",0,K975)) )</x:f>
      </x:c>
      <x:c r="M975" s="138" t="str"/>
      <x:c r="N975" s="137" t="str">
        <x:v>Current model BOM seed</x:v>
      </x:c>
      <x:c r="O975" s="137" t="str"/>
      <x:c r="P975" s="137" t="str">
        <x:v>To Confirm</x:v>
      </x:c>
      <x:c r="Q975" s="137" t="str"/>
    </x:row>
    <x:row r="976">
      <x:c r="A976" s="137" t="str">
        <x:v>BOM-00972</x:v>
      </x:c>
      <x:c r="B976" s="137" t="str">
        <x:v>PERCY</x:v>
      </x:c>
      <x:c r="C976" s="137" t="str">
        <x:v>PER ORDER (V/L)</x:v>
      </x:c>
      <x:c r="D976" s="137" t="str">
        <x:v>9X12</x:v>
      </x:c>
      <x:c r="E976" s="137" t="str">
        <x:v>STITCHING</x:v>
      </x:c>
      <x:c r="F976" s="137" t="str">
        <x:v>POLYESTER BINDING 12 MM||MTR</x:v>
      </x:c>
      <x:c r="G976" s="137" t="str">
        <x:v>POLYESTER BINDING 12 MM</x:v>
      </x:c>
      <x:c r="H976" s="137" t="str">
        <x:v>MTR</x:v>
      </x:c>
      <x:c r="I976" s="175" t="n">
        <x:v>14.28571429</x:v>
      </x:c>
      <x:c r="J976" s="176" t="str"/>
      <x:c r="K976" s="177" t="str"/>
      <x:c r="L976" s="178" t="str">
        <x:f>IF(J976="","",J976*(1+IF(K976="",0,K976)) )</x:f>
      </x:c>
      <x:c r="M976" s="138" t="str"/>
      <x:c r="N976" s="137" t="str">
        <x:v>Current model BOM seed</x:v>
      </x:c>
      <x:c r="O976" s="137" t="str"/>
      <x:c r="P976" s="137" t="str">
        <x:v>To Confirm</x:v>
      </x:c>
      <x:c r="Q976" s="137" t="str"/>
    </x:row>
    <x:row r="977">
      <x:c r="A977" s="137" t="str">
        <x:v>BOM-00973</x:v>
      </x:c>
      <x:c r="B977" s="137" t="str">
        <x:v>SPADE</x:v>
      </x:c>
      <x:c r="C977" s="137" t="str">
        <x:v>PER ORDER (V/L)</x:v>
      </x:c>
      <x:c r="D977" s="137" t="str">
        <x:v>7X10S</x:v>
      </x:c>
      <x:c r="E977" s="137" t="str">
        <x:v>CUTTING</x:v>
      </x:c>
      <x:c r="F977" s="137" t="str">
        <x:v>REXINE 54"||MTR</x:v>
      </x:c>
      <x:c r="G977" s="137" t="str">
        <x:v>Rexine 54"</x:v>
      </x:c>
      <x:c r="H977" s="137" t="str">
        <x:v>MTR</x:v>
      </x:c>
      <x:c r="I977" s="175" t="n">
        <x:v>0.12539661</x:v>
      </x:c>
      <x:c r="J977" s="176" t="str"/>
      <x:c r="K977" s="177" t="str"/>
      <x:c r="L977" s="178" t="str">
        <x:f>IF(J977="","",J977*(1+IF(K977="",0,K977)) )</x:f>
      </x:c>
      <x:c r="M977" s="138" t="str"/>
      <x:c r="N977" s="137" t="str">
        <x:v>Current model BOM seed</x:v>
      </x:c>
      <x:c r="O977" s="137" t="str"/>
      <x:c r="P977" s="137" t="str">
        <x:v>To Confirm</x:v>
      </x:c>
      <x:c r="Q977" s="137" t="str"/>
    </x:row>
    <x:row r="978">
      <x:c r="A978" s="137" t="str">
        <x:v>BOM-00974</x:v>
      </x:c>
      <x:c r="B978" s="137" t="str">
        <x:v>SPADE</x:v>
      </x:c>
      <x:c r="C978" s="137" t="str">
        <x:v>PER ORDER (V/L)</x:v>
      </x:c>
      <x:c r="D978" s="137" t="str">
        <x:v>7X10S</x:v>
      </x:c>
      <x:c r="E978" s="137" t="str">
        <x:v>CUTTING</x:v>
      </x:c>
      <x:c r="F978" s="137" t="str">
        <x:v>HEAVY REXINE 54"||MTR</x:v>
      </x:c>
      <x:c r="G978" s="137" t="str">
        <x:v>Heavy Rexine 54"</x:v>
      </x:c>
      <x:c r="H978" s="137" t="str">
        <x:v>MTR</x:v>
      </x:c>
      <x:c r="I978" s="175" t="n">
        <x:v>0.06645437</x:v>
      </x:c>
      <x:c r="J978" s="176" t="str"/>
      <x:c r="K978" s="177" t="str"/>
      <x:c r="L978" s="178" t="str">
        <x:f>IF(J978="","",J978*(1+IF(K978="",0,K978)) )</x:f>
      </x:c>
      <x:c r="M978" s="138" t="str"/>
      <x:c r="N978" s="137" t="str">
        <x:v>Current model BOM seed</x:v>
      </x:c>
      <x:c r="O978" s="137" t="str"/>
      <x:c r="P978" s="137" t="str">
        <x:v>To Confirm</x:v>
      </x:c>
      <x:c r="Q978" s="137" t="str"/>
    </x:row>
    <x:row r="979">
      <x:c r="A979" s="137" t="str">
        <x:v>BOM-00975</x:v>
      </x:c>
      <x:c r="B979" s="137" t="str">
        <x:v>SPADE</x:v>
      </x:c>
      <x:c r="C979" s="137" t="str">
        <x:v>PER ORDER (V/L)</x:v>
      </x:c>
      <x:c r="D979" s="137" t="str">
        <x:v>7X10S</x:v>
      </x:c>
      <x:c r="E979" s="137" t="str">
        <x:v>CUTTING</x:v>
      </x:c>
      <x:c r="F979" s="137" t="str">
        <x:v>HEAVY REXINE 54"||SHEET</x:v>
      </x:c>
      <x:c r="G979" s="137" t="str">
        <x:v>Heavy Rexine 54"</x:v>
      </x:c>
      <x:c r="H979" s="137" t="str">
        <x:v>SHEET</x:v>
      </x:c>
      <x:c r="I979" s="175" t="n">
        <x:v>0.00540541</x:v>
      </x:c>
      <x:c r="J979" s="176" t="str"/>
      <x:c r="K979" s="177" t="str"/>
      <x:c r="L979" s="178" t="str">
        <x:f>IF(J979="","",J979*(1+IF(K979="",0,K979)) )</x:f>
      </x:c>
      <x:c r="M979" s="138" t="str"/>
      <x:c r="N979" s="137" t="str">
        <x:v>Current model BOM seed</x:v>
      </x:c>
      <x:c r="O979" s="137" t="str"/>
      <x:c r="P979" s="137" t="str">
        <x:v>To Confirm</x:v>
      </x:c>
      <x:c r="Q979" s="137" t="str"/>
    </x:row>
    <x:row r="980">
      <x:c r="A980" s="137" t="str">
        <x:v>BOM-00976</x:v>
      </x:c>
      <x:c r="B980" s="137" t="str">
        <x:v>SPADE</x:v>
      </x:c>
      <x:c r="C980" s="137" t="str">
        <x:v>PER ORDER (V/L)</x:v>
      </x:c>
      <x:c r="D980" s="137" t="str">
        <x:v>7X10S</x:v>
      </x:c>
      <x:c r="E980" s="137" t="str">
        <x:v>CUTTING</x:v>
      </x:c>
      <x:c r="F980" s="137" t="str">
        <x:v>SHEET 0.8MM||SHEET</x:v>
      </x:c>
      <x:c r="G980" s="137" t="str">
        <x:v>Sheet 0.8Mm</x:v>
      </x:c>
      <x:c r="H980" s="137" t="str">
        <x:v>SHEET</x:v>
      </x:c>
      <x:c r="I980" s="175" t="n">
        <x:v>0.008</x:v>
      </x:c>
      <x:c r="J980" s="176" t="str"/>
      <x:c r="K980" s="177" t="str"/>
      <x:c r="L980" s="178" t="str">
        <x:f>IF(J980="","",J980*(1+IF(K980="",0,K980)) )</x:f>
      </x:c>
      <x:c r="M980" s="138" t="str"/>
      <x:c r="N980" s="137" t="str">
        <x:v>Current model BOM seed</x:v>
      </x:c>
      <x:c r="O980" s="137" t="str"/>
      <x:c r="P980" s="137" t="str">
        <x:v>To Confirm</x:v>
      </x:c>
      <x:c r="Q980" s="137" t="str"/>
    </x:row>
    <x:row r="981">
      <x:c r="A981" s="137" t="str">
        <x:v>BOM-00977</x:v>
      </x:c>
      <x:c r="B981" s="137" t="str">
        <x:v>SPADE</x:v>
      </x:c>
      <x:c r="C981" s="137" t="str">
        <x:v>PER ORDER (V/L)</x:v>
      </x:c>
      <x:c r="D981" s="137" t="str">
        <x:v>7X10S</x:v>
      </x:c>
      <x:c r="E981" s="137" t="str">
        <x:v>CUTTING</x:v>
      </x:c>
      <x:c r="F981" s="137" t="str">
        <x:v>SHEET 1.4MM||SHEET</x:v>
      </x:c>
      <x:c r="G981" s="137" t="str">
        <x:v>Sheet 1.4Mm</x:v>
      </x:c>
      <x:c r="H981" s="137" t="str">
        <x:v>SHEET</x:v>
      </x:c>
      <x:c r="I981" s="175" t="n">
        <x:v>0.01010101</x:v>
      </x:c>
      <x:c r="J981" s="176" t="str"/>
      <x:c r="K981" s="177" t="str"/>
      <x:c r="L981" s="178" t="str">
        <x:f>IF(J981="","",J981*(1+IF(K981="",0,K981)) )</x:f>
      </x:c>
      <x:c r="M981" s="138" t="str"/>
      <x:c r="N981" s="137" t="str">
        <x:v>Current model BOM seed</x:v>
      </x:c>
      <x:c r="O981" s="137" t="str"/>
      <x:c r="P981" s="137" t="str">
        <x:v>To Confirm</x:v>
      </x:c>
      <x:c r="Q981" s="137" t="str"/>
    </x:row>
    <x:row r="982">
      <x:c r="A982" s="137" t="str">
        <x:v>BOM-00978</x:v>
      </x:c>
      <x:c r="B982" s="137" t="str">
        <x:v>SPADE</x:v>
      </x:c>
      <x:c r="C982" s="137" t="str">
        <x:v>PER ORDER (V/L)</x:v>
      </x:c>
      <x:c r="D982" s="137" t="str">
        <x:v>7X10S</x:v>
      </x:c>
      <x:c r="E982" s="137" t="str">
        <x:v>CUTTING</x:v>
      </x:c>
      <x:c r="F982" s="137" t="str">
        <x:v>SHEET 20MM||MTR</x:v>
      </x:c>
      <x:c r="G982" s="137" t="str">
        <x:v>Sheet 20Mm</x:v>
      </x:c>
      <x:c r="H982" s="137" t="str">
        <x:v>MTR</x:v>
      </x:c>
      <x:c r="I982" s="175" t="n">
        <x:v>0.00787402</x:v>
      </x:c>
      <x:c r="J982" s="176" t="str"/>
      <x:c r="K982" s="177" t="str"/>
      <x:c r="L982" s="178" t="str">
        <x:f>IF(J982="","",J982*(1+IF(K982="",0,K982)) )</x:f>
      </x:c>
      <x:c r="M982" s="138" t="str"/>
      <x:c r="N982" s="137" t="str">
        <x:v>Current model BOM seed</x:v>
      </x:c>
      <x:c r="O982" s="137" t="str"/>
      <x:c r="P982" s="137" t="str">
        <x:v>To Confirm</x:v>
      </x:c>
      <x:c r="Q982" s="137" t="str"/>
    </x:row>
    <x:row r="983">
      <x:c r="A983" s="137" t="str">
        <x:v>BOM-00979</x:v>
      </x:c>
      <x:c r="B983" s="137" t="str">
        <x:v>SPADE</x:v>
      </x:c>
      <x:c r="C983" s="137" t="str">
        <x:v>PER ORDER (V/L)</x:v>
      </x:c>
      <x:c r="D983" s="137" t="str">
        <x:v>7X10S</x:v>
      </x:c>
      <x:c r="E983" s="137" t="str">
        <x:v>CUTTING</x:v>
      </x:c>
      <x:c r="F983" s="137" t="str">
        <x:v>INSOLE||PAIR</x:v>
      </x:c>
      <x:c r="G983" s="137" t="str">
        <x:v>INSOLE</x:v>
      </x:c>
      <x:c r="H983" s="137" t="str">
        <x:v>PAIR</x:v>
      </x:c>
      <x:c r="I983" s="175" t="n">
        <x:v>2</x:v>
      </x:c>
      <x:c r="J983" s="176" t="str"/>
      <x:c r="K983" s="177" t="str"/>
      <x:c r="L983" s="178" t="str">
        <x:f>IF(J983="","",J983*(1+IF(K983="",0,K983)) )</x:f>
      </x:c>
      <x:c r="M983" s="138" t="str"/>
      <x:c r="N983" s="137" t="str">
        <x:v>Current model BOM seed</x:v>
      </x:c>
      <x:c r="O983" s="137" t="str"/>
      <x:c r="P983" s="137" t="str">
        <x:v>To Confirm</x:v>
      </x:c>
      <x:c r="Q983" s="137" t="str"/>
    </x:row>
    <x:row r="984">
      <x:c r="A984" s="137" t="str">
        <x:v>BOM-00980</x:v>
      </x:c>
      <x:c r="B984" s="137" t="str">
        <x:v>SPADE</x:v>
      </x:c>
      <x:c r="C984" s="137" t="str">
        <x:v>PER ORDER (V/L)</x:v>
      </x:c>
      <x:c r="D984" s="137" t="str">
        <x:v>7X10S</x:v>
      </x:c>
      <x:c r="E984" s="137" t="str">
        <x:v>MOLDING</x:v>
      </x:c>
      <x:c r="F984" s="137" t="str">
        <x:v>SOLE 1231 EVA||PAIR</x:v>
      </x:c>
      <x:c r="G984" s="137" t="str">
        <x:v>Sole 1231 EVA</x:v>
      </x:c>
      <x:c r="H984" s="137" t="str">
        <x:v>PAIR</x:v>
      </x:c>
      <x:c r="I984" s="175" t="n">
        <x:v>2</x:v>
      </x:c>
      <x:c r="J984" s="176" t="str"/>
      <x:c r="K984" s="177" t="str"/>
      <x:c r="L984" s="178" t="str">
        <x:f>IF(J984="","",J984*(1+IF(K984="",0,K984)) )</x:f>
      </x:c>
      <x:c r="M984" s="138" t="str"/>
      <x:c r="N984" s="137" t="str">
        <x:v>Current model BOM seed</x:v>
      </x:c>
      <x:c r="O984" s="137" t="str"/>
      <x:c r="P984" s="137" t="str">
        <x:v>To Confirm</x:v>
      </x:c>
      <x:c r="Q984" s="137" t="str"/>
    </x:row>
    <x:row r="985">
      <x:c r="A985" s="137" t="str">
        <x:v>BOM-00981</x:v>
      </x:c>
      <x:c r="B985" s="137" t="str">
        <x:v>SPADE</x:v>
      </x:c>
      <x:c r="C985" s="137" t="str">
        <x:v>PER ORDER (V/L)</x:v>
      </x:c>
      <x:c r="D985" s="137" t="str">
        <x:v>7X10S</x:v>
      </x:c>
      <x:c r="E985" s="137" t="str">
        <x:v>PACKING</x:v>
      </x:c>
      <x:c r="F985" s="137" t="str">
        <x:v>TISSUE PAPER||PCS</x:v>
      </x:c>
      <x:c r="G985" s="137" t="str">
        <x:v>Tissue Paper</x:v>
      </x:c>
      <x:c r="H985" s="137" t="str">
        <x:v>PCS</x:v>
      </x:c>
      <x:c r="I985" s="175" t="n">
        <x:v>0.25</x:v>
      </x:c>
      <x:c r="J985" s="176" t="str"/>
      <x:c r="K985" s="177" t="str"/>
      <x:c r="L985" s="178" t="str">
        <x:f>IF(J985="","",J985*(1+IF(K985="",0,K985)) )</x:f>
      </x:c>
      <x:c r="M985" s="138" t="str"/>
      <x:c r="N985" s="137" t="str">
        <x:v>Current model BOM seed</x:v>
      </x:c>
      <x:c r="O985" s="137" t="str"/>
      <x:c r="P985" s="137" t="str">
        <x:v>To Confirm</x:v>
      </x:c>
      <x:c r="Q985" s="137" t="str"/>
    </x:row>
    <x:row r="986">
      <x:c r="A986" s="137" t="str">
        <x:v>BOM-00982</x:v>
      </x:c>
      <x:c r="B986" s="137" t="str">
        <x:v>SPADE</x:v>
      </x:c>
      <x:c r="C986" s="137" t="str">
        <x:v>PER ORDER (V/L)</x:v>
      </x:c>
      <x:c r="D986" s="137" t="str">
        <x:v>7X10S</x:v>
      </x:c>
      <x:c r="E986" s="137" t="str">
        <x:v>PACKING</x:v>
      </x:c>
      <x:c r="F986" s="137" t="str">
        <x:v>SHOE SHINER||GRAM</x:v>
      </x:c>
      <x:c r="G986" s="137" t="str">
        <x:v>Shoe Shiner</x:v>
      </x:c>
      <x:c r="H986" s="137" t="str">
        <x:v>GRAM</x:v>
      </x:c>
      <x:c r="I986" s="175" t="n">
        <x:v>0.06666667</x:v>
      </x:c>
      <x:c r="J986" s="176" t="str"/>
      <x:c r="K986" s="177" t="str"/>
      <x:c r="L986" s="178" t="str">
        <x:f>IF(J986="","",J986*(1+IF(K986="",0,K986)) )</x:f>
      </x:c>
      <x:c r="M986" s="138" t="str"/>
      <x:c r="N986" s="137" t="str">
        <x:v>Current model BOM seed</x:v>
      </x:c>
      <x:c r="O986" s="137" t="str"/>
      <x:c r="P986" s="137" t="str">
        <x:v>To Confirm</x:v>
      </x:c>
      <x:c r="Q986" s="137" t="str"/>
    </x:row>
    <x:row r="987">
      <x:c r="A987" s="137" t="str">
        <x:v>BOM-00983</x:v>
      </x:c>
      <x:c r="B987" s="137" t="str">
        <x:v>SPADE</x:v>
      </x:c>
      <x:c r="C987" s="137" t="str">
        <x:v>PER ORDER (V/L)</x:v>
      </x:c>
      <x:c r="D987" s="137" t="str">
        <x:v>7X10S</x:v>
      </x:c>
      <x:c r="E987" s="137" t="str">
        <x:v>PACKING</x:v>
      </x:c>
      <x:c r="F987" s="137" t="str">
        <x:v>EMYLE||GRAM</x:v>
      </x:c>
      <x:c r="G987" s="137" t="str">
        <x:v>EMYLE</x:v>
      </x:c>
      <x:c r="H987" s="137" t="str">
        <x:v>GRAM</x:v>
      </x:c>
      <x:c r="I987" s="175" t="n">
        <x:v>0.07142857</x:v>
      </x:c>
      <x:c r="J987" s="176" t="str"/>
      <x:c r="K987" s="177" t="str"/>
      <x:c r="L987" s="178" t="str">
        <x:f>IF(J987="","",J987*(1+IF(K987="",0,K987)) )</x:f>
      </x:c>
      <x:c r="M987" s="138" t="str"/>
      <x:c r="N987" s="137" t="str">
        <x:v>Current model BOM seed</x:v>
      </x:c>
      <x:c r="O987" s="137" t="str"/>
      <x:c r="P987" s="137" t="str">
        <x:v>To Confirm</x:v>
      </x:c>
      <x:c r="Q987" s="137" t="str"/>
    </x:row>
    <x:row r="988">
      <x:c r="A988" s="137" t="str">
        <x:v>BOM-00984</x:v>
      </x:c>
      <x:c r="B988" s="137" t="str">
        <x:v>SPADE</x:v>
      </x:c>
      <x:c r="C988" s="137" t="str">
        <x:v>PER ORDER (V/L)</x:v>
      </x:c>
      <x:c r="D988" s="137" t="str">
        <x:v>7X10S</x:v>
      </x:c>
      <x:c r="E988" s="137" t="str">
        <x:v>PACKING</x:v>
      </x:c>
      <x:c r="F988" s="137" t="str">
        <x:v>TAG PIN||PCS</x:v>
      </x:c>
      <x:c r="G988" s="137" t="str">
        <x:v>Tag Pin</x:v>
      </x:c>
      <x:c r="H988" s="137" t="str">
        <x:v>PCS</x:v>
      </x:c>
      <x:c r="I988" s="175" t="n">
        <x:v>1</x:v>
      </x:c>
      <x:c r="J988" s="176" t="str"/>
      <x:c r="K988" s="177" t="str"/>
      <x:c r="L988" s="178" t="str">
        <x:f>IF(J988="","",J988*(1+IF(K988="",0,K988)) )</x:f>
      </x:c>
      <x:c r="M988" s="138" t="str"/>
      <x:c r="N988" s="137" t="str">
        <x:v>Current model BOM seed</x:v>
      </x:c>
      <x:c r="O988" s="137" t="str"/>
      <x:c r="P988" s="137" t="str">
        <x:v>To Confirm</x:v>
      </x:c>
      <x:c r="Q988" s="137" t="str"/>
    </x:row>
    <x:row r="989">
      <x:c r="A989" s="137" t="str">
        <x:v>BOM-00985</x:v>
      </x:c>
      <x:c r="B989" s="137" t="str">
        <x:v>SPADE</x:v>
      </x:c>
      <x:c r="C989" s="137" t="str">
        <x:v>PER ORDER (V/L)</x:v>
      </x:c>
      <x:c r="D989" s="137" t="str">
        <x:v>7X10S</x:v>
      </x:c>
      <x:c r="E989" s="137" t="str">
        <x:v>PACKING</x:v>
      </x:c>
      <x:c r="F989" s="137" t="str">
        <x:v>TAG CARD||PCS</x:v>
      </x:c>
      <x:c r="G989" s="137" t="str">
        <x:v>Tag Card</x:v>
      </x:c>
      <x:c r="H989" s="137" t="str">
        <x:v>PCS</x:v>
      </x:c>
      <x:c r="I989" s="175" t="n">
        <x:v>1</x:v>
      </x:c>
      <x:c r="J989" s="176" t="str"/>
      <x:c r="K989" s="177" t="str"/>
      <x:c r="L989" s="178" t="str">
        <x:f>IF(J989="","",J989*(1+IF(K989="",0,K989)) )</x:f>
      </x:c>
      <x:c r="M989" s="138" t="str"/>
      <x:c r="N989" s="137" t="str">
        <x:v>Current model BOM seed</x:v>
      </x:c>
      <x:c r="O989" s="137" t="str"/>
      <x:c r="P989" s="137" t="str">
        <x:v>To Confirm</x:v>
      </x:c>
      <x:c r="Q989" s="137" t="str"/>
    </x:row>
    <x:row r="990">
      <x:c r="A990" s="137" t="str">
        <x:v>BOM-00986</x:v>
      </x:c>
      <x:c r="B990" s="137" t="str">
        <x:v>SPADE</x:v>
      </x:c>
      <x:c r="C990" s="137" t="str">
        <x:v>PER ORDER (V/L)</x:v>
      </x:c>
      <x:c r="D990" s="137" t="str">
        <x:v>7X10S</x:v>
      </x:c>
      <x:c r="E990" s="137" t="str">
        <x:v>PACKING</x:v>
      </x:c>
      <x:c r="F990" s="137" t="str">
        <x:v>WRAPING PAPER||PCS</x:v>
      </x:c>
      <x:c r="G990" s="137" t="str">
        <x:v>Wraping Paper</x:v>
      </x:c>
      <x:c r="H990" s="137" t="str">
        <x:v>PCS</x:v>
      </x:c>
      <x:c r="I990" s="175" t="n">
        <x:v>1</x:v>
      </x:c>
      <x:c r="J990" s="176" t="str"/>
      <x:c r="K990" s="177" t="str"/>
      <x:c r="L990" s="178" t="str">
        <x:f>IF(J990="","",J990*(1+IF(K990="",0,K990)) )</x:f>
      </x:c>
      <x:c r="M990" s="138" t="str"/>
      <x:c r="N990" s="137" t="str">
        <x:v>Current model BOM seed</x:v>
      </x:c>
      <x:c r="O990" s="137" t="str"/>
      <x:c r="P990" s="137" t="str">
        <x:v>To Confirm</x:v>
      </x:c>
      <x:c r="Q990" s="137" t="str"/>
    </x:row>
    <x:row r="991">
      <x:c r="A991" s="137" t="str">
        <x:v>BOM-00987</x:v>
      </x:c>
      <x:c r="B991" s="137" t="str">
        <x:v>SPADE</x:v>
      </x:c>
      <x:c r="C991" s="137" t="str">
        <x:v>PER ORDER (V/L)</x:v>
      </x:c>
      <x:c r="D991" s="137" t="str">
        <x:v>7X10S</x:v>
      </x:c>
      <x:c r="E991" s="137" t="str">
        <x:v>PACKING</x:v>
      </x:c>
      <x:c r="F991" s="137" t="str">
        <x:v>INNER||PCS</x:v>
      </x:c>
      <x:c r="G991" s="137" t="str">
        <x:v>INNER</x:v>
      </x:c>
      <x:c r="H991" s="137" t="str">
        <x:v>PCS</x:v>
      </x:c>
      <x:c r="I991" s="175" t="n">
        <x:v>1</x:v>
      </x:c>
      <x:c r="J991" s="176" t="str"/>
      <x:c r="K991" s="177" t="str"/>
      <x:c r="L991" s="178" t="str">
        <x:f>IF(J991="","",J991*(1+IF(K991="",0,K991)) )</x:f>
      </x:c>
      <x:c r="M991" s="138" t="str"/>
      <x:c r="N991" s="137" t="str">
        <x:v>Current model BOM seed</x:v>
      </x:c>
      <x:c r="O991" s="137" t="str"/>
      <x:c r="P991" s="137" t="str">
        <x:v>To Confirm</x:v>
      </x:c>
      <x:c r="Q991" s="137" t="str"/>
    </x:row>
    <x:row r="992">
      <x:c r="A992" s="137" t="str">
        <x:v>BOM-00988</x:v>
      </x:c>
      <x:c r="B992" s="137" t="str">
        <x:v>SPADE</x:v>
      </x:c>
      <x:c r="C992" s="137" t="str">
        <x:v>PER ORDER (V/L)</x:v>
      </x:c>
      <x:c r="D992" s="137" t="str">
        <x:v>7X10S</x:v>
      </x:c>
      <x:c r="E992" s="137" t="str">
        <x:v>PACKING</x:v>
      </x:c>
      <x:c r="F992" s="137" t="str">
        <x:v>BARCODE STICKER||PCS</x:v>
      </x:c>
      <x:c r="G992" s="137" t="str">
        <x:v>Barcode Sticker</x:v>
      </x:c>
      <x:c r="H992" s="137" t="str">
        <x:v>PCS</x:v>
      </x:c>
      <x:c r="I992" s="175" t="n">
        <x:v>1</x:v>
      </x:c>
      <x:c r="J992" s="176" t="str"/>
      <x:c r="K992" s="177" t="str"/>
      <x:c r="L992" s="178" t="str">
        <x:f>IF(J992="","",J992*(1+IF(K992="",0,K992)) )</x:f>
      </x:c>
      <x:c r="M992" s="138" t="str"/>
      <x:c r="N992" s="137" t="str">
        <x:v>Current model BOM seed</x:v>
      </x:c>
      <x:c r="O992" s="137" t="str"/>
      <x:c r="P992" s="137" t="str">
        <x:v>To Confirm</x:v>
      </x:c>
      <x:c r="Q992" s="137" t="str"/>
    </x:row>
    <x:row r="993">
      <x:c r="A993" s="137" t="str">
        <x:v>BOM-00989</x:v>
      </x:c>
      <x:c r="B993" s="137" t="str">
        <x:v>SPADE</x:v>
      </x:c>
      <x:c r="C993" s="137" t="str">
        <x:v>PER ORDER (V/L)</x:v>
      </x:c>
      <x:c r="D993" s="137" t="str">
        <x:v>7X10S</x:v>
      </x:c>
      <x:c r="E993" s="137" t="str">
        <x:v>PACKING</x:v>
      </x:c>
      <x:c r="F993" s="137" t="str">
        <x:v>CTN TAPE (1 CTN)||MTR</x:v>
      </x:c>
      <x:c r="G993" s="137" t="str">
        <x:v>Ctn Tape (1 Ctn)</x:v>
      </x:c>
      <x:c r="H993" s="137" t="str">
        <x:v>MTR</x:v>
      </x:c>
      <x:c r="I993" s="175" t="n">
        <x:v>0.5</x:v>
      </x:c>
      <x:c r="J993" s="176" t="str"/>
      <x:c r="K993" s="177" t="str"/>
      <x:c r="L993" s="178" t="str">
        <x:f>IF(J993="","",J993*(1+IF(K993="",0,K993)) )</x:f>
      </x:c>
      <x:c r="M993" s="138" t="str"/>
      <x:c r="N993" s="137" t="str">
        <x:v>Current model BOM seed</x:v>
      </x:c>
      <x:c r="O993" s="137" t="str"/>
      <x:c r="P993" s="137" t="str">
        <x:v>To Confirm</x:v>
      </x:c>
      <x:c r="Q993" s="137" t="str"/>
    </x:row>
    <x:row r="994">
      <x:c r="A994" s="137" t="str">
        <x:v>BOM-00990</x:v>
      </x:c>
      <x:c r="B994" s="137" t="str">
        <x:v>SPADE</x:v>
      </x:c>
      <x:c r="C994" s="137" t="str">
        <x:v>PER ORDER (V/L)</x:v>
      </x:c>
      <x:c r="D994" s="137" t="str">
        <x:v>7X10S</x:v>
      </x:c>
      <x:c r="E994" s="137" t="str">
        <x:v>PACKING</x:v>
      </x:c>
      <x:c r="F994" s="137" t="str">
        <x:v>STRAPING ROLL (1CTN)||MTR</x:v>
      </x:c>
      <x:c r="G994" s="137" t="str">
        <x:v>Straping Roll (1Ctn)</x:v>
      </x:c>
      <x:c r="H994" s="137" t="str">
        <x:v>MTR</x:v>
      </x:c>
      <x:c r="I994" s="175" t="n">
        <x:v>0.25</x:v>
      </x:c>
      <x:c r="J994" s="176" t="str"/>
      <x:c r="K994" s="177" t="str"/>
      <x:c r="L994" s="178" t="str">
        <x:f>IF(J994="","",J994*(1+IF(K994="",0,K994)) )</x:f>
      </x:c>
      <x:c r="M994" s="138" t="str"/>
      <x:c r="N994" s="137" t="str">
        <x:v>Current model BOM seed</x:v>
      </x:c>
      <x:c r="O994" s="137" t="str"/>
      <x:c r="P994" s="137" t="str">
        <x:v>To Confirm</x:v>
      </x:c>
      <x:c r="Q994" s="137" t="str"/>
    </x:row>
    <x:row r="995">
      <x:c r="A995" s="137" t="str">
        <x:v>BOM-00991</x:v>
      </x:c>
      <x:c r="B995" s="137" t="str">
        <x:v>SPADE</x:v>
      </x:c>
      <x:c r="C995" s="137" t="str">
        <x:v>PER ORDER (V/L)</x:v>
      </x:c>
      <x:c r="D995" s="137" t="str">
        <x:v>7X10S</x:v>
      </x:c>
      <x:c r="E995" s="137" t="str">
        <x:v>STITCHING</x:v>
      </x:c>
      <x:c r="F995" s="137" t="str">
        <x:v>THREAD 3 PLY||MTR</x:v>
      </x:c>
      <x:c r="G995" s="137" t="str">
        <x:v>Thread 3 Ply</x:v>
      </x:c>
      <x:c r="H995" s="137" t="str">
        <x:v>MTR</x:v>
      </x:c>
      <x:c r="I995" s="175" t="n">
        <x:v>37.5</x:v>
      </x:c>
      <x:c r="J995" s="176" t="str"/>
      <x:c r="K995" s="177" t="str"/>
      <x:c r="L995" s="178" t="str">
        <x:f>IF(J995="","",J995*(1+IF(K995="",0,K995)) )</x:f>
      </x:c>
      <x:c r="M995" s="138" t="str"/>
      <x:c r="N995" s="137" t="str">
        <x:v>Current model BOM seed</x:v>
      </x:c>
      <x:c r="O995" s="137" t="str"/>
      <x:c r="P995" s="137" t="str">
        <x:v>To Confirm</x:v>
      </x:c>
      <x:c r="Q995" s="137" t="str"/>
    </x:row>
    <x:row r="996">
      <x:c r="A996" s="137" t="str">
        <x:v>BOM-00992</x:v>
      </x:c>
      <x:c r="B996" s="137" t="str">
        <x:v>SPADE</x:v>
      </x:c>
      <x:c r="C996" s="137" t="str">
        <x:v>PER ORDER (V/L)</x:v>
      </x:c>
      <x:c r="D996" s="137" t="str">
        <x:v>7X10S</x:v>
      </x:c>
      <x:c r="E996" s="137" t="str">
        <x:v>STITCHING</x:v>
      </x:c>
      <x:c r="F996" s="137" t="str">
        <x:v>THREAD 3 PLY (COLOURED||MTR</x:v>
      </x:c>
      <x:c r="G996" s="137" t="str">
        <x:v>Thread 3 Ply (Coloured</x:v>
      </x:c>
      <x:c r="H996" s="137" t="str">
        <x:v>MTR</x:v>
      </x:c>
      <x:c r="I996" s="175" t="n">
        <x:v>250</x:v>
      </x:c>
      <x:c r="J996" s="176" t="str"/>
      <x:c r="K996" s="177" t="str"/>
      <x:c r="L996" s="178" t="str">
        <x:f>IF(J996="","",J996*(1+IF(K996="",0,K996)) )</x:f>
      </x:c>
      <x:c r="M996" s="138" t="str"/>
      <x:c r="N996" s="137" t="str">
        <x:v>Current model BOM seed</x:v>
      </x:c>
      <x:c r="O996" s="137" t="str"/>
      <x:c r="P996" s="137" t="str">
        <x:v>To Confirm</x:v>
      </x:c>
      <x:c r="Q996" s="137" t="str"/>
    </x:row>
    <x:row r="997">
      <x:c r="A997" s="137" t="str">
        <x:v>BOM-00993</x:v>
      </x:c>
      <x:c r="B997" s="137" t="str">
        <x:v>SPADE</x:v>
      </x:c>
      <x:c r="C997" s="137" t="str">
        <x:v>PER ORDER (V/L)</x:v>
      </x:c>
      <x:c r="D997" s="137" t="str">
        <x:v>7X10S</x:v>
      </x:c>
      <x:c r="E997" s="137" t="str">
        <x:v>STITCHING</x:v>
      </x:c>
      <x:c r="F997" s="137" t="str">
        <x:v>SIZE LABEL||MTR</x:v>
      </x:c>
      <x:c r="G997" s="137" t="str">
        <x:v>Size Label</x:v>
      </x:c>
      <x:c r="H997" s="137" t="str">
        <x:v>MTR</x:v>
      </x:c>
      <x:c r="I997" s="175" t="n">
        <x:v>0.5</x:v>
      </x:c>
      <x:c r="J997" s="176" t="str"/>
      <x:c r="K997" s="177" t="str"/>
      <x:c r="L997" s="178" t="str">
        <x:f>IF(J997="","",J997*(1+IF(K997="",0,K997)) )</x:f>
      </x:c>
      <x:c r="M997" s="138" t="str"/>
      <x:c r="N997" s="137" t="str">
        <x:v>Current model BOM seed</x:v>
      </x:c>
      <x:c r="O997" s="137" t="str"/>
      <x:c r="P997" s="137" t="str">
        <x:v>To Confirm</x:v>
      </x:c>
      <x:c r="Q997" s="137" t="str"/>
    </x:row>
    <x:row r="998">
      <x:c r="A998" s="137" t="str">
        <x:v>BOM-00994</x:v>
      </x:c>
      <x:c r="B998" s="137" t="str">
        <x:v>SPADE</x:v>
      </x:c>
      <x:c r="C998" s="137" t="str">
        <x:v>PER ORDER (V/L)</x:v>
      </x:c>
      <x:c r="D998" s="137" t="str">
        <x:v>7X10S</x:v>
      </x:c>
      <x:c r="E998" s="137" t="str">
        <x:v>STITCHING</x:v>
      </x:c>
      <x:c r="F998" s="137" t="str">
        <x:v>TOUNGE LABEL||MTR</x:v>
      </x:c>
      <x:c r="G998" s="137" t="str">
        <x:v>Tounge Label</x:v>
      </x:c>
      <x:c r="H998" s="137" t="str">
        <x:v>MTR</x:v>
      </x:c>
      <x:c r="I998" s="175" t="n">
        <x:v>0.5</x:v>
      </x:c>
      <x:c r="J998" s="176" t="str"/>
      <x:c r="K998" s="177" t="str"/>
      <x:c r="L998" s="178" t="str">
        <x:f>IF(J998="","",J998*(1+IF(K998="",0,K998)) )</x:f>
      </x:c>
      <x:c r="M998" s="138" t="str"/>
      <x:c r="N998" s="137" t="str">
        <x:v>Current model BOM seed</x:v>
      </x:c>
      <x:c r="O998" s="137" t="str"/>
      <x:c r="P998" s="137" t="str">
        <x:v>To Confirm</x:v>
      </x:c>
      <x:c r="Q998" s="137" t="str"/>
    </x:row>
    <x:row r="999">
      <x:c r="A999" s="137" t="str">
        <x:v>BOM-00995</x:v>
      </x:c>
      <x:c r="B999" s="137" t="str">
        <x:v>SPADE</x:v>
      </x:c>
      <x:c r="C999" s="137" t="str">
        <x:v>PER ORDER (V/L)</x:v>
      </x:c>
      <x:c r="D999" s="137" t="str">
        <x:v>7X10S</x:v>
      </x:c>
      <x:c r="E999" s="137" t="str">
        <x:v>STITCHING</x:v>
      </x:c>
      <x:c r="F999" s="137" t="str">
        <x:v>D-RING 20MM||CM</x:v>
      </x:c>
      <x:c r="G999" s="137" t="str">
        <x:v>D-Ring 20Mm</x:v>
      </x:c>
      <x:c r="H999" s="137" t="str">
        <x:v>CM</x:v>
      </x:c>
      <x:c r="I999" s="175" t="n">
        <x:v>0.25</x:v>
      </x:c>
      <x:c r="J999" s="176" t="str"/>
      <x:c r="K999" s="177" t="str"/>
      <x:c r="L999" s="178" t="str">
        <x:f>IF(J999="","",J999*(1+IF(K999="",0,K999)) )</x:f>
      </x:c>
      <x:c r="M999" s="138" t="str"/>
      <x:c r="N999" s="137" t="str">
        <x:v>Current model BOM seed</x:v>
      </x:c>
      <x:c r="O999" s="137" t="str"/>
      <x:c r="P999" s="137" t="str">
        <x:v>To Confirm</x:v>
      </x:c>
      <x:c r="Q999" s="137" t="str"/>
    </x:row>
    <x:row r="1000">
      <x:c r="A1000" s="137" t="str">
        <x:v>BOM-00996</x:v>
      </x:c>
      <x:c r="B1000" s="137" t="str">
        <x:v>SPADE</x:v>
      </x:c>
      <x:c r="C1000" s="137" t="str">
        <x:v>PER ORDER (V/L)</x:v>
      </x:c>
      <x:c r="D1000" s="137" t="str">
        <x:v>7X10S</x:v>
      </x:c>
      <x:c r="E1000" s="137" t="str">
        <x:v>STITCHING</x:v>
      </x:c>
      <x:c r="F1000" s="137" t="str">
        <x:v>VELCRO 20 MM HOOK||MTR</x:v>
      </x:c>
      <x:c r="G1000" s="137" t="str">
        <x:v>VELCRO 20 MM HOOK</x:v>
      </x:c>
      <x:c r="H1000" s="137" t="str">
        <x:v>MTR</x:v>
      </x:c>
      <x:c r="I1000" s="175" t="n">
        <x:v>0.03571429</x:v>
      </x:c>
      <x:c r="J1000" s="176" t="str"/>
      <x:c r="K1000" s="177" t="str"/>
      <x:c r="L1000" s="178" t="str">
        <x:f>IF(J1000="","",J1000*(1+IF(K1000="",0,K1000)) )</x:f>
      </x:c>
      <x:c r="M1000" s="138" t="str"/>
      <x:c r="N1000" s="137" t="str">
        <x:v>Current model BOM seed</x:v>
      </x:c>
      <x:c r="O1000" s="137" t="str"/>
      <x:c r="P1000" s="137" t="str">
        <x:v>To Confirm</x:v>
      </x:c>
      <x:c r="Q1000" s="137" t="str"/>
    </x:row>
    <x:row r="1001">
      <x:c r="A1001" s="137" t="str">
        <x:v>BOM-00997</x:v>
      </x:c>
      <x:c r="B1001" s="137" t="str">
        <x:v>SPADE</x:v>
      </x:c>
      <x:c r="C1001" s="137" t="str">
        <x:v>PER ORDER (V/L)</x:v>
      </x:c>
      <x:c r="D1001" s="137" t="str">
        <x:v>7X10S</x:v>
      </x:c>
      <x:c r="E1001" s="137" t="str">
        <x:v>STITCHING</x:v>
      </x:c>
      <x:c r="F1001" s="137" t="str">
        <x:v>VELCRO 20 MM LOOP||MTR</x:v>
      </x:c>
      <x:c r="G1001" s="137" t="str">
        <x:v>VELCRO 20 MM LOOP</x:v>
      </x:c>
      <x:c r="H1001" s="137" t="str">
        <x:v>MTR</x:v>
      </x:c>
      <x:c r="I1001" s="175" t="n">
        <x:v>0.03571429</x:v>
      </x:c>
      <x:c r="J1001" s="176" t="str"/>
      <x:c r="K1001" s="177" t="str"/>
      <x:c r="L1001" s="178" t="str">
        <x:f>IF(J1001="","",J1001*(1+IF(K1001="",0,K1001)) )</x:f>
      </x:c>
      <x:c r="M1001" s="138" t="str"/>
      <x:c r="N1001" s="137" t="str">
        <x:v>Current model BOM seed</x:v>
      </x:c>
      <x:c r="O1001" s="137" t="str"/>
      <x:c r="P1001" s="137" t="str">
        <x:v>To Confirm</x:v>
      </x:c>
      <x:c r="Q1001" s="137" t="str"/>
    </x:row>
    <x:row r="1002">
      <x:c r="A1002" s="137" t="str">
        <x:v>BOM-00998</x:v>
      </x:c>
      <x:c r="B1002" s="137" t="str">
        <x:v>SPADE</x:v>
      </x:c>
      <x:c r="C1002" s="137" t="str">
        <x:v>PER ORDER (V/L)</x:v>
      </x:c>
      <x:c r="D1002" s="137" t="str">
        <x:v>11X1</x:v>
      </x:c>
      <x:c r="E1002" s="137" t="str">
        <x:v>CUTTING</x:v>
      </x:c>
      <x:c r="F1002" s="137" t="str">
        <x:v>REXINE 54"||MTR</x:v>
      </x:c>
      <x:c r="G1002" s="137" t="str">
        <x:v>Rexine 54"</x:v>
      </x:c>
      <x:c r="H1002" s="137" t="str">
        <x:v>MTR</x:v>
      </x:c>
      <x:c r="I1002" s="175" t="n">
        <x:v>0.13767669</x:v>
      </x:c>
      <x:c r="J1002" s="176" t="str"/>
      <x:c r="K1002" s="177" t="str"/>
      <x:c r="L1002" s="178" t="str">
        <x:f>IF(J1002="","",J1002*(1+IF(K1002="",0,K1002)) )</x:f>
      </x:c>
      <x:c r="M1002" s="138" t="str"/>
      <x:c r="N1002" s="137" t="str">
        <x:v>Current model BOM seed</x:v>
      </x:c>
      <x:c r="O1002" s="137" t="str"/>
      <x:c r="P1002" s="137" t="str">
        <x:v>To Confirm</x:v>
      </x:c>
      <x:c r="Q1002" s="137" t="str"/>
    </x:row>
    <x:row r="1003">
      <x:c r="A1003" s="137" t="str">
        <x:v>BOM-00999</x:v>
      </x:c>
      <x:c r="B1003" s="137" t="str">
        <x:v>SPADE</x:v>
      </x:c>
      <x:c r="C1003" s="137" t="str">
        <x:v>PER ORDER (V/L)</x:v>
      </x:c>
      <x:c r="D1003" s="137" t="str">
        <x:v>11X1</x:v>
      </x:c>
      <x:c r="E1003" s="137" t="str">
        <x:v>CUTTING</x:v>
      </x:c>
      <x:c r="F1003" s="137" t="str">
        <x:v>HEAVY REXINE 54"||MTR</x:v>
      </x:c>
      <x:c r="G1003" s="137" t="str">
        <x:v>Heavy Rexine 54"</x:v>
      </x:c>
      <x:c r="H1003" s="137" t="str">
        <x:v>MTR</x:v>
      </x:c>
      <x:c r="I1003" s="175" t="n">
        <x:v>0.04346087</x:v>
      </x:c>
      <x:c r="J1003" s="176" t="str"/>
      <x:c r="K1003" s="177" t="str"/>
      <x:c r="L1003" s="178" t="str">
        <x:f>IF(J1003="","",J1003*(1+IF(K1003="",0,K1003)) )</x:f>
      </x:c>
      <x:c r="M1003" s="138" t="str"/>
      <x:c r="N1003" s="137" t="str">
        <x:v>Current model BOM seed</x:v>
      </x:c>
      <x:c r="O1003" s="137" t="str"/>
      <x:c r="P1003" s="137" t="str">
        <x:v>To Confirm</x:v>
      </x:c>
      <x:c r="Q1003" s="137" t="str"/>
    </x:row>
    <x:row r="1004">
      <x:c r="A1004" s="137" t="str">
        <x:v>BOM-01000</x:v>
      </x:c>
      <x:c r="B1004" s="137" t="str">
        <x:v>SPADE</x:v>
      </x:c>
      <x:c r="C1004" s="137" t="str">
        <x:v>PER ORDER (V/L)</x:v>
      </x:c>
      <x:c r="D1004" s="137" t="str">
        <x:v>11X1</x:v>
      </x:c>
      <x:c r="E1004" s="137" t="str">
        <x:v>CUTTING</x:v>
      </x:c>
      <x:c r="F1004" s="137" t="str">
        <x:v>HEAVY REXINE 54"||SHEET</x:v>
      </x:c>
      <x:c r="G1004" s="137" t="str">
        <x:v>Heavy Rexine 54"</x:v>
      </x:c>
      <x:c r="H1004" s="137" t="str">
        <x:v>SHEET</x:v>
      </x:c>
      <x:c r="I1004" s="175" t="n">
        <x:v>0.0060241</x:v>
      </x:c>
      <x:c r="J1004" s="176" t="str"/>
      <x:c r="K1004" s="177" t="str"/>
      <x:c r="L1004" s="178" t="str">
        <x:f>IF(J1004="","",J1004*(1+IF(K1004="",0,K1004)) )</x:f>
      </x:c>
      <x:c r="M1004" s="138" t="str"/>
      <x:c r="N1004" s="137" t="str">
        <x:v>Current model BOM seed</x:v>
      </x:c>
      <x:c r="O1004" s="137" t="str"/>
      <x:c r="P1004" s="137" t="str">
        <x:v>To Confirm</x:v>
      </x:c>
      <x:c r="Q1004" s="137" t="str"/>
    </x:row>
    <x:row r="1005">
      <x:c r="A1005" s="137" t="str">
        <x:v>BOM-01001</x:v>
      </x:c>
      <x:c r="B1005" s="137" t="str">
        <x:v>SPADE</x:v>
      </x:c>
      <x:c r="C1005" s="137" t="str">
        <x:v>PER ORDER (V/L)</x:v>
      </x:c>
      <x:c r="D1005" s="137" t="str">
        <x:v>11X1</x:v>
      </x:c>
      <x:c r="E1005" s="137" t="str">
        <x:v>CUTTING</x:v>
      </x:c>
      <x:c r="F1005" s="137" t="str">
        <x:v>SHEET 0.8MM||SHEET</x:v>
      </x:c>
      <x:c r="G1005" s="137" t="str">
        <x:v>Sheet 0.8Mm</x:v>
      </x:c>
      <x:c r="H1005" s="137" t="str">
        <x:v>SHEET</x:v>
      </x:c>
      <x:c r="I1005" s="175" t="n">
        <x:v>0.00956938</x:v>
      </x:c>
      <x:c r="J1005" s="176" t="str"/>
      <x:c r="K1005" s="177" t="str"/>
      <x:c r="L1005" s="178" t="str">
        <x:f>IF(J1005="","",J1005*(1+IF(K1005="",0,K1005)) )</x:f>
      </x:c>
      <x:c r="M1005" s="138" t="str"/>
      <x:c r="N1005" s="137" t="str">
        <x:v>Current model BOM seed</x:v>
      </x:c>
      <x:c r="O1005" s="137" t="str"/>
      <x:c r="P1005" s="137" t="str">
        <x:v>To Confirm</x:v>
      </x:c>
      <x:c r="Q1005" s="137" t="str"/>
    </x:row>
    <x:row r="1006">
      <x:c r="A1006" s="137" t="str">
        <x:v>BOM-01002</x:v>
      </x:c>
      <x:c r="B1006" s="137" t="str">
        <x:v>SPADE</x:v>
      </x:c>
      <x:c r="C1006" s="137" t="str">
        <x:v>PER ORDER (V/L)</x:v>
      </x:c>
      <x:c r="D1006" s="137" t="str">
        <x:v>11X1</x:v>
      </x:c>
      <x:c r="E1006" s="137" t="str">
        <x:v>CUTTING</x:v>
      </x:c>
      <x:c r="F1006" s="137" t="str">
        <x:v>SHEET 1.4MM||SHEET</x:v>
      </x:c>
      <x:c r="G1006" s="137" t="str">
        <x:v>Sheet 1.4Mm</x:v>
      </x:c>
      <x:c r="H1006" s="137" t="str">
        <x:v>SHEET</x:v>
      </x:c>
      <x:c r="I1006" s="175" t="n">
        <x:v>0.01034126</x:v>
      </x:c>
      <x:c r="J1006" s="176" t="str"/>
      <x:c r="K1006" s="177" t="str"/>
      <x:c r="L1006" s="178" t="str">
        <x:f>IF(J1006="","",J1006*(1+IF(K1006="",0,K1006)) )</x:f>
      </x:c>
      <x:c r="M1006" s="138" t="str"/>
      <x:c r="N1006" s="137" t="str">
        <x:v>Current model BOM seed</x:v>
      </x:c>
      <x:c r="O1006" s="137" t="str"/>
      <x:c r="P1006" s="137" t="str">
        <x:v>To Confirm</x:v>
      </x:c>
      <x:c r="Q1006" s="137" t="str"/>
    </x:row>
    <x:row r="1007">
      <x:c r="A1007" s="137" t="str">
        <x:v>BOM-01003</x:v>
      </x:c>
      <x:c r="B1007" s="137" t="str">
        <x:v>SPADE</x:v>
      </x:c>
      <x:c r="C1007" s="137" t="str">
        <x:v>PER ORDER (V/L)</x:v>
      </x:c>
      <x:c r="D1007" s="137" t="str">
        <x:v>11X1</x:v>
      </x:c>
      <x:c r="E1007" s="137" t="str">
        <x:v>CUTTING</x:v>
      </x:c>
      <x:c r="F1007" s="137" t="str">
        <x:v>SHEET 20MM||MTR</x:v>
      </x:c>
      <x:c r="G1007" s="137" t="str">
        <x:v>Sheet 20Mm</x:v>
      </x:c>
      <x:c r="H1007" s="137" t="str">
        <x:v>MTR</x:v>
      </x:c>
      <x:c r="I1007" s="175" t="n">
        <x:v>0.00952381</x:v>
      </x:c>
      <x:c r="J1007" s="176" t="str"/>
      <x:c r="K1007" s="177" t="str"/>
      <x:c r="L1007" s="178" t="str">
        <x:f>IF(J1007="","",J1007*(1+IF(K1007="",0,K1007)) )</x:f>
      </x:c>
      <x:c r="M1007" s="138" t="str"/>
      <x:c r="N1007" s="137" t="str">
        <x:v>Current model BOM seed</x:v>
      </x:c>
      <x:c r="O1007" s="137" t="str"/>
      <x:c r="P1007" s="137" t="str">
        <x:v>To Confirm</x:v>
      </x:c>
      <x:c r="Q1007" s="137" t="str"/>
    </x:row>
    <x:row r="1008">
      <x:c r="A1008" s="137" t="str">
        <x:v>BOM-01004</x:v>
      </x:c>
      <x:c r="B1008" s="137" t="str">
        <x:v>SPADE</x:v>
      </x:c>
      <x:c r="C1008" s="137" t="str">
        <x:v>PER ORDER (V/L)</x:v>
      </x:c>
      <x:c r="D1008" s="137" t="str">
        <x:v>11X1</x:v>
      </x:c>
      <x:c r="E1008" s="137" t="str">
        <x:v>CUTTING</x:v>
      </x:c>
      <x:c r="F1008" s="137" t="str">
        <x:v>INSOLE||PAIR</x:v>
      </x:c>
      <x:c r="G1008" s="137" t="str">
        <x:v>INSOLE</x:v>
      </x:c>
      <x:c r="H1008" s="137" t="str">
        <x:v>PAIR</x:v>
      </x:c>
      <x:c r="I1008" s="175" t="n">
        <x:v>2</x:v>
      </x:c>
      <x:c r="J1008" s="176" t="str"/>
      <x:c r="K1008" s="177" t="str"/>
      <x:c r="L1008" s="178" t="str">
        <x:f>IF(J1008="","",J1008*(1+IF(K1008="",0,K1008)) )</x:f>
      </x:c>
      <x:c r="M1008" s="138" t="str"/>
      <x:c r="N1008" s="137" t="str">
        <x:v>Current model BOM seed</x:v>
      </x:c>
      <x:c r="O1008" s="137" t="str"/>
      <x:c r="P1008" s="137" t="str">
        <x:v>To Confirm</x:v>
      </x:c>
      <x:c r="Q1008" s="137" t="str"/>
    </x:row>
    <x:row r="1009">
      <x:c r="A1009" s="137" t="str">
        <x:v>BOM-01005</x:v>
      </x:c>
      <x:c r="B1009" s="137" t="str">
        <x:v>SPADE</x:v>
      </x:c>
      <x:c r="C1009" s="137" t="str">
        <x:v>PER ORDER (V/L)</x:v>
      </x:c>
      <x:c r="D1009" s="137" t="str">
        <x:v>11X1</x:v>
      </x:c>
      <x:c r="E1009" s="137" t="str">
        <x:v>MOLDING</x:v>
      </x:c>
      <x:c r="F1009" s="137" t="str">
        <x:v>SOLE 1231 EVA||PAIR</x:v>
      </x:c>
      <x:c r="G1009" s="137" t="str">
        <x:v>Sole 1231 EVA</x:v>
      </x:c>
      <x:c r="H1009" s="137" t="str">
        <x:v>PAIR</x:v>
      </x:c>
      <x:c r="I1009" s="175" t="n">
        <x:v>2</x:v>
      </x:c>
      <x:c r="J1009" s="176" t="str"/>
      <x:c r="K1009" s="177" t="str"/>
      <x:c r="L1009" s="178" t="str">
        <x:f>IF(J1009="","",J1009*(1+IF(K1009="",0,K1009)) )</x:f>
      </x:c>
      <x:c r="M1009" s="138" t="str"/>
      <x:c r="N1009" s="137" t="str">
        <x:v>Current model BOM seed</x:v>
      </x:c>
      <x:c r="O1009" s="137" t="str"/>
      <x:c r="P1009" s="137" t="str">
        <x:v>To Confirm</x:v>
      </x:c>
      <x:c r="Q1009" s="137" t="str"/>
    </x:row>
    <x:row r="1010">
      <x:c r="A1010" s="137" t="str">
        <x:v>BOM-01006</x:v>
      </x:c>
      <x:c r="B1010" s="137" t="str">
        <x:v>SPADE</x:v>
      </x:c>
      <x:c r="C1010" s="137" t="str">
        <x:v>PER ORDER (V/L)</x:v>
      </x:c>
      <x:c r="D1010" s="137" t="str">
        <x:v>11X1</x:v>
      </x:c>
      <x:c r="E1010" s="137" t="str">
        <x:v>PACKING</x:v>
      </x:c>
      <x:c r="F1010" s="137" t="str">
        <x:v>TISSUE PAPER||PCS</x:v>
      </x:c>
      <x:c r="G1010" s="137" t="str">
        <x:v>Tissue Paper</x:v>
      </x:c>
      <x:c r="H1010" s="137" t="str">
        <x:v>PCS</x:v>
      </x:c>
      <x:c r="I1010" s="175" t="n">
        <x:v>0.25</x:v>
      </x:c>
      <x:c r="J1010" s="176" t="str"/>
      <x:c r="K1010" s="177" t="str"/>
      <x:c r="L1010" s="178" t="str">
        <x:f>IF(J1010="","",J1010*(1+IF(K1010="",0,K1010)) )</x:f>
      </x:c>
      <x:c r="M1010" s="138" t="str"/>
      <x:c r="N1010" s="137" t="str">
        <x:v>Current model BOM seed</x:v>
      </x:c>
      <x:c r="O1010" s="137" t="str"/>
      <x:c r="P1010" s="137" t="str">
        <x:v>To Confirm</x:v>
      </x:c>
      <x:c r="Q1010" s="137" t="str"/>
    </x:row>
    <x:row r="1011">
      <x:c r="A1011" s="137" t="str">
        <x:v>BOM-01007</x:v>
      </x:c>
      <x:c r="B1011" s="137" t="str">
        <x:v>SPADE</x:v>
      </x:c>
      <x:c r="C1011" s="137" t="str">
        <x:v>PER ORDER (V/L)</x:v>
      </x:c>
      <x:c r="D1011" s="137" t="str">
        <x:v>11X1</x:v>
      </x:c>
      <x:c r="E1011" s="137" t="str">
        <x:v>PACKING</x:v>
      </x:c>
      <x:c r="F1011" s="137" t="str">
        <x:v>SHOE SHINER||GRAM</x:v>
      </x:c>
      <x:c r="G1011" s="137" t="str">
        <x:v>Shoe Shiner</x:v>
      </x:c>
      <x:c r="H1011" s="137" t="str">
        <x:v>GRAM</x:v>
      </x:c>
      <x:c r="I1011" s="175" t="n">
        <x:v>0.06666667</x:v>
      </x:c>
      <x:c r="J1011" s="176" t="str"/>
      <x:c r="K1011" s="177" t="str"/>
      <x:c r="L1011" s="178" t="str">
        <x:f>IF(J1011="","",J1011*(1+IF(K1011="",0,K1011)) )</x:f>
      </x:c>
      <x:c r="M1011" s="138" t="str"/>
      <x:c r="N1011" s="137" t="str">
        <x:v>Current model BOM seed</x:v>
      </x:c>
      <x:c r="O1011" s="137" t="str"/>
      <x:c r="P1011" s="137" t="str">
        <x:v>To Confirm</x:v>
      </x:c>
      <x:c r="Q1011" s="137" t="str"/>
    </x:row>
    <x:row r="1012">
      <x:c r="A1012" s="137" t="str">
        <x:v>BOM-01008</x:v>
      </x:c>
      <x:c r="B1012" s="137" t="str">
        <x:v>SPADE</x:v>
      </x:c>
      <x:c r="C1012" s="137" t="str">
        <x:v>PER ORDER (V/L)</x:v>
      </x:c>
      <x:c r="D1012" s="137" t="str">
        <x:v>11X1</x:v>
      </x:c>
      <x:c r="E1012" s="137" t="str">
        <x:v>PACKING</x:v>
      </x:c>
      <x:c r="F1012" s="137" t="str">
        <x:v>EMYLE||GRAM</x:v>
      </x:c>
      <x:c r="G1012" s="137" t="str">
        <x:v>EMYLE</x:v>
      </x:c>
      <x:c r="H1012" s="137" t="str">
        <x:v>GRAM</x:v>
      </x:c>
      <x:c r="I1012" s="175" t="n">
        <x:v>0.07142857</x:v>
      </x:c>
      <x:c r="J1012" s="176" t="str"/>
      <x:c r="K1012" s="177" t="str"/>
      <x:c r="L1012" s="178" t="str">
        <x:f>IF(J1012="","",J1012*(1+IF(K1012="",0,K1012)) )</x:f>
      </x:c>
      <x:c r="M1012" s="138" t="str"/>
      <x:c r="N1012" s="137" t="str">
        <x:v>Current model BOM seed</x:v>
      </x:c>
      <x:c r="O1012" s="137" t="str"/>
      <x:c r="P1012" s="137" t="str">
        <x:v>To Confirm</x:v>
      </x:c>
      <x:c r="Q1012" s="137" t="str"/>
    </x:row>
    <x:row r="1013">
      <x:c r="A1013" s="137" t="str">
        <x:v>BOM-01009</x:v>
      </x:c>
      <x:c r="B1013" s="137" t="str">
        <x:v>SPADE</x:v>
      </x:c>
      <x:c r="C1013" s="137" t="str">
        <x:v>PER ORDER (V/L)</x:v>
      </x:c>
      <x:c r="D1013" s="137" t="str">
        <x:v>11X1</x:v>
      </x:c>
      <x:c r="E1013" s="137" t="str">
        <x:v>PACKING</x:v>
      </x:c>
      <x:c r="F1013" s="137" t="str">
        <x:v>TAG PIN||PCS</x:v>
      </x:c>
      <x:c r="G1013" s="137" t="str">
        <x:v>Tag Pin</x:v>
      </x:c>
      <x:c r="H1013" s="137" t="str">
        <x:v>PCS</x:v>
      </x:c>
      <x:c r="I1013" s="175" t="n">
        <x:v>1</x:v>
      </x:c>
      <x:c r="J1013" s="176" t="str"/>
      <x:c r="K1013" s="177" t="str"/>
      <x:c r="L1013" s="178" t="str">
        <x:f>IF(J1013="","",J1013*(1+IF(K1013="",0,K1013)) )</x:f>
      </x:c>
      <x:c r="M1013" s="138" t="str"/>
      <x:c r="N1013" s="137" t="str">
        <x:v>Current model BOM seed</x:v>
      </x:c>
      <x:c r="O1013" s="137" t="str"/>
      <x:c r="P1013" s="137" t="str">
        <x:v>To Confirm</x:v>
      </x:c>
      <x:c r="Q1013" s="137" t="str"/>
    </x:row>
    <x:row r="1014">
      <x:c r="A1014" s="137" t="str">
        <x:v>BOM-01010</x:v>
      </x:c>
      <x:c r="B1014" s="137" t="str">
        <x:v>SPADE</x:v>
      </x:c>
      <x:c r="C1014" s="137" t="str">
        <x:v>PER ORDER (V/L)</x:v>
      </x:c>
      <x:c r="D1014" s="137" t="str">
        <x:v>11X1</x:v>
      </x:c>
      <x:c r="E1014" s="137" t="str">
        <x:v>PACKING</x:v>
      </x:c>
      <x:c r="F1014" s="137" t="str">
        <x:v>TAG CARD||PCS</x:v>
      </x:c>
      <x:c r="G1014" s="137" t="str">
        <x:v>Tag Card</x:v>
      </x:c>
      <x:c r="H1014" s="137" t="str">
        <x:v>PCS</x:v>
      </x:c>
      <x:c r="I1014" s="175" t="n">
        <x:v>1</x:v>
      </x:c>
      <x:c r="J1014" s="176" t="str"/>
      <x:c r="K1014" s="177" t="str"/>
      <x:c r="L1014" s="178" t="str">
        <x:f>IF(J1014="","",J1014*(1+IF(K1014="",0,K1014)) )</x:f>
      </x:c>
      <x:c r="M1014" s="138" t="str"/>
      <x:c r="N1014" s="137" t="str">
        <x:v>Current model BOM seed</x:v>
      </x:c>
      <x:c r="O1014" s="137" t="str"/>
      <x:c r="P1014" s="137" t="str">
        <x:v>To Confirm</x:v>
      </x:c>
      <x:c r="Q1014" s="137" t="str"/>
    </x:row>
    <x:row r="1015">
      <x:c r="A1015" s="137" t="str">
        <x:v>BOM-01011</x:v>
      </x:c>
      <x:c r="B1015" s="137" t="str">
        <x:v>SPADE</x:v>
      </x:c>
      <x:c r="C1015" s="137" t="str">
        <x:v>PER ORDER (V/L)</x:v>
      </x:c>
      <x:c r="D1015" s="137" t="str">
        <x:v>11X1</x:v>
      </x:c>
      <x:c r="E1015" s="137" t="str">
        <x:v>PACKING</x:v>
      </x:c>
      <x:c r="F1015" s="137" t="str">
        <x:v>WRAPING PAPER||PCS</x:v>
      </x:c>
      <x:c r="G1015" s="137" t="str">
        <x:v>Wraping Paper</x:v>
      </x:c>
      <x:c r="H1015" s="137" t="str">
        <x:v>PCS</x:v>
      </x:c>
      <x:c r="I1015" s="175" t="n">
        <x:v>1</x:v>
      </x:c>
      <x:c r="J1015" s="176" t="str"/>
      <x:c r="K1015" s="177" t="str"/>
      <x:c r="L1015" s="178" t="str">
        <x:f>IF(J1015="","",J1015*(1+IF(K1015="",0,K1015)) )</x:f>
      </x:c>
      <x:c r="M1015" s="138" t="str"/>
      <x:c r="N1015" s="137" t="str">
        <x:v>Current model BOM seed</x:v>
      </x:c>
      <x:c r="O1015" s="137" t="str"/>
      <x:c r="P1015" s="137" t="str">
        <x:v>To Confirm</x:v>
      </x:c>
      <x:c r="Q1015" s="137" t="str"/>
    </x:row>
    <x:row r="1016">
      <x:c r="A1016" s="137" t="str">
        <x:v>BOM-01012</x:v>
      </x:c>
      <x:c r="B1016" s="137" t="str">
        <x:v>SPADE</x:v>
      </x:c>
      <x:c r="C1016" s="137" t="str">
        <x:v>PER ORDER (V/L)</x:v>
      </x:c>
      <x:c r="D1016" s="137" t="str">
        <x:v>11X1</x:v>
      </x:c>
      <x:c r="E1016" s="137" t="str">
        <x:v>PACKING</x:v>
      </x:c>
      <x:c r="F1016" s="137" t="str">
        <x:v>INNER||PCS</x:v>
      </x:c>
      <x:c r="G1016" s="137" t="str">
        <x:v>INNER</x:v>
      </x:c>
      <x:c r="H1016" s="137" t="str">
        <x:v>PCS</x:v>
      </x:c>
      <x:c r="I1016" s="175" t="n">
        <x:v>1</x:v>
      </x:c>
      <x:c r="J1016" s="176" t="str"/>
      <x:c r="K1016" s="177" t="str"/>
      <x:c r="L1016" s="178" t="str">
        <x:f>IF(J1016="","",J1016*(1+IF(K1016="",0,K1016)) )</x:f>
      </x:c>
      <x:c r="M1016" s="138" t="str"/>
      <x:c r="N1016" s="137" t="str">
        <x:v>Current model BOM seed</x:v>
      </x:c>
      <x:c r="O1016" s="137" t="str"/>
      <x:c r="P1016" s="137" t="str">
        <x:v>To Confirm</x:v>
      </x:c>
      <x:c r="Q1016" s="137" t="str"/>
    </x:row>
    <x:row r="1017">
      <x:c r="A1017" s="137" t="str">
        <x:v>BOM-01013</x:v>
      </x:c>
      <x:c r="B1017" s="137" t="str">
        <x:v>SPADE</x:v>
      </x:c>
      <x:c r="C1017" s="137" t="str">
        <x:v>PER ORDER (V/L)</x:v>
      </x:c>
      <x:c r="D1017" s="137" t="str">
        <x:v>11X1</x:v>
      </x:c>
      <x:c r="E1017" s="137" t="str">
        <x:v>PACKING</x:v>
      </x:c>
      <x:c r="F1017" s="137" t="str">
        <x:v>BARCODE STICKER||PCS</x:v>
      </x:c>
      <x:c r="G1017" s="137" t="str">
        <x:v>Barcode Sticker</x:v>
      </x:c>
      <x:c r="H1017" s="137" t="str">
        <x:v>PCS</x:v>
      </x:c>
      <x:c r="I1017" s="175" t="n">
        <x:v>1</x:v>
      </x:c>
      <x:c r="J1017" s="176" t="str"/>
      <x:c r="K1017" s="177" t="str"/>
      <x:c r="L1017" s="178" t="str">
        <x:f>IF(J1017="","",J1017*(1+IF(K1017="",0,K1017)) )</x:f>
      </x:c>
      <x:c r="M1017" s="138" t="str"/>
      <x:c r="N1017" s="137" t="str">
        <x:v>Current model BOM seed</x:v>
      </x:c>
      <x:c r="O1017" s="137" t="str"/>
      <x:c r="P1017" s="137" t="str">
        <x:v>To Confirm</x:v>
      </x:c>
      <x:c r="Q1017" s="137" t="str"/>
    </x:row>
    <x:row r="1018">
      <x:c r="A1018" s="137" t="str">
        <x:v>BOM-01014</x:v>
      </x:c>
      <x:c r="B1018" s="137" t="str">
        <x:v>SPADE</x:v>
      </x:c>
      <x:c r="C1018" s="137" t="str">
        <x:v>PER ORDER (V/L)</x:v>
      </x:c>
      <x:c r="D1018" s="137" t="str">
        <x:v>11X1</x:v>
      </x:c>
      <x:c r="E1018" s="137" t="str">
        <x:v>PACKING</x:v>
      </x:c>
      <x:c r="F1018" s="137" t="str">
        <x:v>CTN TAPE (1 CTN)||MTR</x:v>
      </x:c>
      <x:c r="G1018" s="137" t="str">
        <x:v>Ctn Tape (1 Ctn)</x:v>
      </x:c>
      <x:c r="H1018" s="137" t="str">
        <x:v>MTR</x:v>
      </x:c>
      <x:c r="I1018" s="175" t="n">
        <x:v>0.5</x:v>
      </x:c>
      <x:c r="J1018" s="176" t="str"/>
      <x:c r="K1018" s="177" t="str"/>
      <x:c r="L1018" s="178" t="str">
        <x:f>IF(J1018="","",J1018*(1+IF(K1018="",0,K1018)) )</x:f>
      </x:c>
      <x:c r="M1018" s="138" t="str"/>
      <x:c r="N1018" s="137" t="str">
        <x:v>Current model BOM seed</x:v>
      </x:c>
      <x:c r="O1018" s="137" t="str"/>
      <x:c r="P1018" s="137" t="str">
        <x:v>To Confirm</x:v>
      </x:c>
      <x:c r="Q1018" s="137" t="str"/>
    </x:row>
    <x:row r="1019">
      <x:c r="A1019" s="137" t="str">
        <x:v>BOM-01015</x:v>
      </x:c>
      <x:c r="B1019" s="137" t="str">
        <x:v>SPADE</x:v>
      </x:c>
      <x:c r="C1019" s="137" t="str">
        <x:v>PER ORDER (V/L)</x:v>
      </x:c>
      <x:c r="D1019" s="137" t="str">
        <x:v>11X1</x:v>
      </x:c>
      <x:c r="E1019" s="137" t="str">
        <x:v>PACKING</x:v>
      </x:c>
      <x:c r="F1019" s="137" t="str">
        <x:v>STRAPING ROLL (1CTN)||MTR</x:v>
      </x:c>
      <x:c r="G1019" s="137" t="str">
        <x:v>Straping Roll (1Ctn)</x:v>
      </x:c>
      <x:c r="H1019" s="137" t="str">
        <x:v>MTR</x:v>
      </x:c>
      <x:c r="I1019" s="175" t="n">
        <x:v>0.25</x:v>
      </x:c>
      <x:c r="J1019" s="176" t="str"/>
      <x:c r="K1019" s="177" t="str"/>
      <x:c r="L1019" s="178" t="str">
        <x:f>IF(J1019="","",J1019*(1+IF(K1019="",0,K1019)) )</x:f>
      </x:c>
      <x:c r="M1019" s="138" t="str"/>
      <x:c r="N1019" s="137" t="str">
        <x:v>Current model BOM seed</x:v>
      </x:c>
      <x:c r="O1019" s="137" t="str"/>
      <x:c r="P1019" s="137" t="str">
        <x:v>To Confirm</x:v>
      </x:c>
      <x:c r="Q1019" s="137" t="str"/>
    </x:row>
    <x:row r="1020">
      <x:c r="A1020" s="137" t="str">
        <x:v>BOM-01016</x:v>
      </x:c>
      <x:c r="B1020" s="137" t="str">
        <x:v>SPADE</x:v>
      </x:c>
      <x:c r="C1020" s="137" t="str">
        <x:v>PER ORDER (V/L)</x:v>
      </x:c>
      <x:c r="D1020" s="137" t="str">
        <x:v>11X1</x:v>
      </x:c>
      <x:c r="E1020" s="137" t="str">
        <x:v>STITCHING</x:v>
      </x:c>
      <x:c r="F1020" s="137" t="str">
        <x:v>THREAD 3 PLY||MTR</x:v>
      </x:c>
      <x:c r="G1020" s="137" t="str">
        <x:v>Thread 3 Ply</x:v>
      </x:c>
      <x:c r="H1020" s="137" t="str">
        <x:v>MTR</x:v>
      </x:c>
      <x:c r="I1020" s="175" t="n">
        <x:v>33.33333333</x:v>
      </x:c>
      <x:c r="J1020" s="176" t="str"/>
      <x:c r="K1020" s="177" t="str"/>
      <x:c r="L1020" s="178" t="str">
        <x:f>IF(J1020="","",J1020*(1+IF(K1020="",0,K1020)) )</x:f>
      </x:c>
      <x:c r="M1020" s="138" t="str"/>
      <x:c r="N1020" s="137" t="str">
        <x:v>Current model BOM seed</x:v>
      </x:c>
      <x:c r="O1020" s="137" t="str"/>
      <x:c r="P1020" s="137" t="str">
        <x:v>To Confirm</x:v>
      </x:c>
      <x:c r="Q1020" s="137" t="str"/>
    </x:row>
    <x:row r="1021">
      <x:c r="A1021" s="137" t="str">
        <x:v>BOM-01017</x:v>
      </x:c>
      <x:c r="B1021" s="137" t="str">
        <x:v>SPADE</x:v>
      </x:c>
      <x:c r="C1021" s="137" t="str">
        <x:v>PER ORDER (V/L)</x:v>
      </x:c>
      <x:c r="D1021" s="137" t="str">
        <x:v>11X1</x:v>
      </x:c>
      <x:c r="E1021" s="137" t="str">
        <x:v>STITCHING</x:v>
      </x:c>
      <x:c r="F1021" s="137" t="str">
        <x:v>THREAD 3 PLY (COLOURED||MTR</x:v>
      </x:c>
      <x:c r="G1021" s="137" t="str">
        <x:v>Thread 3 Ply (Coloured</x:v>
      </x:c>
      <x:c r="H1021" s="137" t="str">
        <x:v>MTR</x:v>
      </x:c>
      <x:c r="I1021" s="175" t="n">
        <x:v>214.28571429</x:v>
      </x:c>
      <x:c r="J1021" s="176" t="str"/>
      <x:c r="K1021" s="177" t="str"/>
      <x:c r="L1021" s="178" t="str">
        <x:f>IF(J1021="","",J1021*(1+IF(K1021="",0,K1021)) )</x:f>
      </x:c>
      <x:c r="M1021" s="138" t="str"/>
      <x:c r="N1021" s="137" t="str">
        <x:v>Current model BOM seed</x:v>
      </x:c>
      <x:c r="O1021" s="137" t="str"/>
      <x:c r="P1021" s="137" t="str">
        <x:v>To Confirm</x:v>
      </x:c>
      <x:c r="Q1021" s="137" t="str"/>
    </x:row>
    <x:row r="1022">
      <x:c r="A1022" s="137" t="str">
        <x:v>BOM-01018</x:v>
      </x:c>
      <x:c r="B1022" s="137" t="str">
        <x:v>SPADE</x:v>
      </x:c>
      <x:c r="C1022" s="137" t="str">
        <x:v>PER ORDER (V/L)</x:v>
      </x:c>
      <x:c r="D1022" s="137" t="str">
        <x:v>11X1</x:v>
      </x:c>
      <x:c r="E1022" s="137" t="str">
        <x:v>STITCHING</x:v>
      </x:c>
      <x:c r="F1022" s="137" t="str">
        <x:v>SIZE LABEL||MTR</x:v>
      </x:c>
      <x:c r="G1022" s="137" t="str">
        <x:v>Size Label</x:v>
      </x:c>
      <x:c r="H1022" s="137" t="str">
        <x:v>MTR</x:v>
      </x:c>
      <x:c r="I1022" s="175" t="n">
        <x:v>0.5</x:v>
      </x:c>
      <x:c r="J1022" s="176" t="str"/>
      <x:c r="K1022" s="177" t="str"/>
      <x:c r="L1022" s="178" t="str">
        <x:f>IF(J1022="","",J1022*(1+IF(K1022="",0,K1022)) )</x:f>
      </x:c>
      <x:c r="M1022" s="138" t="str"/>
      <x:c r="N1022" s="137" t="str">
        <x:v>Current model BOM seed</x:v>
      </x:c>
      <x:c r="O1022" s="137" t="str"/>
      <x:c r="P1022" s="137" t="str">
        <x:v>To Confirm</x:v>
      </x:c>
      <x:c r="Q1022" s="137" t="str"/>
    </x:row>
    <x:row r="1023">
      <x:c r="A1023" s="137" t="str">
        <x:v>BOM-01019</x:v>
      </x:c>
      <x:c r="B1023" s="137" t="str">
        <x:v>SPADE</x:v>
      </x:c>
      <x:c r="C1023" s="137" t="str">
        <x:v>PER ORDER (V/L)</x:v>
      </x:c>
      <x:c r="D1023" s="137" t="str">
        <x:v>11X1</x:v>
      </x:c>
      <x:c r="E1023" s="137" t="str">
        <x:v>STITCHING</x:v>
      </x:c>
      <x:c r="F1023" s="137" t="str">
        <x:v>TOUNGE LABEL||MTR</x:v>
      </x:c>
      <x:c r="G1023" s="137" t="str">
        <x:v>Tounge Label</x:v>
      </x:c>
      <x:c r="H1023" s="137" t="str">
        <x:v>MTR</x:v>
      </x:c>
      <x:c r="I1023" s="175" t="n">
        <x:v>0.5</x:v>
      </x:c>
      <x:c r="J1023" s="176" t="str"/>
      <x:c r="K1023" s="177" t="str"/>
      <x:c r="L1023" s="178" t="str">
        <x:f>IF(J1023="","",J1023*(1+IF(K1023="",0,K1023)) )</x:f>
      </x:c>
      <x:c r="M1023" s="138" t="str"/>
      <x:c r="N1023" s="137" t="str">
        <x:v>Current model BOM seed</x:v>
      </x:c>
      <x:c r="O1023" s="137" t="str"/>
      <x:c r="P1023" s="137" t="str">
        <x:v>To Confirm</x:v>
      </x:c>
      <x:c r="Q1023" s="137" t="str"/>
    </x:row>
    <x:row r="1024">
      <x:c r="A1024" s="137" t="str">
        <x:v>BOM-01020</x:v>
      </x:c>
      <x:c r="B1024" s="137" t="str">
        <x:v>SPADE</x:v>
      </x:c>
      <x:c r="C1024" s="137" t="str">
        <x:v>PER ORDER (V/L)</x:v>
      </x:c>
      <x:c r="D1024" s="137" t="str">
        <x:v>11X1</x:v>
      </x:c>
      <x:c r="E1024" s="137" t="str">
        <x:v>STITCHING</x:v>
      </x:c>
      <x:c r="F1024" s="137" t="str">
        <x:v>D-RING 20MM||CM</x:v>
      </x:c>
      <x:c r="G1024" s="137" t="str">
        <x:v>D-Ring 20Mm</x:v>
      </x:c>
      <x:c r="H1024" s="137" t="str">
        <x:v>CM</x:v>
      </x:c>
      <x:c r="I1024" s="175" t="n">
        <x:v>0.25</x:v>
      </x:c>
      <x:c r="J1024" s="176" t="str"/>
      <x:c r="K1024" s="177" t="str"/>
      <x:c r="L1024" s="178" t="str">
        <x:f>IF(J1024="","",J1024*(1+IF(K1024="",0,K1024)) )</x:f>
      </x:c>
      <x:c r="M1024" s="138" t="str"/>
      <x:c r="N1024" s="137" t="str">
        <x:v>Current model BOM seed</x:v>
      </x:c>
      <x:c r="O1024" s="137" t="str"/>
      <x:c r="P1024" s="137" t="str">
        <x:v>To Confirm</x:v>
      </x:c>
      <x:c r="Q1024" s="137" t="str"/>
    </x:row>
    <x:row r="1025">
      <x:c r="A1025" s="137" t="str">
        <x:v>BOM-01021</x:v>
      </x:c>
      <x:c r="B1025" s="137" t="str">
        <x:v>SPADE</x:v>
      </x:c>
      <x:c r="C1025" s="137" t="str">
        <x:v>PER ORDER (V/L)</x:v>
      </x:c>
      <x:c r="D1025" s="137" t="str">
        <x:v>11X1</x:v>
      </x:c>
      <x:c r="E1025" s="137" t="str">
        <x:v>STITCHING</x:v>
      </x:c>
      <x:c r="F1025" s="137" t="str">
        <x:v>VELCRO 20 MM HOOK||MTR</x:v>
      </x:c>
      <x:c r="G1025" s="137" t="str">
        <x:v>VELCRO 20 MM HOOK</x:v>
      </x:c>
      <x:c r="H1025" s="137" t="str">
        <x:v>MTR</x:v>
      </x:c>
      <x:c r="I1025" s="175" t="n">
        <x:v>0.03333333</x:v>
      </x:c>
      <x:c r="J1025" s="176" t="str"/>
      <x:c r="K1025" s="177" t="str"/>
      <x:c r="L1025" s="178" t="str">
        <x:f>IF(J1025="","",J1025*(1+IF(K1025="",0,K1025)) )</x:f>
      </x:c>
      <x:c r="M1025" s="138" t="str"/>
      <x:c r="N1025" s="137" t="str">
        <x:v>Current model BOM seed</x:v>
      </x:c>
      <x:c r="O1025" s="137" t="str"/>
      <x:c r="P1025" s="137" t="str">
        <x:v>To Confirm</x:v>
      </x:c>
      <x:c r="Q1025" s="137" t="str"/>
    </x:row>
    <x:row r="1026">
      <x:c r="A1026" s="137" t="str">
        <x:v>BOM-01022</x:v>
      </x:c>
      <x:c r="B1026" s="137" t="str">
        <x:v>SPADE</x:v>
      </x:c>
      <x:c r="C1026" s="137" t="str">
        <x:v>PER ORDER (V/L)</x:v>
      </x:c>
      <x:c r="D1026" s="137" t="str">
        <x:v>11X1</x:v>
      </x:c>
      <x:c r="E1026" s="137" t="str">
        <x:v>STITCHING</x:v>
      </x:c>
      <x:c r="F1026" s="137" t="str">
        <x:v>VELCRO 20 MM LOOP||MTR</x:v>
      </x:c>
      <x:c r="G1026" s="137" t="str">
        <x:v>VELCRO 20 MM LOOP</x:v>
      </x:c>
      <x:c r="H1026" s="137" t="str">
        <x:v>MTR</x:v>
      </x:c>
      <x:c r="I1026" s="175" t="n">
        <x:v>0.03333333</x:v>
      </x:c>
      <x:c r="J1026" s="176" t="str"/>
      <x:c r="K1026" s="177" t="str"/>
      <x:c r="L1026" s="178" t="str">
        <x:f>IF(J1026="","",J1026*(1+IF(K1026="",0,K1026)) )</x:f>
      </x:c>
      <x:c r="M1026" s="138" t="str"/>
      <x:c r="N1026" s="137" t="str">
        <x:v>Current model BOM seed</x:v>
      </x:c>
      <x:c r="O1026" s="137" t="str"/>
      <x:c r="P1026" s="137" t="str">
        <x:v>To Confirm</x:v>
      </x:c>
      <x:c r="Q1026" s="137" t="str"/>
    </x:row>
    <x:row r="1027">
      <x:c r="A1027" s="137" t="str">
        <x:v>BOM-01023</x:v>
      </x:c>
      <x:c r="B1027" s="137" t="str">
        <x:v>SPADE</x:v>
      </x:c>
      <x:c r="C1027" s="137" t="str">
        <x:v>PER ORDER (V/L)</x:v>
      </x:c>
      <x:c r="D1027" s="137" t="str">
        <x:v>2X5</x:v>
      </x:c>
      <x:c r="E1027" s="137" t="str">
        <x:v>CUTTING</x:v>
      </x:c>
      <x:c r="F1027" s="137" t="str">
        <x:v>REXINE 54"||MTR</x:v>
      </x:c>
      <x:c r="G1027" s="137" t="str">
        <x:v>Rexine 54"</x:v>
      </x:c>
      <x:c r="H1027" s="137" t="str">
        <x:v>MTR</x:v>
      </x:c>
      <x:c r="I1027" s="175" t="n">
        <x:v>0.170998</x:v>
      </x:c>
      <x:c r="J1027" s="176" t="str"/>
      <x:c r="K1027" s="177" t="str"/>
      <x:c r="L1027" s="178" t="str">
        <x:f>IF(J1027="","",J1027*(1+IF(K1027="",0,K1027)) )</x:f>
      </x:c>
      <x:c r="M1027" s="138" t="str"/>
      <x:c r="N1027" s="137" t="str">
        <x:v>Current model BOM seed</x:v>
      </x:c>
      <x:c r="O1027" s="137" t="str"/>
      <x:c r="P1027" s="137" t="str">
        <x:v>To Confirm</x:v>
      </x:c>
      <x:c r="Q1027" s="137" t="str"/>
    </x:row>
    <x:row r="1028">
      <x:c r="A1028" s="137" t="str">
        <x:v>BOM-01024</x:v>
      </x:c>
      <x:c r="B1028" s="137" t="str">
        <x:v>SPADE</x:v>
      </x:c>
      <x:c r="C1028" s="137" t="str">
        <x:v>PER ORDER (V/L)</x:v>
      </x:c>
      <x:c r="D1028" s="137" t="str">
        <x:v>2X5</x:v>
      </x:c>
      <x:c r="E1028" s="137" t="str">
        <x:v>CUTTING</x:v>
      </x:c>
      <x:c r="F1028" s="137" t="str">
        <x:v>HEAVY REXINE 54"||MTR</x:v>
      </x:c>
      <x:c r="G1028" s="137" t="str">
        <x:v>Heavy Rexine 54"</x:v>
      </x:c>
      <x:c r="H1028" s="137" t="str">
        <x:v>MTR</x:v>
      </x:c>
      <x:c r="I1028" s="175" t="n">
        <x:v>0.08649391</x:v>
      </x:c>
      <x:c r="J1028" s="176" t="str"/>
      <x:c r="K1028" s="177" t="str"/>
      <x:c r="L1028" s="178" t="str">
        <x:f>IF(J1028="","",J1028*(1+IF(K1028="",0,K1028)) )</x:f>
      </x:c>
      <x:c r="M1028" s="138" t="str"/>
      <x:c r="N1028" s="137" t="str">
        <x:v>Current model BOM seed</x:v>
      </x:c>
      <x:c r="O1028" s="137" t="str"/>
      <x:c r="P1028" s="137" t="str">
        <x:v>To Confirm</x:v>
      </x:c>
      <x:c r="Q1028" s="137" t="str"/>
    </x:row>
    <x:row r="1029">
      <x:c r="A1029" s="137" t="str">
        <x:v>BOM-01025</x:v>
      </x:c>
      <x:c r="B1029" s="137" t="str">
        <x:v>SPADE</x:v>
      </x:c>
      <x:c r="C1029" s="137" t="str">
        <x:v>PER ORDER (V/L)</x:v>
      </x:c>
      <x:c r="D1029" s="137" t="str">
        <x:v>2X5</x:v>
      </x:c>
      <x:c r="E1029" s="137" t="str">
        <x:v>CUTTING</x:v>
      </x:c>
      <x:c r="F1029" s="137" t="str">
        <x:v>HEAVY REXINE 54"||SHEET</x:v>
      </x:c>
      <x:c r="G1029" s="137" t="str">
        <x:v>Heavy Rexine 54"</x:v>
      </x:c>
      <x:c r="H1029" s="137" t="str">
        <x:v>SHEET</x:v>
      </x:c>
      <x:c r="I1029" s="175" t="n">
        <x:v>0.00666667</x:v>
      </x:c>
      <x:c r="J1029" s="176" t="str"/>
      <x:c r="K1029" s="177" t="str"/>
      <x:c r="L1029" s="178" t="str">
        <x:f>IF(J1029="","",J1029*(1+IF(K1029="",0,K1029)) )</x:f>
      </x:c>
      <x:c r="M1029" s="138" t="str"/>
      <x:c r="N1029" s="137" t="str">
        <x:v>Current model BOM seed</x:v>
      </x:c>
      <x:c r="O1029" s="137" t="str"/>
      <x:c r="P1029" s="137" t="str">
        <x:v>To Confirm</x:v>
      </x:c>
      <x:c r="Q1029" s="137" t="str"/>
    </x:row>
    <x:row r="1030">
      <x:c r="A1030" s="137" t="str">
        <x:v>BOM-01026</x:v>
      </x:c>
      <x:c r="B1030" s="137" t="str">
        <x:v>SPADE</x:v>
      </x:c>
      <x:c r="C1030" s="137" t="str">
        <x:v>PER ORDER (V/L)</x:v>
      </x:c>
      <x:c r="D1030" s="137" t="str">
        <x:v>2X5</x:v>
      </x:c>
      <x:c r="E1030" s="137" t="str">
        <x:v>CUTTING</x:v>
      </x:c>
      <x:c r="F1030" s="137" t="str">
        <x:v>SHEET 0.8MM||SHEET</x:v>
      </x:c>
      <x:c r="G1030" s="137" t="str">
        <x:v>Sheet 0.8Mm</x:v>
      </x:c>
      <x:c r="H1030" s="137" t="str">
        <x:v>SHEET</x:v>
      </x:c>
      <x:c r="I1030" s="175" t="n">
        <x:v>0.01388889</x:v>
      </x:c>
      <x:c r="J1030" s="176" t="str"/>
      <x:c r="K1030" s="177" t="str"/>
      <x:c r="L1030" s="178" t="str">
        <x:f>IF(J1030="","",J1030*(1+IF(K1030="",0,K1030)) )</x:f>
      </x:c>
      <x:c r="M1030" s="138" t="str"/>
      <x:c r="N1030" s="137" t="str">
        <x:v>Current model BOM seed</x:v>
      </x:c>
      <x:c r="O1030" s="137" t="str"/>
      <x:c r="P1030" s="137" t="str">
        <x:v>To Confirm</x:v>
      </x:c>
      <x:c r="Q1030" s="137" t="str"/>
    </x:row>
    <x:row r="1031">
      <x:c r="A1031" s="137" t="str">
        <x:v>BOM-01027</x:v>
      </x:c>
      <x:c r="B1031" s="137" t="str">
        <x:v>SPADE</x:v>
      </x:c>
      <x:c r="C1031" s="137" t="str">
        <x:v>PER ORDER (V/L)</x:v>
      </x:c>
      <x:c r="D1031" s="137" t="str">
        <x:v>2X5</x:v>
      </x:c>
      <x:c r="E1031" s="137" t="str">
        <x:v>CUTTING</x:v>
      </x:c>
      <x:c r="F1031" s="137" t="str">
        <x:v>SHEET 1.4MM||SHEET</x:v>
      </x:c>
      <x:c r="G1031" s="137" t="str">
        <x:v>Sheet 1.4Mm</x:v>
      </x:c>
      <x:c r="H1031" s="137" t="str">
        <x:v>SHEET</x:v>
      </x:c>
      <x:c r="I1031" s="175" t="n">
        <x:v>0.01298701</x:v>
      </x:c>
      <x:c r="J1031" s="176" t="str"/>
      <x:c r="K1031" s="177" t="str"/>
      <x:c r="L1031" s="178" t="str">
        <x:f>IF(J1031="","",J1031*(1+IF(K1031="",0,K1031)) )</x:f>
      </x:c>
      <x:c r="M1031" s="138" t="str"/>
      <x:c r="N1031" s="137" t="str">
        <x:v>Current model BOM seed</x:v>
      </x:c>
      <x:c r="O1031" s="137" t="str"/>
      <x:c r="P1031" s="137" t="str">
        <x:v>To Confirm</x:v>
      </x:c>
      <x:c r="Q1031" s="137" t="str"/>
    </x:row>
    <x:row r="1032">
      <x:c r="A1032" s="137" t="str">
        <x:v>BOM-01028</x:v>
      </x:c>
      <x:c r="B1032" s="137" t="str">
        <x:v>SPADE</x:v>
      </x:c>
      <x:c r="C1032" s="137" t="str">
        <x:v>PER ORDER (V/L)</x:v>
      </x:c>
      <x:c r="D1032" s="137" t="str">
        <x:v>2X5</x:v>
      </x:c>
      <x:c r="E1032" s="137" t="str">
        <x:v>CUTTING</x:v>
      </x:c>
      <x:c r="F1032" s="137" t="str">
        <x:v>SHEET 20MM||MTR</x:v>
      </x:c>
      <x:c r="G1032" s="137" t="str">
        <x:v>Sheet 20Mm</x:v>
      </x:c>
      <x:c r="H1032" s="137" t="str">
        <x:v>MTR</x:v>
      </x:c>
      <x:c r="I1032" s="175" t="n">
        <x:v>0.01104972</x:v>
      </x:c>
      <x:c r="J1032" s="176" t="str"/>
      <x:c r="K1032" s="177" t="str"/>
      <x:c r="L1032" s="178" t="str">
        <x:f>IF(J1032="","",J1032*(1+IF(K1032="",0,K1032)) )</x:f>
      </x:c>
      <x:c r="M1032" s="138" t="str"/>
      <x:c r="N1032" s="137" t="str">
        <x:v>Current model BOM seed</x:v>
      </x:c>
      <x:c r="O1032" s="137" t="str"/>
      <x:c r="P1032" s="137" t="str">
        <x:v>To Confirm</x:v>
      </x:c>
      <x:c r="Q1032" s="137" t="str"/>
    </x:row>
    <x:row r="1033">
      <x:c r="A1033" s="137" t="str">
        <x:v>BOM-01029</x:v>
      </x:c>
      <x:c r="B1033" s="137" t="str">
        <x:v>SPADE</x:v>
      </x:c>
      <x:c r="C1033" s="137" t="str">
        <x:v>PER ORDER (V/L)</x:v>
      </x:c>
      <x:c r="D1033" s="137" t="str">
        <x:v>2X5</x:v>
      </x:c>
      <x:c r="E1033" s="137" t="str">
        <x:v>CUTTING</x:v>
      </x:c>
      <x:c r="F1033" s="137" t="str">
        <x:v>INSOLE||PAIR</x:v>
      </x:c>
      <x:c r="G1033" s="137" t="str">
        <x:v>INSOLE</x:v>
      </x:c>
      <x:c r="H1033" s="137" t="str">
        <x:v>PAIR</x:v>
      </x:c>
      <x:c r="I1033" s="175" t="n">
        <x:v>2</x:v>
      </x:c>
      <x:c r="J1033" s="176" t="str"/>
      <x:c r="K1033" s="177" t="str"/>
      <x:c r="L1033" s="178" t="str">
        <x:f>IF(J1033="","",J1033*(1+IF(K1033="",0,K1033)) )</x:f>
      </x:c>
      <x:c r="M1033" s="138" t="str"/>
      <x:c r="N1033" s="137" t="str">
        <x:v>Current model BOM seed</x:v>
      </x:c>
      <x:c r="O1033" s="137" t="str"/>
      <x:c r="P1033" s="137" t="str">
        <x:v>To Confirm</x:v>
      </x:c>
      <x:c r="Q1033" s="137" t="str"/>
    </x:row>
    <x:row r="1034">
      <x:c r="A1034" s="137" t="str">
        <x:v>BOM-01030</x:v>
      </x:c>
      <x:c r="B1034" s="137" t="str">
        <x:v>SPADE</x:v>
      </x:c>
      <x:c r="C1034" s="137" t="str">
        <x:v>PER ORDER (V/L)</x:v>
      </x:c>
      <x:c r="D1034" s="137" t="str">
        <x:v>2X5</x:v>
      </x:c>
      <x:c r="E1034" s="137" t="str">
        <x:v>MOLDING</x:v>
      </x:c>
      <x:c r="F1034" s="137" t="str">
        <x:v>SOLE 1231 EVA||PAIR</x:v>
      </x:c>
      <x:c r="G1034" s="137" t="str">
        <x:v>Sole 1231 EVA</x:v>
      </x:c>
      <x:c r="H1034" s="137" t="str">
        <x:v>PAIR</x:v>
      </x:c>
      <x:c r="I1034" s="175" t="n">
        <x:v>2</x:v>
      </x:c>
      <x:c r="J1034" s="176" t="str"/>
      <x:c r="K1034" s="177" t="str"/>
      <x:c r="L1034" s="178" t="str">
        <x:f>IF(J1034="","",J1034*(1+IF(K1034="",0,K1034)) )</x:f>
      </x:c>
      <x:c r="M1034" s="138" t="str"/>
      <x:c r="N1034" s="137" t="str">
        <x:v>Current model BOM seed</x:v>
      </x:c>
      <x:c r="O1034" s="137" t="str"/>
      <x:c r="P1034" s="137" t="str">
        <x:v>To Confirm</x:v>
      </x:c>
      <x:c r="Q1034" s="137" t="str"/>
    </x:row>
    <x:row r="1035">
      <x:c r="A1035" s="137" t="str">
        <x:v>BOM-01031</x:v>
      </x:c>
      <x:c r="B1035" s="137" t="str">
        <x:v>SPADE</x:v>
      </x:c>
      <x:c r="C1035" s="137" t="str">
        <x:v>PER ORDER (V/L)</x:v>
      </x:c>
      <x:c r="D1035" s="137" t="str">
        <x:v>2X5</x:v>
      </x:c>
      <x:c r="E1035" s="137" t="str">
        <x:v>PACKING</x:v>
      </x:c>
      <x:c r="F1035" s="137" t="str">
        <x:v>TISSUE PAPER||PCS</x:v>
      </x:c>
      <x:c r="G1035" s="137" t="str">
        <x:v>Tissue Paper</x:v>
      </x:c>
      <x:c r="H1035" s="137" t="str">
        <x:v>PCS</x:v>
      </x:c>
      <x:c r="I1035" s="175" t="n">
        <x:v>0.25</x:v>
      </x:c>
      <x:c r="J1035" s="176" t="str"/>
      <x:c r="K1035" s="177" t="str"/>
      <x:c r="L1035" s="178" t="str">
        <x:f>IF(J1035="","",J1035*(1+IF(K1035="",0,K1035)) )</x:f>
      </x:c>
      <x:c r="M1035" s="138" t="str"/>
      <x:c r="N1035" s="137" t="str">
        <x:v>Current model BOM seed</x:v>
      </x:c>
      <x:c r="O1035" s="137" t="str"/>
      <x:c r="P1035" s="137" t="str">
        <x:v>To Confirm</x:v>
      </x:c>
      <x:c r="Q1035" s="137" t="str"/>
    </x:row>
    <x:row r="1036">
      <x:c r="A1036" s="137" t="str">
        <x:v>BOM-01032</x:v>
      </x:c>
      <x:c r="B1036" s="137" t="str">
        <x:v>SPADE</x:v>
      </x:c>
      <x:c r="C1036" s="137" t="str">
        <x:v>PER ORDER (V/L)</x:v>
      </x:c>
      <x:c r="D1036" s="137" t="str">
        <x:v>2X5</x:v>
      </x:c>
      <x:c r="E1036" s="137" t="str">
        <x:v>PACKING</x:v>
      </x:c>
      <x:c r="F1036" s="137" t="str">
        <x:v>SHOE SHINER||GRAM</x:v>
      </x:c>
      <x:c r="G1036" s="137" t="str">
        <x:v>Shoe Shiner</x:v>
      </x:c>
      <x:c r="H1036" s="137" t="str">
        <x:v>GRAM</x:v>
      </x:c>
      <x:c r="I1036" s="175" t="n">
        <x:v>0.06666667</x:v>
      </x:c>
      <x:c r="J1036" s="176" t="str"/>
      <x:c r="K1036" s="177" t="str"/>
      <x:c r="L1036" s="178" t="str">
        <x:f>IF(J1036="","",J1036*(1+IF(K1036="",0,K1036)) )</x:f>
      </x:c>
      <x:c r="M1036" s="138" t="str"/>
      <x:c r="N1036" s="137" t="str">
        <x:v>Current model BOM seed</x:v>
      </x:c>
      <x:c r="O1036" s="137" t="str"/>
      <x:c r="P1036" s="137" t="str">
        <x:v>To Confirm</x:v>
      </x:c>
      <x:c r="Q1036" s="137" t="str"/>
    </x:row>
    <x:row r="1037">
      <x:c r="A1037" s="137" t="str">
        <x:v>BOM-01033</x:v>
      </x:c>
      <x:c r="B1037" s="137" t="str">
        <x:v>SPADE</x:v>
      </x:c>
      <x:c r="C1037" s="137" t="str">
        <x:v>PER ORDER (V/L)</x:v>
      </x:c>
      <x:c r="D1037" s="137" t="str">
        <x:v>2X5</x:v>
      </x:c>
      <x:c r="E1037" s="137" t="str">
        <x:v>PACKING</x:v>
      </x:c>
      <x:c r="F1037" s="137" t="str">
        <x:v>EMYLE||GRAM</x:v>
      </x:c>
      <x:c r="G1037" s="137" t="str">
        <x:v>EMYLE</x:v>
      </x:c>
      <x:c r="H1037" s="137" t="str">
        <x:v>GRAM</x:v>
      </x:c>
      <x:c r="I1037" s="175" t="n">
        <x:v>0.07142857</x:v>
      </x:c>
      <x:c r="J1037" s="176" t="str"/>
      <x:c r="K1037" s="177" t="str"/>
      <x:c r="L1037" s="178" t="str">
        <x:f>IF(J1037="","",J1037*(1+IF(K1037="",0,K1037)) )</x:f>
      </x:c>
      <x:c r="M1037" s="138" t="str"/>
      <x:c r="N1037" s="137" t="str">
        <x:v>Current model BOM seed</x:v>
      </x:c>
      <x:c r="O1037" s="137" t="str"/>
      <x:c r="P1037" s="137" t="str">
        <x:v>To Confirm</x:v>
      </x:c>
      <x:c r="Q1037" s="137" t="str"/>
    </x:row>
    <x:row r="1038">
      <x:c r="A1038" s="137" t="str">
        <x:v>BOM-01034</x:v>
      </x:c>
      <x:c r="B1038" s="137" t="str">
        <x:v>SPADE</x:v>
      </x:c>
      <x:c r="C1038" s="137" t="str">
        <x:v>PER ORDER (V/L)</x:v>
      </x:c>
      <x:c r="D1038" s="137" t="str">
        <x:v>2X5</x:v>
      </x:c>
      <x:c r="E1038" s="137" t="str">
        <x:v>PACKING</x:v>
      </x:c>
      <x:c r="F1038" s="137" t="str">
        <x:v>TAG PIN||PCS</x:v>
      </x:c>
      <x:c r="G1038" s="137" t="str">
        <x:v>Tag Pin</x:v>
      </x:c>
      <x:c r="H1038" s="137" t="str">
        <x:v>PCS</x:v>
      </x:c>
      <x:c r="I1038" s="175" t="n">
        <x:v>1</x:v>
      </x:c>
      <x:c r="J1038" s="176" t="str"/>
      <x:c r="K1038" s="177" t="str"/>
      <x:c r="L1038" s="178" t="str">
        <x:f>IF(J1038="","",J1038*(1+IF(K1038="",0,K1038)) )</x:f>
      </x:c>
      <x:c r="M1038" s="138" t="str"/>
      <x:c r="N1038" s="137" t="str">
        <x:v>Current model BOM seed</x:v>
      </x:c>
      <x:c r="O1038" s="137" t="str"/>
      <x:c r="P1038" s="137" t="str">
        <x:v>To Confirm</x:v>
      </x:c>
      <x:c r="Q1038" s="137" t="str"/>
    </x:row>
    <x:row r="1039">
      <x:c r="A1039" s="137" t="str">
        <x:v>BOM-01035</x:v>
      </x:c>
      <x:c r="B1039" s="137" t="str">
        <x:v>SPADE</x:v>
      </x:c>
      <x:c r="C1039" s="137" t="str">
        <x:v>PER ORDER (V/L)</x:v>
      </x:c>
      <x:c r="D1039" s="137" t="str">
        <x:v>2X5</x:v>
      </x:c>
      <x:c r="E1039" s="137" t="str">
        <x:v>PACKING</x:v>
      </x:c>
      <x:c r="F1039" s="137" t="str">
        <x:v>TAG CARD||PCS</x:v>
      </x:c>
      <x:c r="G1039" s="137" t="str">
        <x:v>Tag Card</x:v>
      </x:c>
      <x:c r="H1039" s="137" t="str">
        <x:v>PCS</x:v>
      </x:c>
      <x:c r="I1039" s="175" t="n">
        <x:v>1</x:v>
      </x:c>
      <x:c r="J1039" s="176" t="str"/>
      <x:c r="K1039" s="177" t="str"/>
      <x:c r="L1039" s="178" t="str">
        <x:f>IF(J1039="","",J1039*(1+IF(K1039="",0,K1039)) )</x:f>
      </x:c>
      <x:c r="M1039" s="138" t="str"/>
      <x:c r="N1039" s="137" t="str">
        <x:v>Current model BOM seed</x:v>
      </x:c>
      <x:c r="O1039" s="137" t="str"/>
      <x:c r="P1039" s="137" t="str">
        <x:v>To Confirm</x:v>
      </x:c>
      <x:c r="Q1039" s="137" t="str"/>
    </x:row>
    <x:row r="1040">
      <x:c r="A1040" s="137" t="str">
        <x:v>BOM-01036</x:v>
      </x:c>
      <x:c r="B1040" s="137" t="str">
        <x:v>SPADE</x:v>
      </x:c>
      <x:c r="C1040" s="137" t="str">
        <x:v>PER ORDER (V/L)</x:v>
      </x:c>
      <x:c r="D1040" s="137" t="str">
        <x:v>2X5</x:v>
      </x:c>
      <x:c r="E1040" s="137" t="str">
        <x:v>PACKING</x:v>
      </x:c>
      <x:c r="F1040" s="137" t="str">
        <x:v>WRAPING PAPER||PCS</x:v>
      </x:c>
      <x:c r="G1040" s="137" t="str">
        <x:v>Wraping Paper</x:v>
      </x:c>
      <x:c r="H1040" s="137" t="str">
        <x:v>PCS</x:v>
      </x:c>
      <x:c r="I1040" s="175" t="n">
        <x:v>1</x:v>
      </x:c>
      <x:c r="J1040" s="176" t="str"/>
      <x:c r="K1040" s="177" t="str"/>
      <x:c r="L1040" s="178" t="str">
        <x:f>IF(J1040="","",J1040*(1+IF(K1040="",0,K1040)) )</x:f>
      </x:c>
      <x:c r="M1040" s="138" t="str"/>
      <x:c r="N1040" s="137" t="str">
        <x:v>Current model BOM seed</x:v>
      </x:c>
      <x:c r="O1040" s="137" t="str"/>
      <x:c r="P1040" s="137" t="str">
        <x:v>To Confirm</x:v>
      </x:c>
      <x:c r="Q1040" s="137" t="str"/>
    </x:row>
    <x:row r="1041">
      <x:c r="A1041" s="137" t="str">
        <x:v>BOM-01037</x:v>
      </x:c>
      <x:c r="B1041" s="137" t="str">
        <x:v>SPADE</x:v>
      </x:c>
      <x:c r="C1041" s="137" t="str">
        <x:v>PER ORDER (V/L)</x:v>
      </x:c>
      <x:c r="D1041" s="137" t="str">
        <x:v>2X5</x:v>
      </x:c>
      <x:c r="E1041" s="137" t="str">
        <x:v>PACKING</x:v>
      </x:c>
      <x:c r="F1041" s="137" t="str">
        <x:v>INNER||PCS</x:v>
      </x:c>
      <x:c r="G1041" s="137" t="str">
        <x:v>INNER</x:v>
      </x:c>
      <x:c r="H1041" s="137" t="str">
        <x:v>PCS</x:v>
      </x:c>
      <x:c r="I1041" s="175" t="n">
        <x:v>1</x:v>
      </x:c>
      <x:c r="J1041" s="176" t="str"/>
      <x:c r="K1041" s="177" t="str"/>
      <x:c r="L1041" s="178" t="str">
        <x:f>IF(J1041="","",J1041*(1+IF(K1041="",0,K1041)) )</x:f>
      </x:c>
      <x:c r="M1041" s="138" t="str"/>
      <x:c r="N1041" s="137" t="str">
        <x:v>Current model BOM seed</x:v>
      </x:c>
      <x:c r="O1041" s="137" t="str"/>
      <x:c r="P1041" s="137" t="str">
        <x:v>To Confirm</x:v>
      </x:c>
      <x:c r="Q1041" s="137" t="str"/>
    </x:row>
    <x:row r="1042">
      <x:c r="A1042" s="137" t="str">
        <x:v>BOM-01038</x:v>
      </x:c>
      <x:c r="B1042" s="137" t="str">
        <x:v>SPADE</x:v>
      </x:c>
      <x:c r="C1042" s="137" t="str">
        <x:v>PER ORDER (V/L)</x:v>
      </x:c>
      <x:c r="D1042" s="137" t="str">
        <x:v>2X5</x:v>
      </x:c>
      <x:c r="E1042" s="137" t="str">
        <x:v>PACKING</x:v>
      </x:c>
      <x:c r="F1042" s="137" t="str">
        <x:v>BARCODE STICKER||PCS</x:v>
      </x:c>
      <x:c r="G1042" s="137" t="str">
        <x:v>Barcode Sticker</x:v>
      </x:c>
      <x:c r="H1042" s="137" t="str">
        <x:v>PCS</x:v>
      </x:c>
      <x:c r="I1042" s="175" t="n">
        <x:v>1</x:v>
      </x:c>
      <x:c r="J1042" s="176" t="str"/>
      <x:c r="K1042" s="177" t="str"/>
      <x:c r="L1042" s="178" t="str">
        <x:f>IF(J1042="","",J1042*(1+IF(K1042="",0,K1042)) )</x:f>
      </x:c>
      <x:c r="M1042" s="138" t="str"/>
      <x:c r="N1042" s="137" t="str">
        <x:v>Current model BOM seed</x:v>
      </x:c>
      <x:c r="O1042" s="137" t="str"/>
      <x:c r="P1042" s="137" t="str">
        <x:v>To Confirm</x:v>
      </x:c>
      <x:c r="Q1042" s="137" t="str"/>
    </x:row>
    <x:row r="1043">
      <x:c r="A1043" s="137" t="str">
        <x:v>BOM-01039</x:v>
      </x:c>
      <x:c r="B1043" s="137" t="str">
        <x:v>SPADE</x:v>
      </x:c>
      <x:c r="C1043" s="137" t="str">
        <x:v>PER ORDER (V/L)</x:v>
      </x:c>
      <x:c r="D1043" s="137" t="str">
        <x:v>2X5</x:v>
      </x:c>
      <x:c r="E1043" s="137" t="str">
        <x:v>PACKING</x:v>
      </x:c>
      <x:c r="F1043" s="137" t="str">
        <x:v>CTN TAPE (1 CTN)||MTR</x:v>
      </x:c>
      <x:c r="G1043" s="137" t="str">
        <x:v>Ctn Tape (1 Ctn)</x:v>
      </x:c>
      <x:c r="H1043" s="137" t="str">
        <x:v>MTR</x:v>
      </x:c>
      <x:c r="I1043" s="175" t="n">
        <x:v>0.5</x:v>
      </x:c>
      <x:c r="J1043" s="176" t="str"/>
      <x:c r="K1043" s="177" t="str"/>
      <x:c r="L1043" s="178" t="str">
        <x:f>IF(J1043="","",J1043*(1+IF(K1043="",0,K1043)) )</x:f>
      </x:c>
      <x:c r="M1043" s="138" t="str"/>
      <x:c r="N1043" s="137" t="str">
        <x:v>Current model BOM seed</x:v>
      </x:c>
      <x:c r="O1043" s="137" t="str"/>
      <x:c r="P1043" s="137" t="str">
        <x:v>To Confirm</x:v>
      </x:c>
      <x:c r="Q1043" s="137" t="str"/>
    </x:row>
    <x:row r="1044">
      <x:c r="A1044" s="137" t="str">
        <x:v>BOM-01040</x:v>
      </x:c>
      <x:c r="B1044" s="137" t="str">
        <x:v>SPADE</x:v>
      </x:c>
      <x:c r="C1044" s="137" t="str">
        <x:v>PER ORDER (V/L)</x:v>
      </x:c>
      <x:c r="D1044" s="137" t="str">
        <x:v>2X5</x:v>
      </x:c>
      <x:c r="E1044" s="137" t="str">
        <x:v>PACKING</x:v>
      </x:c>
      <x:c r="F1044" s="137" t="str">
        <x:v>STRAPING ROLL (1CTN)||MTR</x:v>
      </x:c>
      <x:c r="G1044" s="137" t="str">
        <x:v>Straping Roll (1Ctn)</x:v>
      </x:c>
      <x:c r="H1044" s="137" t="str">
        <x:v>MTR</x:v>
      </x:c>
      <x:c r="I1044" s="175" t="n">
        <x:v>0.25</x:v>
      </x:c>
      <x:c r="J1044" s="176" t="str"/>
      <x:c r="K1044" s="177" t="str"/>
      <x:c r="L1044" s="178" t="str">
        <x:f>IF(J1044="","",J1044*(1+IF(K1044="",0,K1044)) )</x:f>
      </x:c>
      <x:c r="M1044" s="138" t="str"/>
      <x:c r="N1044" s="137" t="str">
        <x:v>Current model BOM seed</x:v>
      </x:c>
      <x:c r="O1044" s="137" t="str"/>
      <x:c r="P1044" s="137" t="str">
        <x:v>To Confirm</x:v>
      </x:c>
      <x:c r="Q1044" s="137" t="str"/>
    </x:row>
    <x:row r="1045">
      <x:c r="A1045" s="137" t="str">
        <x:v>BOM-01041</x:v>
      </x:c>
      <x:c r="B1045" s="137" t="str">
        <x:v>SPADE</x:v>
      </x:c>
      <x:c r="C1045" s="137" t="str">
        <x:v>PER ORDER (V/L)</x:v>
      </x:c>
      <x:c r="D1045" s="137" t="str">
        <x:v>2X5</x:v>
      </x:c>
      <x:c r="E1045" s="137" t="str">
        <x:v>STITCHING</x:v>
      </x:c>
      <x:c r="F1045" s="137" t="str">
        <x:v>THREAD 3 PLY||MTR</x:v>
      </x:c>
      <x:c r="G1045" s="137" t="str">
        <x:v>Thread 3 Ply</x:v>
      </x:c>
      <x:c r="H1045" s="137" t="str">
        <x:v>MTR</x:v>
      </x:c>
      <x:c r="I1045" s="175" t="n">
        <x:v>30</x:v>
      </x:c>
      <x:c r="J1045" s="176" t="str"/>
      <x:c r="K1045" s="177" t="str"/>
      <x:c r="L1045" s="178" t="str">
        <x:f>IF(J1045="","",J1045*(1+IF(K1045="",0,K1045)) )</x:f>
      </x:c>
      <x:c r="M1045" s="138" t="str"/>
      <x:c r="N1045" s="137" t="str">
        <x:v>Current model BOM seed</x:v>
      </x:c>
      <x:c r="O1045" s="137" t="str"/>
      <x:c r="P1045" s="137" t="str">
        <x:v>To Confirm</x:v>
      </x:c>
      <x:c r="Q1045" s="137" t="str"/>
    </x:row>
    <x:row r="1046">
      <x:c r="A1046" s="137" t="str">
        <x:v>BOM-01042</x:v>
      </x:c>
      <x:c r="B1046" s="137" t="str">
        <x:v>SPADE</x:v>
      </x:c>
      <x:c r="C1046" s="137" t="str">
        <x:v>PER ORDER (V/L)</x:v>
      </x:c>
      <x:c r="D1046" s="137" t="str">
        <x:v>2X5</x:v>
      </x:c>
      <x:c r="E1046" s="137" t="str">
        <x:v>STITCHING</x:v>
      </x:c>
      <x:c r="F1046" s="137" t="str">
        <x:v>THREAD 3 PLY (COLOURED||MTR</x:v>
      </x:c>
      <x:c r="G1046" s="137" t="str">
        <x:v>Thread 3 Ply (Coloured</x:v>
      </x:c>
      <x:c r="H1046" s="137" t="str">
        <x:v>MTR</x:v>
      </x:c>
      <x:c r="I1046" s="175" t="n">
        <x:v>187.5</x:v>
      </x:c>
      <x:c r="J1046" s="176" t="str"/>
      <x:c r="K1046" s="177" t="str"/>
      <x:c r="L1046" s="178" t="str">
        <x:f>IF(J1046="","",J1046*(1+IF(K1046="",0,K1046)) )</x:f>
      </x:c>
      <x:c r="M1046" s="138" t="str"/>
      <x:c r="N1046" s="137" t="str">
        <x:v>Current model BOM seed</x:v>
      </x:c>
      <x:c r="O1046" s="137" t="str"/>
      <x:c r="P1046" s="137" t="str">
        <x:v>To Confirm</x:v>
      </x:c>
      <x:c r="Q1046" s="137" t="str"/>
    </x:row>
    <x:row r="1047">
      <x:c r="A1047" s="137" t="str">
        <x:v>BOM-01043</x:v>
      </x:c>
      <x:c r="B1047" s="137" t="str">
        <x:v>SPADE</x:v>
      </x:c>
      <x:c r="C1047" s="137" t="str">
        <x:v>PER ORDER (V/L)</x:v>
      </x:c>
      <x:c r="D1047" s="137" t="str">
        <x:v>2X5</x:v>
      </x:c>
      <x:c r="E1047" s="137" t="str">
        <x:v>STITCHING</x:v>
      </x:c>
      <x:c r="F1047" s="137" t="str">
        <x:v>SIZE LABEL||MTR</x:v>
      </x:c>
      <x:c r="G1047" s="137" t="str">
        <x:v>Size Label</x:v>
      </x:c>
      <x:c r="H1047" s="137" t="str">
        <x:v>MTR</x:v>
      </x:c>
      <x:c r="I1047" s="175" t="n">
        <x:v>0.5</x:v>
      </x:c>
      <x:c r="J1047" s="176" t="str"/>
      <x:c r="K1047" s="177" t="str"/>
      <x:c r="L1047" s="178" t="str">
        <x:f>IF(J1047="","",J1047*(1+IF(K1047="",0,K1047)) )</x:f>
      </x:c>
      <x:c r="M1047" s="138" t="str"/>
      <x:c r="N1047" s="137" t="str">
        <x:v>Current model BOM seed</x:v>
      </x:c>
      <x:c r="O1047" s="137" t="str"/>
      <x:c r="P1047" s="137" t="str">
        <x:v>To Confirm</x:v>
      </x:c>
      <x:c r="Q1047" s="137" t="str"/>
    </x:row>
    <x:row r="1048">
      <x:c r="A1048" s="137" t="str">
        <x:v>BOM-01044</x:v>
      </x:c>
      <x:c r="B1048" s="137" t="str">
        <x:v>SPADE</x:v>
      </x:c>
      <x:c r="C1048" s="137" t="str">
        <x:v>PER ORDER (V/L)</x:v>
      </x:c>
      <x:c r="D1048" s="137" t="str">
        <x:v>2X5</x:v>
      </x:c>
      <x:c r="E1048" s="137" t="str">
        <x:v>STITCHING</x:v>
      </x:c>
      <x:c r="F1048" s="137" t="str">
        <x:v>TOUNGE LABEL||MTR</x:v>
      </x:c>
      <x:c r="G1048" s="137" t="str">
        <x:v>Tounge Label</x:v>
      </x:c>
      <x:c r="H1048" s="137" t="str">
        <x:v>MTR</x:v>
      </x:c>
      <x:c r="I1048" s="175" t="n">
        <x:v>0.5</x:v>
      </x:c>
      <x:c r="J1048" s="176" t="str"/>
      <x:c r="K1048" s="177" t="str"/>
      <x:c r="L1048" s="178" t="str">
        <x:f>IF(J1048="","",J1048*(1+IF(K1048="",0,K1048)) )</x:f>
      </x:c>
      <x:c r="M1048" s="138" t="str"/>
      <x:c r="N1048" s="137" t="str">
        <x:v>Current model BOM seed</x:v>
      </x:c>
      <x:c r="O1048" s="137" t="str"/>
      <x:c r="P1048" s="137" t="str">
        <x:v>To Confirm</x:v>
      </x:c>
      <x:c r="Q1048" s="137" t="str"/>
    </x:row>
    <x:row r="1049">
      <x:c r="A1049" s="137" t="str">
        <x:v>BOM-01045</x:v>
      </x:c>
      <x:c r="B1049" s="137" t="str">
        <x:v>SPADE</x:v>
      </x:c>
      <x:c r="C1049" s="137" t="str">
        <x:v>PER ORDER (V/L)</x:v>
      </x:c>
      <x:c r="D1049" s="137" t="str">
        <x:v>2X5</x:v>
      </x:c>
      <x:c r="E1049" s="137" t="str">
        <x:v>STITCHING</x:v>
      </x:c>
      <x:c r="F1049" s="137" t="str">
        <x:v>D-RING 20MM||CM</x:v>
      </x:c>
      <x:c r="G1049" s="137" t="str">
        <x:v>D-Ring 20Mm</x:v>
      </x:c>
      <x:c r="H1049" s="137" t="str">
        <x:v>CM</x:v>
      </x:c>
      <x:c r="I1049" s="175" t="n">
        <x:v>0.25</x:v>
      </x:c>
      <x:c r="J1049" s="176" t="str"/>
      <x:c r="K1049" s="177" t="str"/>
      <x:c r="L1049" s="178" t="str">
        <x:f>IF(J1049="","",J1049*(1+IF(K1049="",0,K1049)) )</x:f>
      </x:c>
      <x:c r="M1049" s="138" t="str"/>
      <x:c r="N1049" s="137" t="str">
        <x:v>Current model BOM seed</x:v>
      </x:c>
      <x:c r="O1049" s="137" t="str"/>
      <x:c r="P1049" s="137" t="str">
        <x:v>To Confirm</x:v>
      </x:c>
      <x:c r="Q1049" s="137" t="str"/>
    </x:row>
    <x:row r="1050">
      <x:c r="A1050" s="137" t="str">
        <x:v>BOM-01046</x:v>
      </x:c>
      <x:c r="B1050" s="137" t="str">
        <x:v>SPADE</x:v>
      </x:c>
      <x:c r="C1050" s="137" t="str">
        <x:v>PER ORDER (V/L)</x:v>
      </x:c>
      <x:c r="D1050" s="137" t="str">
        <x:v>2X5</x:v>
      </x:c>
      <x:c r="E1050" s="137" t="str">
        <x:v>STITCHING</x:v>
      </x:c>
      <x:c r="F1050" s="137" t="str">
        <x:v>VELCRO 20 MM HOOK||MTR</x:v>
      </x:c>
      <x:c r="G1050" s="137" t="str">
        <x:v>VELCRO 20 MM HOOK</x:v>
      </x:c>
      <x:c r="H1050" s="137" t="str">
        <x:v>MTR</x:v>
      </x:c>
      <x:c r="I1050" s="175" t="n">
        <x:v>0.02702703</x:v>
      </x:c>
      <x:c r="J1050" s="176" t="str"/>
      <x:c r="K1050" s="177" t="str"/>
      <x:c r="L1050" s="178" t="str">
        <x:f>IF(J1050="","",J1050*(1+IF(K1050="",0,K1050)) )</x:f>
      </x:c>
      <x:c r="M1050" s="138" t="str"/>
      <x:c r="N1050" s="137" t="str">
        <x:v>Current model BOM seed</x:v>
      </x:c>
      <x:c r="O1050" s="137" t="str"/>
      <x:c r="P1050" s="137" t="str">
        <x:v>To Confirm</x:v>
      </x:c>
      <x:c r="Q1050" s="137" t="str"/>
    </x:row>
    <x:row r="1051">
      <x:c r="A1051" s="137" t="str">
        <x:v>BOM-01047</x:v>
      </x:c>
      <x:c r="B1051" s="137" t="str">
        <x:v>SPADE</x:v>
      </x:c>
      <x:c r="C1051" s="137" t="str">
        <x:v>PER ORDER (V/L)</x:v>
      </x:c>
      <x:c r="D1051" s="137" t="str">
        <x:v>2X5</x:v>
      </x:c>
      <x:c r="E1051" s="137" t="str">
        <x:v>STITCHING</x:v>
      </x:c>
      <x:c r="F1051" s="137" t="str">
        <x:v>VELCRO 20 MM LOOP||MTR</x:v>
      </x:c>
      <x:c r="G1051" s="137" t="str">
        <x:v>VELCRO 20 MM LOOP</x:v>
      </x:c>
      <x:c r="H1051" s="137" t="str">
        <x:v>MTR</x:v>
      </x:c>
      <x:c r="I1051" s="175" t="n">
        <x:v>0.02702703</x:v>
      </x:c>
      <x:c r="J1051" s="176" t="str"/>
      <x:c r="K1051" s="177" t="str"/>
      <x:c r="L1051" s="178" t="str">
        <x:f>IF(J1051="","",J1051*(1+IF(K1051="",0,K1051)) )</x:f>
      </x:c>
      <x:c r="M1051" s="138" t="str"/>
      <x:c r="N1051" s="137" t="str">
        <x:v>Current model BOM seed</x:v>
      </x:c>
      <x:c r="O1051" s="137" t="str"/>
      <x:c r="P1051" s="137" t="str">
        <x:v>To Confirm</x:v>
      </x:c>
      <x:c r="Q1051" s="137" t="str"/>
    </x:row>
    <x:row r="1052">
      <x:c r="A1052" s="137" t="str">
        <x:v>BOM-01048</x:v>
      </x:c>
      <x:c r="B1052" s="137" t="str">
        <x:v>SPADE</x:v>
      </x:c>
      <x:c r="C1052" s="137" t="str">
        <x:v>PER ORDER (V/L)</x:v>
      </x:c>
      <x:c r="D1052" s="137" t="str">
        <x:v>6X7</x:v>
      </x:c>
      <x:c r="E1052" s="137" t="str">
        <x:v>CUTTING</x:v>
      </x:c>
      <x:c r="F1052" s="137" t="str">
        <x:v>REXINE 54"||MTR</x:v>
      </x:c>
      <x:c r="G1052" s="137" t="str">
        <x:v>Rexine 54"</x:v>
      </x:c>
      <x:c r="H1052" s="137" t="str">
        <x:v>MTR</x:v>
      </x:c>
      <x:c r="I1052" s="175" t="n">
        <x:v>0.19698638</x:v>
      </x:c>
      <x:c r="J1052" s="176" t="str"/>
      <x:c r="K1052" s="177" t="str"/>
      <x:c r="L1052" s="178" t="str">
        <x:f>IF(J1052="","",J1052*(1+IF(K1052="",0,K1052)) )</x:f>
      </x:c>
      <x:c r="M1052" s="138" t="str"/>
      <x:c r="N1052" s="137" t="str">
        <x:v>Current model BOM seed</x:v>
      </x:c>
      <x:c r="O1052" s="137" t="str"/>
      <x:c r="P1052" s="137" t="str">
        <x:v>To Confirm</x:v>
      </x:c>
      <x:c r="Q1052" s="137" t="str"/>
    </x:row>
    <x:row r="1053">
      <x:c r="A1053" s="137" t="str">
        <x:v>BOM-01049</x:v>
      </x:c>
      <x:c r="B1053" s="137" t="str">
        <x:v>SPADE</x:v>
      </x:c>
      <x:c r="C1053" s="137" t="str">
        <x:v>PER ORDER (V/L)</x:v>
      </x:c>
      <x:c r="D1053" s="137" t="str">
        <x:v>6X7</x:v>
      </x:c>
      <x:c r="E1053" s="137" t="str">
        <x:v>CUTTING</x:v>
      </x:c>
      <x:c r="F1053" s="137" t="str">
        <x:v>HEAVY REXINE 54"||MTR</x:v>
      </x:c>
      <x:c r="G1053" s="137" t="str">
        <x:v>Heavy Rexine 54"</x:v>
      </x:c>
      <x:c r="H1053" s="137" t="str">
        <x:v>MTR</x:v>
      </x:c>
      <x:c r="I1053" s="175" t="n">
        <x:v>0.09899214</x:v>
      </x:c>
      <x:c r="J1053" s="176" t="str"/>
      <x:c r="K1053" s="177" t="str"/>
      <x:c r="L1053" s="178" t="str">
        <x:f>IF(J1053="","",J1053*(1+IF(K1053="",0,K1053)) )</x:f>
      </x:c>
      <x:c r="M1053" s="138" t="str"/>
      <x:c r="N1053" s="137" t="str">
        <x:v>Current model BOM seed</x:v>
      </x:c>
      <x:c r="O1053" s="137" t="str"/>
      <x:c r="P1053" s="137" t="str">
        <x:v>To Confirm</x:v>
      </x:c>
      <x:c r="Q1053" s="137" t="str"/>
    </x:row>
    <x:row r="1054">
      <x:c r="A1054" s="137" t="str">
        <x:v>BOM-01050</x:v>
      </x:c>
      <x:c r="B1054" s="137" t="str">
        <x:v>SPADE</x:v>
      </x:c>
      <x:c r="C1054" s="137" t="str">
        <x:v>PER ORDER (V/L)</x:v>
      </x:c>
      <x:c r="D1054" s="137" t="str">
        <x:v>6X7</x:v>
      </x:c>
      <x:c r="E1054" s="137" t="str">
        <x:v>CUTTING</x:v>
      </x:c>
      <x:c r="F1054" s="137" t="str">
        <x:v>HEAVY REXINE 54"||SHEET</x:v>
      </x:c>
      <x:c r="G1054" s="137" t="str">
        <x:v>Heavy Rexine 54"</x:v>
      </x:c>
      <x:c r="H1054" s="137" t="str">
        <x:v>SHEET</x:v>
      </x:c>
      <x:c r="I1054" s="175" t="n">
        <x:v>0.00769231</x:v>
      </x:c>
      <x:c r="J1054" s="176" t="str"/>
      <x:c r="K1054" s="177" t="str"/>
      <x:c r="L1054" s="178" t="str">
        <x:f>IF(J1054="","",J1054*(1+IF(K1054="",0,K1054)) )</x:f>
      </x:c>
      <x:c r="M1054" s="138" t="str"/>
      <x:c r="N1054" s="137" t="str">
        <x:v>Current model BOM seed</x:v>
      </x:c>
      <x:c r="O1054" s="137" t="str"/>
      <x:c r="P1054" s="137" t="str">
        <x:v>To Confirm</x:v>
      </x:c>
      <x:c r="Q1054" s="137" t="str"/>
    </x:row>
    <x:row r="1055">
      <x:c r="A1055" s="137" t="str">
        <x:v>BOM-01051</x:v>
      </x:c>
      <x:c r="B1055" s="137" t="str">
        <x:v>SPADE</x:v>
      </x:c>
      <x:c r="C1055" s="137" t="str">
        <x:v>PER ORDER (V/L)</x:v>
      </x:c>
      <x:c r="D1055" s="137" t="str">
        <x:v>6X7</x:v>
      </x:c>
      <x:c r="E1055" s="137" t="str">
        <x:v>CUTTING</x:v>
      </x:c>
      <x:c r="F1055" s="137" t="str">
        <x:v>SHEET 0.8MM||SHEET</x:v>
      </x:c>
      <x:c r="G1055" s="137" t="str">
        <x:v>Sheet 0.8Mm</x:v>
      </x:c>
      <x:c r="H1055" s="137" t="str">
        <x:v>SHEET</x:v>
      </x:c>
      <x:c r="I1055" s="175" t="n">
        <x:v>0.01408451</x:v>
      </x:c>
      <x:c r="J1055" s="176" t="str"/>
      <x:c r="K1055" s="177" t="str"/>
      <x:c r="L1055" s="178" t="str">
        <x:f>IF(J1055="","",J1055*(1+IF(K1055="",0,K1055)) )</x:f>
      </x:c>
      <x:c r="M1055" s="138" t="str"/>
      <x:c r="N1055" s="137" t="str">
        <x:v>Current model BOM seed</x:v>
      </x:c>
      <x:c r="O1055" s="137" t="str"/>
      <x:c r="P1055" s="137" t="str">
        <x:v>To Confirm</x:v>
      </x:c>
      <x:c r="Q1055" s="137" t="str"/>
    </x:row>
    <x:row r="1056">
      <x:c r="A1056" s="137" t="str">
        <x:v>BOM-01052</x:v>
      </x:c>
      <x:c r="B1056" s="137" t="str">
        <x:v>SPADE</x:v>
      </x:c>
      <x:c r="C1056" s="137" t="str">
        <x:v>PER ORDER (V/L)</x:v>
      </x:c>
      <x:c r="D1056" s="137" t="str">
        <x:v>6X7</x:v>
      </x:c>
      <x:c r="E1056" s="137" t="str">
        <x:v>CUTTING</x:v>
      </x:c>
      <x:c r="F1056" s="137" t="str">
        <x:v>SHEET 1.4MM||SHEET</x:v>
      </x:c>
      <x:c r="G1056" s="137" t="str">
        <x:v>Sheet 1.4Mm</x:v>
      </x:c>
      <x:c r="H1056" s="137" t="str">
        <x:v>SHEET</x:v>
      </x:c>
      <x:c r="I1056" s="175" t="n">
        <x:v>0.01351351</x:v>
      </x:c>
      <x:c r="J1056" s="176" t="str"/>
      <x:c r="K1056" s="177" t="str"/>
      <x:c r="L1056" s="178" t="str">
        <x:f>IF(J1056="","",J1056*(1+IF(K1056="",0,K1056)) )</x:f>
      </x:c>
      <x:c r="M1056" s="138" t="str"/>
      <x:c r="N1056" s="137" t="str">
        <x:v>Current model BOM seed</x:v>
      </x:c>
      <x:c r="O1056" s="137" t="str"/>
      <x:c r="P1056" s="137" t="str">
        <x:v>To Confirm</x:v>
      </x:c>
      <x:c r="Q1056" s="137" t="str"/>
    </x:row>
    <x:row r="1057">
      <x:c r="A1057" s="137" t="str">
        <x:v>BOM-01053</x:v>
      </x:c>
      <x:c r="B1057" s="137" t="str">
        <x:v>SPADE</x:v>
      </x:c>
      <x:c r="C1057" s="137" t="str">
        <x:v>PER ORDER (V/L)</x:v>
      </x:c>
      <x:c r="D1057" s="137" t="str">
        <x:v>6X7</x:v>
      </x:c>
      <x:c r="E1057" s="137" t="str">
        <x:v>CUTTING</x:v>
      </x:c>
      <x:c r="F1057" s="137" t="str">
        <x:v>SHEET 20MM||MTR</x:v>
      </x:c>
      <x:c r="G1057" s="137" t="str">
        <x:v>Sheet 20Mm</x:v>
      </x:c>
      <x:c r="H1057" s="137" t="str">
        <x:v>MTR</x:v>
      </x:c>
      <x:c r="I1057" s="175" t="n">
        <x:v>0.01481481</x:v>
      </x:c>
      <x:c r="J1057" s="176" t="str"/>
      <x:c r="K1057" s="177" t="str"/>
      <x:c r="L1057" s="178" t="str">
        <x:f>IF(J1057="","",J1057*(1+IF(K1057="",0,K1057)) )</x:f>
      </x:c>
      <x:c r="M1057" s="138" t="str"/>
      <x:c r="N1057" s="137" t="str">
        <x:v>Current model BOM seed</x:v>
      </x:c>
      <x:c r="O1057" s="137" t="str"/>
      <x:c r="P1057" s="137" t="str">
        <x:v>To Confirm</x:v>
      </x:c>
      <x:c r="Q1057" s="137" t="str"/>
    </x:row>
    <x:row r="1058">
      <x:c r="A1058" s="137" t="str">
        <x:v>BOM-01054</x:v>
      </x:c>
      <x:c r="B1058" s="137" t="str">
        <x:v>SPADE</x:v>
      </x:c>
      <x:c r="C1058" s="137" t="str">
        <x:v>PER ORDER (V/L)</x:v>
      </x:c>
      <x:c r="D1058" s="137" t="str">
        <x:v>6X7</x:v>
      </x:c>
      <x:c r="E1058" s="137" t="str">
        <x:v>CUTTING</x:v>
      </x:c>
      <x:c r="F1058" s="137" t="str">
        <x:v>INSOLE||PAIR</x:v>
      </x:c>
      <x:c r="G1058" s="137" t="str">
        <x:v>INSOLE</x:v>
      </x:c>
      <x:c r="H1058" s="137" t="str">
        <x:v>PAIR</x:v>
      </x:c>
      <x:c r="I1058" s="175" t="n">
        <x:v>2</x:v>
      </x:c>
      <x:c r="J1058" s="176" t="str"/>
      <x:c r="K1058" s="177" t="str"/>
      <x:c r="L1058" s="178" t="str">
        <x:f>IF(J1058="","",J1058*(1+IF(K1058="",0,K1058)) )</x:f>
      </x:c>
      <x:c r="M1058" s="138" t="str"/>
      <x:c r="N1058" s="137" t="str">
        <x:v>Current model BOM seed</x:v>
      </x:c>
      <x:c r="O1058" s="137" t="str"/>
      <x:c r="P1058" s="137" t="str">
        <x:v>To Confirm</x:v>
      </x:c>
      <x:c r="Q1058" s="137" t="str"/>
    </x:row>
    <x:row r="1059">
      <x:c r="A1059" s="137" t="str">
        <x:v>BOM-01055</x:v>
      </x:c>
      <x:c r="B1059" s="137" t="str">
        <x:v>SPADE</x:v>
      </x:c>
      <x:c r="C1059" s="137" t="str">
        <x:v>PER ORDER (V/L)</x:v>
      </x:c>
      <x:c r="D1059" s="137" t="str">
        <x:v>6X7</x:v>
      </x:c>
      <x:c r="E1059" s="137" t="str">
        <x:v>MOLDING</x:v>
      </x:c>
      <x:c r="F1059" s="137" t="str">
        <x:v>SOLE 1231 EVA||PAIR</x:v>
      </x:c>
      <x:c r="G1059" s="137" t="str">
        <x:v>Sole 1231 EVA</x:v>
      </x:c>
      <x:c r="H1059" s="137" t="str">
        <x:v>PAIR</x:v>
      </x:c>
      <x:c r="I1059" s="175" t="n">
        <x:v>2</x:v>
      </x:c>
      <x:c r="J1059" s="176" t="str"/>
      <x:c r="K1059" s="177" t="str"/>
      <x:c r="L1059" s="178" t="str">
        <x:f>IF(J1059="","",J1059*(1+IF(K1059="",0,K1059)) )</x:f>
      </x:c>
      <x:c r="M1059" s="138" t="str"/>
      <x:c r="N1059" s="137" t="str">
        <x:v>Current model BOM seed</x:v>
      </x:c>
      <x:c r="O1059" s="137" t="str"/>
      <x:c r="P1059" s="137" t="str">
        <x:v>To Confirm</x:v>
      </x:c>
      <x:c r="Q1059" s="137" t="str"/>
    </x:row>
    <x:row r="1060">
      <x:c r="A1060" s="137" t="str">
        <x:v>BOM-01056</x:v>
      </x:c>
      <x:c r="B1060" s="137" t="str">
        <x:v>SPADE</x:v>
      </x:c>
      <x:c r="C1060" s="137" t="str">
        <x:v>PER ORDER (V/L)</x:v>
      </x:c>
      <x:c r="D1060" s="137" t="str">
        <x:v>6X7</x:v>
      </x:c>
      <x:c r="E1060" s="137" t="str">
        <x:v>PACKING</x:v>
      </x:c>
      <x:c r="F1060" s="137" t="str">
        <x:v>TISSUE PAPER||PCS</x:v>
      </x:c>
      <x:c r="G1060" s="137" t="str">
        <x:v>Tissue Paper</x:v>
      </x:c>
      <x:c r="H1060" s="137" t="str">
        <x:v>PCS</x:v>
      </x:c>
      <x:c r="I1060" s="175" t="n">
        <x:v>0.25</x:v>
      </x:c>
      <x:c r="J1060" s="176" t="str"/>
      <x:c r="K1060" s="177" t="str"/>
      <x:c r="L1060" s="178" t="str">
        <x:f>IF(J1060="","",J1060*(1+IF(K1060="",0,K1060)) )</x:f>
      </x:c>
      <x:c r="M1060" s="138" t="str"/>
      <x:c r="N1060" s="137" t="str">
        <x:v>Current model BOM seed</x:v>
      </x:c>
      <x:c r="O1060" s="137" t="str"/>
      <x:c r="P1060" s="137" t="str">
        <x:v>To Confirm</x:v>
      </x:c>
      <x:c r="Q1060" s="137" t="str"/>
    </x:row>
    <x:row r="1061">
      <x:c r="A1061" s="137" t="str">
        <x:v>BOM-01057</x:v>
      </x:c>
      <x:c r="B1061" s="137" t="str">
        <x:v>SPADE</x:v>
      </x:c>
      <x:c r="C1061" s="137" t="str">
        <x:v>PER ORDER (V/L)</x:v>
      </x:c>
      <x:c r="D1061" s="137" t="str">
        <x:v>6X7</x:v>
      </x:c>
      <x:c r="E1061" s="137" t="str">
        <x:v>PACKING</x:v>
      </x:c>
      <x:c r="F1061" s="137" t="str">
        <x:v>SHOE SHINER||GRAM</x:v>
      </x:c>
      <x:c r="G1061" s="137" t="str">
        <x:v>Shoe Shiner</x:v>
      </x:c>
      <x:c r="H1061" s="137" t="str">
        <x:v>GRAM</x:v>
      </x:c>
      <x:c r="I1061" s="175" t="n">
        <x:v>0.06666667</x:v>
      </x:c>
      <x:c r="J1061" s="176" t="str"/>
      <x:c r="K1061" s="177" t="str"/>
      <x:c r="L1061" s="178" t="str">
        <x:f>IF(J1061="","",J1061*(1+IF(K1061="",0,K1061)) )</x:f>
      </x:c>
      <x:c r="M1061" s="138" t="str"/>
      <x:c r="N1061" s="137" t="str">
        <x:v>Current model BOM seed</x:v>
      </x:c>
      <x:c r="O1061" s="137" t="str"/>
      <x:c r="P1061" s="137" t="str">
        <x:v>To Confirm</x:v>
      </x:c>
      <x:c r="Q1061" s="137" t="str"/>
    </x:row>
    <x:row r="1062">
      <x:c r="A1062" s="137" t="str">
        <x:v>BOM-01058</x:v>
      </x:c>
      <x:c r="B1062" s="137" t="str">
        <x:v>SPADE</x:v>
      </x:c>
      <x:c r="C1062" s="137" t="str">
        <x:v>PER ORDER (V/L)</x:v>
      </x:c>
      <x:c r="D1062" s="137" t="str">
        <x:v>6X7</x:v>
      </x:c>
      <x:c r="E1062" s="137" t="str">
        <x:v>PACKING</x:v>
      </x:c>
      <x:c r="F1062" s="137" t="str">
        <x:v>EMYLE||GRAM</x:v>
      </x:c>
      <x:c r="G1062" s="137" t="str">
        <x:v>EMYLE</x:v>
      </x:c>
      <x:c r="H1062" s="137" t="str">
        <x:v>GRAM</x:v>
      </x:c>
      <x:c r="I1062" s="175" t="n">
        <x:v>0.07142857</x:v>
      </x:c>
      <x:c r="J1062" s="176" t="str"/>
      <x:c r="K1062" s="177" t="str"/>
      <x:c r="L1062" s="178" t="str">
        <x:f>IF(J1062="","",J1062*(1+IF(K1062="",0,K1062)) )</x:f>
      </x:c>
      <x:c r="M1062" s="138" t="str"/>
      <x:c r="N1062" s="137" t="str">
        <x:v>Current model BOM seed</x:v>
      </x:c>
      <x:c r="O1062" s="137" t="str"/>
      <x:c r="P1062" s="137" t="str">
        <x:v>To Confirm</x:v>
      </x:c>
      <x:c r="Q1062" s="137" t="str"/>
    </x:row>
    <x:row r="1063">
      <x:c r="A1063" s="137" t="str">
        <x:v>BOM-01059</x:v>
      </x:c>
      <x:c r="B1063" s="137" t="str">
        <x:v>SPADE</x:v>
      </x:c>
      <x:c r="C1063" s="137" t="str">
        <x:v>PER ORDER (V/L)</x:v>
      </x:c>
      <x:c r="D1063" s="137" t="str">
        <x:v>6X7</x:v>
      </x:c>
      <x:c r="E1063" s="137" t="str">
        <x:v>PACKING</x:v>
      </x:c>
      <x:c r="F1063" s="137" t="str">
        <x:v>TAG PIN||PCS</x:v>
      </x:c>
      <x:c r="G1063" s="137" t="str">
        <x:v>Tag Pin</x:v>
      </x:c>
      <x:c r="H1063" s="137" t="str">
        <x:v>PCS</x:v>
      </x:c>
      <x:c r="I1063" s="175" t="n">
        <x:v>1</x:v>
      </x:c>
      <x:c r="J1063" s="176" t="str"/>
      <x:c r="K1063" s="177" t="str"/>
      <x:c r="L1063" s="178" t="str">
        <x:f>IF(J1063="","",J1063*(1+IF(K1063="",0,K1063)) )</x:f>
      </x:c>
      <x:c r="M1063" s="138" t="str"/>
      <x:c r="N1063" s="137" t="str">
        <x:v>Current model BOM seed</x:v>
      </x:c>
      <x:c r="O1063" s="137" t="str"/>
      <x:c r="P1063" s="137" t="str">
        <x:v>To Confirm</x:v>
      </x:c>
      <x:c r="Q1063" s="137" t="str"/>
    </x:row>
    <x:row r="1064">
      <x:c r="A1064" s="137" t="str">
        <x:v>BOM-01060</x:v>
      </x:c>
      <x:c r="B1064" s="137" t="str">
        <x:v>SPADE</x:v>
      </x:c>
      <x:c r="C1064" s="137" t="str">
        <x:v>PER ORDER (V/L)</x:v>
      </x:c>
      <x:c r="D1064" s="137" t="str">
        <x:v>6X7</x:v>
      </x:c>
      <x:c r="E1064" s="137" t="str">
        <x:v>PACKING</x:v>
      </x:c>
      <x:c r="F1064" s="137" t="str">
        <x:v>TAG CARD||PCS</x:v>
      </x:c>
      <x:c r="G1064" s="137" t="str">
        <x:v>Tag Card</x:v>
      </x:c>
      <x:c r="H1064" s="137" t="str">
        <x:v>PCS</x:v>
      </x:c>
      <x:c r="I1064" s="175" t="n">
        <x:v>1</x:v>
      </x:c>
      <x:c r="J1064" s="176" t="str"/>
      <x:c r="K1064" s="177" t="str"/>
      <x:c r="L1064" s="178" t="str">
        <x:f>IF(J1064="","",J1064*(1+IF(K1064="",0,K1064)) )</x:f>
      </x:c>
      <x:c r="M1064" s="138" t="str"/>
      <x:c r="N1064" s="137" t="str">
        <x:v>Current model BOM seed</x:v>
      </x:c>
      <x:c r="O1064" s="137" t="str"/>
      <x:c r="P1064" s="137" t="str">
        <x:v>To Confirm</x:v>
      </x:c>
      <x:c r="Q1064" s="137" t="str"/>
    </x:row>
    <x:row r="1065">
      <x:c r="A1065" s="137" t="str">
        <x:v>BOM-01061</x:v>
      </x:c>
      <x:c r="B1065" s="137" t="str">
        <x:v>SPADE</x:v>
      </x:c>
      <x:c r="C1065" s="137" t="str">
        <x:v>PER ORDER (V/L)</x:v>
      </x:c>
      <x:c r="D1065" s="137" t="str">
        <x:v>6X7</x:v>
      </x:c>
      <x:c r="E1065" s="137" t="str">
        <x:v>PACKING</x:v>
      </x:c>
      <x:c r="F1065" s="137" t="str">
        <x:v>WRAPING PAPER||PCS</x:v>
      </x:c>
      <x:c r="G1065" s="137" t="str">
        <x:v>Wraping Paper</x:v>
      </x:c>
      <x:c r="H1065" s="137" t="str">
        <x:v>PCS</x:v>
      </x:c>
      <x:c r="I1065" s="175" t="n">
        <x:v>1</x:v>
      </x:c>
      <x:c r="J1065" s="176" t="str"/>
      <x:c r="K1065" s="177" t="str"/>
      <x:c r="L1065" s="178" t="str">
        <x:f>IF(J1065="","",J1065*(1+IF(K1065="",0,K1065)) )</x:f>
      </x:c>
      <x:c r="M1065" s="138" t="str"/>
      <x:c r="N1065" s="137" t="str">
        <x:v>Current model BOM seed</x:v>
      </x:c>
      <x:c r="O1065" s="137" t="str"/>
      <x:c r="P1065" s="137" t="str">
        <x:v>To Confirm</x:v>
      </x:c>
      <x:c r="Q1065" s="137" t="str"/>
    </x:row>
    <x:row r="1066">
      <x:c r="A1066" s="137" t="str">
        <x:v>BOM-01062</x:v>
      </x:c>
      <x:c r="B1066" s="137" t="str">
        <x:v>SPADE</x:v>
      </x:c>
      <x:c r="C1066" s="137" t="str">
        <x:v>PER ORDER (V/L)</x:v>
      </x:c>
      <x:c r="D1066" s="137" t="str">
        <x:v>6X7</x:v>
      </x:c>
      <x:c r="E1066" s="137" t="str">
        <x:v>PACKING</x:v>
      </x:c>
      <x:c r="F1066" s="137" t="str">
        <x:v>INNER||PCS</x:v>
      </x:c>
      <x:c r="G1066" s="137" t="str">
        <x:v>INNER</x:v>
      </x:c>
      <x:c r="H1066" s="137" t="str">
        <x:v>PCS</x:v>
      </x:c>
      <x:c r="I1066" s="175" t="n">
        <x:v>1</x:v>
      </x:c>
      <x:c r="J1066" s="176" t="str"/>
      <x:c r="K1066" s="177" t="str"/>
      <x:c r="L1066" s="178" t="str">
        <x:f>IF(J1066="","",J1066*(1+IF(K1066="",0,K1066)) )</x:f>
      </x:c>
      <x:c r="M1066" s="138" t="str"/>
      <x:c r="N1066" s="137" t="str">
        <x:v>Current model BOM seed</x:v>
      </x:c>
      <x:c r="O1066" s="137" t="str"/>
      <x:c r="P1066" s="137" t="str">
        <x:v>To Confirm</x:v>
      </x:c>
      <x:c r="Q1066" s="137" t="str"/>
    </x:row>
    <x:row r="1067">
      <x:c r="A1067" s="137" t="str">
        <x:v>BOM-01063</x:v>
      </x:c>
      <x:c r="B1067" s="137" t="str">
        <x:v>SPADE</x:v>
      </x:c>
      <x:c r="C1067" s="137" t="str">
        <x:v>PER ORDER (V/L)</x:v>
      </x:c>
      <x:c r="D1067" s="137" t="str">
        <x:v>6X7</x:v>
      </x:c>
      <x:c r="E1067" s="137" t="str">
        <x:v>PACKING</x:v>
      </x:c>
      <x:c r="F1067" s="137" t="str">
        <x:v>BARCODE STICKER||PCS</x:v>
      </x:c>
      <x:c r="G1067" s="137" t="str">
        <x:v>Barcode Sticker</x:v>
      </x:c>
      <x:c r="H1067" s="137" t="str">
        <x:v>PCS</x:v>
      </x:c>
      <x:c r="I1067" s="175" t="n">
        <x:v>1</x:v>
      </x:c>
      <x:c r="J1067" s="176" t="str"/>
      <x:c r="K1067" s="177" t="str"/>
      <x:c r="L1067" s="178" t="str">
        <x:f>IF(J1067="","",J1067*(1+IF(K1067="",0,K1067)) )</x:f>
      </x:c>
      <x:c r="M1067" s="138" t="str"/>
      <x:c r="N1067" s="137" t="str">
        <x:v>Current model BOM seed</x:v>
      </x:c>
      <x:c r="O1067" s="137" t="str"/>
      <x:c r="P1067" s="137" t="str">
        <x:v>To Confirm</x:v>
      </x:c>
      <x:c r="Q1067" s="137" t="str"/>
    </x:row>
    <x:row r="1068">
      <x:c r="A1068" s="137" t="str">
        <x:v>BOM-01064</x:v>
      </x:c>
      <x:c r="B1068" s="137" t="str">
        <x:v>SPADE</x:v>
      </x:c>
      <x:c r="C1068" s="137" t="str">
        <x:v>PER ORDER (V/L)</x:v>
      </x:c>
      <x:c r="D1068" s="137" t="str">
        <x:v>6X7</x:v>
      </x:c>
      <x:c r="E1068" s="137" t="str">
        <x:v>PACKING</x:v>
      </x:c>
      <x:c r="F1068" s="137" t="str">
        <x:v>CTN TAPE (1 CTN)||MTR</x:v>
      </x:c>
      <x:c r="G1068" s="137" t="str">
        <x:v>Ctn Tape (1 Ctn)</x:v>
      </x:c>
      <x:c r="H1068" s="137" t="str">
        <x:v>MTR</x:v>
      </x:c>
      <x:c r="I1068" s="175" t="n">
        <x:v>0.5</x:v>
      </x:c>
      <x:c r="J1068" s="176" t="str"/>
      <x:c r="K1068" s="177" t="str"/>
      <x:c r="L1068" s="178" t="str">
        <x:f>IF(J1068="","",J1068*(1+IF(K1068="",0,K1068)) )</x:f>
      </x:c>
      <x:c r="M1068" s="138" t="str"/>
      <x:c r="N1068" s="137" t="str">
        <x:v>Current model BOM seed</x:v>
      </x:c>
      <x:c r="O1068" s="137" t="str"/>
      <x:c r="P1068" s="137" t="str">
        <x:v>To Confirm</x:v>
      </x:c>
      <x:c r="Q1068" s="137" t="str"/>
    </x:row>
    <x:row r="1069">
      <x:c r="A1069" s="137" t="str">
        <x:v>BOM-01065</x:v>
      </x:c>
      <x:c r="B1069" s="137" t="str">
        <x:v>SPADE</x:v>
      </x:c>
      <x:c r="C1069" s="137" t="str">
        <x:v>PER ORDER (V/L)</x:v>
      </x:c>
      <x:c r="D1069" s="137" t="str">
        <x:v>6X7</x:v>
      </x:c>
      <x:c r="E1069" s="137" t="str">
        <x:v>PACKING</x:v>
      </x:c>
      <x:c r="F1069" s="137" t="str">
        <x:v>STRAPING ROLL (1CTN)||MTR</x:v>
      </x:c>
      <x:c r="G1069" s="137" t="str">
        <x:v>Straping Roll (1Ctn)</x:v>
      </x:c>
      <x:c r="H1069" s="137" t="str">
        <x:v>MTR</x:v>
      </x:c>
      <x:c r="I1069" s="175" t="n">
        <x:v>0.25</x:v>
      </x:c>
      <x:c r="J1069" s="176" t="str"/>
      <x:c r="K1069" s="177" t="str"/>
      <x:c r="L1069" s="178" t="str">
        <x:f>IF(J1069="","",J1069*(1+IF(K1069="",0,K1069)) )</x:f>
      </x:c>
      <x:c r="M1069" s="138" t="str"/>
      <x:c r="N1069" s="137" t="str">
        <x:v>Current model BOM seed</x:v>
      </x:c>
      <x:c r="O1069" s="137" t="str"/>
      <x:c r="P1069" s="137" t="str">
        <x:v>To Confirm</x:v>
      </x:c>
      <x:c r="Q1069" s="137" t="str"/>
    </x:row>
    <x:row r="1070">
      <x:c r="A1070" s="137" t="str">
        <x:v>BOM-01066</x:v>
      </x:c>
      <x:c r="B1070" s="137" t="str">
        <x:v>SPADE</x:v>
      </x:c>
      <x:c r="C1070" s="137" t="str">
        <x:v>PER ORDER (V/L)</x:v>
      </x:c>
      <x:c r="D1070" s="137" t="str">
        <x:v>6X7</x:v>
      </x:c>
      <x:c r="E1070" s="137" t="str">
        <x:v>STITCHING</x:v>
      </x:c>
      <x:c r="F1070" s="137" t="str">
        <x:v>THREAD 3 PLY||MTR</x:v>
      </x:c>
      <x:c r="G1070" s="137" t="str">
        <x:v>Thread 3 Ply</x:v>
      </x:c>
      <x:c r="H1070" s="137" t="str">
        <x:v>MTR</x:v>
      </x:c>
      <x:c r="I1070" s="175" t="n">
        <x:v>25</x:v>
      </x:c>
      <x:c r="J1070" s="176" t="str"/>
      <x:c r="K1070" s="177" t="str"/>
      <x:c r="L1070" s="178" t="str">
        <x:f>IF(J1070="","",J1070*(1+IF(K1070="",0,K1070)) )</x:f>
      </x:c>
      <x:c r="M1070" s="138" t="str"/>
      <x:c r="N1070" s="137" t="str">
        <x:v>Current model BOM seed</x:v>
      </x:c>
      <x:c r="O1070" s="137" t="str"/>
      <x:c r="P1070" s="137" t="str">
        <x:v>To Confirm</x:v>
      </x:c>
      <x:c r="Q1070" s="137" t="str"/>
    </x:row>
    <x:row r="1071">
      <x:c r="A1071" s="137" t="str">
        <x:v>BOM-01067</x:v>
      </x:c>
      <x:c r="B1071" s="137" t="str">
        <x:v>SPADE</x:v>
      </x:c>
      <x:c r="C1071" s="137" t="str">
        <x:v>PER ORDER (V/L)</x:v>
      </x:c>
      <x:c r="D1071" s="137" t="str">
        <x:v>6X7</x:v>
      </x:c>
      <x:c r="E1071" s="137" t="str">
        <x:v>STITCHING</x:v>
      </x:c>
      <x:c r="F1071" s="137" t="str">
        <x:v>THREAD 3 PLY (COLOURED||MTR</x:v>
      </x:c>
      <x:c r="G1071" s="137" t="str">
        <x:v>Thread 3 Ply (Coloured</x:v>
      </x:c>
      <x:c r="H1071" s="137" t="str">
        <x:v>MTR</x:v>
      </x:c>
      <x:c r="I1071" s="175" t="n">
        <x:v>166.66666667</x:v>
      </x:c>
      <x:c r="J1071" s="176" t="str"/>
      <x:c r="K1071" s="177" t="str"/>
      <x:c r="L1071" s="178" t="str">
        <x:f>IF(J1071="","",J1071*(1+IF(K1071="",0,K1071)) )</x:f>
      </x:c>
      <x:c r="M1071" s="138" t="str"/>
      <x:c r="N1071" s="137" t="str">
        <x:v>Current model BOM seed</x:v>
      </x:c>
      <x:c r="O1071" s="137" t="str"/>
      <x:c r="P1071" s="137" t="str">
        <x:v>To Confirm</x:v>
      </x:c>
      <x:c r="Q1071" s="137" t="str"/>
    </x:row>
    <x:row r="1072">
      <x:c r="A1072" s="137" t="str">
        <x:v>BOM-01068</x:v>
      </x:c>
      <x:c r="B1072" s="137" t="str">
        <x:v>SPADE</x:v>
      </x:c>
      <x:c r="C1072" s="137" t="str">
        <x:v>PER ORDER (V/L)</x:v>
      </x:c>
      <x:c r="D1072" s="137" t="str">
        <x:v>6X7</x:v>
      </x:c>
      <x:c r="E1072" s="137" t="str">
        <x:v>STITCHING</x:v>
      </x:c>
      <x:c r="F1072" s="137" t="str">
        <x:v>SIZE LABEL||MTR</x:v>
      </x:c>
      <x:c r="G1072" s="137" t="str">
        <x:v>Size Label</x:v>
      </x:c>
      <x:c r="H1072" s="137" t="str">
        <x:v>MTR</x:v>
      </x:c>
      <x:c r="I1072" s="175" t="n">
        <x:v>0.5</x:v>
      </x:c>
      <x:c r="J1072" s="176" t="str"/>
      <x:c r="K1072" s="177" t="str"/>
      <x:c r="L1072" s="178" t="str">
        <x:f>IF(J1072="","",J1072*(1+IF(K1072="",0,K1072)) )</x:f>
      </x:c>
      <x:c r="M1072" s="138" t="str"/>
      <x:c r="N1072" s="137" t="str">
        <x:v>Current model BOM seed</x:v>
      </x:c>
      <x:c r="O1072" s="137" t="str"/>
      <x:c r="P1072" s="137" t="str">
        <x:v>To Confirm</x:v>
      </x:c>
      <x:c r="Q1072" s="137" t="str"/>
    </x:row>
    <x:row r="1073">
      <x:c r="A1073" s="137" t="str">
        <x:v>BOM-01069</x:v>
      </x:c>
      <x:c r="B1073" s="137" t="str">
        <x:v>SPADE</x:v>
      </x:c>
      <x:c r="C1073" s="137" t="str">
        <x:v>PER ORDER (V/L)</x:v>
      </x:c>
      <x:c r="D1073" s="137" t="str">
        <x:v>6X7</x:v>
      </x:c>
      <x:c r="E1073" s="137" t="str">
        <x:v>STITCHING</x:v>
      </x:c>
      <x:c r="F1073" s="137" t="str">
        <x:v>TOUNGE LABEL||MTR</x:v>
      </x:c>
      <x:c r="G1073" s="137" t="str">
        <x:v>Tounge Label</x:v>
      </x:c>
      <x:c r="H1073" s="137" t="str">
        <x:v>MTR</x:v>
      </x:c>
      <x:c r="I1073" s="175" t="n">
        <x:v>0.5</x:v>
      </x:c>
      <x:c r="J1073" s="176" t="str"/>
      <x:c r="K1073" s="177" t="str"/>
      <x:c r="L1073" s="178" t="str">
        <x:f>IF(J1073="","",J1073*(1+IF(K1073="",0,K1073)) )</x:f>
      </x:c>
      <x:c r="M1073" s="138" t="str"/>
      <x:c r="N1073" s="137" t="str">
        <x:v>Current model BOM seed</x:v>
      </x:c>
      <x:c r="O1073" s="137" t="str"/>
      <x:c r="P1073" s="137" t="str">
        <x:v>To Confirm</x:v>
      </x:c>
      <x:c r="Q1073" s="137" t="str"/>
    </x:row>
    <x:row r="1074">
      <x:c r="A1074" s="137" t="str">
        <x:v>BOM-01070</x:v>
      </x:c>
      <x:c r="B1074" s="137" t="str">
        <x:v>SPADE</x:v>
      </x:c>
      <x:c r="C1074" s="137" t="str">
        <x:v>PER ORDER (V/L)</x:v>
      </x:c>
      <x:c r="D1074" s="137" t="str">
        <x:v>6X7</x:v>
      </x:c>
      <x:c r="E1074" s="137" t="str">
        <x:v>STITCHING</x:v>
      </x:c>
      <x:c r="F1074" s="137" t="str">
        <x:v>D-RING 25MM||CM</x:v>
      </x:c>
      <x:c r="G1074" s="137" t="str">
        <x:v>D-Ring 25Mm</x:v>
      </x:c>
      <x:c r="H1074" s="137" t="str">
        <x:v>CM</x:v>
      </x:c>
      <x:c r="I1074" s="175" t="n">
        <x:v>0.25</x:v>
      </x:c>
      <x:c r="J1074" s="176" t="str"/>
      <x:c r="K1074" s="177" t="str"/>
      <x:c r="L1074" s="178" t="str">
        <x:f>IF(J1074="","",J1074*(1+IF(K1074="",0,K1074)) )</x:f>
      </x:c>
      <x:c r="M1074" s="138" t="str"/>
      <x:c r="N1074" s="137" t="str">
        <x:v>Current model BOM seed</x:v>
      </x:c>
      <x:c r="O1074" s="137" t="str"/>
      <x:c r="P1074" s="137" t="str">
        <x:v>To Confirm</x:v>
      </x:c>
      <x:c r="Q1074" s="137" t="str"/>
    </x:row>
    <x:row r="1075">
      <x:c r="A1075" s="137" t="str">
        <x:v>BOM-01071</x:v>
      </x:c>
      <x:c r="B1075" s="137" t="str">
        <x:v>SPADE</x:v>
      </x:c>
      <x:c r="C1075" s="137" t="str">
        <x:v>PER ORDER (V/L)</x:v>
      </x:c>
      <x:c r="D1075" s="137" t="str">
        <x:v>6X7</x:v>
      </x:c>
      <x:c r="E1075" s="137" t="str">
        <x:v>STITCHING</x:v>
      </x:c>
      <x:c r="F1075" s="137" t="str">
        <x:v>VELCRO 25 MM HOOK||PCS</x:v>
      </x:c>
      <x:c r="G1075" s="137" t="str">
        <x:v>Velcro 25 Mm Hook</x:v>
      </x:c>
      <x:c r="H1075" s="137" t="str">
        <x:v>PCS</x:v>
      </x:c>
      <x:c r="I1075" s="175" t="n">
        <x:v>2.5</x:v>
      </x:c>
      <x:c r="J1075" s="176" t="str"/>
      <x:c r="K1075" s="177" t="str"/>
      <x:c r="L1075" s="178" t="str">
        <x:f>IF(J1075="","",J1075*(1+IF(K1075="",0,K1075)) )</x:f>
      </x:c>
      <x:c r="M1075" s="138" t="str"/>
      <x:c r="N1075" s="137" t="str">
        <x:v>Current model BOM seed</x:v>
      </x:c>
      <x:c r="O1075" s="137" t="str"/>
      <x:c r="P1075" s="137" t="str">
        <x:v>To Confirm</x:v>
      </x:c>
      <x:c r="Q1075" s="137" t="str"/>
    </x:row>
    <x:row r="1076">
      <x:c r="A1076" s="137" t="str">
        <x:v>BOM-01072</x:v>
      </x:c>
      <x:c r="B1076" s="137" t="str">
        <x:v>SPADE</x:v>
      </x:c>
      <x:c r="C1076" s="137" t="str">
        <x:v>PER ORDER (V/L)</x:v>
      </x:c>
      <x:c r="D1076" s="137" t="str">
        <x:v>6X7</x:v>
      </x:c>
      <x:c r="E1076" s="137" t="str">
        <x:v>STITCHING</x:v>
      </x:c>
      <x:c r="F1076" s="137" t="str">
        <x:v>VELCRO 25 MM LOOP||PCS</x:v>
      </x:c>
      <x:c r="G1076" s="137" t="str">
        <x:v>Velcro 25 Mm Loop</x:v>
      </x:c>
      <x:c r="H1076" s="137" t="str">
        <x:v>PCS</x:v>
      </x:c>
      <x:c r="I1076" s="175" t="n">
        <x:v>2.5</x:v>
      </x:c>
      <x:c r="J1076" s="176" t="str"/>
      <x:c r="K1076" s="177" t="str"/>
      <x:c r="L1076" s="178" t="str">
        <x:f>IF(J1076="","",J1076*(1+IF(K1076="",0,K1076)) )</x:f>
      </x:c>
      <x:c r="M1076" s="138" t="str"/>
      <x:c r="N1076" s="137" t="str">
        <x:v>Current model BOM seed</x:v>
      </x:c>
      <x:c r="O1076" s="137" t="str"/>
      <x:c r="P1076" s="137" t="str">
        <x:v>To Confirm</x:v>
      </x:c>
      <x:c r="Q1076" s="137" t="str"/>
    </x:row>
    <x:row r="1077">
      <x:c r="A1077" s="137" t="str">
        <x:v>BOM-01073</x:v>
      </x:c>
      <x:c r="B1077" s="137" t="str">
        <x:v>SPADE</x:v>
      </x:c>
      <x:c r="C1077" s="137" t="str">
        <x:v>PER ORDER (V/L)</x:v>
      </x:c>
      <x:c r="D1077" s="137" t="str">
        <x:v>8X12</x:v>
      </x:c>
      <x:c r="E1077" s="137" t="str">
        <x:v>CUTTING</x:v>
      </x:c>
      <x:c r="F1077" s="137" t="str">
        <x:v>REXINE 54"||MTR</x:v>
      </x:c>
      <x:c r="G1077" s="137" t="str">
        <x:v>Rexine 54"</x:v>
      </x:c>
      <x:c r="H1077" s="137" t="str">
        <x:v>MTR</x:v>
      </x:c>
      <x:c r="I1077" s="175" t="n">
        <x:v>0.21475666</x:v>
      </x:c>
      <x:c r="J1077" s="176" t="str"/>
      <x:c r="K1077" s="177" t="str"/>
      <x:c r="L1077" s="178" t="str">
        <x:f>IF(J1077="","",J1077*(1+IF(K1077="",0,K1077)) )</x:f>
      </x:c>
      <x:c r="M1077" s="138" t="str"/>
      <x:c r="N1077" s="137" t="str">
        <x:v>Current model BOM seed</x:v>
      </x:c>
      <x:c r="O1077" s="137" t="str"/>
      <x:c r="P1077" s="137" t="str">
        <x:v>To Confirm</x:v>
      </x:c>
      <x:c r="Q1077" s="137" t="str"/>
    </x:row>
    <x:row r="1078">
      <x:c r="A1078" s="137" t="str">
        <x:v>BOM-01074</x:v>
      </x:c>
      <x:c r="B1078" s="137" t="str">
        <x:v>SPADE</x:v>
      </x:c>
      <x:c r="C1078" s="137" t="str">
        <x:v>PER ORDER (V/L)</x:v>
      </x:c>
      <x:c r="D1078" s="137" t="str">
        <x:v>8X12</x:v>
      </x:c>
      <x:c r="E1078" s="137" t="str">
        <x:v>CUTTING</x:v>
      </x:c>
      <x:c r="F1078" s="137" t="str">
        <x:v>HEAVY REXINE 54"||MTR</x:v>
      </x:c>
      <x:c r="G1078" s="137" t="str">
        <x:v>Heavy Rexine 54"</x:v>
      </x:c>
      <x:c r="H1078" s="137" t="str">
        <x:v>MTR</x:v>
      </x:c>
      <x:c r="I1078" s="175" t="n">
        <x:v>0.10977808</x:v>
      </x:c>
      <x:c r="J1078" s="176" t="str"/>
      <x:c r="K1078" s="177" t="str"/>
      <x:c r="L1078" s="178" t="str">
        <x:f>IF(J1078="","",J1078*(1+IF(K1078="",0,K1078)) )</x:f>
      </x:c>
      <x:c r="M1078" s="138" t="str"/>
      <x:c r="N1078" s="137" t="str">
        <x:v>Current model BOM seed</x:v>
      </x:c>
      <x:c r="O1078" s="137" t="str"/>
      <x:c r="P1078" s="137" t="str">
        <x:v>To Confirm</x:v>
      </x:c>
      <x:c r="Q1078" s="137" t="str"/>
    </x:row>
    <x:row r="1079">
      <x:c r="A1079" s="137" t="str">
        <x:v>BOM-01075</x:v>
      </x:c>
      <x:c r="B1079" s="137" t="str">
        <x:v>SPADE</x:v>
      </x:c>
      <x:c r="C1079" s="137" t="str">
        <x:v>PER ORDER (V/L)</x:v>
      </x:c>
      <x:c r="D1079" s="137" t="str">
        <x:v>8X12</x:v>
      </x:c>
      <x:c r="E1079" s="137" t="str">
        <x:v>CUTTING</x:v>
      </x:c>
      <x:c r="F1079" s="137" t="str">
        <x:v>HEAVY REXINE 54"||SHEET</x:v>
      </x:c>
      <x:c r="G1079" s="137" t="str">
        <x:v>Heavy Rexine 54"</x:v>
      </x:c>
      <x:c r="H1079" s="137" t="str">
        <x:v>SHEET</x:v>
      </x:c>
      <x:c r="I1079" s="175" t="n">
        <x:v>0.00877193</x:v>
      </x:c>
      <x:c r="J1079" s="176" t="str"/>
      <x:c r="K1079" s="177" t="str"/>
      <x:c r="L1079" s="178" t="str">
        <x:f>IF(J1079="","",J1079*(1+IF(K1079="",0,K1079)) )</x:f>
      </x:c>
      <x:c r="M1079" s="138" t="str"/>
      <x:c r="N1079" s="137" t="str">
        <x:v>Current model BOM seed</x:v>
      </x:c>
      <x:c r="O1079" s="137" t="str"/>
      <x:c r="P1079" s="137" t="str">
        <x:v>To Confirm</x:v>
      </x:c>
      <x:c r="Q1079" s="137" t="str"/>
    </x:row>
    <x:row r="1080">
      <x:c r="A1080" s="137" t="str">
        <x:v>BOM-01076</x:v>
      </x:c>
      <x:c r="B1080" s="137" t="str">
        <x:v>SPADE</x:v>
      </x:c>
      <x:c r="C1080" s="137" t="str">
        <x:v>PER ORDER (V/L)</x:v>
      </x:c>
      <x:c r="D1080" s="137" t="str">
        <x:v>8X12</x:v>
      </x:c>
      <x:c r="E1080" s="137" t="str">
        <x:v>CUTTING</x:v>
      </x:c>
      <x:c r="F1080" s="137" t="str">
        <x:v>SHEET 0.8MM||SHEET</x:v>
      </x:c>
      <x:c r="G1080" s="137" t="str">
        <x:v>Sheet 0.8Mm</x:v>
      </x:c>
      <x:c r="H1080" s="137" t="str">
        <x:v>SHEET</x:v>
      </x:c>
      <x:c r="I1080" s="175" t="n">
        <x:v>0.01639344</x:v>
      </x:c>
      <x:c r="J1080" s="176" t="str"/>
      <x:c r="K1080" s="177" t="str"/>
      <x:c r="L1080" s="178" t="str">
        <x:f>IF(J1080="","",J1080*(1+IF(K1080="",0,K1080)) )</x:f>
      </x:c>
      <x:c r="M1080" s="138" t="str"/>
      <x:c r="N1080" s="137" t="str">
        <x:v>Current model BOM seed</x:v>
      </x:c>
      <x:c r="O1080" s="137" t="str"/>
      <x:c r="P1080" s="137" t="str">
        <x:v>To Confirm</x:v>
      </x:c>
      <x:c r="Q1080" s="137" t="str"/>
    </x:row>
    <x:row r="1081">
      <x:c r="A1081" s="137" t="str">
        <x:v>BOM-01077</x:v>
      </x:c>
      <x:c r="B1081" s="137" t="str">
        <x:v>SPADE</x:v>
      </x:c>
      <x:c r="C1081" s="137" t="str">
        <x:v>PER ORDER (V/L)</x:v>
      </x:c>
      <x:c r="D1081" s="137" t="str">
        <x:v>8X12</x:v>
      </x:c>
      <x:c r="E1081" s="137" t="str">
        <x:v>CUTTING</x:v>
      </x:c>
      <x:c r="F1081" s="137" t="str">
        <x:v>SHEET 1.4MM||SHEET</x:v>
      </x:c>
      <x:c r="G1081" s="137" t="str">
        <x:v>Sheet 1.4Mm</x:v>
      </x:c>
      <x:c r="H1081" s="137" t="str">
        <x:v>SHEET</x:v>
      </x:c>
      <x:c r="I1081" s="175" t="n">
        <x:v>0.01470588</x:v>
      </x:c>
      <x:c r="J1081" s="176" t="str"/>
      <x:c r="K1081" s="177" t="str"/>
      <x:c r="L1081" s="178" t="str">
        <x:f>IF(J1081="","",J1081*(1+IF(K1081="",0,K1081)) )</x:f>
      </x:c>
      <x:c r="M1081" s="138" t="str"/>
      <x:c r="N1081" s="137" t="str">
        <x:v>Current model BOM seed</x:v>
      </x:c>
      <x:c r="O1081" s="137" t="str"/>
      <x:c r="P1081" s="137" t="str">
        <x:v>To Confirm</x:v>
      </x:c>
      <x:c r="Q1081" s="137" t="str"/>
    </x:row>
    <x:row r="1082">
      <x:c r="A1082" s="137" t="str">
        <x:v>BOM-01078</x:v>
      </x:c>
      <x:c r="B1082" s="137" t="str">
        <x:v>SPADE</x:v>
      </x:c>
      <x:c r="C1082" s="137" t="str">
        <x:v>PER ORDER (V/L)</x:v>
      </x:c>
      <x:c r="D1082" s="137" t="str">
        <x:v>8X12</x:v>
      </x:c>
      <x:c r="E1082" s="137" t="str">
        <x:v>CUTTING</x:v>
      </x:c>
      <x:c r="F1082" s="137" t="str">
        <x:v>SHEET 20MM||MTR</x:v>
      </x:c>
      <x:c r="G1082" s="137" t="str">
        <x:v>Sheet 20Mm</x:v>
      </x:c>
      <x:c r="H1082" s="137" t="str">
        <x:v>MTR</x:v>
      </x:c>
      <x:c r="I1082" s="175" t="n">
        <x:v>0.01680672</x:v>
      </x:c>
      <x:c r="J1082" s="176" t="str"/>
      <x:c r="K1082" s="177" t="str"/>
      <x:c r="L1082" s="178" t="str">
        <x:f>IF(J1082="","",J1082*(1+IF(K1082="",0,K1082)) )</x:f>
      </x:c>
      <x:c r="M1082" s="138" t="str"/>
      <x:c r="N1082" s="137" t="str">
        <x:v>Current model BOM seed</x:v>
      </x:c>
      <x:c r="O1082" s="137" t="str"/>
      <x:c r="P1082" s="137" t="str">
        <x:v>To Confirm</x:v>
      </x:c>
      <x:c r="Q1082" s="137" t="str"/>
    </x:row>
    <x:row r="1083">
      <x:c r="A1083" s="137" t="str">
        <x:v>BOM-01079</x:v>
      </x:c>
      <x:c r="B1083" s="137" t="str">
        <x:v>SPADE</x:v>
      </x:c>
      <x:c r="C1083" s="137" t="str">
        <x:v>PER ORDER (V/L)</x:v>
      </x:c>
      <x:c r="D1083" s="137" t="str">
        <x:v>8X12</x:v>
      </x:c>
      <x:c r="E1083" s="137" t="str">
        <x:v>CUTTING</x:v>
      </x:c>
      <x:c r="F1083" s="137" t="str">
        <x:v>INSOLE||PAIR</x:v>
      </x:c>
      <x:c r="G1083" s="137" t="str">
        <x:v>INSOLE</x:v>
      </x:c>
      <x:c r="H1083" s="137" t="str">
        <x:v>PAIR</x:v>
      </x:c>
      <x:c r="I1083" s="175" t="n">
        <x:v>2</x:v>
      </x:c>
      <x:c r="J1083" s="176" t="str"/>
      <x:c r="K1083" s="177" t="str"/>
      <x:c r="L1083" s="178" t="str">
        <x:f>IF(J1083="","",J1083*(1+IF(K1083="",0,K1083)) )</x:f>
      </x:c>
      <x:c r="M1083" s="138" t="str"/>
      <x:c r="N1083" s="137" t="str">
        <x:v>Current model BOM seed</x:v>
      </x:c>
      <x:c r="O1083" s="137" t="str"/>
      <x:c r="P1083" s="137" t="str">
        <x:v>To Confirm</x:v>
      </x:c>
      <x:c r="Q1083" s="137" t="str"/>
    </x:row>
    <x:row r="1084">
      <x:c r="A1084" s="137" t="str">
        <x:v>BOM-01080</x:v>
      </x:c>
      <x:c r="B1084" s="137" t="str">
        <x:v>SPADE</x:v>
      </x:c>
      <x:c r="C1084" s="137" t="str">
        <x:v>PER ORDER (V/L)</x:v>
      </x:c>
      <x:c r="D1084" s="137" t="str">
        <x:v>8X12</x:v>
      </x:c>
      <x:c r="E1084" s="137" t="str">
        <x:v>MOLDING</x:v>
      </x:c>
      <x:c r="F1084" s="137" t="str">
        <x:v>SOLE 1231 EVA||PAIR</x:v>
      </x:c>
      <x:c r="G1084" s="137" t="str">
        <x:v>Sole 1231 EVA</x:v>
      </x:c>
      <x:c r="H1084" s="137" t="str">
        <x:v>PAIR</x:v>
      </x:c>
      <x:c r="I1084" s="175" t="n">
        <x:v>2</x:v>
      </x:c>
      <x:c r="J1084" s="176" t="str"/>
      <x:c r="K1084" s="177" t="str"/>
      <x:c r="L1084" s="178" t="str">
        <x:f>IF(J1084="","",J1084*(1+IF(K1084="",0,K1084)) )</x:f>
      </x:c>
      <x:c r="M1084" s="138" t="str"/>
      <x:c r="N1084" s="137" t="str">
        <x:v>Current model BOM seed</x:v>
      </x:c>
      <x:c r="O1084" s="137" t="str"/>
      <x:c r="P1084" s="137" t="str">
        <x:v>To Confirm</x:v>
      </x:c>
      <x:c r="Q1084" s="137" t="str"/>
    </x:row>
    <x:row r="1085">
      <x:c r="A1085" s="137" t="str">
        <x:v>BOM-01081</x:v>
      </x:c>
      <x:c r="B1085" s="137" t="str">
        <x:v>SPADE</x:v>
      </x:c>
      <x:c r="C1085" s="137" t="str">
        <x:v>PER ORDER (V/L)</x:v>
      </x:c>
      <x:c r="D1085" s="137" t="str">
        <x:v>8X12</x:v>
      </x:c>
      <x:c r="E1085" s="137" t="str">
        <x:v>PACKING</x:v>
      </x:c>
      <x:c r="F1085" s="137" t="str">
        <x:v>TISSUE PAPER||PCS</x:v>
      </x:c>
      <x:c r="G1085" s="137" t="str">
        <x:v>Tissue Paper</x:v>
      </x:c>
      <x:c r="H1085" s="137" t="str">
        <x:v>PCS</x:v>
      </x:c>
      <x:c r="I1085" s="175" t="n">
        <x:v>0.25</x:v>
      </x:c>
      <x:c r="J1085" s="176" t="str"/>
      <x:c r="K1085" s="177" t="str"/>
      <x:c r="L1085" s="178" t="str">
        <x:f>IF(J1085="","",J1085*(1+IF(K1085="",0,K1085)) )</x:f>
      </x:c>
      <x:c r="M1085" s="138" t="str"/>
      <x:c r="N1085" s="137" t="str">
        <x:v>Current model BOM seed</x:v>
      </x:c>
      <x:c r="O1085" s="137" t="str"/>
      <x:c r="P1085" s="137" t="str">
        <x:v>To Confirm</x:v>
      </x:c>
      <x:c r="Q1085" s="137" t="str"/>
    </x:row>
    <x:row r="1086">
      <x:c r="A1086" s="137" t="str">
        <x:v>BOM-01082</x:v>
      </x:c>
      <x:c r="B1086" s="137" t="str">
        <x:v>SPADE</x:v>
      </x:c>
      <x:c r="C1086" s="137" t="str">
        <x:v>PER ORDER (V/L)</x:v>
      </x:c>
      <x:c r="D1086" s="137" t="str">
        <x:v>8X12</x:v>
      </x:c>
      <x:c r="E1086" s="137" t="str">
        <x:v>PACKING</x:v>
      </x:c>
      <x:c r="F1086" s="137" t="str">
        <x:v>SHOE SHINER||GRAM</x:v>
      </x:c>
      <x:c r="G1086" s="137" t="str">
        <x:v>Shoe Shiner</x:v>
      </x:c>
      <x:c r="H1086" s="137" t="str">
        <x:v>GRAM</x:v>
      </x:c>
      <x:c r="I1086" s="175" t="n">
        <x:v>0.06666667</x:v>
      </x:c>
      <x:c r="J1086" s="176" t="str"/>
      <x:c r="K1086" s="177" t="str"/>
      <x:c r="L1086" s="178" t="str">
        <x:f>IF(J1086="","",J1086*(1+IF(K1086="",0,K1086)) )</x:f>
      </x:c>
      <x:c r="M1086" s="138" t="str"/>
      <x:c r="N1086" s="137" t="str">
        <x:v>Current model BOM seed</x:v>
      </x:c>
      <x:c r="O1086" s="137" t="str"/>
      <x:c r="P1086" s="137" t="str">
        <x:v>To Confirm</x:v>
      </x:c>
      <x:c r="Q1086" s="137" t="str"/>
    </x:row>
    <x:row r="1087">
      <x:c r="A1087" s="137" t="str">
        <x:v>BOM-01083</x:v>
      </x:c>
      <x:c r="B1087" s="137" t="str">
        <x:v>SPADE</x:v>
      </x:c>
      <x:c r="C1087" s="137" t="str">
        <x:v>PER ORDER (V/L)</x:v>
      </x:c>
      <x:c r="D1087" s="137" t="str">
        <x:v>8X12</x:v>
      </x:c>
      <x:c r="E1087" s="137" t="str">
        <x:v>PACKING</x:v>
      </x:c>
      <x:c r="F1087" s="137" t="str">
        <x:v>EMYLE||GRAM</x:v>
      </x:c>
      <x:c r="G1087" s="137" t="str">
        <x:v>EMYLE</x:v>
      </x:c>
      <x:c r="H1087" s="137" t="str">
        <x:v>GRAM</x:v>
      </x:c>
      <x:c r="I1087" s="175" t="n">
        <x:v>0.07142857</x:v>
      </x:c>
      <x:c r="J1087" s="176" t="str"/>
      <x:c r="K1087" s="177" t="str"/>
      <x:c r="L1087" s="178" t="str">
        <x:f>IF(J1087="","",J1087*(1+IF(K1087="",0,K1087)) )</x:f>
      </x:c>
      <x:c r="M1087" s="138" t="str"/>
      <x:c r="N1087" s="137" t="str">
        <x:v>Current model BOM seed</x:v>
      </x:c>
      <x:c r="O1087" s="137" t="str"/>
      <x:c r="P1087" s="137" t="str">
        <x:v>To Confirm</x:v>
      </x:c>
      <x:c r="Q1087" s="137" t="str"/>
    </x:row>
    <x:row r="1088">
      <x:c r="A1088" s="137" t="str">
        <x:v>BOM-01084</x:v>
      </x:c>
      <x:c r="B1088" s="137" t="str">
        <x:v>SPADE</x:v>
      </x:c>
      <x:c r="C1088" s="137" t="str">
        <x:v>PER ORDER (V/L)</x:v>
      </x:c>
      <x:c r="D1088" s="137" t="str">
        <x:v>8X12</x:v>
      </x:c>
      <x:c r="E1088" s="137" t="str">
        <x:v>PACKING</x:v>
      </x:c>
      <x:c r="F1088" s="137" t="str">
        <x:v>TAG PIN||PCS</x:v>
      </x:c>
      <x:c r="G1088" s="137" t="str">
        <x:v>Tag Pin</x:v>
      </x:c>
      <x:c r="H1088" s="137" t="str">
        <x:v>PCS</x:v>
      </x:c>
      <x:c r="I1088" s="175" t="n">
        <x:v>1</x:v>
      </x:c>
      <x:c r="J1088" s="176" t="str"/>
      <x:c r="K1088" s="177" t="str"/>
      <x:c r="L1088" s="178" t="str">
        <x:f>IF(J1088="","",J1088*(1+IF(K1088="",0,K1088)) )</x:f>
      </x:c>
      <x:c r="M1088" s="138" t="str"/>
      <x:c r="N1088" s="137" t="str">
        <x:v>Current model BOM seed</x:v>
      </x:c>
      <x:c r="O1088" s="137" t="str"/>
      <x:c r="P1088" s="137" t="str">
        <x:v>To Confirm</x:v>
      </x:c>
      <x:c r="Q1088" s="137" t="str"/>
    </x:row>
    <x:row r="1089">
      <x:c r="A1089" s="137" t="str">
        <x:v>BOM-01085</x:v>
      </x:c>
      <x:c r="B1089" s="137" t="str">
        <x:v>SPADE</x:v>
      </x:c>
      <x:c r="C1089" s="137" t="str">
        <x:v>PER ORDER (V/L)</x:v>
      </x:c>
      <x:c r="D1089" s="137" t="str">
        <x:v>8X12</x:v>
      </x:c>
      <x:c r="E1089" s="137" t="str">
        <x:v>PACKING</x:v>
      </x:c>
      <x:c r="F1089" s="137" t="str">
        <x:v>TAG CARD||PCS</x:v>
      </x:c>
      <x:c r="G1089" s="137" t="str">
        <x:v>Tag Card</x:v>
      </x:c>
      <x:c r="H1089" s="137" t="str">
        <x:v>PCS</x:v>
      </x:c>
      <x:c r="I1089" s="175" t="n">
        <x:v>1</x:v>
      </x:c>
      <x:c r="J1089" s="176" t="str"/>
      <x:c r="K1089" s="177" t="str"/>
      <x:c r="L1089" s="178" t="str">
        <x:f>IF(J1089="","",J1089*(1+IF(K1089="",0,K1089)) )</x:f>
      </x:c>
      <x:c r="M1089" s="138" t="str"/>
      <x:c r="N1089" s="137" t="str">
        <x:v>Current model BOM seed</x:v>
      </x:c>
      <x:c r="O1089" s="137" t="str"/>
      <x:c r="P1089" s="137" t="str">
        <x:v>To Confirm</x:v>
      </x:c>
      <x:c r="Q1089" s="137" t="str"/>
    </x:row>
    <x:row r="1090">
      <x:c r="A1090" s="137" t="str">
        <x:v>BOM-01086</x:v>
      </x:c>
      <x:c r="B1090" s="137" t="str">
        <x:v>SPADE</x:v>
      </x:c>
      <x:c r="C1090" s="137" t="str">
        <x:v>PER ORDER (V/L)</x:v>
      </x:c>
      <x:c r="D1090" s="137" t="str">
        <x:v>8X12</x:v>
      </x:c>
      <x:c r="E1090" s="137" t="str">
        <x:v>PACKING</x:v>
      </x:c>
      <x:c r="F1090" s="137" t="str">
        <x:v>WRAPING PAPER||PCS</x:v>
      </x:c>
      <x:c r="G1090" s="137" t="str">
        <x:v>Wraping Paper</x:v>
      </x:c>
      <x:c r="H1090" s="137" t="str">
        <x:v>PCS</x:v>
      </x:c>
      <x:c r="I1090" s="175" t="n">
        <x:v>1</x:v>
      </x:c>
      <x:c r="J1090" s="176" t="str"/>
      <x:c r="K1090" s="177" t="str"/>
      <x:c r="L1090" s="178" t="str">
        <x:f>IF(J1090="","",J1090*(1+IF(K1090="",0,K1090)) )</x:f>
      </x:c>
      <x:c r="M1090" s="138" t="str"/>
      <x:c r="N1090" s="137" t="str">
        <x:v>Current model BOM seed</x:v>
      </x:c>
      <x:c r="O1090" s="137" t="str"/>
      <x:c r="P1090" s="137" t="str">
        <x:v>To Confirm</x:v>
      </x:c>
      <x:c r="Q1090" s="137" t="str"/>
    </x:row>
    <x:row r="1091">
      <x:c r="A1091" s="137" t="str">
        <x:v>BOM-01087</x:v>
      </x:c>
      <x:c r="B1091" s="137" t="str">
        <x:v>SPADE</x:v>
      </x:c>
      <x:c r="C1091" s="137" t="str">
        <x:v>PER ORDER (V/L)</x:v>
      </x:c>
      <x:c r="D1091" s="137" t="str">
        <x:v>8X12</x:v>
      </x:c>
      <x:c r="E1091" s="137" t="str">
        <x:v>PACKING</x:v>
      </x:c>
      <x:c r="F1091" s="137" t="str">
        <x:v>INNER||PCS</x:v>
      </x:c>
      <x:c r="G1091" s="137" t="str">
        <x:v>INNER</x:v>
      </x:c>
      <x:c r="H1091" s="137" t="str">
        <x:v>PCS</x:v>
      </x:c>
      <x:c r="I1091" s="175" t="n">
        <x:v>1</x:v>
      </x:c>
      <x:c r="J1091" s="176" t="str"/>
      <x:c r="K1091" s="177" t="str"/>
      <x:c r="L1091" s="178" t="str">
        <x:f>IF(J1091="","",J1091*(1+IF(K1091="",0,K1091)) )</x:f>
      </x:c>
      <x:c r="M1091" s="138" t="str"/>
      <x:c r="N1091" s="137" t="str">
        <x:v>Current model BOM seed</x:v>
      </x:c>
      <x:c r="O1091" s="137" t="str"/>
      <x:c r="P1091" s="137" t="str">
        <x:v>To Confirm</x:v>
      </x:c>
      <x:c r="Q1091" s="137" t="str"/>
    </x:row>
    <x:row r="1092">
      <x:c r="A1092" s="137" t="str">
        <x:v>BOM-01088</x:v>
      </x:c>
      <x:c r="B1092" s="137" t="str">
        <x:v>SPADE</x:v>
      </x:c>
      <x:c r="C1092" s="137" t="str">
        <x:v>PER ORDER (V/L)</x:v>
      </x:c>
      <x:c r="D1092" s="137" t="str">
        <x:v>8X12</x:v>
      </x:c>
      <x:c r="E1092" s="137" t="str">
        <x:v>PACKING</x:v>
      </x:c>
      <x:c r="F1092" s="137" t="str">
        <x:v>BARCODE STICKER||PCS</x:v>
      </x:c>
      <x:c r="G1092" s="137" t="str">
        <x:v>Barcode Sticker</x:v>
      </x:c>
      <x:c r="H1092" s="137" t="str">
        <x:v>PCS</x:v>
      </x:c>
      <x:c r="I1092" s="175" t="n">
        <x:v>1</x:v>
      </x:c>
      <x:c r="J1092" s="176" t="str"/>
      <x:c r="K1092" s="177" t="str"/>
      <x:c r="L1092" s="178" t="str">
        <x:f>IF(J1092="","",J1092*(1+IF(K1092="",0,K1092)) )</x:f>
      </x:c>
      <x:c r="M1092" s="138" t="str"/>
      <x:c r="N1092" s="137" t="str">
        <x:v>Current model BOM seed</x:v>
      </x:c>
      <x:c r="O1092" s="137" t="str"/>
      <x:c r="P1092" s="137" t="str">
        <x:v>To Confirm</x:v>
      </x:c>
      <x:c r="Q1092" s="137" t="str"/>
    </x:row>
    <x:row r="1093">
      <x:c r="A1093" s="137" t="str">
        <x:v>BOM-01089</x:v>
      </x:c>
      <x:c r="B1093" s="137" t="str">
        <x:v>SPADE</x:v>
      </x:c>
      <x:c r="C1093" s="137" t="str">
        <x:v>PER ORDER (V/L)</x:v>
      </x:c>
      <x:c r="D1093" s="137" t="str">
        <x:v>8X12</x:v>
      </x:c>
      <x:c r="E1093" s="137" t="str">
        <x:v>PACKING</x:v>
      </x:c>
      <x:c r="F1093" s="137" t="str">
        <x:v>CTN TAPE (1 CTN)||MTR</x:v>
      </x:c>
      <x:c r="G1093" s="137" t="str">
        <x:v>Ctn Tape (1 Ctn)</x:v>
      </x:c>
      <x:c r="H1093" s="137" t="str">
        <x:v>MTR</x:v>
      </x:c>
      <x:c r="I1093" s="175" t="n">
        <x:v>0.5</x:v>
      </x:c>
      <x:c r="J1093" s="176" t="str"/>
      <x:c r="K1093" s="177" t="str"/>
      <x:c r="L1093" s="178" t="str">
        <x:f>IF(J1093="","",J1093*(1+IF(K1093="",0,K1093)) )</x:f>
      </x:c>
      <x:c r="M1093" s="138" t="str"/>
      <x:c r="N1093" s="137" t="str">
        <x:v>Current model BOM seed</x:v>
      </x:c>
      <x:c r="O1093" s="137" t="str"/>
      <x:c r="P1093" s="137" t="str">
        <x:v>To Confirm</x:v>
      </x:c>
      <x:c r="Q1093" s="137" t="str"/>
    </x:row>
    <x:row r="1094">
      <x:c r="A1094" s="137" t="str">
        <x:v>BOM-01090</x:v>
      </x:c>
      <x:c r="B1094" s="137" t="str">
        <x:v>SPADE</x:v>
      </x:c>
      <x:c r="C1094" s="137" t="str">
        <x:v>PER ORDER (V/L)</x:v>
      </x:c>
      <x:c r="D1094" s="137" t="str">
        <x:v>8X12</x:v>
      </x:c>
      <x:c r="E1094" s="137" t="str">
        <x:v>PACKING</x:v>
      </x:c>
      <x:c r="F1094" s="137" t="str">
        <x:v>STRAPING ROLL (1CTN)||MTR</x:v>
      </x:c>
      <x:c r="G1094" s="137" t="str">
        <x:v>Straping Roll (1Ctn)</x:v>
      </x:c>
      <x:c r="H1094" s="137" t="str">
        <x:v>MTR</x:v>
      </x:c>
      <x:c r="I1094" s="175" t="n">
        <x:v>0.25</x:v>
      </x:c>
      <x:c r="J1094" s="176" t="str"/>
      <x:c r="K1094" s="177" t="str"/>
      <x:c r="L1094" s="178" t="str">
        <x:f>IF(J1094="","",J1094*(1+IF(K1094="",0,K1094)) )</x:f>
      </x:c>
      <x:c r="M1094" s="138" t="str"/>
      <x:c r="N1094" s="137" t="str">
        <x:v>Current model BOM seed</x:v>
      </x:c>
      <x:c r="O1094" s="137" t="str"/>
      <x:c r="P1094" s="137" t="str">
        <x:v>To Confirm</x:v>
      </x:c>
      <x:c r="Q1094" s="137" t="str"/>
    </x:row>
    <x:row r="1095">
      <x:c r="A1095" s="137" t="str">
        <x:v>BOM-01091</x:v>
      </x:c>
      <x:c r="B1095" s="137" t="str">
        <x:v>SPADE</x:v>
      </x:c>
      <x:c r="C1095" s="137" t="str">
        <x:v>PER ORDER (V/L)</x:v>
      </x:c>
      <x:c r="D1095" s="137" t="str">
        <x:v>8X12</x:v>
      </x:c>
      <x:c r="E1095" s="137" t="str">
        <x:v>STITCHING</x:v>
      </x:c>
      <x:c r="F1095" s="137" t="str">
        <x:v>THREAD 3 PLY||MTR</x:v>
      </x:c>
      <x:c r="G1095" s="137" t="str">
        <x:v>Thread 3 Ply</x:v>
      </x:c>
      <x:c r="H1095" s="137" t="str">
        <x:v>MTR</x:v>
      </x:c>
      <x:c r="I1095" s="175" t="n">
        <x:v>25</x:v>
      </x:c>
      <x:c r="J1095" s="176" t="str"/>
      <x:c r="K1095" s="177" t="str"/>
      <x:c r="L1095" s="178" t="str">
        <x:f>IF(J1095="","",J1095*(1+IF(K1095="",0,K1095)) )</x:f>
      </x:c>
      <x:c r="M1095" s="138" t="str"/>
      <x:c r="N1095" s="137" t="str">
        <x:v>Current model BOM seed</x:v>
      </x:c>
      <x:c r="O1095" s="137" t="str"/>
      <x:c r="P1095" s="137" t="str">
        <x:v>To Confirm</x:v>
      </x:c>
      <x:c r="Q1095" s="137" t="str"/>
    </x:row>
    <x:row r="1096">
      <x:c r="A1096" s="137" t="str">
        <x:v>BOM-01092</x:v>
      </x:c>
      <x:c r="B1096" s="137" t="str">
        <x:v>SPADE</x:v>
      </x:c>
      <x:c r="C1096" s="137" t="str">
        <x:v>PER ORDER (V/L)</x:v>
      </x:c>
      <x:c r="D1096" s="137" t="str">
        <x:v>8X12</x:v>
      </x:c>
      <x:c r="E1096" s="137" t="str">
        <x:v>STITCHING</x:v>
      </x:c>
      <x:c r="F1096" s="137" t="str">
        <x:v>THREAD 3 PLY (COLOURED||MTR</x:v>
      </x:c>
      <x:c r="G1096" s="137" t="str">
        <x:v>Thread 3 Ply (Coloured</x:v>
      </x:c>
      <x:c r="H1096" s="137" t="str">
        <x:v>MTR</x:v>
      </x:c>
      <x:c r="I1096" s="175" t="n">
        <x:v>166.66666667</x:v>
      </x:c>
      <x:c r="J1096" s="176" t="str"/>
      <x:c r="K1096" s="177" t="str"/>
      <x:c r="L1096" s="178" t="str">
        <x:f>IF(J1096="","",J1096*(1+IF(K1096="",0,K1096)) )</x:f>
      </x:c>
      <x:c r="M1096" s="138" t="str"/>
      <x:c r="N1096" s="137" t="str">
        <x:v>Current model BOM seed</x:v>
      </x:c>
      <x:c r="O1096" s="137" t="str"/>
      <x:c r="P1096" s="137" t="str">
        <x:v>To Confirm</x:v>
      </x:c>
      <x:c r="Q1096" s="137" t="str"/>
    </x:row>
    <x:row r="1097">
      <x:c r="A1097" s="137" t="str">
        <x:v>BOM-01093</x:v>
      </x:c>
      <x:c r="B1097" s="137" t="str">
        <x:v>SPADE</x:v>
      </x:c>
      <x:c r="C1097" s="137" t="str">
        <x:v>PER ORDER (V/L)</x:v>
      </x:c>
      <x:c r="D1097" s="137" t="str">
        <x:v>8X12</x:v>
      </x:c>
      <x:c r="E1097" s="137" t="str">
        <x:v>STITCHING</x:v>
      </x:c>
      <x:c r="F1097" s="137" t="str">
        <x:v>SIZE LABEL||MTR</x:v>
      </x:c>
      <x:c r="G1097" s="137" t="str">
        <x:v>Size Label</x:v>
      </x:c>
      <x:c r="H1097" s="137" t="str">
        <x:v>MTR</x:v>
      </x:c>
      <x:c r="I1097" s="175" t="n">
        <x:v>0.5</x:v>
      </x:c>
      <x:c r="J1097" s="176" t="str"/>
      <x:c r="K1097" s="177" t="str"/>
      <x:c r="L1097" s="178" t="str">
        <x:f>IF(J1097="","",J1097*(1+IF(K1097="",0,K1097)) )</x:f>
      </x:c>
      <x:c r="M1097" s="138" t="str"/>
      <x:c r="N1097" s="137" t="str">
        <x:v>Current model BOM seed</x:v>
      </x:c>
      <x:c r="O1097" s="137" t="str"/>
      <x:c r="P1097" s="137" t="str">
        <x:v>To Confirm</x:v>
      </x:c>
      <x:c r="Q1097" s="137" t="str"/>
    </x:row>
    <x:row r="1098">
      <x:c r="A1098" s="137" t="str">
        <x:v>BOM-01094</x:v>
      </x:c>
      <x:c r="B1098" s="137" t="str">
        <x:v>SPADE</x:v>
      </x:c>
      <x:c r="C1098" s="137" t="str">
        <x:v>PER ORDER (V/L)</x:v>
      </x:c>
      <x:c r="D1098" s="137" t="str">
        <x:v>8X12</x:v>
      </x:c>
      <x:c r="E1098" s="137" t="str">
        <x:v>STITCHING</x:v>
      </x:c>
      <x:c r="F1098" s="137" t="str">
        <x:v>TOUNGE LABEL||MTR</x:v>
      </x:c>
      <x:c r="G1098" s="137" t="str">
        <x:v>Tounge Label</x:v>
      </x:c>
      <x:c r="H1098" s="137" t="str">
        <x:v>MTR</x:v>
      </x:c>
      <x:c r="I1098" s="175" t="n">
        <x:v>0.5</x:v>
      </x:c>
      <x:c r="J1098" s="176" t="str"/>
      <x:c r="K1098" s="177" t="str"/>
      <x:c r="L1098" s="178" t="str">
        <x:f>IF(J1098="","",J1098*(1+IF(K1098="",0,K1098)) )</x:f>
      </x:c>
      <x:c r="M1098" s="138" t="str"/>
      <x:c r="N1098" s="137" t="str">
        <x:v>Current model BOM seed</x:v>
      </x:c>
      <x:c r="O1098" s="137" t="str"/>
      <x:c r="P1098" s="137" t="str">
        <x:v>To Confirm</x:v>
      </x:c>
      <x:c r="Q1098" s="137" t="str"/>
    </x:row>
    <x:row r="1099">
      <x:c r="A1099" s="137" t="str">
        <x:v>BOM-01095</x:v>
      </x:c>
      <x:c r="B1099" s="137" t="str">
        <x:v>SPADE</x:v>
      </x:c>
      <x:c r="C1099" s="137" t="str">
        <x:v>PER ORDER (V/L)</x:v>
      </x:c>
      <x:c r="D1099" s="137" t="str">
        <x:v>8X12</x:v>
      </x:c>
      <x:c r="E1099" s="137" t="str">
        <x:v>STITCHING</x:v>
      </x:c>
      <x:c r="F1099" s="137" t="str">
        <x:v>D-RING 25MM||CM</x:v>
      </x:c>
      <x:c r="G1099" s="137" t="str">
        <x:v>D-Ring 25Mm</x:v>
      </x:c>
      <x:c r="H1099" s="137" t="str">
        <x:v>CM</x:v>
      </x:c>
      <x:c r="I1099" s="175" t="n">
        <x:v>0.25</x:v>
      </x:c>
      <x:c r="J1099" s="176" t="str"/>
      <x:c r="K1099" s="177" t="str"/>
      <x:c r="L1099" s="178" t="str">
        <x:f>IF(J1099="","",J1099*(1+IF(K1099="",0,K1099)) )</x:f>
      </x:c>
      <x:c r="M1099" s="138" t="str"/>
      <x:c r="N1099" s="137" t="str">
        <x:v>Current model BOM seed</x:v>
      </x:c>
      <x:c r="O1099" s="137" t="str"/>
      <x:c r="P1099" s="137" t="str">
        <x:v>To Confirm</x:v>
      </x:c>
      <x:c r="Q1099" s="137" t="str"/>
    </x:row>
    <x:row r="1100">
      <x:c r="A1100" s="137" t="str">
        <x:v>BOM-01096</x:v>
      </x:c>
      <x:c r="B1100" s="137" t="str">
        <x:v>SPADE</x:v>
      </x:c>
      <x:c r="C1100" s="137" t="str">
        <x:v>PER ORDER (V/L)</x:v>
      </x:c>
      <x:c r="D1100" s="137" t="str">
        <x:v>8X12</x:v>
      </x:c>
      <x:c r="E1100" s="137" t="str">
        <x:v>STITCHING</x:v>
      </x:c>
      <x:c r="F1100" s="137" t="str">
        <x:v>VELCRO 25 MM HOOK||PCS</x:v>
      </x:c>
      <x:c r="G1100" s="137" t="str">
        <x:v>Velcro 25 Mm Hook</x:v>
      </x:c>
      <x:c r="H1100" s="137" t="str">
        <x:v>PCS</x:v>
      </x:c>
      <x:c r="I1100" s="175" t="n">
        <x:v>2.5</x:v>
      </x:c>
      <x:c r="J1100" s="176" t="str"/>
      <x:c r="K1100" s="177" t="str"/>
      <x:c r="L1100" s="178" t="str">
        <x:f>IF(J1100="","",J1100*(1+IF(K1100="",0,K1100)) )</x:f>
      </x:c>
      <x:c r="M1100" s="138" t="str"/>
      <x:c r="N1100" s="137" t="str">
        <x:v>Current model BOM seed</x:v>
      </x:c>
      <x:c r="O1100" s="137" t="str"/>
      <x:c r="P1100" s="137" t="str">
        <x:v>To Confirm</x:v>
      </x:c>
      <x:c r="Q1100" s="137" t="str"/>
    </x:row>
    <x:row r="1101">
      <x:c r="A1101" s="137" t="str">
        <x:v>BOM-01097</x:v>
      </x:c>
      <x:c r="B1101" s="137" t="str">
        <x:v>SPADE</x:v>
      </x:c>
      <x:c r="C1101" s="137" t="str">
        <x:v>PER ORDER (V/L)</x:v>
      </x:c>
      <x:c r="D1101" s="137" t="str">
        <x:v>8X12</x:v>
      </x:c>
      <x:c r="E1101" s="137" t="str">
        <x:v>STITCHING</x:v>
      </x:c>
      <x:c r="F1101" s="137" t="str">
        <x:v>VELCRO 25 MM LOOP||PCS</x:v>
      </x:c>
      <x:c r="G1101" s="137" t="str">
        <x:v>Velcro 25 Mm Loop</x:v>
      </x:c>
      <x:c r="H1101" s="137" t="str">
        <x:v>PCS</x:v>
      </x:c>
      <x:c r="I1101" s="175" t="n">
        <x:v>2.5</x:v>
      </x:c>
      <x:c r="J1101" s="176" t="str"/>
      <x:c r="K1101" s="177" t="str"/>
      <x:c r="L1101" s="178" t="str">
        <x:f>IF(J1101="","",J1101*(1+IF(K1101="",0,K1101)) )</x:f>
      </x:c>
      <x:c r="M1101" s="138" t="str"/>
      <x:c r="N1101" s="137" t="str">
        <x:v>Current model BOM seed</x:v>
      </x:c>
      <x:c r="O1101" s="137" t="str"/>
      <x:c r="P1101" s="137" t="str">
        <x:v>To Confirm</x:v>
      </x:c>
      <x:c r="Q1101" s="137" t="str"/>
    </x:row>
    <x:row r="1102">
      <x:c r="A1102" s="137" t="str">
        <x:v>BOM-01098</x:v>
      </x:c>
      <x:c r="B1102" s="137" t="str">
        <x:v>SPIKE</x:v>
      </x:c>
      <x:c r="C1102" s="137" t="str">
        <x:v>PER ORDER (V/L)</x:v>
      </x:c>
      <x:c r="D1102" s="137" t="str">
        <x:v>7X10S</x:v>
      </x:c>
      <x:c r="E1102" s="137" t="str">
        <x:v>CUTTING</x:v>
      </x:c>
      <x:c r="F1102" s="137" t="str">
        <x:v>MESH 58"||MTR</x:v>
      </x:c>
      <x:c r="G1102" s="137" t="str">
        <x:v>Mesh 58"</x:v>
      </x:c>
      <x:c r="H1102" s="137" t="str">
        <x:v>MTR</x:v>
      </x:c>
      <x:c r="I1102" s="175" t="n">
        <x:v>0.08377425</x:v>
      </x:c>
      <x:c r="J1102" s="176" t="str"/>
      <x:c r="K1102" s="177" t="str"/>
      <x:c r="L1102" s="178" t="str">
        <x:f>IF(J1102="","",J1102*(1+IF(K1102="",0,K1102)) )</x:f>
      </x:c>
      <x:c r="M1102" s="138" t="str"/>
      <x:c r="N1102" s="137" t="str">
        <x:v>Current model BOM seed</x:v>
      </x:c>
      <x:c r="O1102" s="137" t="str"/>
      <x:c r="P1102" s="137" t="str">
        <x:v>To Confirm</x:v>
      </x:c>
      <x:c r="Q1102" s="137" t="str"/>
    </x:row>
    <x:row r="1103">
      <x:c r="A1103" s="137" t="str">
        <x:v>BOM-01099</x:v>
      </x:c>
      <x:c r="B1103" s="137" t="str">
        <x:v>SPIKE</x:v>
      </x:c>
      <x:c r="C1103" s="137" t="str">
        <x:v>PER ORDER (V/L)</x:v>
      </x:c>
      <x:c r="D1103" s="137" t="str">
        <x:v>7X10S</x:v>
      </x:c>
      <x:c r="E1103" s="137" t="str">
        <x:v>CUTTING</x:v>
      </x:c>
      <x:c r="F1103" s="137" t="str">
        <x:v>SKINFIT 60"||MTR</x:v>
      </x:c>
      <x:c r="G1103" s="137" t="str">
        <x:v>Skinfit 60"</x:v>
      </x:c>
      <x:c r="H1103" s="137" t="str">
        <x:v>MTR</x:v>
      </x:c>
      <x:c r="I1103" s="175" t="n">
        <x:v>0.04359568</x:v>
      </x:c>
      <x:c r="J1103" s="176" t="str"/>
      <x:c r="K1103" s="177" t="str"/>
      <x:c r="L1103" s="178" t="str">
        <x:f>IF(J1103="","",J1103*(1+IF(K1103="",0,K1103)) )</x:f>
      </x:c>
      <x:c r="M1103" s="138" t="str"/>
      <x:c r="N1103" s="137" t="str">
        <x:v>Current model BOM seed</x:v>
      </x:c>
      <x:c r="O1103" s="137" t="str"/>
      <x:c r="P1103" s="137" t="str">
        <x:v>To Confirm</x:v>
      </x:c>
      <x:c r="Q1103" s="137" t="str"/>
    </x:row>
    <x:row r="1104">
      <x:c r="A1104" s="137" t="str">
        <x:v>BOM-01100</x:v>
      </x:c>
      <x:c r="B1104" s="137" t="str">
        <x:v>SPIKE</x:v>
      </x:c>
      <x:c r="C1104" s="137" t="str">
        <x:v>PER ORDER (V/L)</x:v>
      </x:c>
      <x:c r="D1104" s="137" t="str">
        <x:v>7X10S</x:v>
      </x:c>
      <x:c r="E1104" s="137" t="str">
        <x:v>CUTTING</x:v>
      </x:c>
      <x:c r="F1104" s="137" t="str">
        <x:v>REXINE 54"||MTR</x:v>
      </x:c>
      <x:c r="G1104" s="137" t="str">
        <x:v>Rexine 54"</x:v>
      </x:c>
      <x:c r="H1104" s="137" t="str">
        <x:v>MTR</x:v>
      </x:c>
      <x:c r="I1104" s="175" t="n">
        <x:v>0.04079502</x:v>
      </x:c>
      <x:c r="J1104" s="176" t="str"/>
      <x:c r="K1104" s="177" t="str"/>
      <x:c r="L1104" s="178" t="str">
        <x:f>IF(J1104="","",J1104*(1+IF(K1104="",0,K1104)) )</x:f>
      </x:c>
      <x:c r="M1104" s="138" t="str"/>
      <x:c r="N1104" s="137" t="str">
        <x:v>Current model BOM seed</x:v>
      </x:c>
      <x:c r="O1104" s="137" t="str"/>
      <x:c r="P1104" s="137" t="str">
        <x:v>To Confirm</x:v>
      </x:c>
      <x:c r="Q1104" s="137" t="str"/>
    </x:row>
    <x:row r="1105">
      <x:c r="A1105" s="137" t="str">
        <x:v>BOM-01101</x:v>
      </x:c>
      <x:c r="B1105" s="137" t="str">
        <x:v>SPIKE</x:v>
      </x:c>
      <x:c r="C1105" s="137" t="str">
        <x:v>PER ORDER (V/L)</x:v>
      </x:c>
      <x:c r="D1105" s="137" t="str">
        <x:v>7X10S</x:v>
      </x:c>
      <x:c r="E1105" s="137" t="str">
        <x:v>CUTTING</x:v>
      </x:c>
      <x:c r="F1105" s="137" t="str">
        <x:v>SHEET 1.4MM||SHEET</x:v>
      </x:c>
      <x:c r="G1105" s="137" t="str">
        <x:v>Sheet 1.4Mm</x:v>
      </x:c>
      <x:c r="H1105" s="137" t="str">
        <x:v>SHEET</x:v>
      </x:c>
      <x:c r="I1105" s="175" t="n">
        <x:v>0.00757576</x:v>
      </x:c>
      <x:c r="J1105" s="176" t="str"/>
      <x:c r="K1105" s="177" t="str"/>
      <x:c r="L1105" s="178" t="str">
        <x:f>IF(J1105="","",J1105*(1+IF(K1105="",0,K1105)) )</x:f>
      </x:c>
      <x:c r="M1105" s="138" t="str"/>
      <x:c r="N1105" s="137" t="str">
        <x:v>Current model BOM seed</x:v>
      </x:c>
      <x:c r="O1105" s="137" t="str"/>
      <x:c r="P1105" s="137" t="str">
        <x:v>To Confirm</x:v>
      </x:c>
      <x:c r="Q1105" s="137" t="str"/>
    </x:row>
    <x:row r="1106">
      <x:c r="A1106" s="137" t="str">
        <x:v>BOM-01102</x:v>
      </x:c>
      <x:c r="B1106" s="137" t="str">
        <x:v>SPIKE</x:v>
      </x:c>
      <x:c r="C1106" s="137" t="str">
        <x:v>PER ORDER (V/L)</x:v>
      </x:c>
      <x:c r="D1106" s="137" t="str">
        <x:v>7X10S</x:v>
      </x:c>
      <x:c r="E1106" s="137" t="str">
        <x:v>CUTTING</x:v>
      </x:c>
      <x:c r="F1106" s="137" t="str">
        <x:v>SHEET 20MM||SHEET</x:v>
      </x:c>
      <x:c r="G1106" s="137" t="str">
        <x:v>Sheet 20Mm</x:v>
      </x:c>
      <x:c r="H1106" s="137" t="str">
        <x:v>SHEET</x:v>
      </x:c>
      <x:c r="I1106" s="175" t="n">
        <x:v>0.00787402</x:v>
      </x:c>
      <x:c r="J1106" s="176" t="str"/>
      <x:c r="K1106" s="177" t="str"/>
      <x:c r="L1106" s="178" t="str">
        <x:f>IF(J1106="","",J1106*(1+IF(K1106="",0,K1106)) )</x:f>
      </x:c>
      <x:c r="M1106" s="138" t="str"/>
      <x:c r="N1106" s="137" t="str">
        <x:v>Current model BOM seed</x:v>
      </x:c>
      <x:c r="O1106" s="137" t="str"/>
      <x:c r="P1106" s="137" t="str">
        <x:v>To Confirm</x:v>
      </x:c>
      <x:c r="Q1106" s="137" t="str"/>
    </x:row>
    <x:row r="1107">
      <x:c r="A1107" s="137" t="str">
        <x:v>BOM-01103</x:v>
      </x:c>
      <x:c r="B1107" s="137" t="str">
        <x:v>SPIKE</x:v>
      </x:c>
      <x:c r="C1107" s="137" t="str">
        <x:v>PER ORDER (V/L)</x:v>
      </x:c>
      <x:c r="D1107" s="137" t="str">
        <x:v>7X10S</x:v>
      </x:c>
      <x:c r="E1107" s="137" t="str">
        <x:v>CUTTING</x:v>
      </x:c>
      <x:c r="F1107" s="137" t="str">
        <x:v>SHEET 0.8MM||SHEET</x:v>
      </x:c>
      <x:c r="G1107" s="137" t="str">
        <x:v>Sheet 0.8Mm</x:v>
      </x:c>
      <x:c r="H1107" s="137" t="str">
        <x:v>SHEET</x:v>
      </x:c>
      <x:c r="I1107" s="175" t="n">
        <x:v>0.00826446</x:v>
      </x:c>
      <x:c r="J1107" s="176" t="str"/>
      <x:c r="K1107" s="177" t="str"/>
      <x:c r="L1107" s="178" t="str">
        <x:f>IF(J1107="","",J1107*(1+IF(K1107="",0,K1107)) )</x:f>
      </x:c>
      <x:c r="M1107" s="138" t="str"/>
      <x:c r="N1107" s="137" t="str">
        <x:v>Current model BOM seed</x:v>
      </x:c>
      <x:c r="O1107" s="137" t="str"/>
      <x:c r="P1107" s="137" t="str">
        <x:v>To Confirm</x:v>
      </x:c>
      <x:c r="Q1107" s="137" t="str"/>
    </x:row>
    <x:row r="1108">
      <x:c r="A1108" s="137" t="str">
        <x:v>BOM-01104</x:v>
      </x:c>
      <x:c r="B1108" s="137" t="str">
        <x:v>SPIKE</x:v>
      </x:c>
      <x:c r="C1108" s="137" t="str">
        <x:v>PER ORDER (V/L)</x:v>
      </x:c>
      <x:c r="D1108" s="137" t="str">
        <x:v>7X10S</x:v>
      </x:c>
      <x:c r="E1108" s="137" t="str">
        <x:v>CUTTING</x:v>
      </x:c>
      <x:c r="F1108" s="137" t="str">
        <x:v>INSOLE||PAIR</x:v>
      </x:c>
      <x:c r="G1108" s="137" t="str">
        <x:v>INSOLE</x:v>
      </x:c>
      <x:c r="H1108" s="137" t="str">
        <x:v>PAIR</x:v>
      </x:c>
      <x:c r="I1108" s="175" t="n">
        <x:v>2</x:v>
      </x:c>
      <x:c r="J1108" s="176" t="str"/>
      <x:c r="K1108" s="177" t="str"/>
      <x:c r="L1108" s="178" t="str">
        <x:f>IF(J1108="","",J1108*(1+IF(K1108="",0,K1108)) )</x:f>
      </x:c>
      <x:c r="M1108" s="138" t="str"/>
      <x:c r="N1108" s="137" t="str">
        <x:v>Current model BOM seed</x:v>
      </x:c>
      <x:c r="O1108" s="137" t="str"/>
      <x:c r="P1108" s="137" t="str">
        <x:v>To Confirm</x:v>
      </x:c>
      <x:c r="Q1108" s="137" t="str"/>
    </x:row>
    <x:row r="1109">
      <x:c r="A1109" s="137" t="str">
        <x:v>BOM-01105</x:v>
      </x:c>
      <x:c r="B1109" s="137" t="str">
        <x:v>SPIKE</x:v>
      </x:c>
      <x:c r="C1109" s="137" t="str">
        <x:v>PER ORDER (V/L)</x:v>
      </x:c>
      <x:c r="D1109" s="137" t="str">
        <x:v>7X10S</x:v>
      </x:c>
      <x:c r="E1109" s="137" t="str">
        <x:v>MOLDING</x:v>
      </x:c>
      <x:c r="F1109" s="137" t="str">
        <x:v>SOLE 1231 EVA||PAIR</x:v>
      </x:c>
      <x:c r="G1109" s="137" t="str">
        <x:v>Sole 1231 EVA</x:v>
      </x:c>
      <x:c r="H1109" s="137" t="str">
        <x:v>PAIR</x:v>
      </x:c>
      <x:c r="I1109" s="175" t="n">
        <x:v>2</x:v>
      </x:c>
      <x:c r="J1109" s="176" t="str"/>
      <x:c r="K1109" s="177" t="str"/>
      <x:c r="L1109" s="178" t="str">
        <x:f>IF(J1109="","",J1109*(1+IF(K1109="",0,K1109)) )</x:f>
      </x:c>
      <x:c r="M1109" s="138" t="str"/>
      <x:c r="N1109" s="137" t="str">
        <x:v>Current model BOM seed</x:v>
      </x:c>
      <x:c r="O1109" s="137" t="str"/>
      <x:c r="P1109" s="137" t="str">
        <x:v>To Confirm</x:v>
      </x:c>
      <x:c r="Q1109" s="137" t="str"/>
    </x:row>
    <x:row r="1110">
      <x:c r="A1110" s="137" t="str">
        <x:v>BOM-01106</x:v>
      </x:c>
      <x:c r="B1110" s="137" t="str">
        <x:v>SPIKE</x:v>
      </x:c>
      <x:c r="C1110" s="137" t="str">
        <x:v>PER ORDER (V/L)</x:v>
      </x:c>
      <x:c r="D1110" s="137" t="str">
        <x:v>7X10S</x:v>
      </x:c>
      <x:c r="E1110" s="137" t="str">
        <x:v>PACKING</x:v>
      </x:c>
      <x:c r="F1110" s="137" t="str">
        <x:v>TISSUE PAPER||PCS</x:v>
      </x:c>
      <x:c r="G1110" s="137" t="str">
        <x:v>Tissue Paper</x:v>
      </x:c>
      <x:c r="H1110" s="137" t="str">
        <x:v>PCS</x:v>
      </x:c>
      <x:c r="I1110" s="175" t="n">
        <x:v>0.25</x:v>
      </x:c>
      <x:c r="J1110" s="176" t="str"/>
      <x:c r="K1110" s="177" t="str"/>
      <x:c r="L1110" s="178" t="str">
        <x:f>IF(J1110="","",J1110*(1+IF(K1110="",0,K1110)) )</x:f>
      </x:c>
      <x:c r="M1110" s="138" t="str"/>
      <x:c r="N1110" s="137" t="str">
        <x:v>Current model BOM seed</x:v>
      </x:c>
      <x:c r="O1110" s="137" t="str"/>
      <x:c r="P1110" s="137" t="str">
        <x:v>To Confirm</x:v>
      </x:c>
      <x:c r="Q1110" s="137" t="str"/>
    </x:row>
    <x:row r="1111">
      <x:c r="A1111" s="137" t="str">
        <x:v>BOM-01107</x:v>
      </x:c>
      <x:c r="B1111" s="137" t="str">
        <x:v>SPIKE</x:v>
      </x:c>
      <x:c r="C1111" s="137" t="str">
        <x:v>PER ORDER (V/L)</x:v>
      </x:c>
      <x:c r="D1111" s="137" t="str">
        <x:v>7X10S</x:v>
      </x:c>
      <x:c r="E1111" s="137" t="str">
        <x:v>PACKING</x:v>
      </x:c>
      <x:c r="F1111" s="137" t="str">
        <x:v>SHOE SHINER||GRAM</x:v>
      </x:c>
      <x:c r="G1111" s="137" t="str">
        <x:v>Shoe Shiner</x:v>
      </x:c>
      <x:c r="H1111" s="137" t="str">
        <x:v>GRAM</x:v>
      </x:c>
      <x:c r="I1111" s="175" t="n">
        <x:v>0.06666667</x:v>
      </x:c>
      <x:c r="J1111" s="176" t="str"/>
      <x:c r="K1111" s="177" t="str"/>
      <x:c r="L1111" s="178" t="str">
        <x:f>IF(J1111="","",J1111*(1+IF(K1111="",0,K1111)) )</x:f>
      </x:c>
      <x:c r="M1111" s="138" t="str"/>
      <x:c r="N1111" s="137" t="str">
        <x:v>Current model BOM seed</x:v>
      </x:c>
      <x:c r="O1111" s="137" t="str"/>
      <x:c r="P1111" s="137" t="str">
        <x:v>To Confirm</x:v>
      </x:c>
      <x:c r="Q1111" s="137" t="str"/>
    </x:row>
    <x:row r="1112">
      <x:c r="A1112" s="137" t="str">
        <x:v>BOM-01108</x:v>
      </x:c>
      <x:c r="B1112" s="137" t="str">
        <x:v>SPIKE</x:v>
      </x:c>
      <x:c r="C1112" s="137" t="str">
        <x:v>PER ORDER (V/L)</x:v>
      </x:c>
      <x:c r="D1112" s="137" t="str">
        <x:v>7X10S</x:v>
      </x:c>
      <x:c r="E1112" s="137" t="str">
        <x:v>PACKING</x:v>
      </x:c>
      <x:c r="F1112" s="137" t="str">
        <x:v>EMYLE||GRAM</x:v>
      </x:c>
      <x:c r="G1112" s="137" t="str">
        <x:v>EMYLE</x:v>
      </x:c>
      <x:c r="H1112" s="137" t="str">
        <x:v>GRAM</x:v>
      </x:c>
      <x:c r="I1112" s="175" t="n">
        <x:v>0.07142857</x:v>
      </x:c>
      <x:c r="J1112" s="176" t="str"/>
      <x:c r="K1112" s="177" t="str"/>
      <x:c r="L1112" s="178" t="str">
        <x:f>IF(J1112="","",J1112*(1+IF(K1112="",0,K1112)) )</x:f>
      </x:c>
      <x:c r="M1112" s="138" t="str"/>
      <x:c r="N1112" s="137" t="str">
        <x:v>Current model BOM seed</x:v>
      </x:c>
      <x:c r="O1112" s="137" t="str"/>
      <x:c r="P1112" s="137" t="str">
        <x:v>To Confirm</x:v>
      </x:c>
      <x:c r="Q1112" s="137" t="str"/>
    </x:row>
    <x:row r="1113">
      <x:c r="A1113" s="137" t="str">
        <x:v>BOM-01109</x:v>
      </x:c>
      <x:c r="B1113" s="137" t="str">
        <x:v>SPIKE</x:v>
      </x:c>
      <x:c r="C1113" s="137" t="str">
        <x:v>PER ORDER (V/L)</x:v>
      </x:c>
      <x:c r="D1113" s="137" t="str">
        <x:v>7X10S</x:v>
      </x:c>
      <x:c r="E1113" s="137" t="str">
        <x:v>PACKING</x:v>
      </x:c>
      <x:c r="F1113" s="137" t="str">
        <x:v>TAG PIN||PCS</x:v>
      </x:c>
      <x:c r="G1113" s="137" t="str">
        <x:v>Tag Pin</x:v>
      </x:c>
      <x:c r="H1113" s="137" t="str">
        <x:v>PCS</x:v>
      </x:c>
      <x:c r="I1113" s="175" t="n">
        <x:v>1</x:v>
      </x:c>
      <x:c r="J1113" s="176" t="str"/>
      <x:c r="K1113" s="177" t="str"/>
      <x:c r="L1113" s="178" t="str">
        <x:f>IF(J1113="","",J1113*(1+IF(K1113="",0,K1113)) )</x:f>
      </x:c>
      <x:c r="M1113" s="138" t="str"/>
      <x:c r="N1113" s="137" t="str">
        <x:v>Current model BOM seed</x:v>
      </x:c>
      <x:c r="O1113" s="137" t="str"/>
      <x:c r="P1113" s="137" t="str">
        <x:v>To Confirm</x:v>
      </x:c>
      <x:c r="Q1113" s="137" t="str"/>
    </x:row>
    <x:row r="1114">
      <x:c r="A1114" s="137" t="str">
        <x:v>BOM-01110</x:v>
      </x:c>
      <x:c r="B1114" s="137" t="str">
        <x:v>SPIKE</x:v>
      </x:c>
      <x:c r="C1114" s="137" t="str">
        <x:v>PER ORDER (V/L)</x:v>
      </x:c>
      <x:c r="D1114" s="137" t="str">
        <x:v>7X10S</x:v>
      </x:c>
      <x:c r="E1114" s="137" t="str">
        <x:v>PACKING</x:v>
      </x:c>
      <x:c r="F1114" s="137" t="str">
        <x:v>TAG CARD||PCS</x:v>
      </x:c>
      <x:c r="G1114" s="137" t="str">
        <x:v>Tag Card</x:v>
      </x:c>
      <x:c r="H1114" s="137" t="str">
        <x:v>PCS</x:v>
      </x:c>
      <x:c r="I1114" s="175" t="n">
        <x:v>1</x:v>
      </x:c>
      <x:c r="J1114" s="176" t="str"/>
      <x:c r="K1114" s="177" t="str"/>
      <x:c r="L1114" s="178" t="str">
        <x:f>IF(J1114="","",J1114*(1+IF(K1114="",0,K1114)) )</x:f>
      </x:c>
      <x:c r="M1114" s="138" t="str"/>
      <x:c r="N1114" s="137" t="str">
        <x:v>Current model BOM seed</x:v>
      </x:c>
      <x:c r="O1114" s="137" t="str"/>
      <x:c r="P1114" s="137" t="str">
        <x:v>To Confirm</x:v>
      </x:c>
      <x:c r="Q1114" s="137" t="str"/>
    </x:row>
    <x:row r="1115">
      <x:c r="A1115" s="137" t="str">
        <x:v>BOM-01111</x:v>
      </x:c>
      <x:c r="B1115" s="137" t="str">
        <x:v>SPIKE</x:v>
      </x:c>
      <x:c r="C1115" s="137" t="str">
        <x:v>PER ORDER (V/L)</x:v>
      </x:c>
      <x:c r="D1115" s="137" t="str">
        <x:v>7X10S</x:v>
      </x:c>
      <x:c r="E1115" s="137" t="str">
        <x:v>PACKING</x:v>
      </x:c>
      <x:c r="F1115" s="137" t="str">
        <x:v>WRAPING PAPER||PCS</x:v>
      </x:c>
      <x:c r="G1115" s="137" t="str">
        <x:v>Wraping Paper</x:v>
      </x:c>
      <x:c r="H1115" s="137" t="str">
        <x:v>PCS</x:v>
      </x:c>
      <x:c r="I1115" s="175" t="n">
        <x:v>1</x:v>
      </x:c>
      <x:c r="J1115" s="176" t="str"/>
      <x:c r="K1115" s="177" t="str"/>
      <x:c r="L1115" s="178" t="str">
        <x:f>IF(J1115="","",J1115*(1+IF(K1115="",0,K1115)) )</x:f>
      </x:c>
      <x:c r="M1115" s="138" t="str"/>
      <x:c r="N1115" s="137" t="str">
        <x:v>Current model BOM seed</x:v>
      </x:c>
      <x:c r="O1115" s="137" t="str"/>
      <x:c r="P1115" s="137" t="str">
        <x:v>To Confirm</x:v>
      </x:c>
      <x:c r="Q1115" s="137" t="str"/>
    </x:row>
    <x:row r="1116">
      <x:c r="A1116" s="137" t="str">
        <x:v>BOM-01112</x:v>
      </x:c>
      <x:c r="B1116" s="137" t="str">
        <x:v>SPIKE</x:v>
      </x:c>
      <x:c r="C1116" s="137" t="str">
        <x:v>PER ORDER (V/L)</x:v>
      </x:c>
      <x:c r="D1116" s="137" t="str">
        <x:v>7X10S</x:v>
      </x:c>
      <x:c r="E1116" s="137" t="str">
        <x:v>PACKING</x:v>
      </x:c>
      <x:c r="F1116" s="137" t="str">
        <x:v>INNER||PCS</x:v>
      </x:c>
      <x:c r="G1116" s="137" t="str">
        <x:v>INNER</x:v>
      </x:c>
      <x:c r="H1116" s="137" t="str">
        <x:v>PCS</x:v>
      </x:c>
      <x:c r="I1116" s="175" t="n">
        <x:v>1</x:v>
      </x:c>
      <x:c r="J1116" s="176" t="str"/>
      <x:c r="K1116" s="177" t="str"/>
      <x:c r="L1116" s="178" t="str">
        <x:f>IF(J1116="","",J1116*(1+IF(K1116="",0,K1116)) )</x:f>
      </x:c>
      <x:c r="M1116" s="138" t="str"/>
      <x:c r="N1116" s="137" t="str">
        <x:v>Current model BOM seed</x:v>
      </x:c>
      <x:c r="O1116" s="137" t="str"/>
      <x:c r="P1116" s="137" t="str">
        <x:v>To Confirm</x:v>
      </x:c>
      <x:c r="Q1116" s="137" t="str"/>
    </x:row>
    <x:row r="1117">
      <x:c r="A1117" s="137" t="str">
        <x:v>BOM-01113</x:v>
      </x:c>
      <x:c r="B1117" s="137" t="str">
        <x:v>SPIKE</x:v>
      </x:c>
      <x:c r="C1117" s="137" t="str">
        <x:v>PER ORDER (V/L)</x:v>
      </x:c>
      <x:c r="D1117" s="137" t="str">
        <x:v>7X10S</x:v>
      </x:c>
      <x:c r="E1117" s="137" t="str">
        <x:v>PACKING</x:v>
      </x:c>
      <x:c r="F1117" s="137" t="str">
        <x:v>BARCODE STICKER||PCS</x:v>
      </x:c>
      <x:c r="G1117" s="137" t="str">
        <x:v>Barcode Sticker</x:v>
      </x:c>
      <x:c r="H1117" s="137" t="str">
        <x:v>PCS</x:v>
      </x:c>
      <x:c r="I1117" s="175" t="n">
        <x:v>1</x:v>
      </x:c>
      <x:c r="J1117" s="176" t="str"/>
      <x:c r="K1117" s="177" t="str"/>
      <x:c r="L1117" s="178" t="str">
        <x:f>IF(J1117="","",J1117*(1+IF(K1117="",0,K1117)) )</x:f>
      </x:c>
      <x:c r="M1117" s="138" t="str"/>
      <x:c r="N1117" s="137" t="str">
        <x:v>Current model BOM seed</x:v>
      </x:c>
      <x:c r="O1117" s="137" t="str"/>
      <x:c r="P1117" s="137" t="str">
        <x:v>To Confirm</x:v>
      </x:c>
      <x:c r="Q1117" s="137" t="str"/>
    </x:row>
    <x:row r="1118">
      <x:c r="A1118" s="137" t="str">
        <x:v>BOM-01114</x:v>
      </x:c>
      <x:c r="B1118" s="137" t="str">
        <x:v>SPIKE</x:v>
      </x:c>
      <x:c r="C1118" s="137" t="str">
        <x:v>PER ORDER (V/L)</x:v>
      </x:c>
      <x:c r="D1118" s="137" t="str">
        <x:v>7X10S</x:v>
      </x:c>
      <x:c r="E1118" s="137" t="str">
        <x:v>PACKING</x:v>
      </x:c>
      <x:c r="F1118" s="137" t="str">
        <x:v>CTN TAPE (1 CTN)||MTR</x:v>
      </x:c>
      <x:c r="G1118" s="137" t="str">
        <x:v>Ctn Tape (1 Ctn)</x:v>
      </x:c>
      <x:c r="H1118" s="137" t="str">
        <x:v>MTR</x:v>
      </x:c>
      <x:c r="I1118" s="175" t="n">
        <x:v>0.5</x:v>
      </x:c>
      <x:c r="J1118" s="176" t="str"/>
      <x:c r="K1118" s="177" t="str"/>
      <x:c r="L1118" s="178" t="str">
        <x:f>IF(J1118="","",J1118*(1+IF(K1118="",0,K1118)) )</x:f>
      </x:c>
      <x:c r="M1118" s="138" t="str"/>
      <x:c r="N1118" s="137" t="str">
        <x:v>Current model BOM seed</x:v>
      </x:c>
      <x:c r="O1118" s="137" t="str"/>
      <x:c r="P1118" s="137" t="str">
        <x:v>To Confirm</x:v>
      </x:c>
      <x:c r="Q1118" s="137" t="str"/>
    </x:row>
    <x:row r="1119">
      <x:c r="A1119" s="137" t="str">
        <x:v>BOM-01115</x:v>
      </x:c>
      <x:c r="B1119" s="137" t="str">
        <x:v>SPIKE</x:v>
      </x:c>
      <x:c r="C1119" s="137" t="str">
        <x:v>PER ORDER (V/L)</x:v>
      </x:c>
      <x:c r="D1119" s="137" t="str">
        <x:v>7X10S</x:v>
      </x:c>
      <x:c r="E1119" s="137" t="str">
        <x:v>PACKING</x:v>
      </x:c>
      <x:c r="F1119" s="137" t="str">
        <x:v>STRAPING ROLL (1CTN)||MTR</x:v>
      </x:c>
      <x:c r="G1119" s="137" t="str">
        <x:v>Straping Roll (1Ctn)</x:v>
      </x:c>
      <x:c r="H1119" s="137" t="str">
        <x:v>MTR</x:v>
      </x:c>
      <x:c r="I1119" s="175" t="n">
        <x:v>0.25</x:v>
      </x:c>
      <x:c r="J1119" s="176" t="str"/>
      <x:c r="K1119" s="177" t="str"/>
      <x:c r="L1119" s="178" t="str">
        <x:f>IF(J1119="","",J1119*(1+IF(K1119="",0,K1119)) )</x:f>
      </x:c>
      <x:c r="M1119" s="138" t="str"/>
      <x:c r="N1119" s="137" t="str">
        <x:v>Current model BOM seed</x:v>
      </x:c>
      <x:c r="O1119" s="137" t="str"/>
      <x:c r="P1119" s="137" t="str">
        <x:v>To Confirm</x:v>
      </x:c>
      <x:c r="Q1119" s="137" t="str"/>
    </x:row>
    <x:row r="1120">
      <x:c r="A1120" s="137" t="str">
        <x:v>BOM-01116</x:v>
      </x:c>
      <x:c r="B1120" s="137" t="str">
        <x:v>SPIKE</x:v>
      </x:c>
      <x:c r="C1120" s="137" t="str">
        <x:v>PER ORDER (V/L)</x:v>
      </x:c>
      <x:c r="D1120" s="137" t="str">
        <x:v>7X10S</x:v>
      </x:c>
      <x:c r="E1120" s="137" t="str">
        <x:v>STITCHING</x:v>
      </x:c>
      <x:c r="F1120" s="137" t="str">
        <x:v>THREAD 3 PLY||MTR</x:v>
      </x:c>
      <x:c r="G1120" s="137" t="str">
        <x:v>Thread 3 Ply</x:v>
      </x:c>
      <x:c r="H1120" s="137" t="str">
        <x:v>MTR</x:v>
      </x:c>
      <x:c r="I1120" s="175" t="n">
        <x:v>41.66666667</x:v>
      </x:c>
      <x:c r="J1120" s="176" t="str"/>
      <x:c r="K1120" s="177" t="str"/>
      <x:c r="L1120" s="178" t="str">
        <x:f>IF(J1120="","",J1120*(1+IF(K1120="",0,K1120)) )</x:f>
      </x:c>
      <x:c r="M1120" s="138" t="str"/>
      <x:c r="N1120" s="137" t="str">
        <x:v>Current model BOM seed</x:v>
      </x:c>
      <x:c r="O1120" s="137" t="str"/>
      <x:c r="P1120" s="137" t="str">
        <x:v>To Confirm</x:v>
      </x:c>
      <x:c r="Q1120" s="137" t="str"/>
    </x:row>
    <x:row r="1121">
      <x:c r="A1121" s="137" t="str">
        <x:v>BOM-01117</x:v>
      </x:c>
      <x:c r="B1121" s="137" t="str">
        <x:v>SPIKE</x:v>
      </x:c>
      <x:c r="C1121" s="137" t="str">
        <x:v>PER ORDER (V/L)</x:v>
      </x:c>
      <x:c r="D1121" s="137" t="str">
        <x:v>7X10S</x:v>
      </x:c>
      <x:c r="E1121" s="137" t="str">
        <x:v>STITCHING</x:v>
      </x:c>
      <x:c r="F1121" s="137" t="str">
        <x:v>SIZE LABEL||PCS</x:v>
      </x:c>
      <x:c r="G1121" s="137" t="str">
        <x:v>SIZE LABEL</x:v>
      </x:c>
      <x:c r="H1121" s="137" t="str">
        <x:v>PCS</x:v>
      </x:c>
      <x:c r="I1121" s="175" t="n">
        <x:v>0.5</x:v>
      </x:c>
      <x:c r="J1121" s="176" t="str"/>
      <x:c r="K1121" s="177" t="str"/>
      <x:c r="L1121" s="178" t="str">
        <x:f>IF(J1121="","",J1121*(1+IF(K1121="",0,K1121)) )</x:f>
      </x:c>
      <x:c r="M1121" s="138" t="str"/>
      <x:c r="N1121" s="137" t="str">
        <x:v>Current model BOM seed</x:v>
      </x:c>
      <x:c r="O1121" s="137" t="str"/>
      <x:c r="P1121" s="137" t="str">
        <x:v>To Confirm</x:v>
      </x:c>
      <x:c r="Q1121" s="137" t="str"/>
    </x:row>
    <x:row r="1122">
      <x:c r="A1122" s="137" t="str">
        <x:v>BOM-01118</x:v>
      </x:c>
      <x:c r="B1122" s="137" t="str">
        <x:v>SPIKE</x:v>
      </x:c>
      <x:c r="C1122" s="137" t="str">
        <x:v>PER ORDER (V/L)</x:v>
      </x:c>
      <x:c r="D1122" s="137" t="str">
        <x:v>7X10S</x:v>
      </x:c>
      <x:c r="E1122" s="137" t="str">
        <x:v>STITCHING</x:v>
      </x:c>
      <x:c r="F1122" s="137" t="str">
        <x:v>PF-48 BLACK||PCS</x:v>
      </x:c>
      <x:c r="G1122" s="137" t="str">
        <x:v>Pf-48 Black</x:v>
      </x:c>
      <x:c r="H1122" s="137" t="str">
        <x:v>PCS</x:v>
      </x:c>
      <x:c r="I1122" s="175" t="n">
        <x:v>0.25</x:v>
      </x:c>
      <x:c r="J1122" s="176" t="str"/>
      <x:c r="K1122" s="177" t="str"/>
      <x:c r="L1122" s="178" t="str">
        <x:f>IF(J1122="","",J1122*(1+IF(K1122="",0,K1122)) )</x:f>
      </x:c>
      <x:c r="M1122" s="138" t="str"/>
      <x:c r="N1122" s="137" t="str">
        <x:v>Current model BOM seed</x:v>
      </x:c>
      <x:c r="O1122" s="137" t="str"/>
      <x:c r="P1122" s="137" t="str">
        <x:v>To Confirm</x:v>
      </x:c>
      <x:c r="Q1122" s="137" t="str"/>
    </x:row>
    <x:row r="1123">
      <x:c r="A1123" s="137" t="str">
        <x:v>BOM-01119</x:v>
      </x:c>
      <x:c r="B1123" s="137" t="str">
        <x:v>SPIKE</x:v>
      </x:c>
      <x:c r="C1123" s="137" t="str">
        <x:v>PER ORDER (V/L)</x:v>
      </x:c>
      <x:c r="D1123" s="137" t="str">
        <x:v>7X10S</x:v>
      </x:c>
      <x:c r="E1123" s="137" t="str">
        <x:v>STITCHING</x:v>
      </x:c>
      <x:c r="F1123" s="137" t="str">
        <x:v>PF-3 BLACK||PCS</x:v>
      </x:c>
      <x:c r="G1123" s="137" t="str">
        <x:v>Pf-3 Black</x:v>
      </x:c>
      <x:c r="H1123" s="137" t="str">
        <x:v>PCS</x:v>
      </x:c>
      <x:c r="I1123" s="175" t="n">
        <x:v>0</x:v>
      </x:c>
      <x:c r="J1123" s="176" t="str"/>
      <x:c r="K1123" s="177" t="str"/>
      <x:c r="L1123" s="178" t="str">
        <x:f>IF(J1123="","",J1123*(1+IF(K1123="",0,K1123)) )</x:f>
      </x:c>
      <x:c r="M1123" s="138" t="str"/>
      <x:c r="N1123" s="137" t="str">
        <x:v>Current model BOM seed</x:v>
      </x:c>
      <x:c r="O1123" s="137" t="str"/>
      <x:c r="P1123" s="137" t="str">
        <x:v>To Confirm</x:v>
      </x:c>
      <x:c r="Q1123" s="137" t="str"/>
    </x:row>
    <x:row r="1124">
      <x:c r="A1124" s="137" t="str">
        <x:v>BOM-01120</x:v>
      </x:c>
      <x:c r="B1124" s="137" t="str">
        <x:v>SPIKE</x:v>
      </x:c>
      <x:c r="C1124" s="137" t="str">
        <x:v>PER ORDER (V/L)</x:v>
      </x:c>
      <x:c r="D1124" s="137" t="str">
        <x:v>7X10S</x:v>
      </x:c>
      <x:c r="E1124" s="137" t="str">
        <x:v>STITCHING</x:v>
      </x:c>
      <x:c r="F1124" s="137" t="str">
        <x:v>VELCRO 20 MM HOOK||MTR</x:v>
      </x:c>
      <x:c r="G1124" s="137" t="str">
        <x:v>VELCRO 20 MM HOOK</x:v>
      </x:c>
      <x:c r="H1124" s="137" t="str">
        <x:v>MTR</x:v>
      </x:c>
      <x:c r="I1124" s="175" t="n">
        <x:v>0.03703704</x:v>
      </x:c>
      <x:c r="J1124" s="176" t="str"/>
      <x:c r="K1124" s="177" t="str"/>
      <x:c r="L1124" s="178" t="str">
        <x:f>IF(J1124="","",J1124*(1+IF(K1124="",0,K1124)) )</x:f>
      </x:c>
      <x:c r="M1124" s="138" t="str"/>
      <x:c r="N1124" s="137" t="str">
        <x:v>Current model BOM seed</x:v>
      </x:c>
      <x:c r="O1124" s="137" t="str"/>
      <x:c r="P1124" s="137" t="str">
        <x:v>To Confirm</x:v>
      </x:c>
      <x:c r="Q1124" s="137" t="str"/>
    </x:row>
    <x:row r="1125">
      <x:c r="A1125" s="137" t="str">
        <x:v>BOM-01121</x:v>
      </x:c>
      <x:c r="B1125" s="137" t="str">
        <x:v>SPIKE</x:v>
      </x:c>
      <x:c r="C1125" s="137" t="str">
        <x:v>PER ORDER (V/L)</x:v>
      </x:c>
      <x:c r="D1125" s="137" t="str">
        <x:v>7X10S</x:v>
      </x:c>
      <x:c r="E1125" s="137" t="str">
        <x:v>STITCHING</x:v>
      </x:c>
      <x:c r="F1125" s="137" t="str">
        <x:v>VELCRO 20 MM LOOP||MTR</x:v>
      </x:c>
      <x:c r="G1125" s="137" t="str">
        <x:v>VELCRO 20 MM LOOP</x:v>
      </x:c>
      <x:c r="H1125" s="137" t="str">
        <x:v>MTR</x:v>
      </x:c>
      <x:c r="I1125" s="175" t="n">
        <x:v>0.03703704</x:v>
      </x:c>
      <x:c r="J1125" s="176" t="str"/>
      <x:c r="K1125" s="177" t="str"/>
      <x:c r="L1125" s="178" t="str">
        <x:f>IF(J1125="","",J1125*(1+IF(K1125="",0,K1125)) )</x:f>
      </x:c>
      <x:c r="M1125" s="138" t="str"/>
      <x:c r="N1125" s="137" t="str">
        <x:v>Current model BOM seed</x:v>
      </x:c>
      <x:c r="O1125" s="137" t="str"/>
      <x:c r="P1125" s="137" t="str">
        <x:v>To Confirm</x:v>
      </x:c>
      <x:c r="Q1125" s="137" t="str"/>
    </x:row>
    <x:row r="1126">
      <x:c r="A1126" s="137" t="str">
        <x:v>BOM-01122</x:v>
      </x:c>
      <x:c r="B1126" s="137" t="str">
        <x:v>SPIKE</x:v>
      </x:c>
      <x:c r="C1126" s="137" t="str">
        <x:v>PER ORDER (V/L)</x:v>
      </x:c>
      <x:c r="D1126" s="137" t="str">
        <x:v>7X10S</x:v>
      </x:c>
      <x:c r="E1126" s="137" t="str">
        <x:v>STITCHING</x:v>
      </x:c>
      <x:c r="F1126" s="137" t="str">
        <x:v>VELCRO 25 MM HOOK||MTR</x:v>
      </x:c>
      <x:c r="G1126" s="137" t="str">
        <x:v>VELCRO 25 MM HOOK</x:v>
      </x:c>
      <x:c r="H1126" s="137" t="str">
        <x:v>MTR</x:v>
      </x:c>
      <x:c r="I1126" s="175" t="n">
        <x:v>0</x:v>
      </x:c>
      <x:c r="J1126" s="176" t="str"/>
      <x:c r="K1126" s="177" t="str"/>
      <x:c r="L1126" s="178" t="str">
        <x:f>IF(J1126="","",J1126*(1+IF(K1126="",0,K1126)) )</x:f>
      </x:c>
      <x:c r="M1126" s="138" t="str"/>
      <x:c r="N1126" s="137" t="str">
        <x:v>Current model BOM seed</x:v>
      </x:c>
      <x:c r="O1126" s="137" t="str"/>
      <x:c r="P1126" s="137" t="str">
        <x:v>To Confirm</x:v>
      </x:c>
      <x:c r="Q1126" s="137" t="str"/>
    </x:row>
    <x:row r="1127">
      <x:c r="A1127" s="137" t="str">
        <x:v>BOM-01123</x:v>
      </x:c>
      <x:c r="B1127" s="137" t="str">
        <x:v>SPIKE</x:v>
      </x:c>
      <x:c r="C1127" s="137" t="str">
        <x:v>PER ORDER (V/L)</x:v>
      </x:c>
      <x:c r="D1127" s="137" t="str">
        <x:v>7X10S</x:v>
      </x:c>
      <x:c r="E1127" s="137" t="str">
        <x:v>STITCHING</x:v>
      </x:c>
      <x:c r="F1127" s="137" t="str">
        <x:v>VELCRO 25 MM LOOP||MTR</x:v>
      </x:c>
      <x:c r="G1127" s="137" t="str">
        <x:v>VELCRO 25 MM LOOP</x:v>
      </x:c>
      <x:c r="H1127" s="137" t="str">
        <x:v>MTR</x:v>
      </x:c>
      <x:c r="I1127" s="175" t="n">
        <x:v>0</x:v>
      </x:c>
      <x:c r="J1127" s="176" t="str"/>
      <x:c r="K1127" s="177" t="str"/>
      <x:c r="L1127" s="178" t="str">
        <x:f>IF(J1127="","",J1127*(1+IF(K1127="",0,K1127)) )</x:f>
      </x:c>
      <x:c r="M1127" s="138" t="str"/>
      <x:c r="N1127" s="137" t="str">
        <x:v>Current model BOM seed</x:v>
      </x:c>
      <x:c r="O1127" s="137" t="str"/>
      <x:c r="P1127" s="137" t="str">
        <x:v>To Confirm</x:v>
      </x:c>
      <x:c r="Q1127" s="137" t="str"/>
    </x:row>
    <x:row r="1128">
      <x:c r="A1128" s="137" t="str">
        <x:v>BOM-01124</x:v>
      </x:c>
      <x:c r="B1128" s="137" t="str">
        <x:v>SPIKE</x:v>
      </x:c>
      <x:c r="C1128" s="137" t="str">
        <x:v>PER ORDER (V/L)</x:v>
      </x:c>
      <x:c r="D1128" s="137" t="str">
        <x:v>7X10S</x:v>
      </x:c>
      <x:c r="E1128" s="137" t="str">
        <x:v>STITCHING</x:v>
      </x:c>
      <x:c r="F1128" s="137" t="str">
        <x:v>LYCRA BINDING||CM</x:v>
      </x:c>
      <x:c r="G1128" s="137" t="str">
        <x:v>Lycra Binding</x:v>
      </x:c>
      <x:c r="H1128" s="137" t="str">
        <x:v>CM</x:v>
      </x:c>
      <x:c r="I1128" s="175" t="n">
        <x:v>14.28571429</x:v>
      </x:c>
      <x:c r="J1128" s="176" t="str"/>
      <x:c r="K1128" s="177" t="str"/>
      <x:c r="L1128" s="178" t="str">
        <x:f>IF(J1128="","",J1128*(1+IF(K1128="",0,K1128)) )</x:f>
      </x:c>
      <x:c r="M1128" s="138" t="str"/>
      <x:c r="N1128" s="137" t="str">
        <x:v>Current model BOM seed</x:v>
      </x:c>
      <x:c r="O1128" s="137" t="str"/>
      <x:c r="P1128" s="137" t="str">
        <x:v>To Confirm</x:v>
      </x:c>
      <x:c r="Q1128" s="137" t="str"/>
    </x:row>
    <x:row r="1129">
      <x:c r="A1129" s="137" t="str">
        <x:v>BOM-01125</x:v>
      </x:c>
      <x:c r="B1129" s="137" t="str">
        <x:v>SPIKE</x:v>
      </x:c>
      <x:c r="C1129" s="137" t="str">
        <x:v>PER ORDER (V/L)</x:v>
      </x:c>
      <x:c r="D1129" s="137" t="str">
        <x:v>7X10S</x:v>
      </x:c>
      <x:c r="E1129" s="137" t="str">
        <x:v>STITCHING</x:v>
      </x:c>
      <x:c r="F1129" s="137" t="str">
        <x:v>BACK TAPE 14 MM||MTR</x:v>
      </x:c>
      <x:c r="G1129" s="137" t="str">
        <x:v>BACK TAPE 14 MM</x:v>
      </x:c>
      <x:c r="H1129" s="137" t="str">
        <x:v>MTR</x:v>
      </x:c>
      <x:c r="I1129" s="175" t="n">
        <x:v>0.05555556</x:v>
      </x:c>
      <x:c r="J1129" s="176" t="str"/>
      <x:c r="K1129" s="177" t="str"/>
      <x:c r="L1129" s="178" t="str">
        <x:f>IF(J1129="","",J1129*(1+IF(K1129="",0,K1129)) )</x:f>
      </x:c>
      <x:c r="M1129" s="138" t="str"/>
      <x:c r="N1129" s="137" t="str">
        <x:v>Current model BOM seed</x:v>
      </x:c>
      <x:c r="O1129" s="137" t="str"/>
      <x:c r="P1129" s="137" t="str">
        <x:v>To Confirm</x:v>
      </x:c>
      <x:c r="Q1129" s="137" t="str"/>
    </x:row>
    <x:row r="1130">
      <x:c r="A1130" s="137" t="str">
        <x:v>BOM-01126</x:v>
      </x:c>
      <x:c r="B1130" s="137" t="str">
        <x:v>SPIKE</x:v>
      </x:c>
      <x:c r="C1130" s="137" t="str">
        <x:v>PER ORDER (V/L)</x:v>
      </x:c>
      <x:c r="D1130" s="137" t="str">
        <x:v>11X1</x:v>
      </x:c>
      <x:c r="E1130" s="137" t="str">
        <x:v>CUTTING</x:v>
      </x:c>
      <x:c r="F1130" s="137" t="str">
        <x:v>MESH 58"||MTR</x:v>
      </x:c>
      <x:c r="G1130" s="137" t="str">
        <x:v>Mesh 58"</x:v>
      </x:c>
      <x:c r="H1130" s="137" t="str">
        <x:v>MTR</x:v>
      </x:c>
      <x:c r="I1130" s="175" t="n">
        <x:v>0.08571428</x:v>
      </x:c>
      <x:c r="J1130" s="176" t="str"/>
      <x:c r="K1130" s="177" t="str"/>
      <x:c r="L1130" s="178" t="str">
        <x:f>IF(J1130="","",J1130*(1+IF(K1130="",0,K1130)) )</x:f>
      </x:c>
      <x:c r="M1130" s="138" t="str"/>
      <x:c r="N1130" s="137" t="str">
        <x:v>Current model BOM seed</x:v>
      </x:c>
      <x:c r="O1130" s="137" t="str"/>
      <x:c r="P1130" s="137" t="str">
        <x:v>To Confirm</x:v>
      </x:c>
      <x:c r="Q1130" s="137" t="str"/>
    </x:row>
    <x:row r="1131">
      <x:c r="A1131" s="137" t="str">
        <x:v>BOM-01127</x:v>
      </x:c>
      <x:c r="B1131" s="137" t="str">
        <x:v>SPIKE</x:v>
      </x:c>
      <x:c r="C1131" s="137" t="str">
        <x:v>PER ORDER (V/L)</x:v>
      </x:c>
      <x:c r="D1131" s="137" t="str">
        <x:v>11X1</x:v>
      </x:c>
      <x:c r="E1131" s="137" t="str">
        <x:v>CUTTING</x:v>
      </x:c>
      <x:c r="F1131" s="137" t="str">
        <x:v>SKINFIT 60"||MTR</x:v>
      </x:c>
      <x:c r="G1131" s="137" t="str">
        <x:v>Skinfit 60"</x:v>
      </x:c>
      <x:c r="H1131" s="137" t="str">
        <x:v>MTR</x:v>
      </x:c>
      <x:c r="I1131" s="175" t="n">
        <x:v>0.05</x:v>
      </x:c>
      <x:c r="J1131" s="176" t="str"/>
      <x:c r="K1131" s="177" t="str"/>
      <x:c r="L1131" s="178" t="str">
        <x:f>IF(J1131="","",J1131*(1+IF(K1131="",0,K1131)) )</x:f>
      </x:c>
      <x:c r="M1131" s="138" t="str"/>
      <x:c r="N1131" s="137" t="str">
        <x:v>Current model BOM seed</x:v>
      </x:c>
      <x:c r="O1131" s="137" t="str"/>
      <x:c r="P1131" s="137" t="str">
        <x:v>To Confirm</x:v>
      </x:c>
      <x:c r="Q1131" s="137" t="str"/>
    </x:row>
    <x:row r="1132">
      <x:c r="A1132" s="137" t="str">
        <x:v>BOM-01128</x:v>
      </x:c>
      <x:c r="B1132" s="137" t="str">
        <x:v>SPIKE</x:v>
      </x:c>
      <x:c r="C1132" s="137" t="str">
        <x:v>PER ORDER (V/L)</x:v>
      </x:c>
      <x:c r="D1132" s="137" t="str">
        <x:v>11X1</x:v>
      </x:c>
      <x:c r="E1132" s="137" t="str">
        <x:v>CUTTING</x:v>
      </x:c>
      <x:c r="F1132" s="137" t="str">
        <x:v>REXINE 54"||MTR</x:v>
      </x:c>
      <x:c r="G1132" s="137" t="str">
        <x:v>Rexine 54"</x:v>
      </x:c>
      <x:c r="H1132" s="137" t="str">
        <x:v>MTR</x:v>
      </x:c>
      <x:c r="I1132" s="175" t="n">
        <x:v>0.04590666</x:v>
      </x:c>
      <x:c r="J1132" s="176" t="str"/>
      <x:c r="K1132" s="177" t="str"/>
      <x:c r="L1132" s="178" t="str">
        <x:f>IF(J1132="","",J1132*(1+IF(K1132="",0,K1132)) )</x:f>
      </x:c>
      <x:c r="M1132" s="138" t="str"/>
      <x:c r="N1132" s="137" t="str">
        <x:v>Current model BOM seed</x:v>
      </x:c>
      <x:c r="O1132" s="137" t="str"/>
      <x:c r="P1132" s="137" t="str">
        <x:v>To Confirm</x:v>
      </x:c>
      <x:c r="Q1132" s="137" t="str"/>
    </x:row>
    <x:row r="1133">
      <x:c r="A1133" s="137" t="str">
        <x:v>BOM-01129</x:v>
      </x:c>
      <x:c r="B1133" s="137" t="str">
        <x:v>SPIKE</x:v>
      </x:c>
      <x:c r="C1133" s="137" t="str">
        <x:v>PER ORDER (V/L)</x:v>
      </x:c>
      <x:c r="D1133" s="137" t="str">
        <x:v>11X1</x:v>
      </x:c>
      <x:c r="E1133" s="137" t="str">
        <x:v>CUTTING</x:v>
      </x:c>
      <x:c r="F1133" s="137" t="str">
        <x:v>SHEET 1.4MM||SHEET</x:v>
      </x:c>
      <x:c r="G1133" s="137" t="str">
        <x:v>Sheet 1.4Mm</x:v>
      </x:c>
      <x:c r="H1133" s="137" t="str">
        <x:v>SHEET</x:v>
      </x:c>
      <x:c r="I1133" s="175" t="n">
        <x:v>0.01010101</x:v>
      </x:c>
      <x:c r="J1133" s="176" t="str"/>
      <x:c r="K1133" s="177" t="str"/>
      <x:c r="L1133" s="178" t="str">
        <x:f>IF(J1133="","",J1133*(1+IF(K1133="",0,K1133)) )</x:f>
      </x:c>
      <x:c r="M1133" s="138" t="str"/>
      <x:c r="N1133" s="137" t="str">
        <x:v>Current model BOM seed</x:v>
      </x:c>
      <x:c r="O1133" s="137" t="str"/>
      <x:c r="P1133" s="137" t="str">
        <x:v>To Confirm</x:v>
      </x:c>
      <x:c r="Q1133" s="137" t="str"/>
    </x:row>
    <x:row r="1134">
      <x:c r="A1134" s="137" t="str">
        <x:v>BOM-01130</x:v>
      </x:c>
      <x:c r="B1134" s="137" t="str">
        <x:v>SPIKE</x:v>
      </x:c>
      <x:c r="C1134" s="137" t="str">
        <x:v>PER ORDER (V/L)</x:v>
      </x:c>
      <x:c r="D1134" s="137" t="str">
        <x:v>11X1</x:v>
      </x:c>
      <x:c r="E1134" s="137" t="str">
        <x:v>CUTTING</x:v>
      </x:c>
      <x:c r="F1134" s="137" t="str">
        <x:v>SHEET 20MM||SHEET</x:v>
      </x:c>
      <x:c r="G1134" s="137" t="str">
        <x:v>Sheet 20Mm</x:v>
      </x:c>
      <x:c r="H1134" s="137" t="str">
        <x:v>SHEET</x:v>
      </x:c>
      <x:c r="I1134" s="175" t="n">
        <x:v>0.00952381</x:v>
      </x:c>
      <x:c r="J1134" s="176" t="str"/>
      <x:c r="K1134" s="177" t="str"/>
      <x:c r="L1134" s="178" t="str">
        <x:f>IF(J1134="","",J1134*(1+IF(K1134="",0,K1134)) )</x:f>
      </x:c>
      <x:c r="M1134" s="138" t="str"/>
      <x:c r="N1134" s="137" t="str">
        <x:v>Current model BOM seed</x:v>
      </x:c>
      <x:c r="O1134" s="137" t="str"/>
      <x:c r="P1134" s="137" t="str">
        <x:v>To Confirm</x:v>
      </x:c>
      <x:c r="Q1134" s="137" t="str"/>
    </x:row>
    <x:row r="1135">
      <x:c r="A1135" s="137" t="str">
        <x:v>BOM-01131</x:v>
      </x:c>
      <x:c r="B1135" s="137" t="str">
        <x:v>SPIKE</x:v>
      </x:c>
      <x:c r="C1135" s="137" t="str">
        <x:v>PER ORDER (V/L)</x:v>
      </x:c>
      <x:c r="D1135" s="137" t="str">
        <x:v>11X1</x:v>
      </x:c>
      <x:c r="E1135" s="137" t="str">
        <x:v>CUTTING</x:v>
      </x:c>
      <x:c r="F1135" s="137" t="str">
        <x:v>SHEET 0.8MM||SHEET</x:v>
      </x:c>
      <x:c r="G1135" s="137" t="str">
        <x:v>Sheet 0.8Mm</x:v>
      </x:c>
      <x:c r="H1135" s="137" t="str">
        <x:v>SHEET</x:v>
      </x:c>
      <x:c r="I1135" s="175" t="n">
        <x:v>0.00833333</x:v>
      </x:c>
      <x:c r="J1135" s="176" t="str"/>
      <x:c r="K1135" s="177" t="str"/>
      <x:c r="L1135" s="178" t="str">
        <x:f>IF(J1135="","",J1135*(1+IF(K1135="",0,K1135)) )</x:f>
      </x:c>
      <x:c r="M1135" s="138" t="str"/>
      <x:c r="N1135" s="137" t="str">
        <x:v>Current model BOM seed</x:v>
      </x:c>
      <x:c r="O1135" s="137" t="str"/>
      <x:c r="P1135" s="137" t="str">
        <x:v>To Confirm</x:v>
      </x:c>
      <x:c r="Q1135" s="137" t="str"/>
    </x:row>
    <x:row r="1136">
      <x:c r="A1136" s="137" t="str">
        <x:v>BOM-01132</x:v>
      </x:c>
      <x:c r="B1136" s="137" t="str">
        <x:v>SPIKE</x:v>
      </x:c>
      <x:c r="C1136" s="137" t="str">
        <x:v>PER ORDER (V/L)</x:v>
      </x:c>
      <x:c r="D1136" s="137" t="str">
        <x:v>11X1</x:v>
      </x:c>
      <x:c r="E1136" s="137" t="str">
        <x:v>CUTTING</x:v>
      </x:c>
      <x:c r="F1136" s="137" t="str">
        <x:v>INSOLE||PAIR</x:v>
      </x:c>
      <x:c r="G1136" s="137" t="str">
        <x:v>INSOLE</x:v>
      </x:c>
      <x:c r="H1136" s="137" t="str">
        <x:v>PAIR</x:v>
      </x:c>
      <x:c r="I1136" s="175" t="n">
        <x:v>2</x:v>
      </x:c>
      <x:c r="J1136" s="176" t="str"/>
      <x:c r="K1136" s="177" t="str"/>
      <x:c r="L1136" s="178" t="str">
        <x:f>IF(J1136="","",J1136*(1+IF(K1136="",0,K1136)) )</x:f>
      </x:c>
      <x:c r="M1136" s="138" t="str"/>
      <x:c r="N1136" s="137" t="str">
        <x:v>Current model BOM seed</x:v>
      </x:c>
      <x:c r="O1136" s="137" t="str"/>
      <x:c r="P1136" s="137" t="str">
        <x:v>To Confirm</x:v>
      </x:c>
      <x:c r="Q1136" s="137" t="str"/>
    </x:row>
    <x:row r="1137">
      <x:c r="A1137" s="137" t="str">
        <x:v>BOM-01133</x:v>
      </x:c>
      <x:c r="B1137" s="137" t="str">
        <x:v>SPIKE</x:v>
      </x:c>
      <x:c r="C1137" s="137" t="str">
        <x:v>PER ORDER (V/L)</x:v>
      </x:c>
      <x:c r="D1137" s="137" t="str">
        <x:v>11X1</x:v>
      </x:c>
      <x:c r="E1137" s="137" t="str">
        <x:v>MOLDING</x:v>
      </x:c>
      <x:c r="F1137" s="137" t="str">
        <x:v>SOLE 1231 EVA||PAIR</x:v>
      </x:c>
      <x:c r="G1137" s="137" t="str">
        <x:v>Sole 1231 EVA</x:v>
      </x:c>
      <x:c r="H1137" s="137" t="str">
        <x:v>PAIR</x:v>
      </x:c>
      <x:c r="I1137" s="175" t="n">
        <x:v>2</x:v>
      </x:c>
      <x:c r="J1137" s="176" t="str"/>
      <x:c r="K1137" s="177" t="str"/>
      <x:c r="L1137" s="178" t="str">
        <x:f>IF(J1137="","",J1137*(1+IF(K1137="",0,K1137)) )</x:f>
      </x:c>
      <x:c r="M1137" s="138" t="str"/>
      <x:c r="N1137" s="137" t="str">
        <x:v>Current model BOM seed</x:v>
      </x:c>
      <x:c r="O1137" s="137" t="str"/>
      <x:c r="P1137" s="137" t="str">
        <x:v>To Confirm</x:v>
      </x:c>
      <x:c r="Q1137" s="137" t="str"/>
    </x:row>
    <x:row r="1138">
      <x:c r="A1138" s="137" t="str">
        <x:v>BOM-01134</x:v>
      </x:c>
      <x:c r="B1138" s="137" t="str">
        <x:v>SPIKE</x:v>
      </x:c>
      <x:c r="C1138" s="137" t="str">
        <x:v>PER ORDER (V/L)</x:v>
      </x:c>
      <x:c r="D1138" s="137" t="str">
        <x:v>11X1</x:v>
      </x:c>
      <x:c r="E1138" s="137" t="str">
        <x:v>PACKING</x:v>
      </x:c>
      <x:c r="F1138" s="137" t="str">
        <x:v>TISSUE PAPER||PCS</x:v>
      </x:c>
      <x:c r="G1138" s="137" t="str">
        <x:v>Tissue Paper</x:v>
      </x:c>
      <x:c r="H1138" s="137" t="str">
        <x:v>PCS</x:v>
      </x:c>
      <x:c r="I1138" s="175" t="n">
        <x:v>0.25</x:v>
      </x:c>
      <x:c r="J1138" s="176" t="str"/>
      <x:c r="K1138" s="177" t="str"/>
      <x:c r="L1138" s="178" t="str">
        <x:f>IF(J1138="","",J1138*(1+IF(K1138="",0,K1138)) )</x:f>
      </x:c>
      <x:c r="M1138" s="138" t="str"/>
      <x:c r="N1138" s="137" t="str">
        <x:v>Current model BOM seed</x:v>
      </x:c>
      <x:c r="O1138" s="137" t="str"/>
      <x:c r="P1138" s="137" t="str">
        <x:v>To Confirm</x:v>
      </x:c>
      <x:c r="Q1138" s="137" t="str"/>
    </x:row>
    <x:row r="1139">
      <x:c r="A1139" s="137" t="str">
        <x:v>BOM-01135</x:v>
      </x:c>
      <x:c r="B1139" s="137" t="str">
        <x:v>SPIKE</x:v>
      </x:c>
      <x:c r="C1139" s="137" t="str">
        <x:v>PER ORDER (V/L)</x:v>
      </x:c>
      <x:c r="D1139" s="137" t="str">
        <x:v>11X1</x:v>
      </x:c>
      <x:c r="E1139" s="137" t="str">
        <x:v>PACKING</x:v>
      </x:c>
      <x:c r="F1139" s="137" t="str">
        <x:v>SHOE SHINER||GRAM</x:v>
      </x:c>
      <x:c r="G1139" s="137" t="str">
        <x:v>Shoe Shiner</x:v>
      </x:c>
      <x:c r="H1139" s="137" t="str">
        <x:v>GRAM</x:v>
      </x:c>
      <x:c r="I1139" s="175" t="n">
        <x:v>0.06666667</x:v>
      </x:c>
      <x:c r="J1139" s="176" t="str"/>
      <x:c r="K1139" s="177" t="str"/>
      <x:c r="L1139" s="178" t="str">
        <x:f>IF(J1139="","",J1139*(1+IF(K1139="",0,K1139)) )</x:f>
      </x:c>
      <x:c r="M1139" s="138" t="str"/>
      <x:c r="N1139" s="137" t="str">
        <x:v>Current model BOM seed</x:v>
      </x:c>
      <x:c r="O1139" s="137" t="str"/>
      <x:c r="P1139" s="137" t="str">
        <x:v>To Confirm</x:v>
      </x:c>
      <x:c r="Q1139" s="137" t="str"/>
    </x:row>
    <x:row r="1140">
      <x:c r="A1140" s="137" t="str">
        <x:v>BOM-01136</x:v>
      </x:c>
      <x:c r="B1140" s="137" t="str">
        <x:v>SPIKE</x:v>
      </x:c>
      <x:c r="C1140" s="137" t="str">
        <x:v>PER ORDER (V/L)</x:v>
      </x:c>
      <x:c r="D1140" s="137" t="str">
        <x:v>11X1</x:v>
      </x:c>
      <x:c r="E1140" s="137" t="str">
        <x:v>PACKING</x:v>
      </x:c>
      <x:c r="F1140" s="137" t="str">
        <x:v>EMYLE||GRAM</x:v>
      </x:c>
      <x:c r="G1140" s="137" t="str">
        <x:v>EMYLE</x:v>
      </x:c>
      <x:c r="H1140" s="137" t="str">
        <x:v>GRAM</x:v>
      </x:c>
      <x:c r="I1140" s="175" t="n">
        <x:v>0.07142857</x:v>
      </x:c>
      <x:c r="J1140" s="176" t="str"/>
      <x:c r="K1140" s="177" t="str"/>
      <x:c r="L1140" s="178" t="str">
        <x:f>IF(J1140="","",J1140*(1+IF(K1140="",0,K1140)) )</x:f>
      </x:c>
      <x:c r="M1140" s="138" t="str"/>
      <x:c r="N1140" s="137" t="str">
        <x:v>Current model BOM seed</x:v>
      </x:c>
      <x:c r="O1140" s="137" t="str"/>
      <x:c r="P1140" s="137" t="str">
        <x:v>To Confirm</x:v>
      </x:c>
      <x:c r="Q1140" s="137" t="str"/>
    </x:row>
    <x:row r="1141">
      <x:c r="A1141" s="137" t="str">
        <x:v>BOM-01137</x:v>
      </x:c>
      <x:c r="B1141" s="137" t="str">
        <x:v>SPIKE</x:v>
      </x:c>
      <x:c r="C1141" s="137" t="str">
        <x:v>PER ORDER (V/L)</x:v>
      </x:c>
      <x:c r="D1141" s="137" t="str">
        <x:v>11X1</x:v>
      </x:c>
      <x:c r="E1141" s="137" t="str">
        <x:v>PACKING</x:v>
      </x:c>
      <x:c r="F1141" s="137" t="str">
        <x:v>TAG PIN||PCS</x:v>
      </x:c>
      <x:c r="G1141" s="137" t="str">
        <x:v>Tag Pin</x:v>
      </x:c>
      <x:c r="H1141" s="137" t="str">
        <x:v>PCS</x:v>
      </x:c>
      <x:c r="I1141" s="175" t="n">
        <x:v>1</x:v>
      </x:c>
      <x:c r="J1141" s="176" t="str"/>
      <x:c r="K1141" s="177" t="str"/>
      <x:c r="L1141" s="178" t="str">
        <x:f>IF(J1141="","",J1141*(1+IF(K1141="",0,K1141)) )</x:f>
      </x:c>
      <x:c r="M1141" s="138" t="str"/>
      <x:c r="N1141" s="137" t="str">
        <x:v>Current model BOM seed</x:v>
      </x:c>
      <x:c r="O1141" s="137" t="str"/>
      <x:c r="P1141" s="137" t="str">
        <x:v>To Confirm</x:v>
      </x:c>
      <x:c r="Q1141" s="137" t="str"/>
    </x:row>
    <x:row r="1142">
      <x:c r="A1142" s="137" t="str">
        <x:v>BOM-01138</x:v>
      </x:c>
      <x:c r="B1142" s="137" t="str">
        <x:v>SPIKE</x:v>
      </x:c>
      <x:c r="C1142" s="137" t="str">
        <x:v>PER ORDER (V/L)</x:v>
      </x:c>
      <x:c r="D1142" s="137" t="str">
        <x:v>11X1</x:v>
      </x:c>
      <x:c r="E1142" s="137" t="str">
        <x:v>PACKING</x:v>
      </x:c>
      <x:c r="F1142" s="137" t="str">
        <x:v>TAG CARD||PCS</x:v>
      </x:c>
      <x:c r="G1142" s="137" t="str">
        <x:v>Tag Card</x:v>
      </x:c>
      <x:c r="H1142" s="137" t="str">
        <x:v>PCS</x:v>
      </x:c>
      <x:c r="I1142" s="175" t="n">
        <x:v>1</x:v>
      </x:c>
      <x:c r="J1142" s="176" t="str"/>
      <x:c r="K1142" s="177" t="str"/>
      <x:c r="L1142" s="178" t="str">
        <x:f>IF(J1142="","",J1142*(1+IF(K1142="",0,K1142)) )</x:f>
      </x:c>
      <x:c r="M1142" s="138" t="str"/>
      <x:c r="N1142" s="137" t="str">
        <x:v>Current model BOM seed</x:v>
      </x:c>
      <x:c r="O1142" s="137" t="str"/>
      <x:c r="P1142" s="137" t="str">
        <x:v>To Confirm</x:v>
      </x:c>
      <x:c r="Q1142" s="137" t="str"/>
    </x:row>
    <x:row r="1143">
      <x:c r="A1143" s="137" t="str">
        <x:v>BOM-01139</x:v>
      </x:c>
      <x:c r="B1143" s="137" t="str">
        <x:v>SPIKE</x:v>
      </x:c>
      <x:c r="C1143" s="137" t="str">
        <x:v>PER ORDER (V/L)</x:v>
      </x:c>
      <x:c r="D1143" s="137" t="str">
        <x:v>11X1</x:v>
      </x:c>
      <x:c r="E1143" s="137" t="str">
        <x:v>PACKING</x:v>
      </x:c>
      <x:c r="F1143" s="137" t="str">
        <x:v>WRAPING PAPER||PCS</x:v>
      </x:c>
      <x:c r="G1143" s="137" t="str">
        <x:v>Wraping Paper</x:v>
      </x:c>
      <x:c r="H1143" s="137" t="str">
        <x:v>PCS</x:v>
      </x:c>
      <x:c r="I1143" s="175" t="n">
        <x:v>1</x:v>
      </x:c>
      <x:c r="J1143" s="176" t="str"/>
      <x:c r="K1143" s="177" t="str"/>
      <x:c r="L1143" s="178" t="str">
        <x:f>IF(J1143="","",J1143*(1+IF(K1143="",0,K1143)) )</x:f>
      </x:c>
      <x:c r="M1143" s="138" t="str"/>
      <x:c r="N1143" s="137" t="str">
        <x:v>Current model BOM seed</x:v>
      </x:c>
      <x:c r="O1143" s="137" t="str"/>
      <x:c r="P1143" s="137" t="str">
        <x:v>To Confirm</x:v>
      </x:c>
      <x:c r="Q1143" s="137" t="str"/>
    </x:row>
    <x:row r="1144">
      <x:c r="A1144" s="137" t="str">
        <x:v>BOM-01140</x:v>
      </x:c>
      <x:c r="B1144" s="137" t="str">
        <x:v>SPIKE</x:v>
      </x:c>
      <x:c r="C1144" s="137" t="str">
        <x:v>PER ORDER (V/L)</x:v>
      </x:c>
      <x:c r="D1144" s="137" t="str">
        <x:v>11X1</x:v>
      </x:c>
      <x:c r="E1144" s="137" t="str">
        <x:v>PACKING</x:v>
      </x:c>
      <x:c r="F1144" s="137" t="str">
        <x:v>INNER||PCS</x:v>
      </x:c>
      <x:c r="G1144" s="137" t="str">
        <x:v>INNER</x:v>
      </x:c>
      <x:c r="H1144" s="137" t="str">
        <x:v>PCS</x:v>
      </x:c>
      <x:c r="I1144" s="175" t="n">
        <x:v>1</x:v>
      </x:c>
      <x:c r="J1144" s="176" t="str"/>
      <x:c r="K1144" s="177" t="str"/>
      <x:c r="L1144" s="178" t="str">
        <x:f>IF(J1144="","",J1144*(1+IF(K1144="",0,K1144)) )</x:f>
      </x:c>
      <x:c r="M1144" s="138" t="str"/>
      <x:c r="N1144" s="137" t="str">
        <x:v>Current model BOM seed</x:v>
      </x:c>
      <x:c r="O1144" s="137" t="str"/>
      <x:c r="P1144" s="137" t="str">
        <x:v>To Confirm</x:v>
      </x:c>
      <x:c r="Q1144" s="137" t="str"/>
    </x:row>
    <x:row r="1145">
      <x:c r="A1145" s="137" t="str">
        <x:v>BOM-01141</x:v>
      </x:c>
      <x:c r="B1145" s="137" t="str">
        <x:v>SPIKE</x:v>
      </x:c>
      <x:c r="C1145" s="137" t="str">
        <x:v>PER ORDER (V/L)</x:v>
      </x:c>
      <x:c r="D1145" s="137" t="str">
        <x:v>11X1</x:v>
      </x:c>
      <x:c r="E1145" s="137" t="str">
        <x:v>PACKING</x:v>
      </x:c>
      <x:c r="F1145" s="137" t="str">
        <x:v>BARCODE STICKER||PCS</x:v>
      </x:c>
      <x:c r="G1145" s="137" t="str">
        <x:v>Barcode Sticker</x:v>
      </x:c>
      <x:c r="H1145" s="137" t="str">
        <x:v>PCS</x:v>
      </x:c>
      <x:c r="I1145" s="175" t="n">
        <x:v>1</x:v>
      </x:c>
      <x:c r="J1145" s="176" t="str"/>
      <x:c r="K1145" s="177" t="str"/>
      <x:c r="L1145" s="178" t="str">
        <x:f>IF(J1145="","",J1145*(1+IF(K1145="",0,K1145)) )</x:f>
      </x:c>
      <x:c r="M1145" s="138" t="str"/>
      <x:c r="N1145" s="137" t="str">
        <x:v>Current model BOM seed</x:v>
      </x:c>
      <x:c r="O1145" s="137" t="str"/>
      <x:c r="P1145" s="137" t="str">
        <x:v>To Confirm</x:v>
      </x:c>
      <x:c r="Q1145" s="137" t="str"/>
    </x:row>
    <x:row r="1146">
      <x:c r="A1146" s="137" t="str">
        <x:v>BOM-01142</x:v>
      </x:c>
      <x:c r="B1146" s="137" t="str">
        <x:v>SPIKE</x:v>
      </x:c>
      <x:c r="C1146" s="137" t="str">
        <x:v>PER ORDER (V/L)</x:v>
      </x:c>
      <x:c r="D1146" s="137" t="str">
        <x:v>11X1</x:v>
      </x:c>
      <x:c r="E1146" s="137" t="str">
        <x:v>PACKING</x:v>
      </x:c>
      <x:c r="F1146" s="137" t="str">
        <x:v>CTN TAPE (1 CTN)||MTR</x:v>
      </x:c>
      <x:c r="G1146" s="137" t="str">
        <x:v>Ctn Tape (1 Ctn)</x:v>
      </x:c>
      <x:c r="H1146" s="137" t="str">
        <x:v>MTR</x:v>
      </x:c>
      <x:c r="I1146" s="175" t="n">
        <x:v>0.5</x:v>
      </x:c>
      <x:c r="J1146" s="176" t="str"/>
      <x:c r="K1146" s="177" t="str"/>
      <x:c r="L1146" s="178" t="str">
        <x:f>IF(J1146="","",J1146*(1+IF(K1146="",0,K1146)) )</x:f>
      </x:c>
      <x:c r="M1146" s="138" t="str"/>
      <x:c r="N1146" s="137" t="str">
        <x:v>Current model BOM seed</x:v>
      </x:c>
      <x:c r="O1146" s="137" t="str"/>
      <x:c r="P1146" s="137" t="str">
        <x:v>To Confirm</x:v>
      </x:c>
      <x:c r="Q1146" s="137" t="str"/>
    </x:row>
    <x:row r="1147">
      <x:c r="A1147" s="137" t="str">
        <x:v>BOM-01143</x:v>
      </x:c>
      <x:c r="B1147" s="137" t="str">
        <x:v>SPIKE</x:v>
      </x:c>
      <x:c r="C1147" s="137" t="str">
        <x:v>PER ORDER (V/L)</x:v>
      </x:c>
      <x:c r="D1147" s="137" t="str">
        <x:v>11X1</x:v>
      </x:c>
      <x:c r="E1147" s="137" t="str">
        <x:v>PACKING</x:v>
      </x:c>
      <x:c r="F1147" s="137" t="str">
        <x:v>STRAPING ROLL (1CTN)||MTR</x:v>
      </x:c>
      <x:c r="G1147" s="137" t="str">
        <x:v>Straping Roll (1Ctn)</x:v>
      </x:c>
      <x:c r="H1147" s="137" t="str">
        <x:v>MTR</x:v>
      </x:c>
      <x:c r="I1147" s="175" t="n">
        <x:v>0.25</x:v>
      </x:c>
      <x:c r="J1147" s="176" t="str"/>
      <x:c r="K1147" s="177" t="str"/>
      <x:c r="L1147" s="178" t="str">
        <x:f>IF(J1147="","",J1147*(1+IF(K1147="",0,K1147)) )</x:f>
      </x:c>
      <x:c r="M1147" s="138" t="str"/>
      <x:c r="N1147" s="137" t="str">
        <x:v>Current model BOM seed</x:v>
      </x:c>
      <x:c r="O1147" s="137" t="str"/>
      <x:c r="P1147" s="137" t="str">
        <x:v>To Confirm</x:v>
      </x:c>
      <x:c r="Q1147" s="137" t="str"/>
    </x:row>
    <x:row r="1148">
      <x:c r="A1148" s="137" t="str">
        <x:v>BOM-01144</x:v>
      </x:c>
      <x:c r="B1148" s="137" t="str">
        <x:v>SPIKE</x:v>
      </x:c>
      <x:c r="C1148" s="137" t="str">
        <x:v>PER ORDER (V/L)</x:v>
      </x:c>
      <x:c r="D1148" s="137" t="str">
        <x:v>11X1</x:v>
      </x:c>
      <x:c r="E1148" s="137" t="str">
        <x:v>STITCHING</x:v>
      </x:c>
      <x:c r="F1148" s="137" t="str">
        <x:v>THREAD 3 PLY||MTR</x:v>
      </x:c>
      <x:c r="G1148" s="137" t="str">
        <x:v>Thread 3 Ply</x:v>
      </x:c>
      <x:c r="H1148" s="137" t="str">
        <x:v>MTR</x:v>
      </x:c>
      <x:c r="I1148" s="175" t="n">
        <x:v>37.5</x:v>
      </x:c>
      <x:c r="J1148" s="176" t="str"/>
      <x:c r="K1148" s="177" t="str"/>
      <x:c r="L1148" s="178" t="str">
        <x:f>IF(J1148="","",J1148*(1+IF(K1148="",0,K1148)) )</x:f>
      </x:c>
      <x:c r="M1148" s="138" t="str"/>
      <x:c r="N1148" s="137" t="str">
        <x:v>Current model BOM seed</x:v>
      </x:c>
      <x:c r="O1148" s="137" t="str"/>
      <x:c r="P1148" s="137" t="str">
        <x:v>To Confirm</x:v>
      </x:c>
      <x:c r="Q1148" s="137" t="str"/>
    </x:row>
    <x:row r="1149">
      <x:c r="A1149" s="137" t="str">
        <x:v>BOM-01145</x:v>
      </x:c>
      <x:c r="B1149" s="137" t="str">
        <x:v>SPIKE</x:v>
      </x:c>
      <x:c r="C1149" s="137" t="str">
        <x:v>PER ORDER (V/L)</x:v>
      </x:c>
      <x:c r="D1149" s="137" t="str">
        <x:v>11X1</x:v>
      </x:c>
      <x:c r="E1149" s="137" t="str">
        <x:v>STITCHING</x:v>
      </x:c>
      <x:c r="F1149" s="137" t="str">
        <x:v>SIZE LABEL||PCS</x:v>
      </x:c>
      <x:c r="G1149" s="137" t="str">
        <x:v>SIZE LABEL</x:v>
      </x:c>
      <x:c r="H1149" s="137" t="str">
        <x:v>PCS</x:v>
      </x:c>
      <x:c r="I1149" s="175" t="n">
        <x:v>0.5</x:v>
      </x:c>
      <x:c r="J1149" s="176" t="str"/>
      <x:c r="K1149" s="177" t="str"/>
      <x:c r="L1149" s="178" t="str">
        <x:f>IF(J1149="","",J1149*(1+IF(K1149="",0,K1149)) )</x:f>
      </x:c>
      <x:c r="M1149" s="138" t="str"/>
      <x:c r="N1149" s="137" t="str">
        <x:v>Current model BOM seed</x:v>
      </x:c>
      <x:c r="O1149" s="137" t="str"/>
      <x:c r="P1149" s="137" t="str">
        <x:v>To Confirm</x:v>
      </x:c>
      <x:c r="Q1149" s="137" t="str"/>
    </x:row>
    <x:row r="1150">
      <x:c r="A1150" s="137" t="str">
        <x:v>BOM-01146</x:v>
      </x:c>
      <x:c r="B1150" s="137" t="str">
        <x:v>SPIKE</x:v>
      </x:c>
      <x:c r="C1150" s="137" t="str">
        <x:v>PER ORDER (V/L)</x:v>
      </x:c>
      <x:c r="D1150" s="137" t="str">
        <x:v>11X1</x:v>
      </x:c>
      <x:c r="E1150" s="137" t="str">
        <x:v>STITCHING</x:v>
      </x:c>
      <x:c r="F1150" s="137" t="str">
        <x:v>PF-48 BLACK||PCS</x:v>
      </x:c>
      <x:c r="G1150" s="137" t="str">
        <x:v>Pf-48 Black</x:v>
      </x:c>
      <x:c r="H1150" s="137" t="str">
        <x:v>PCS</x:v>
      </x:c>
      <x:c r="I1150" s="175" t="n">
        <x:v>0.25</x:v>
      </x:c>
      <x:c r="J1150" s="176" t="str"/>
      <x:c r="K1150" s="177" t="str"/>
      <x:c r="L1150" s="178" t="str">
        <x:f>IF(J1150="","",J1150*(1+IF(K1150="",0,K1150)) )</x:f>
      </x:c>
      <x:c r="M1150" s="138" t="str"/>
      <x:c r="N1150" s="137" t="str">
        <x:v>Current model BOM seed</x:v>
      </x:c>
      <x:c r="O1150" s="137" t="str"/>
      <x:c r="P1150" s="137" t="str">
        <x:v>To Confirm</x:v>
      </x:c>
      <x:c r="Q1150" s="137" t="str"/>
    </x:row>
    <x:row r="1151">
      <x:c r="A1151" s="137" t="str">
        <x:v>BOM-01147</x:v>
      </x:c>
      <x:c r="B1151" s="137" t="str">
        <x:v>SPIKE</x:v>
      </x:c>
      <x:c r="C1151" s="137" t="str">
        <x:v>PER ORDER (V/L)</x:v>
      </x:c>
      <x:c r="D1151" s="137" t="str">
        <x:v>11X1</x:v>
      </x:c>
      <x:c r="E1151" s="137" t="str">
        <x:v>STITCHING</x:v>
      </x:c>
      <x:c r="F1151" s="137" t="str">
        <x:v>PF-3 BLACK||PCS</x:v>
      </x:c>
      <x:c r="G1151" s="137" t="str">
        <x:v>Pf-3 Black</x:v>
      </x:c>
      <x:c r="H1151" s="137" t="str">
        <x:v>PCS</x:v>
      </x:c>
      <x:c r="I1151" s="175" t="n">
        <x:v>0</x:v>
      </x:c>
      <x:c r="J1151" s="176" t="str"/>
      <x:c r="K1151" s="177" t="str"/>
      <x:c r="L1151" s="178" t="str">
        <x:f>IF(J1151="","",J1151*(1+IF(K1151="",0,K1151)) )</x:f>
      </x:c>
      <x:c r="M1151" s="138" t="str"/>
      <x:c r="N1151" s="137" t="str">
        <x:v>Current model BOM seed</x:v>
      </x:c>
      <x:c r="O1151" s="137" t="str"/>
      <x:c r="P1151" s="137" t="str">
        <x:v>To Confirm</x:v>
      </x:c>
      <x:c r="Q1151" s="137" t="str"/>
    </x:row>
    <x:row r="1152">
      <x:c r="A1152" s="137" t="str">
        <x:v>BOM-01148</x:v>
      </x:c>
      <x:c r="B1152" s="137" t="str">
        <x:v>SPIKE</x:v>
      </x:c>
      <x:c r="C1152" s="137" t="str">
        <x:v>PER ORDER (V/L)</x:v>
      </x:c>
      <x:c r="D1152" s="137" t="str">
        <x:v>11X1</x:v>
      </x:c>
      <x:c r="E1152" s="137" t="str">
        <x:v>STITCHING</x:v>
      </x:c>
      <x:c r="F1152" s="137" t="str">
        <x:v>VELCRO 20 MM HOOK||MTR</x:v>
      </x:c>
      <x:c r="G1152" s="137" t="str">
        <x:v>VELCRO 20 MM HOOK</x:v>
      </x:c>
      <x:c r="H1152" s="137" t="str">
        <x:v>MTR</x:v>
      </x:c>
      <x:c r="I1152" s="175" t="n">
        <x:v>0.03448276</x:v>
      </x:c>
      <x:c r="J1152" s="176" t="str"/>
      <x:c r="K1152" s="177" t="str"/>
      <x:c r="L1152" s="178" t="str">
        <x:f>IF(J1152="","",J1152*(1+IF(K1152="",0,K1152)) )</x:f>
      </x:c>
      <x:c r="M1152" s="138" t="str"/>
      <x:c r="N1152" s="137" t="str">
        <x:v>Current model BOM seed</x:v>
      </x:c>
      <x:c r="O1152" s="137" t="str"/>
      <x:c r="P1152" s="137" t="str">
        <x:v>To Confirm</x:v>
      </x:c>
      <x:c r="Q1152" s="137" t="str"/>
    </x:row>
    <x:row r="1153">
      <x:c r="A1153" s="137" t="str">
        <x:v>BOM-01149</x:v>
      </x:c>
      <x:c r="B1153" s="137" t="str">
        <x:v>SPIKE</x:v>
      </x:c>
      <x:c r="C1153" s="137" t="str">
        <x:v>PER ORDER (V/L)</x:v>
      </x:c>
      <x:c r="D1153" s="137" t="str">
        <x:v>11X1</x:v>
      </x:c>
      <x:c r="E1153" s="137" t="str">
        <x:v>STITCHING</x:v>
      </x:c>
      <x:c r="F1153" s="137" t="str">
        <x:v>VELCRO 20 MM LOOP||MTR</x:v>
      </x:c>
      <x:c r="G1153" s="137" t="str">
        <x:v>VELCRO 20 MM LOOP</x:v>
      </x:c>
      <x:c r="H1153" s="137" t="str">
        <x:v>MTR</x:v>
      </x:c>
      <x:c r="I1153" s="175" t="n">
        <x:v>0.03448276</x:v>
      </x:c>
      <x:c r="J1153" s="176" t="str"/>
      <x:c r="K1153" s="177" t="str"/>
      <x:c r="L1153" s="178" t="str">
        <x:f>IF(J1153="","",J1153*(1+IF(K1153="",0,K1153)) )</x:f>
      </x:c>
      <x:c r="M1153" s="138" t="str"/>
      <x:c r="N1153" s="137" t="str">
        <x:v>Current model BOM seed</x:v>
      </x:c>
      <x:c r="O1153" s="137" t="str"/>
      <x:c r="P1153" s="137" t="str">
        <x:v>To Confirm</x:v>
      </x:c>
      <x:c r="Q1153" s="137" t="str"/>
    </x:row>
    <x:row r="1154">
      <x:c r="A1154" s="137" t="str">
        <x:v>BOM-01150</x:v>
      </x:c>
      <x:c r="B1154" s="137" t="str">
        <x:v>SPIKE</x:v>
      </x:c>
      <x:c r="C1154" s="137" t="str">
        <x:v>PER ORDER (V/L)</x:v>
      </x:c>
      <x:c r="D1154" s="137" t="str">
        <x:v>11X1</x:v>
      </x:c>
      <x:c r="E1154" s="137" t="str">
        <x:v>STITCHING</x:v>
      </x:c>
      <x:c r="F1154" s="137" t="str">
        <x:v>VELCRO 25 MM HOOK||MTR</x:v>
      </x:c>
      <x:c r="G1154" s="137" t="str">
        <x:v>VELCRO 25 MM HOOK</x:v>
      </x:c>
      <x:c r="H1154" s="137" t="str">
        <x:v>MTR</x:v>
      </x:c>
      <x:c r="I1154" s="175" t="n">
        <x:v>0</x:v>
      </x:c>
      <x:c r="J1154" s="176" t="str"/>
      <x:c r="K1154" s="177" t="str"/>
      <x:c r="L1154" s="178" t="str">
        <x:f>IF(J1154="","",J1154*(1+IF(K1154="",0,K1154)) )</x:f>
      </x:c>
      <x:c r="M1154" s="138" t="str"/>
      <x:c r="N1154" s="137" t="str">
        <x:v>Current model BOM seed</x:v>
      </x:c>
      <x:c r="O1154" s="137" t="str"/>
      <x:c r="P1154" s="137" t="str">
        <x:v>To Confirm</x:v>
      </x:c>
      <x:c r="Q1154" s="137" t="str"/>
    </x:row>
    <x:row r="1155">
      <x:c r="A1155" s="137" t="str">
        <x:v>BOM-01151</x:v>
      </x:c>
      <x:c r="B1155" s="137" t="str">
        <x:v>SPIKE</x:v>
      </x:c>
      <x:c r="C1155" s="137" t="str">
        <x:v>PER ORDER (V/L)</x:v>
      </x:c>
      <x:c r="D1155" s="137" t="str">
        <x:v>11X1</x:v>
      </x:c>
      <x:c r="E1155" s="137" t="str">
        <x:v>STITCHING</x:v>
      </x:c>
      <x:c r="F1155" s="137" t="str">
        <x:v>VELCRO 25 MM LOOP||MTR</x:v>
      </x:c>
      <x:c r="G1155" s="137" t="str">
        <x:v>VELCRO 25 MM LOOP</x:v>
      </x:c>
      <x:c r="H1155" s="137" t="str">
        <x:v>MTR</x:v>
      </x:c>
      <x:c r="I1155" s="175" t="n">
        <x:v>0</x:v>
      </x:c>
      <x:c r="J1155" s="176" t="str"/>
      <x:c r="K1155" s="177" t="str"/>
      <x:c r="L1155" s="178" t="str">
        <x:f>IF(J1155="","",J1155*(1+IF(K1155="",0,K1155)) )</x:f>
      </x:c>
      <x:c r="M1155" s="138" t="str"/>
      <x:c r="N1155" s="137" t="str">
        <x:v>Current model BOM seed</x:v>
      </x:c>
      <x:c r="O1155" s="137" t="str"/>
      <x:c r="P1155" s="137" t="str">
        <x:v>To Confirm</x:v>
      </x:c>
      <x:c r="Q1155" s="137" t="str"/>
    </x:row>
    <x:row r="1156">
      <x:c r="A1156" s="137" t="str">
        <x:v>BOM-01152</x:v>
      </x:c>
      <x:c r="B1156" s="137" t="str">
        <x:v>SPIKE</x:v>
      </x:c>
      <x:c r="C1156" s="137" t="str">
        <x:v>PER ORDER (V/L)</x:v>
      </x:c>
      <x:c r="D1156" s="137" t="str">
        <x:v>11X1</x:v>
      </x:c>
      <x:c r="E1156" s="137" t="str">
        <x:v>STITCHING</x:v>
      </x:c>
      <x:c r="F1156" s="137" t="str">
        <x:v>LYCRA BINDING||CM</x:v>
      </x:c>
      <x:c r="G1156" s="137" t="str">
        <x:v>Lycra Binding</x:v>
      </x:c>
      <x:c r="H1156" s="137" t="str">
        <x:v>CM</x:v>
      </x:c>
      <x:c r="I1156" s="175" t="n">
        <x:v>14.28571429</x:v>
      </x:c>
      <x:c r="J1156" s="176" t="str"/>
      <x:c r="K1156" s="177" t="str"/>
      <x:c r="L1156" s="178" t="str">
        <x:f>IF(J1156="","",J1156*(1+IF(K1156="",0,K1156)) )</x:f>
      </x:c>
      <x:c r="M1156" s="138" t="str"/>
      <x:c r="N1156" s="137" t="str">
        <x:v>Current model BOM seed</x:v>
      </x:c>
      <x:c r="O1156" s="137" t="str"/>
      <x:c r="P1156" s="137" t="str">
        <x:v>To Confirm</x:v>
      </x:c>
      <x:c r="Q1156" s="137" t="str"/>
    </x:row>
    <x:row r="1157">
      <x:c r="A1157" s="137" t="str">
        <x:v>BOM-01153</x:v>
      </x:c>
      <x:c r="B1157" s="137" t="str">
        <x:v>SPIKE</x:v>
      </x:c>
      <x:c r="C1157" s="137" t="str">
        <x:v>PER ORDER (V/L)</x:v>
      </x:c>
      <x:c r="D1157" s="137" t="str">
        <x:v>11X1</x:v>
      </x:c>
      <x:c r="E1157" s="137" t="str">
        <x:v>STITCHING</x:v>
      </x:c>
      <x:c r="F1157" s="137" t="str">
        <x:v>BACK TAPE 14 MM||MTR</x:v>
      </x:c>
      <x:c r="G1157" s="137" t="str">
        <x:v>BACK TAPE 14 MM</x:v>
      </x:c>
      <x:c r="H1157" s="137" t="str">
        <x:v>MTR</x:v>
      </x:c>
      <x:c r="I1157" s="175" t="n">
        <x:v>0.05263158</x:v>
      </x:c>
      <x:c r="J1157" s="176" t="str"/>
      <x:c r="K1157" s="177" t="str"/>
      <x:c r="L1157" s="178" t="str">
        <x:f>IF(J1157="","",J1157*(1+IF(K1157="",0,K1157)) )</x:f>
      </x:c>
      <x:c r="M1157" s="138" t="str"/>
      <x:c r="N1157" s="137" t="str">
        <x:v>Current model BOM seed</x:v>
      </x:c>
      <x:c r="O1157" s="137" t="str"/>
      <x:c r="P1157" s="137" t="str">
        <x:v>To Confirm</x:v>
      </x:c>
      <x:c r="Q1157" s="137" t="str"/>
    </x:row>
    <x:row r="1158">
      <x:c r="A1158" s="137" t="str">
        <x:v>BOM-01154</x:v>
      </x:c>
      <x:c r="B1158" s="137" t="str">
        <x:v>SPIKE</x:v>
      </x:c>
      <x:c r="C1158" s="137" t="str">
        <x:v>PER ORDER (V/L)</x:v>
      </x:c>
      <x:c r="D1158" s="137" t="str">
        <x:v>2X5</x:v>
      </x:c>
      <x:c r="E1158" s="137" t="str">
        <x:v>CUTTING</x:v>
      </x:c>
      <x:c r="F1158" s="137" t="str">
        <x:v>MESH 58"||MTR</x:v>
      </x:c>
      <x:c r="G1158" s="137" t="str">
        <x:v>Mesh 58"</x:v>
      </x:c>
      <x:c r="H1158" s="137" t="str">
        <x:v>MTR</x:v>
      </x:c>
      <x:c r="I1158" s="175" t="n">
        <x:v>0.10106939</x:v>
      </x:c>
      <x:c r="J1158" s="176" t="str"/>
      <x:c r="K1158" s="177" t="str"/>
      <x:c r="L1158" s="178" t="str">
        <x:f>IF(J1158="","",J1158*(1+IF(K1158="",0,K1158)) )</x:f>
      </x:c>
      <x:c r="M1158" s="138" t="str"/>
      <x:c r="N1158" s="137" t="str">
        <x:v>Current model BOM seed</x:v>
      </x:c>
      <x:c r="O1158" s="137" t="str"/>
      <x:c r="P1158" s="137" t="str">
        <x:v>To Confirm</x:v>
      </x:c>
      <x:c r="Q1158" s="137" t="str"/>
    </x:row>
    <x:row r="1159">
      <x:c r="A1159" s="137" t="str">
        <x:v>BOM-01155</x:v>
      </x:c>
      <x:c r="B1159" s="137" t="str">
        <x:v>SPIKE</x:v>
      </x:c>
      <x:c r="C1159" s="137" t="str">
        <x:v>PER ORDER (V/L)</x:v>
      </x:c>
      <x:c r="D1159" s="137" t="str">
        <x:v>2X5</x:v>
      </x:c>
      <x:c r="E1159" s="137" t="str">
        <x:v>CUTTING</x:v>
      </x:c>
      <x:c r="F1159" s="137" t="str">
        <x:v>SKINFIT 60"||MTR</x:v>
      </x:c>
      <x:c r="G1159" s="137" t="str">
        <x:v>Skinfit 60"</x:v>
      </x:c>
      <x:c r="H1159" s="137" t="str">
        <x:v>MTR</x:v>
      </x:c>
      <x:c r="I1159" s="175" t="n">
        <x:v>0.06051404</x:v>
      </x:c>
      <x:c r="J1159" s="176" t="str"/>
      <x:c r="K1159" s="177" t="str"/>
      <x:c r="L1159" s="178" t="str">
        <x:f>IF(J1159="","",J1159*(1+IF(K1159="",0,K1159)) )</x:f>
      </x:c>
      <x:c r="M1159" s="138" t="str"/>
      <x:c r="N1159" s="137" t="str">
        <x:v>Current model BOM seed</x:v>
      </x:c>
      <x:c r="O1159" s="137" t="str"/>
      <x:c r="P1159" s="137" t="str">
        <x:v>To Confirm</x:v>
      </x:c>
      <x:c r="Q1159" s="137" t="str"/>
    </x:row>
    <x:row r="1160">
      <x:c r="A1160" s="137" t="str">
        <x:v>BOM-01156</x:v>
      </x:c>
      <x:c r="B1160" s="137" t="str">
        <x:v>SPIKE</x:v>
      </x:c>
      <x:c r="C1160" s="137" t="str">
        <x:v>PER ORDER (V/L)</x:v>
      </x:c>
      <x:c r="D1160" s="137" t="str">
        <x:v>2X5</x:v>
      </x:c>
      <x:c r="E1160" s="137" t="str">
        <x:v>CUTTING</x:v>
      </x:c>
      <x:c r="F1160" s="137" t="str">
        <x:v>REXINE 54"||MTR</x:v>
      </x:c>
      <x:c r="G1160" s="137" t="str">
        <x:v>Rexine 54"</x:v>
      </x:c>
      <x:c r="H1160" s="137" t="str">
        <x:v>MTR</x:v>
      </x:c>
      <x:c r="I1160" s="175" t="n">
        <x:v>0.05485593</x:v>
      </x:c>
      <x:c r="J1160" s="176" t="str"/>
      <x:c r="K1160" s="177" t="str"/>
      <x:c r="L1160" s="178" t="str">
        <x:f>IF(J1160="","",J1160*(1+IF(K1160="",0,K1160)) )</x:f>
      </x:c>
      <x:c r="M1160" s="138" t="str"/>
      <x:c r="N1160" s="137" t="str">
        <x:v>Current model BOM seed</x:v>
      </x:c>
      <x:c r="O1160" s="137" t="str"/>
      <x:c r="P1160" s="137" t="str">
        <x:v>To Confirm</x:v>
      </x:c>
      <x:c r="Q1160" s="137" t="str"/>
    </x:row>
    <x:row r="1161">
      <x:c r="A1161" s="137" t="str">
        <x:v>BOM-01157</x:v>
      </x:c>
      <x:c r="B1161" s="137" t="str">
        <x:v>SPIKE</x:v>
      </x:c>
      <x:c r="C1161" s="137" t="str">
        <x:v>PER ORDER (V/L)</x:v>
      </x:c>
      <x:c r="D1161" s="137" t="str">
        <x:v>2X5</x:v>
      </x:c>
      <x:c r="E1161" s="137" t="str">
        <x:v>CUTTING</x:v>
      </x:c>
      <x:c r="F1161" s="137" t="str">
        <x:v>SHEET 1.4MM||SHEET</x:v>
      </x:c>
      <x:c r="G1161" s="137" t="str">
        <x:v>Sheet 1.4Mm</x:v>
      </x:c>
      <x:c r="H1161" s="137" t="str">
        <x:v>SHEET</x:v>
      </x:c>
      <x:c r="I1161" s="175" t="n">
        <x:v>0.01169591</x:v>
      </x:c>
      <x:c r="J1161" s="176" t="str"/>
      <x:c r="K1161" s="177" t="str"/>
      <x:c r="L1161" s="178" t="str">
        <x:f>IF(J1161="","",J1161*(1+IF(K1161="",0,K1161)) )</x:f>
      </x:c>
      <x:c r="M1161" s="138" t="str"/>
      <x:c r="N1161" s="137" t="str">
        <x:v>Current model BOM seed</x:v>
      </x:c>
      <x:c r="O1161" s="137" t="str"/>
      <x:c r="P1161" s="137" t="str">
        <x:v>To Confirm</x:v>
      </x:c>
      <x:c r="Q1161" s="137" t="str"/>
    </x:row>
    <x:row r="1162">
      <x:c r="A1162" s="137" t="str">
        <x:v>BOM-01158</x:v>
      </x:c>
      <x:c r="B1162" s="137" t="str">
        <x:v>SPIKE</x:v>
      </x:c>
      <x:c r="C1162" s="137" t="str">
        <x:v>PER ORDER (V/L)</x:v>
      </x:c>
      <x:c r="D1162" s="137" t="str">
        <x:v>2X5</x:v>
      </x:c>
      <x:c r="E1162" s="137" t="str">
        <x:v>CUTTING</x:v>
      </x:c>
      <x:c r="F1162" s="137" t="str">
        <x:v>SHEET 20MM||SHEET</x:v>
      </x:c>
      <x:c r="G1162" s="137" t="str">
        <x:v>Sheet 20Mm</x:v>
      </x:c>
      <x:c r="H1162" s="137" t="str">
        <x:v>SHEET</x:v>
      </x:c>
      <x:c r="I1162" s="175" t="n">
        <x:v>0.01165501</x:v>
      </x:c>
      <x:c r="J1162" s="176" t="str"/>
      <x:c r="K1162" s="177" t="str"/>
      <x:c r="L1162" s="178" t="str">
        <x:f>IF(J1162="","",J1162*(1+IF(K1162="",0,K1162)) )</x:f>
      </x:c>
      <x:c r="M1162" s="138" t="str"/>
      <x:c r="N1162" s="137" t="str">
        <x:v>Current model BOM seed</x:v>
      </x:c>
      <x:c r="O1162" s="137" t="str"/>
      <x:c r="P1162" s="137" t="str">
        <x:v>To Confirm</x:v>
      </x:c>
      <x:c r="Q1162" s="137" t="str"/>
    </x:row>
    <x:row r="1163">
      <x:c r="A1163" s="137" t="str">
        <x:v>BOM-01159</x:v>
      </x:c>
      <x:c r="B1163" s="137" t="str">
        <x:v>SPIKE</x:v>
      </x:c>
      <x:c r="C1163" s="137" t="str">
        <x:v>PER ORDER (V/L)</x:v>
      </x:c>
      <x:c r="D1163" s="137" t="str">
        <x:v>2X5</x:v>
      </x:c>
      <x:c r="E1163" s="137" t="str">
        <x:v>CUTTING</x:v>
      </x:c>
      <x:c r="F1163" s="137" t="str">
        <x:v>SHEET 0.8MM||SHEET</x:v>
      </x:c>
      <x:c r="G1163" s="137" t="str">
        <x:v>Sheet 0.8Mm</x:v>
      </x:c>
      <x:c r="H1163" s="137" t="str">
        <x:v>SHEET</x:v>
      </x:c>
      <x:c r="I1163" s="175" t="n">
        <x:v>0.0125</x:v>
      </x:c>
      <x:c r="J1163" s="176" t="str"/>
      <x:c r="K1163" s="177" t="str"/>
      <x:c r="L1163" s="178" t="str">
        <x:f>IF(J1163="","",J1163*(1+IF(K1163="",0,K1163)) )</x:f>
      </x:c>
      <x:c r="M1163" s="138" t="str"/>
      <x:c r="N1163" s="137" t="str">
        <x:v>Current model BOM seed</x:v>
      </x:c>
      <x:c r="O1163" s="137" t="str"/>
      <x:c r="P1163" s="137" t="str">
        <x:v>To Confirm</x:v>
      </x:c>
      <x:c r="Q1163" s="137" t="str"/>
    </x:row>
    <x:row r="1164">
      <x:c r="A1164" s="137" t="str">
        <x:v>BOM-01160</x:v>
      </x:c>
      <x:c r="B1164" s="137" t="str">
        <x:v>SPIKE</x:v>
      </x:c>
      <x:c r="C1164" s="137" t="str">
        <x:v>PER ORDER (V/L)</x:v>
      </x:c>
      <x:c r="D1164" s="137" t="str">
        <x:v>2X5</x:v>
      </x:c>
      <x:c r="E1164" s="137" t="str">
        <x:v>CUTTING</x:v>
      </x:c>
      <x:c r="F1164" s="137" t="str">
        <x:v>INSOLE||PAIR</x:v>
      </x:c>
      <x:c r="G1164" s="137" t="str">
        <x:v>INSOLE</x:v>
      </x:c>
      <x:c r="H1164" s="137" t="str">
        <x:v>PAIR</x:v>
      </x:c>
      <x:c r="I1164" s="175" t="n">
        <x:v>2</x:v>
      </x:c>
      <x:c r="J1164" s="176" t="str"/>
      <x:c r="K1164" s="177" t="str"/>
      <x:c r="L1164" s="178" t="str">
        <x:f>IF(J1164="","",J1164*(1+IF(K1164="",0,K1164)) )</x:f>
      </x:c>
      <x:c r="M1164" s="138" t="str"/>
      <x:c r="N1164" s="137" t="str">
        <x:v>Current model BOM seed</x:v>
      </x:c>
      <x:c r="O1164" s="137" t="str"/>
      <x:c r="P1164" s="137" t="str">
        <x:v>To Confirm</x:v>
      </x:c>
      <x:c r="Q1164" s="137" t="str"/>
    </x:row>
    <x:row r="1165">
      <x:c r="A1165" s="137" t="str">
        <x:v>BOM-01161</x:v>
      </x:c>
      <x:c r="B1165" s="137" t="str">
        <x:v>SPIKE</x:v>
      </x:c>
      <x:c r="C1165" s="137" t="str">
        <x:v>PER ORDER (V/L)</x:v>
      </x:c>
      <x:c r="D1165" s="137" t="str">
        <x:v>2X5</x:v>
      </x:c>
      <x:c r="E1165" s="137" t="str">
        <x:v>MOLDING</x:v>
      </x:c>
      <x:c r="F1165" s="137" t="str">
        <x:v>SOLE 1231 EVA||PAIR</x:v>
      </x:c>
      <x:c r="G1165" s="137" t="str">
        <x:v>Sole 1231 EVA</x:v>
      </x:c>
      <x:c r="H1165" s="137" t="str">
        <x:v>PAIR</x:v>
      </x:c>
      <x:c r="I1165" s="175" t="n">
        <x:v>2</x:v>
      </x:c>
      <x:c r="J1165" s="176" t="str"/>
      <x:c r="K1165" s="177" t="str"/>
      <x:c r="L1165" s="178" t="str">
        <x:f>IF(J1165="","",J1165*(1+IF(K1165="",0,K1165)) )</x:f>
      </x:c>
      <x:c r="M1165" s="138" t="str"/>
      <x:c r="N1165" s="137" t="str">
        <x:v>Current model BOM seed</x:v>
      </x:c>
      <x:c r="O1165" s="137" t="str"/>
      <x:c r="P1165" s="137" t="str">
        <x:v>To Confirm</x:v>
      </x:c>
      <x:c r="Q1165" s="137" t="str"/>
    </x:row>
    <x:row r="1166">
      <x:c r="A1166" s="137" t="str">
        <x:v>BOM-01162</x:v>
      </x:c>
      <x:c r="B1166" s="137" t="str">
        <x:v>SPIKE</x:v>
      </x:c>
      <x:c r="C1166" s="137" t="str">
        <x:v>PER ORDER (V/L)</x:v>
      </x:c>
      <x:c r="D1166" s="137" t="str">
        <x:v>2X5</x:v>
      </x:c>
      <x:c r="E1166" s="137" t="str">
        <x:v>PACKING</x:v>
      </x:c>
      <x:c r="F1166" s="137" t="str">
        <x:v>TISSUE PAPER||PCS</x:v>
      </x:c>
      <x:c r="G1166" s="137" t="str">
        <x:v>Tissue Paper</x:v>
      </x:c>
      <x:c r="H1166" s="137" t="str">
        <x:v>PCS</x:v>
      </x:c>
      <x:c r="I1166" s="175" t="n">
        <x:v>0.25</x:v>
      </x:c>
      <x:c r="J1166" s="176" t="str"/>
      <x:c r="K1166" s="177" t="str"/>
      <x:c r="L1166" s="178" t="str">
        <x:f>IF(J1166="","",J1166*(1+IF(K1166="",0,K1166)) )</x:f>
      </x:c>
      <x:c r="M1166" s="138" t="str"/>
      <x:c r="N1166" s="137" t="str">
        <x:v>Current model BOM seed</x:v>
      </x:c>
      <x:c r="O1166" s="137" t="str"/>
      <x:c r="P1166" s="137" t="str">
        <x:v>To Confirm</x:v>
      </x:c>
      <x:c r="Q1166" s="137" t="str"/>
    </x:row>
    <x:row r="1167">
      <x:c r="A1167" s="137" t="str">
        <x:v>BOM-01163</x:v>
      </x:c>
      <x:c r="B1167" s="137" t="str">
        <x:v>SPIKE</x:v>
      </x:c>
      <x:c r="C1167" s="137" t="str">
        <x:v>PER ORDER (V/L)</x:v>
      </x:c>
      <x:c r="D1167" s="137" t="str">
        <x:v>2X5</x:v>
      </x:c>
      <x:c r="E1167" s="137" t="str">
        <x:v>PACKING</x:v>
      </x:c>
      <x:c r="F1167" s="137" t="str">
        <x:v>SHOE SHINER||GRAM</x:v>
      </x:c>
      <x:c r="G1167" s="137" t="str">
        <x:v>Shoe Shiner</x:v>
      </x:c>
      <x:c r="H1167" s="137" t="str">
        <x:v>GRAM</x:v>
      </x:c>
      <x:c r="I1167" s="175" t="n">
        <x:v>0.06666667</x:v>
      </x:c>
      <x:c r="J1167" s="176" t="str"/>
      <x:c r="K1167" s="177" t="str"/>
      <x:c r="L1167" s="178" t="str">
        <x:f>IF(J1167="","",J1167*(1+IF(K1167="",0,K1167)) )</x:f>
      </x:c>
      <x:c r="M1167" s="138" t="str"/>
      <x:c r="N1167" s="137" t="str">
        <x:v>Current model BOM seed</x:v>
      </x:c>
      <x:c r="O1167" s="137" t="str"/>
      <x:c r="P1167" s="137" t="str">
        <x:v>To Confirm</x:v>
      </x:c>
      <x:c r="Q1167" s="137" t="str"/>
    </x:row>
    <x:row r="1168">
      <x:c r="A1168" s="137" t="str">
        <x:v>BOM-01164</x:v>
      </x:c>
      <x:c r="B1168" s="137" t="str">
        <x:v>SPIKE</x:v>
      </x:c>
      <x:c r="C1168" s="137" t="str">
        <x:v>PER ORDER (V/L)</x:v>
      </x:c>
      <x:c r="D1168" s="137" t="str">
        <x:v>2X5</x:v>
      </x:c>
      <x:c r="E1168" s="137" t="str">
        <x:v>PACKING</x:v>
      </x:c>
      <x:c r="F1168" s="137" t="str">
        <x:v>EMYLE||GRAM</x:v>
      </x:c>
      <x:c r="G1168" s="137" t="str">
        <x:v>EMYLE</x:v>
      </x:c>
      <x:c r="H1168" s="137" t="str">
        <x:v>GRAM</x:v>
      </x:c>
      <x:c r="I1168" s="175" t="n">
        <x:v>0.07142857</x:v>
      </x:c>
      <x:c r="J1168" s="176" t="str"/>
      <x:c r="K1168" s="177" t="str"/>
      <x:c r="L1168" s="178" t="str">
        <x:f>IF(J1168="","",J1168*(1+IF(K1168="",0,K1168)) )</x:f>
      </x:c>
      <x:c r="M1168" s="138" t="str"/>
      <x:c r="N1168" s="137" t="str">
        <x:v>Current model BOM seed</x:v>
      </x:c>
      <x:c r="O1168" s="137" t="str"/>
      <x:c r="P1168" s="137" t="str">
        <x:v>To Confirm</x:v>
      </x:c>
      <x:c r="Q1168" s="137" t="str"/>
    </x:row>
    <x:row r="1169">
      <x:c r="A1169" s="137" t="str">
        <x:v>BOM-01165</x:v>
      </x:c>
      <x:c r="B1169" s="137" t="str">
        <x:v>SPIKE</x:v>
      </x:c>
      <x:c r="C1169" s="137" t="str">
        <x:v>PER ORDER (V/L)</x:v>
      </x:c>
      <x:c r="D1169" s="137" t="str">
        <x:v>2X5</x:v>
      </x:c>
      <x:c r="E1169" s="137" t="str">
        <x:v>PACKING</x:v>
      </x:c>
      <x:c r="F1169" s="137" t="str">
        <x:v>TAG PIN||PCS</x:v>
      </x:c>
      <x:c r="G1169" s="137" t="str">
        <x:v>Tag Pin</x:v>
      </x:c>
      <x:c r="H1169" s="137" t="str">
        <x:v>PCS</x:v>
      </x:c>
      <x:c r="I1169" s="175" t="n">
        <x:v>1</x:v>
      </x:c>
      <x:c r="J1169" s="176" t="str"/>
      <x:c r="K1169" s="177" t="str"/>
      <x:c r="L1169" s="178" t="str">
        <x:f>IF(J1169="","",J1169*(1+IF(K1169="",0,K1169)) )</x:f>
      </x:c>
      <x:c r="M1169" s="138" t="str"/>
      <x:c r="N1169" s="137" t="str">
        <x:v>Current model BOM seed</x:v>
      </x:c>
      <x:c r="O1169" s="137" t="str"/>
      <x:c r="P1169" s="137" t="str">
        <x:v>To Confirm</x:v>
      </x:c>
      <x:c r="Q1169" s="137" t="str"/>
    </x:row>
    <x:row r="1170">
      <x:c r="A1170" s="137" t="str">
        <x:v>BOM-01166</x:v>
      </x:c>
      <x:c r="B1170" s="137" t="str">
        <x:v>SPIKE</x:v>
      </x:c>
      <x:c r="C1170" s="137" t="str">
        <x:v>PER ORDER (V/L)</x:v>
      </x:c>
      <x:c r="D1170" s="137" t="str">
        <x:v>2X5</x:v>
      </x:c>
      <x:c r="E1170" s="137" t="str">
        <x:v>PACKING</x:v>
      </x:c>
      <x:c r="F1170" s="137" t="str">
        <x:v>TAG CARD||PCS</x:v>
      </x:c>
      <x:c r="G1170" s="137" t="str">
        <x:v>Tag Card</x:v>
      </x:c>
      <x:c r="H1170" s="137" t="str">
        <x:v>PCS</x:v>
      </x:c>
      <x:c r="I1170" s="175" t="n">
        <x:v>1</x:v>
      </x:c>
      <x:c r="J1170" s="176" t="str"/>
      <x:c r="K1170" s="177" t="str"/>
      <x:c r="L1170" s="178" t="str">
        <x:f>IF(J1170="","",J1170*(1+IF(K1170="",0,K1170)) )</x:f>
      </x:c>
      <x:c r="M1170" s="138" t="str"/>
      <x:c r="N1170" s="137" t="str">
        <x:v>Current model BOM seed</x:v>
      </x:c>
      <x:c r="O1170" s="137" t="str"/>
      <x:c r="P1170" s="137" t="str">
        <x:v>To Confirm</x:v>
      </x:c>
      <x:c r="Q1170" s="137" t="str"/>
    </x:row>
    <x:row r="1171">
      <x:c r="A1171" s="137" t="str">
        <x:v>BOM-01167</x:v>
      </x:c>
      <x:c r="B1171" s="137" t="str">
        <x:v>SPIKE</x:v>
      </x:c>
      <x:c r="C1171" s="137" t="str">
        <x:v>PER ORDER (V/L)</x:v>
      </x:c>
      <x:c r="D1171" s="137" t="str">
        <x:v>2X5</x:v>
      </x:c>
      <x:c r="E1171" s="137" t="str">
        <x:v>PACKING</x:v>
      </x:c>
      <x:c r="F1171" s="137" t="str">
        <x:v>WRAPING PAPER||PCS</x:v>
      </x:c>
      <x:c r="G1171" s="137" t="str">
        <x:v>Wraping Paper</x:v>
      </x:c>
      <x:c r="H1171" s="137" t="str">
        <x:v>PCS</x:v>
      </x:c>
      <x:c r="I1171" s="175" t="n">
        <x:v>1</x:v>
      </x:c>
      <x:c r="J1171" s="176" t="str"/>
      <x:c r="K1171" s="177" t="str"/>
      <x:c r="L1171" s="178" t="str">
        <x:f>IF(J1171="","",J1171*(1+IF(K1171="",0,K1171)) )</x:f>
      </x:c>
      <x:c r="M1171" s="138" t="str"/>
      <x:c r="N1171" s="137" t="str">
        <x:v>Current model BOM seed</x:v>
      </x:c>
      <x:c r="O1171" s="137" t="str"/>
      <x:c r="P1171" s="137" t="str">
        <x:v>To Confirm</x:v>
      </x:c>
      <x:c r="Q1171" s="137" t="str"/>
    </x:row>
    <x:row r="1172">
      <x:c r="A1172" s="137" t="str">
        <x:v>BOM-01168</x:v>
      </x:c>
      <x:c r="B1172" s="137" t="str">
        <x:v>SPIKE</x:v>
      </x:c>
      <x:c r="C1172" s="137" t="str">
        <x:v>PER ORDER (V/L)</x:v>
      </x:c>
      <x:c r="D1172" s="137" t="str">
        <x:v>2X5</x:v>
      </x:c>
      <x:c r="E1172" s="137" t="str">
        <x:v>PACKING</x:v>
      </x:c>
      <x:c r="F1172" s="137" t="str">
        <x:v>INNER||PCS</x:v>
      </x:c>
      <x:c r="G1172" s="137" t="str">
        <x:v>INNER</x:v>
      </x:c>
      <x:c r="H1172" s="137" t="str">
        <x:v>PCS</x:v>
      </x:c>
      <x:c r="I1172" s="175" t="n">
        <x:v>1</x:v>
      </x:c>
      <x:c r="J1172" s="176" t="str"/>
      <x:c r="K1172" s="177" t="str"/>
      <x:c r="L1172" s="178" t="str">
        <x:f>IF(J1172="","",J1172*(1+IF(K1172="",0,K1172)) )</x:f>
      </x:c>
      <x:c r="M1172" s="138" t="str"/>
      <x:c r="N1172" s="137" t="str">
        <x:v>Current model BOM seed</x:v>
      </x:c>
      <x:c r="O1172" s="137" t="str"/>
      <x:c r="P1172" s="137" t="str">
        <x:v>To Confirm</x:v>
      </x:c>
      <x:c r="Q1172" s="137" t="str"/>
    </x:row>
    <x:row r="1173">
      <x:c r="A1173" s="137" t="str">
        <x:v>BOM-01169</x:v>
      </x:c>
      <x:c r="B1173" s="137" t="str">
        <x:v>SPIKE</x:v>
      </x:c>
      <x:c r="C1173" s="137" t="str">
        <x:v>PER ORDER (V/L)</x:v>
      </x:c>
      <x:c r="D1173" s="137" t="str">
        <x:v>2X5</x:v>
      </x:c>
      <x:c r="E1173" s="137" t="str">
        <x:v>PACKING</x:v>
      </x:c>
      <x:c r="F1173" s="137" t="str">
        <x:v>BARCODE STICKER||PCS</x:v>
      </x:c>
      <x:c r="G1173" s="137" t="str">
        <x:v>Barcode Sticker</x:v>
      </x:c>
      <x:c r="H1173" s="137" t="str">
        <x:v>PCS</x:v>
      </x:c>
      <x:c r="I1173" s="175" t="n">
        <x:v>1</x:v>
      </x:c>
      <x:c r="J1173" s="176" t="str"/>
      <x:c r="K1173" s="177" t="str"/>
      <x:c r="L1173" s="178" t="str">
        <x:f>IF(J1173="","",J1173*(1+IF(K1173="",0,K1173)) )</x:f>
      </x:c>
      <x:c r="M1173" s="138" t="str"/>
      <x:c r="N1173" s="137" t="str">
        <x:v>Current model BOM seed</x:v>
      </x:c>
      <x:c r="O1173" s="137" t="str"/>
      <x:c r="P1173" s="137" t="str">
        <x:v>To Confirm</x:v>
      </x:c>
      <x:c r="Q1173" s="137" t="str"/>
    </x:row>
    <x:row r="1174">
      <x:c r="A1174" s="137" t="str">
        <x:v>BOM-01170</x:v>
      </x:c>
      <x:c r="B1174" s="137" t="str">
        <x:v>SPIKE</x:v>
      </x:c>
      <x:c r="C1174" s="137" t="str">
        <x:v>PER ORDER (V/L)</x:v>
      </x:c>
      <x:c r="D1174" s="137" t="str">
        <x:v>2X5</x:v>
      </x:c>
      <x:c r="E1174" s="137" t="str">
        <x:v>PACKING</x:v>
      </x:c>
      <x:c r="F1174" s="137" t="str">
        <x:v>CTN TAPE (1 CTN)||MTR</x:v>
      </x:c>
      <x:c r="G1174" s="137" t="str">
        <x:v>Ctn Tape (1 Ctn)</x:v>
      </x:c>
      <x:c r="H1174" s="137" t="str">
        <x:v>MTR</x:v>
      </x:c>
      <x:c r="I1174" s="175" t="n">
        <x:v>0.5</x:v>
      </x:c>
      <x:c r="J1174" s="176" t="str"/>
      <x:c r="K1174" s="177" t="str"/>
      <x:c r="L1174" s="178" t="str">
        <x:f>IF(J1174="","",J1174*(1+IF(K1174="",0,K1174)) )</x:f>
      </x:c>
      <x:c r="M1174" s="138" t="str"/>
      <x:c r="N1174" s="137" t="str">
        <x:v>Current model BOM seed</x:v>
      </x:c>
      <x:c r="O1174" s="137" t="str"/>
      <x:c r="P1174" s="137" t="str">
        <x:v>To Confirm</x:v>
      </x:c>
      <x:c r="Q1174" s="137" t="str"/>
    </x:row>
    <x:row r="1175">
      <x:c r="A1175" s="137" t="str">
        <x:v>BOM-01171</x:v>
      </x:c>
      <x:c r="B1175" s="137" t="str">
        <x:v>SPIKE</x:v>
      </x:c>
      <x:c r="C1175" s="137" t="str">
        <x:v>PER ORDER (V/L)</x:v>
      </x:c>
      <x:c r="D1175" s="137" t="str">
        <x:v>2X5</x:v>
      </x:c>
      <x:c r="E1175" s="137" t="str">
        <x:v>PACKING</x:v>
      </x:c>
      <x:c r="F1175" s="137" t="str">
        <x:v>STRAPING ROLL (1CTN)||MTR</x:v>
      </x:c>
      <x:c r="G1175" s="137" t="str">
        <x:v>Straping Roll (1Ctn)</x:v>
      </x:c>
      <x:c r="H1175" s="137" t="str">
        <x:v>MTR</x:v>
      </x:c>
      <x:c r="I1175" s="175" t="n">
        <x:v>0.25</x:v>
      </x:c>
      <x:c r="J1175" s="176" t="str"/>
      <x:c r="K1175" s="177" t="str"/>
      <x:c r="L1175" s="178" t="str">
        <x:f>IF(J1175="","",J1175*(1+IF(K1175="",0,K1175)) )</x:f>
      </x:c>
      <x:c r="M1175" s="138" t="str"/>
      <x:c r="N1175" s="137" t="str">
        <x:v>Current model BOM seed</x:v>
      </x:c>
      <x:c r="O1175" s="137" t="str"/>
      <x:c r="P1175" s="137" t="str">
        <x:v>To Confirm</x:v>
      </x:c>
      <x:c r="Q1175" s="137" t="str"/>
    </x:row>
    <x:row r="1176">
      <x:c r="A1176" s="137" t="str">
        <x:v>BOM-01172</x:v>
      </x:c>
      <x:c r="B1176" s="137" t="str">
        <x:v>SPIKE</x:v>
      </x:c>
      <x:c r="C1176" s="137" t="str">
        <x:v>PER ORDER (V/L)</x:v>
      </x:c>
      <x:c r="D1176" s="137" t="str">
        <x:v>2X5</x:v>
      </x:c>
      <x:c r="E1176" s="137" t="str">
        <x:v>STITCHING</x:v>
      </x:c>
      <x:c r="F1176" s="137" t="str">
        <x:v>THREAD 3 PLY||MTR</x:v>
      </x:c>
      <x:c r="G1176" s="137" t="str">
        <x:v>Thread 3 Ply</x:v>
      </x:c>
      <x:c r="H1176" s="137" t="str">
        <x:v>MTR</x:v>
      </x:c>
      <x:c r="I1176" s="175" t="n">
        <x:v>31.25</x:v>
      </x:c>
      <x:c r="J1176" s="176" t="str"/>
      <x:c r="K1176" s="177" t="str"/>
      <x:c r="L1176" s="178" t="str">
        <x:f>IF(J1176="","",J1176*(1+IF(K1176="",0,K1176)) )</x:f>
      </x:c>
      <x:c r="M1176" s="138" t="str"/>
      <x:c r="N1176" s="137" t="str">
        <x:v>Current model BOM seed</x:v>
      </x:c>
      <x:c r="O1176" s="137" t="str"/>
      <x:c r="P1176" s="137" t="str">
        <x:v>To Confirm</x:v>
      </x:c>
      <x:c r="Q1176" s="137" t="str"/>
    </x:row>
    <x:row r="1177">
      <x:c r="A1177" s="137" t="str">
        <x:v>BOM-01173</x:v>
      </x:c>
      <x:c r="B1177" s="137" t="str">
        <x:v>SPIKE</x:v>
      </x:c>
      <x:c r="C1177" s="137" t="str">
        <x:v>PER ORDER (V/L)</x:v>
      </x:c>
      <x:c r="D1177" s="137" t="str">
        <x:v>2X5</x:v>
      </x:c>
      <x:c r="E1177" s="137" t="str">
        <x:v>STITCHING</x:v>
      </x:c>
      <x:c r="F1177" s="137" t="str">
        <x:v>SIZE LABEL||PCS</x:v>
      </x:c>
      <x:c r="G1177" s="137" t="str">
        <x:v>SIZE LABEL</x:v>
      </x:c>
      <x:c r="H1177" s="137" t="str">
        <x:v>PCS</x:v>
      </x:c>
      <x:c r="I1177" s="175" t="n">
        <x:v>0.5</x:v>
      </x:c>
      <x:c r="J1177" s="176" t="str"/>
      <x:c r="K1177" s="177" t="str"/>
      <x:c r="L1177" s="178" t="str">
        <x:f>IF(J1177="","",J1177*(1+IF(K1177="",0,K1177)) )</x:f>
      </x:c>
      <x:c r="M1177" s="138" t="str"/>
      <x:c r="N1177" s="137" t="str">
        <x:v>Current model BOM seed</x:v>
      </x:c>
      <x:c r="O1177" s="137" t="str"/>
      <x:c r="P1177" s="137" t="str">
        <x:v>To Confirm</x:v>
      </x:c>
      <x:c r="Q1177" s="137" t="str"/>
    </x:row>
    <x:row r="1178">
      <x:c r="A1178" s="137" t="str">
        <x:v>BOM-01174</x:v>
      </x:c>
      <x:c r="B1178" s="137" t="str">
        <x:v>SPIKE</x:v>
      </x:c>
      <x:c r="C1178" s="137" t="str">
        <x:v>PER ORDER (V/L)</x:v>
      </x:c>
      <x:c r="D1178" s="137" t="str">
        <x:v>2X5</x:v>
      </x:c>
      <x:c r="E1178" s="137" t="str">
        <x:v>STITCHING</x:v>
      </x:c>
      <x:c r="F1178" s="137" t="str">
        <x:v>PF-48 BLACK||PCS</x:v>
      </x:c>
      <x:c r="G1178" s="137" t="str">
        <x:v>Pf-48 Black</x:v>
      </x:c>
      <x:c r="H1178" s="137" t="str">
        <x:v>PCS</x:v>
      </x:c>
      <x:c r="I1178" s="175" t="n">
        <x:v>0.25</x:v>
      </x:c>
      <x:c r="J1178" s="176" t="str"/>
      <x:c r="K1178" s="177" t="str"/>
      <x:c r="L1178" s="178" t="str">
        <x:f>IF(J1178="","",J1178*(1+IF(K1178="",0,K1178)) )</x:f>
      </x:c>
      <x:c r="M1178" s="138" t="str"/>
      <x:c r="N1178" s="137" t="str">
        <x:v>Current model BOM seed</x:v>
      </x:c>
      <x:c r="O1178" s="137" t="str"/>
      <x:c r="P1178" s="137" t="str">
        <x:v>To Confirm</x:v>
      </x:c>
      <x:c r="Q1178" s="137" t="str"/>
    </x:row>
    <x:row r="1179">
      <x:c r="A1179" s="137" t="str">
        <x:v>BOM-01175</x:v>
      </x:c>
      <x:c r="B1179" s="137" t="str">
        <x:v>SPIKE</x:v>
      </x:c>
      <x:c r="C1179" s="137" t="str">
        <x:v>PER ORDER (V/L)</x:v>
      </x:c>
      <x:c r="D1179" s="137" t="str">
        <x:v>2X5</x:v>
      </x:c>
      <x:c r="E1179" s="137" t="str">
        <x:v>STITCHING</x:v>
      </x:c>
      <x:c r="F1179" s="137" t="str">
        <x:v>PF-3 BLACK||PCS</x:v>
      </x:c>
      <x:c r="G1179" s="137" t="str">
        <x:v>Pf-3 Black</x:v>
      </x:c>
      <x:c r="H1179" s="137" t="str">
        <x:v>PCS</x:v>
      </x:c>
      <x:c r="I1179" s="175" t="n">
        <x:v>0</x:v>
      </x:c>
      <x:c r="J1179" s="176" t="str"/>
      <x:c r="K1179" s="177" t="str"/>
      <x:c r="L1179" s="178" t="str">
        <x:f>IF(J1179="","",J1179*(1+IF(K1179="",0,K1179)) )</x:f>
      </x:c>
      <x:c r="M1179" s="138" t="str"/>
      <x:c r="N1179" s="137" t="str">
        <x:v>Current model BOM seed</x:v>
      </x:c>
      <x:c r="O1179" s="137" t="str"/>
      <x:c r="P1179" s="137" t="str">
        <x:v>To Confirm</x:v>
      </x:c>
      <x:c r="Q1179" s="137" t="str"/>
    </x:row>
    <x:row r="1180">
      <x:c r="A1180" s="137" t="str">
        <x:v>BOM-01176</x:v>
      </x:c>
      <x:c r="B1180" s="137" t="str">
        <x:v>SPIKE</x:v>
      </x:c>
      <x:c r="C1180" s="137" t="str">
        <x:v>PER ORDER (V/L)</x:v>
      </x:c>
      <x:c r="D1180" s="137" t="str">
        <x:v>2X5</x:v>
      </x:c>
      <x:c r="E1180" s="137" t="str">
        <x:v>STITCHING</x:v>
      </x:c>
      <x:c r="F1180" s="137" t="str">
        <x:v>VELCRO 20 MM HOOK||MTR</x:v>
      </x:c>
      <x:c r="G1180" s="137" t="str">
        <x:v>VELCRO 20 MM HOOK</x:v>
      </x:c>
      <x:c r="H1180" s="137" t="str">
        <x:v>MTR</x:v>
      </x:c>
      <x:c r="I1180" s="175" t="n">
        <x:v>0.03125</x:v>
      </x:c>
      <x:c r="J1180" s="176" t="str"/>
      <x:c r="K1180" s="177" t="str"/>
      <x:c r="L1180" s="178" t="str">
        <x:f>IF(J1180="","",J1180*(1+IF(K1180="",0,K1180)) )</x:f>
      </x:c>
      <x:c r="M1180" s="138" t="str"/>
      <x:c r="N1180" s="137" t="str">
        <x:v>Current model BOM seed</x:v>
      </x:c>
      <x:c r="O1180" s="137" t="str"/>
      <x:c r="P1180" s="137" t="str">
        <x:v>To Confirm</x:v>
      </x:c>
      <x:c r="Q1180" s="137" t="str"/>
    </x:row>
    <x:row r="1181">
      <x:c r="A1181" s="137" t="str">
        <x:v>BOM-01177</x:v>
      </x:c>
      <x:c r="B1181" s="137" t="str">
        <x:v>SPIKE</x:v>
      </x:c>
      <x:c r="C1181" s="137" t="str">
        <x:v>PER ORDER (V/L)</x:v>
      </x:c>
      <x:c r="D1181" s="137" t="str">
        <x:v>2X5</x:v>
      </x:c>
      <x:c r="E1181" s="137" t="str">
        <x:v>STITCHING</x:v>
      </x:c>
      <x:c r="F1181" s="137" t="str">
        <x:v>VELCRO 20 MM LOOP||MTR</x:v>
      </x:c>
      <x:c r="G1181" s="137" t="str">
        <x:v>VELCRO 20 MM LOOP</x:v>
      </x:c>
      <x:c r="H1181" s="137" t="str">
        <x:v>MTR</x:v>
      </x:c>
      <x:c r="I1181" s="175" t="n">
        <x:v>0.03125</x:v>
      </x:c>
      <x:c r="J1181" s="176" t="str"/>
      <x:c r="K1181" s="177" t="str"/>
      <x:c r="L1181" s="178" t="str">
        <x:f>IF(J1181="","",J1181*(1+IF(K1181="",0,K1181)) )</x:f>
      </x:c>
      <x:c r="M1181" s="138" t="str"/>
      <x:c r="N1181" s="137" t="str">
        <x:v>Current model BOM seed</x:v>
      </x:c>
      <x:c r="O1181" s="137" t="str"/>
      <x:c r="P1181" s="137" t="str">
        <x:v>To Confirm</x:v>
      </x:c>
      <x:c r="Q1181" s="137" t="str"/>
    </x:row>
    <x:row r="1182">
      <x:c r="A1182" s="137" t="str">
        <x:v>BOM-01178</x:v>
      </x:c>
      <x:c r="B1182" s="137" t="str">
        <x:v>SPIKE</x:v>
      </x:c>
      <x:c r="C1182" s="137" t="str">
        <x:v>PER ORDER (V/L)</x:v>
      </x:c>
      <x:c r="D1182" s="137" t="str">
        <x:v>2X5</x:v>
      </x:c>
      <x:c r="E1182" s="137" t="str">
        <x:v>STITCHING</x:v>
      </x:c>
      <x:c r="F1182" s="137" t="str">
        <x:v>VELCRO 25 MM HOOK||MTR</x:v>
      </x:c>
      <x:c r="G1182" s="137" t="str">
        <x:v>VELCRO 25 MM HOOK</x:v>
      </x:c>
      <x:c r="H1182" s="137" t="str">
        <x:v>MTR</x:v>
      </x:c>
      <x:c r="I1182" s="175" t="n">
        <x:v>0</x:v>
      </x:c>
      <x:c r="J1182" s="176" t="str"/>
      <x:c r="K1182" s="177" t="str"/>
      <x:c r="L1182" s="178" t="str">
        <x:f>IF(J1182="","",J1182*(1+IF(K1182="",0,K1182)) )</x:f>
      </x:c>
      <x:c r="M1182" s="138" t="str"/>
      <x:c r="N1182" s="137" t="str">
        <x:v>Current model BOM seed</x:v>
      </x:c>
      <x:c r="O1182" s="137" t="str"/>
      <x:c r="P1182" s="137" t="str">
        <x:v>To Confirm</x:v>
      </x:c>
      <x:c r="Q1182" s="137" t="str"/>
    </x:row>
    <x:row r="1183">
      <x:c r="A1183" s="137" t="str">
        <x:v>BOM-01179</x:v>
      </x:c>
      <x:c r="B1183" s="137" t="str">
        <x:v>SPIKE</x:v>
      </x:c>
      <x:c r="C1183" s="137" t="str">
        <x:v>PER ORDER (V/L)</x:v>
      </x:c>
      <x:c r="D1183" s="137" t="str">
        <x:v>2X5</x:v>
      </x:c>
      <x:c r="E1183" s="137" t="str">
        <x:v>STITCHING</x:v>
      </x:c>
      <x:c r="F1183" s="137" t="str">
        <x:v>VELCRO 25 MM LOOP||MTR</x:v>
      </x:c>
      <x:c r="G1183" s="137" t="str">
        <x:v>VELCRO 25 MM LOOP</x:v>
      </x:c>
      <x:c r="H1183" s="137" t="str">
        <x:v>MTR</x:v>
      </x:c>
      <x:c r="I1183" s="175" t="n">
        <x:v>0</x:v>
      </x:c>
      <x:c r="J1183" s="176" t="str"/>
      <x:c r="K1183" s="177" t="str"/>
      <x:c r="L1183" s="178" t="str">
        <x:f>IF(J1183="","",J1183*(1+IF(K1183="",0,K1183)) )</x:f>
      </x:c>
      <x:c r="M1183" s="138" t="str"/>
      <x:c r="N1183" s="137" t="str">
        <x:v>Current model BOM seed</x:v>
      </x:c>
      <x:c r="O1183" s="137" t="str"/>
      <x:c r="P1183" s="137" t="str">
        <x:v>To Confirm</x:v>
      </x:c>
      <x:c r="Q1183" s="137" t="str"/>
    </x:row>
    <x:row r="1184">
      <x:c r="A1184" s="137" t="str">
        <x:v>BOM-01180</x:v>
      </x:c>
      <x:c r="B1184" s="137" t="str">
        <x:v>SPIKE</x:v>
      </x:c>
      <x:c r="C1184" s="137" t="str">
        <x:v>PER ORDER (V/L)</x:v>
      </x:c>
      <x:c r="D1184" s="137" t="str">
        <x:v>2X5</x:v>
      </x:c>
      <x:c r="E1184" s="137" t="str">
        <x:v>STITCHING</x:v>
      </x:c>
      <x:c r="F1184" s="137" t="str">
        <x:v>LYCRA BINDING||CM</x:v>
      </x:c>
      <x:c r="G1184" s="137" t="str">
        <x:v>Lycra Binding</x:v>
      </x:c>
      <x:c r="H1184" s="137" t="str">
        <x:v>CM</x:v>
      </x:c>
      <x:c r="I1184" s="175" t="n">
        <x:v>14.28571429</x:v>
      </x:c>
      <x:c r="J1184" s="176" t="str"/>
      <x:c r="K1184" s="177" t="str"/>
      <x:c r="L1184" s="178" t="str">
        <x:f>IF(J1184="","",J1184*(1+IF(K1184="",0,K1184)) )</x:f>
      </x:c>
      <x:c r="M1184" s="138" t="str"/>
      <x:c r="N1184" s="137" t="str">
        <x:v>Current model BOM seed</x:v>
      </x:c>
      <x:c r="O1184" s="137" t="str"/>
      <x:c r="P1184" s="137" t="str">
        <x:v>To Confirm</x:v>
      </x:c>
      <x:c r="Q1184" s="137" t="str"/>
    </x:row>
    <x:row r="1185">
      <x:c r="A1185" s="137" t="str">
        <x:v>BOM-01181</x:v>
      </x:c>
      <x:c r="B1185" s="137" t="str">
        <x:v>SPIKE</x:v>
      </x:c>
      <x:c r="C1185" s="137" t="str">
        <x:v>PER ORDER (V/L)</x:v>
      </x:c>
      <x:c r="D1185" s="137" t="str">
        <x:v>2X5</x:v>
      </x:c>
      <x:c r="E1185" s="137" t="str">
        <x:v>STITCHING</x:v>
      </x:c>
      <x:c r="F1185" s="137" t="str">
        <x:v>BACK TAPE 14 MM||MTR</x:v>
      </x:c>
      <x:c r="G1185" s="137" t="str">
        <x:v>BACK TAPE 14 MM</x:v>
      </x:c>
      <x:c r="H1185" s="137" t="str">
        <x:v>MTR</x:v>
      </x:c>
      <x:c r="I1185" s="175" t="n">
        <x:v>0.05</x:v>
      </x:c>
      <x:c r="J1185" s="176" t="str"/>
      <x:c r="K1185" s="177" t="str"/>
      <x:c r="L1185" s="178" t="str">
        <x:f>IF(J1185="","",J1185*(1+IF(K1185="",0,K1185)) )</x:f>
      </x:c>
      <x:c r="M1185" s="138" t="str"/>
      <x:c r="N1185" s="137" t="str">
        <x:v>Current model BOM seed</x:v>
      </x:c>
      <x:c r="O1185" s="137" t="str"/>
      <x:c r="P1185" s="137" t="str">
        <x:v>To Confirm</x:v>
      </x:c>
      <x:c r="Q1185" s="137" t="str"/>
    </x:row>
    <x:row r="1186">
      <x:c r="A1186" s="137" t="str">
        <x:v>BOM-01182</x:v>
      </x:c>
      <x:c r="B1186" s="137" t="str">
        <x:v>SPIKE</x:v>
      </x:c>
      <x:c r="C1186" s="137" t="str">
        <x:v>PER ORDER (V/L)</x:v>
      </x:c>
      <x:c r="D1186" s="137" t="str">
        <x:v>6X8</x:v>
      </x:c>
      <x:c r="E1186" s="137" t="str">
        <x:v>CUTTING</x:v>
      </x:c>
      <x:c r="F1186" s="137" t="str">
        <x:v>MESH 58"||MTR</x:v>
      </x:c>
      <x:c r="G1186" s="137" t="str">
        <x:v>Mesh 58"</x:v>
      </x:c>
      <x:c r="H1186" s="137" t="str">
        <x:v>MTR</x:v>
      </x:c>
      <x:c r="I1186" s="175" t="n">
        <x:v>0.11893939</x:v>
      </x:c>
      <x:c r="J1186" s="176" t="str"/>
      <x:c r="K1186" s="177" t="str"/>
      <x:c r="L1186" s="178" t="str">
        <x:f>IF(J1186="","",J1186*(1+IF(K1186="",0,K1186)) )</x:f>
      </x:c>
      <x:c r="M1186" s="138" t="str"/>
      <x:c r="N1186" s="137" t="str">
        <x:v>Current model BOM seed</x:v>
      </x:c>
      <x:c r="O1186" s="137" t="str"/>
      <x:c r="P1186" s="137" t="str">
        <x:v>To Confirm</x:v>
      </x:c>
      <x:c r="Q1186" s="137" t="str"/>
    </x:row>
    <x:row r="1187">
      <x:c r="A1187" s="137" t="str">
        <x:v>BOM-01183</x:v>
      </x:c>
      <x:c r="B1187" s="137" t="str">
        <x:v>SPIKE</x:v>
      </x:c>
      <x:c r="C1187" s="137" t="str">
        <x:v>PER ORDER (V/L)</x:v>
      </x:c>
      <x:c r="D1187" s="137" t="str">
        <x:v>6X8</x:v>
      </x:c>
      <x:c r="E1187" s="137" t="str">
        <x:v>CUTTING</x:v>
      </x:c>
      <x:c r="F1187" s="137" t="str">
        <x:v>SKINFIT 60"||MTR</x:v>
      </x:c>
      <x:c r="G1187" s="137" t="str">
        <x:v>Skinfit 60"</x:v>
      </x:c>
      <x:c r="H1187" s="137" t="str">
        <x:v>MTR</x:v>
      </x:c>
      <x:c r="I1187" s="175" t="n">
        <x:v>0.06207729</x:v>
      </x:c>
      <x:c r="J1187" s="176" t="str"/>
      <x:c r="K1187" s="177" t="str"/>
      <x:c r="L1187" s="178" t="str">
        <x:f>IF(J1187="","",J1187*(1+IF(K1187="",0,K1187)) )</x:f>
      </x:c>
      <x:c r="M1187" s="138" t="str"/>
      <x:c r="N1187" s="137" t="str">
        <x:v>Current model BOM seed</x:v>
      </x:c>
      <x:c r="O1187" s="137" t="str"/>
      <x:c r="P1187" s="137" t="str">
        <x:v>To Confirm</x:v>
      </x:c>
      <x:c r="Q1187" s="137" t="str"/>
    </x:row>
    <x:row r="1188">
      <x:c r="A1188" s="137" t="str">
        <x:v>BOM-01184</x:v>
      </x:c>
      <x:c r="B1188" s="137" t="str">
        <x:v>SPIKE</x:v>
      </x:c>
      <x:c r="C1188" s="137" t="str">
        <x:v>PER ORDER (V/L)</x:v>
      </x:c>
      <x:c r="D1188" s="137" t="str">
        <x:v>6X8</x:v>
      </x:c>
      <x:c r="E1188" s="137" t="str">
        <x:v>CUTTING</x:v>
      </x:c>
      <x:c r="F1188" s="137" t="str">
        <x:v>REXINE 54"||MTR</x:v>
      </x:c>
      <x:c r="G1188" s="137" t="str">
        <x:v>Rexine 54"</x:v>
      </x:c>
      <x:c r="H1188" s="137" t="str">
        <x:v>MTR</x:v>
      </x:c>
      <x:c r="I1188" s="175" t="n">
        <x:v>0.05999963</x:v>
      </x:c>
      <x:c r="J1188" s="176" t="str"/>
      <x:c r="K1188" s="177" t="str"/>
      <x:c r="L1188" s="178" t="str">
        <x:f>IF(J1188="","",J1188*(1+IF(K1188="",0,K1188)) )</x:f>
      </x:c>
      <x:c r="M1188" s="138" t="str"/>
      <x:c r="N1188" s="137" t="str">
        <x:v>Current model BOM seed</x:v>
      </x:c>
      <x:c r="O1188" s="137" t="str"/>
      <x:c r="P1188" s="137" t="str">
        <x:v>To Confirm</x:v>
      </x:c>
      <x:c r="Q1188" s="137" t="str"/>
    </x:row>
    <x:row r="1189">
      <x:c r="A1189" s="137" t="str">
        <x:v>BOM-01185</x:v>
      </x:c>
      <x:c r="B1189" s="137" t="str">
        <x:v>SPIKE</x:v>
      </x:c>
      <x:c r="C1189" s="137" t="str">
        <x:v>PER ORDER (V/L)</x:v>
      </x:c>
      <x:c r="D1189" s="137" t="str">
        <x:v>6X8</x:v>
      </x:c>
      <x:c r="E1189" s="137" t="str">
        <x:v>CUTTING</x:v>
      </x:c>
      <x:c r="F1189" s="137" t="str">
        <x:v>SHEET 1.4MM||SHEET</x:v>
      </x:c>
      <x:c r="G1189" s="137" t="str">
        <x:v>Sheet 1.4Mm</x:v>
      </x:c>
      <x:c r="H1189" s="137" t="str">
        <x:v>SHEET</x:v>
      </x:c>
      <x:c r="I1189" s="175" t="n">
        <x:v>0.01136364</x:v>
      </x:c>
      <x:c r="J1189" s="176" t="str"/>
      <x:c r="K1189" s="177" t="str"/>
      <x:c r="L1189" s="178" t="str">
        <x:f>IF(J1189="","",J1189*(1+IF(K1189="",0,K1189)) )</x:f>
      </x:c>
      <x:c r="M1189" s="138" t="str"/>
      <x:c r="N1189" s="137" t="str">
        <x:v>Current model BOM seed</x:v>
      </x:c>
      <x:c r="O1189" s="137" t="str"/>
      <x:c r="P1189" s="137" t="str">
        <x:v>To Confirm</x:v>
      </x:c>
      <x:c r="Q1189" s="137" t="str"/>
    </x:row>
    <x:row r="1190">
      <x:c r="A1190" s="137" t="str">
        <x:v>BOM-01186</x:v>
      </x:c>
      <x:c r="B1190" s="137" t="str">
        <x:v>SPIKE</x:v>
      </x:c>
      <x:c r="C1190" s="137" t="str">
        <x:v>PER ORDER (V/L)</x:v>
      </x:c>
      <x:c r="D1190" s="137" t="str">
        <x:v>6X8</x:v>
      </x:c>
      <x:c r="E1190" s="137" t="str">
        <x:v>CUTTING</x:v>
      </x:c>
      <x:c r="F1190" s="137" t="str">
        <x:v>SHEET 20MM||SHEET</x:v>
      </x:c>
      <x:c r="G1190" s="137" t="str">
        <x:v>Sheet 20Mm</x:v>
      </x:c>
      <x:c r="H1190" s="137" t="str">
        <x:v>SHEET</x:v>
      </x:c>
      <x:c r="I1190" s="175" t="n">
        <x:v>0.01492537</x:v>
      </x:c>
      <x:c r="J1190" s="176" t="str"/>
      <x:c r="K1190" s="177" t="str"/>
      <x:c r="L1190" s="178" t="str">
        <x:f>IF(J1190="","",J1190*(1+IF(K1190="",0,K1190)) )</x:f>
      </x:c>
      <x:c r="M1190" s="138" t="str"/>
      <x:c r="N1190" s="137" t="str">
        <x:v>Current model BOM seed</x:v>
      </x:c>
      <x:c r="O1190" s="137" t="str"/>
      <x:c r="P1190" s="137" t="str">
        <x:v>To Confirm</x:v>
      </x:c>
      <x:c r="Q1190" s="137" t="str"/>
    </x:row>
    <x:row r="1191">
      <x:c r="A1191" s="137" t="str">
        <x:v>BOM-01187</x:v>
      </x:c>
      <x:c r="B1191" s="137" t="str">
        <x:v>SPIKE</x:v>
      </x:c>
      <x:c r="C1191" s="137" t="str">
        <x:v>PER ORDER (V/L)</x:v>
      </x:c>
      <x:c r="D1191" s="137" t="str">
        <x:v>6X8</x:v>
      </x:c>
      <x:c r="E1191" s="137" t="str">
        <x:v>CUTTING</x:v>
      </x:c>
      <x:c r="F1191" s="137" t="str">
        <x:v>SHEET 0.8MM||SHEET</x:v>
      </x:c>
      <x:c r="G1191" s="137" t="str">
        <x:v>Sheet 0.8Mm</x:v>
      </x:c>
      <x:c r="H1191" s="137" t="str">
        <x:v>SHEET</x:v>
      </x:c>
      <x:c r="I1191" s="175" t="n">
        <x:v>0.01162791</x:v>
      </x:c>
      <x:c r="J1191" s="176" t="str"/>
      <x:c r="K1191" s="177" t="str"/>
      <x:c r="L1191" s="178" t="str">
        <x:f>IF(J1191="","",J1191*(1+IF(K1191="",0,K1191)) )</x:f>
      </x:c>
      <x:c r="M1191" s="138" t="str"/>
      <x:c r="N1191" s="137" t="str">
        <x:v>Current model BOM seed</x:v>
      </x:c>
      <x:c r="O1191" s="137" t="str"/>
      <x:c r="P1191" s="137" t="str">
        <x:v>To Confirm</x:v>
      </x:c>
      <x:c r="Q1191" s="137" t="str"/>
    </x:row>
    <x:row r="1192">
      <x:c r="A1192" s="137" t="str">
        <x:v>BOM-01188</x:v>
      </x:c>
      <x:c r="B1192" s="137" t="str">
        <x:v>SPIKE</x:v>
      </x:c>
      <x:c r="C1192" s="137" t="str">
        <x:v>PER ORDER (V/L)</x:v>
      </x:c>
      <x:c r="D1192" s="137" t="str">
        <x:v>6X8</x:v>
      </x:c>
      <x:c r="E1192" s="137" t="str">
        <x:v>CUTTING</x:v>
      </x:c>
      <x:c r="F1192" s="137" t="str">
        <x:v>INSOLE||PAIR</x:v>
      </x:c>
      <x:c r="G1192" s="137" t="str">
        <x:v>INSOLE</x:v>
      </x:c>
      <x:c r="H1192" s="137" t="str">
        <x:v>PAIR</x:v>
      </x:c>
      <x:c r="I1192" s="175" t="n">
        <x:v>2</x:v>
      </x:c>
      <x:c r="J1192" s="176" t="str"/>
      <x:c r="K1192" s="177" t="str"/>
      <x:c r="L1192" s="178" t="str">
        <x:f>IF(J1192="","",J1192*(1+IF(K1192="",0,K1192)) )</x:f>
      </x:c>
      <x:c r="M1192" s="138" t="str"/>
      <x:c r="N1192" s="137" t="str">
        <x:v>Current model BOM seed</x:v>
      </x:c>
      <x:c r="O1192" s="137" t="str"/>
      <x:c r="P1192" s="137" t="str">
        <x:v>To Confirm</x:v>
      </x:c>
      <x:c r="Q1192" s="137" t="str"/>
    </x:row>
    <x:row r="1193">
      <x:c r="A1193" s="137" t="str">
        <x:v>BOM-01189</x:v>
      </x:c>
      <x:c r="B1193" s="137" t="str">
        <x:v>SPIKE</x:v>
      </x:c>
      <x:c r="C1193" s="137" t="str">
        <x:v>PER ORDER (V/L)</x:v>
      </x:c>
      <x:c r="D1193" s="137" t="str">
        <x:v>6X8</x:v>
      </x:c>
      <x:c r="E1193" s="137" t="str">
        <x:v>MOLDING</x:v>
      </x:c>
      <x:c r="F1193" s="137" t="str">
        <x:v>SOLE 1231 EVA||PAIR</x:v>
      </x:c>
      <x:c r="G1193" s="137" t="str">
        <x:v>Sole 1231 EVA</x:v>
      </x:c>
      <x:c r="H1193" s="137" t="str">
        <x:v>PAIR</x:v>
      </x:c>
      <x:c r="I1193" s="175" t="n">
        <x:v>2</x:v>
      </x:c>
      <x:c r="J1193" s="176" t="str"/>
      <x:c r="K1193" s="177" t="str"/>
      <x:c r="L1193" s="178" t="str">
        <x:f>IF(J1193="","",J1193*(1+IF(K1193="",0,K1193)) )</x:f>
      </x:c>
      <x:c r="M1193" s="138" t="str"/>
      <x:c r="N1193" s="137" t="str">
        <x:v>Current model BOM seed</x:v>
      </x:c>
      <x:c r="O1193" s="137" t="str"/>
      <x:c r="P1193" s="137" t="str">
        <x:v>To Confirm</x:v>
      </x:c>
      <x:c r="Q1193" s="137" t="str"/>
    </x:row>
    <x:row r="1194">
      <x:c r="A1194" s="137" t="str">
        <x:v>BOM-01190</x:v>
      </x:c>
      <x:c r="B1194" s="137" t="str">
        <x:v>SPIKE</x:v>
      </x:c>
      <x:c r="C1194" s="137" t="str">
        <x:v>PER ORDER (V/L)</x:v>
      </x:c>
      <x:c r="D1194" s="137" t="str">
        <x:v>6X8</x:v>
      </x:c>
      <x:c r="E1194" s="137" t="str">
        <x:v>PACKING</x:v>
      </x:c>
      <x:c r="F1194" s="137" t="str">
        <x:v>TISSUE PAPER||PCS</x:v>
      </x:c>
      <x:c r="G1194" s="137" t="str">
        <x:v>Tissue Paper</x:v>
      </x:c>
      <x:c r="H1194" s="137" t="str">
        <x:v>PCS</x:v>
      </x:c>
      <x:c r="I1194" s="175" t="n">
        <x:v>0.25</x:v>
      </x:c>
      <x:c r="J1194" s="176" t="str"/>
      <x:c r="K1194" s="177" t="str"/>
      <x:c r="L1194" s="178" t="str">
        <x:f>IF(J1194="","",J1194*(1+IF(K1194="",0,K1194)) )</x:f>
      </x:c>
      <x:c r="M1194" s="138" t="str"/>
      <x:c r="N1194" s="137" t="str">
        <x:v>Current model BOM seed</x:v>
      </x:c>
      <x:c r="O1194" s="137" t="str"/>
      <x:c r="P1194" s="137" t="str">
        <x:v>To Confirm</x:v>
      </x:c>
      <x:c r="Q1194" s="137" t="str"/>
    </x:row>
    <x:row r="1195">
      <x:c r="A1195" s="137" t="str">
        <x:v>BOM-01191</x:v>
      </x:c>
      <x:c r="B1195" s="137" t="str">
        <x:v>SPIKE</x:v>
      </x:c>
      <x:c r="C1195" s="137" t="str">
        <x:v>PER ORDER (V/L)</x:v>
      </x:c>
      <x:c r="D1195" s="137" t="str">
        <x:v>6X8</x:v>
      </x:c>
      <x:c r="E1195" s="137" t="str">
        <x:v>PACKING</x:v>
      </x:c>
      <x:c r="F1195" s="137" t="str">
        <x:v>SHOE SHINER||GRAM</x:v>
      </x:c>
      <x:c r="G1195" s="137" t="str">
        <x:v>Shoe Shiner</x:v>
      </x:c>
      <x:c r="H1195" s="137" t="str">
        <x:v>GRAM</x:v>
      </x:c>
      <x:c r="I1195" s="175" t="n">
        <x:v>0.06666667</x:v>
      </x:c>
      <x:c r="J1195" s="176" t="str"/>
      <x:c r="K1195" s="177" t="str"/>
      <x:c r="L1195" s="178" t="str">
        <x:f>IF(J1195="","",J1195*(1+IF(K1195="",0,K1195)) )</x:f>
      </x:c>
      <x:c r="M1195" s="138" t="str"/>
      <x:c r="N1195" s="137" t="str">
        <x:v>Current model BOM seed</x:v>
      </x:c>
      <x:c r="O1195" s="137" t="str"/>
      <x:c r="P1195" s="137" t="str">
        <x:v>To Confirm</x:v>
      </x:c>
      <x:c r="Q1195" s="137" t="str"/>
    </x:row>
    <x:row r="1196">
      <x:c r="A1196" s="137" t="str">
        <x:v>BOM-01192</x:v>
      </x:c>
      <x:c r="B1196" s="137" t="str">
        <x:v>SPIKE</x:v>
      </x:c>
      <x:c r="C1196" s="137" t="str">
        <x:v>PER ORDER (V/L)</x:v>
      </x:c>
      <x:c r="D1196" s="137" t="str">
        <x:v>6X8</x:v>
      </x:c>
      <x:c r="E1196" s="137" t="str">
        <x:v>PACKING</x:v>
      </x:c>
      <x:c r="F1196" s="137" t="str">
        <x:v>EMYLE||GRAM</x:v>
      </x:c>
      <x:c r="G1196" s="137" t="str">
        <x:v>EMYLE</x:v>
      </x:c>
      <x:c r="H1196" s="137" t="str">
        <x:v>GRAM</x:v>
      </x:c>
      <x:c r="I1196" s="175" t="n">
        <x:v>0.07142857</x:v>
      </x:c>
      <x:c r="J1196" s="176" t="str"/>
      <x:c r="K1196" s="177" t="str"/>
      <x:c r="L1196" s="178" t="str">
        <x:f>IF(J1196="","",J1196*(1+IF(K1196="",0,K1196)) )</x:f>
      </x:c>
      <x:c r="M1196" s="138" t="str"/>
      <x:c r="N1196" s="137" t="str">
        <x:v>Current model BOM seed</x:v>
      </x:c>
      <x:c r="O1196" s="137" t="str"/>
      <x:c r="P1196" s="137" t="str">
        <x:v>To Confirm</x:v>
      </x:c>
      <x:c r="Q1196" s="137" t="str"/>
    </x:row>
    <x:row r="1197">
      <x:c r="A1197" s="137" t="str">
        <x:v>BOM-01193</x:v>
      </x:c>
      <x:c r="B1197" s="137" t="str">
        <x:v>SPIKE</x:v>
      </x:c>
      <x:c r="C1197" s="137" t="str">
        <x:v>PER ORDER (V/L)</x:v>
      </x:c>
      <x:c r="D1197" s="137" t="str">
        <x:v>6X8</x:v>
      </x:c>
      <x:c r="E1197" s="137" t="str">
        <x:v>PACKING</x:v>
      </x:c>
      <x:c r="F1197" s="137" t="str">
        <x:v>TAG PIN||PCS</x:v>
      </x:c>
      <x:c r="G1197" s="137" t="str">
        <x:v>Tag Pin</x:v>
      </x:c>
      <x:c r="H1197" s="137" t="str">
        <x:v>PCS</x:v>
      </x:c>
      <x:c r="I1197" s="175" t="n">
        <x:v>1</x:v>
      </x:c>
      <x:c r="J1197" s="176" t="str"/>
      <x:c r="K1197" s="177" t="str"/>
      <x:c r="L1197" s="178" t="str">
        <x:f>IF(J1197="","",J1197*(1+IF(K1197="",0,K1197)) )</x:f>
      </x:c>
      <x:c r="M1197" s="138" t="str"/>
      <x:c r="N1197" s="137" t="str">
        <x:v>Current model BOM seed</x:v>
      </x:c>
      <x:c r="O1197" s="137" t="str"/>
      <x:c r="P1197" s="137" t="str">
        <x:v>To Confirm</x:v>
      </x:c>
      <x:c r="Q1197" s="137" t="str"/>
    </x:row>
    <x:row r="1198">
      <x:c r="A1198" s="137" t="str">
        <x:v>BOM-01194</x:v>
      </x:c>
      <x:c r="B1198" s="137" t="str">
        <x:v>SPIKE</x:v>
      </x:c>
      <x:c r="C1198" s="137" t="str">
        <x:v>PER ORDER (V/L)</x:v>
      </x:c>
      <x:c r="D1198" s="137" t="str">
        <x:v>6X8</x:v>
      </x:c>
      <x:c r="E1198" s="137" t="str">
        <x:v>PACKING</x:v>
      </x:c>
      <x:c r="F1198" s="137" t="str">
        <x:v>TAG CARD||PCS</x:v>
      </x:c>
      <x:c r="G1198" s="137" t="str">
        <x:v>Tag Card</x:v>
      </x:c>
      <x:c r="H1198" s="137" t="str">
        <x:v>PCS</x:v>
      </x:c>
      <x:c r="I1198" s="175" t="n">
        <x:v>1</x:v>
      </x:c>
      <x:c r="J1198" s="176" t="str"/>
      <x:c r="K1198" s="177" t="str"/>
      <x:c r="L1198" s="178" t="str">
        <x:f>IF(J1198="","",J1198*(1+IF(K1198="",0,K1198)) )</x:f>
      </x:c>
      <x:c r="M1198" s="138" t="str"/>
      <x:c r="N1198" s="137" t="str">
        <x:v>Current model BOM seed</x:v>
      </x:c>
      <x:c r="O1198" s="137" t="str"/>
      <x:c r="P1198" s="137" t="str">
        <x:v>To Confirm</x:v>
      </x:c>
      <x:c r="Q1198" s="137" t="str"/>
    </x:row>
    <x:row r="1199">
      <x:c r="A1199" s="137" t="str">
        <x:v>BOM-01195</x:v>
      </x:c>
      <x:c r="B1199" s="137" t="str">
        <x:v>SPIKE</x:v>
      </x:c>
      <x:c r="C1199" s="137" t="str">
        <x:v>PER ORDER (V/L)</x:v>
      </x:c>
      <x:c r="D1199" s="137" t="str">
        <x:v>6X8</x:v>
      </x:c>
      <x:c r="E1199" s="137" t="str">
        <x:v>PACKING</x:v>
      </x:c>
      <x:c r="F1199" s="137" t="str">
        <x:v>WRAPING PAPER||PCS</x:v>
      </x:c>
      <x:c r="G1199" s="137" t="str">
        <x:v>Wraping Paper</x:v>
      </x:c>
      <x:c r="H1199" s="137" t="str">
        <x:v>PCS</x:v>
      </x:c>
      <x:c r="I1199" s="175" t="n">
        <x:v>1</x:v>
      </x:c>
      <x:c r="J1199" s="176" t="str"/>
      <x:c r="K1199" s="177" t="str"/>
      <x:c r="L1199" s="178" t="str">
        <x:f>IF(J1199="","",J1199*(1+IF(K1199="",0,K1199)) )</x:f>
      </x:c>
      <x:c r="M1199" s="138" t="str"/>
      <x:c r="N1199" s="137" t="str">
        <x:v>Current model BOM seed</x:v>
      </x:c>
      <x:c r="O1199" s="137" t="str"/>
      <x:c r="P1199" s="137" t="str">
        <x:v>To Confirm</x:v>
      </x:c>
      <x:c r="Q1199" s="137" t="str"/>
    </x:row>
    <x:row r="1200">
      <x:c r="A1200" s="137" t="str">
        <x:v>BOM-01196</x:v>
      </x:c>
      <x:c r="B1200" s="137" t="str">
        <x:v>SPIKE</x:v>
      </x:c>
      <x:c r="C1200" s="137" t="str">
        <x:v>PER ORDER (V/L)</x:v>
      </x:c>
      <x:c r="D1200" s="137" t="str">
        <x:v>6X8</x:v>
      </x:c>
      <x:c r="E1200" s="137" t="str">
        <x:v>PACKING</x:v>
      </x:c>
      <x:c r="F1200" s="137" t="str">
        <x:v>INNER||PCS</x:v>
      </x:c>
      <x:c r="G1200" s="137" t="str">
        <x:v>INNER</x:v>
      </x:c>
      <x:c r="H1200" s="137" t="str">
        <x:v>PCS</x:v>
      </x:c>
      <x:c r="I1200" s="175" t="n">
        <x:v>1</x:v>
      </x:c>
      <x:c r="J1200" s="176" t="str"/>
      <x:c r="K1200" s="177" t="str"/>
      <x:c r="L1200" s="178" t="str">
        <x:f>IF(J1200="","",J1200*(1+IF(K1200="",0,K1200)) )</x:f>
      </x:c>
      <x:c r="M1200" s="138" t="str"/>
      <x:c r="N1200" s="137" t="str">
        <x:v>Current model BOM seed</x:v>
      </x:c>
      <x:c r="O1200" s="137" t="str"/>
      <x:c r="P1200" s="137" t="str">
        <x:v>To Confirm</x:v>
      </x:c>
      <x:c r="Q1200" s="137" t="str"/>
    </x:row>
    <x:row r="1201">
      <x:c r="A1201" s="137" t="str">
        <x:v>BOM-01197</x:v>
      </x:c>
      <x:c r="B1201" s="137" t="str">
        <x:v>SPIKE</x:v>
      </x:c>
      <x:c r="C1201" s="137" t="str">
        <x:v>PER ORDER (V/L)</x:v>
      </x:c>
      <x:c r="D1201" s="137" t="str">
        <x:v>6X8</x:v>
      </x:c>
      <x:c r="E1201" s="137" t="str">
        <x:v>PACKING</x:v>
      </x:c>
      <x:c r="F1201" s="137" t="str">
        <x:v>BARCODE STICKER||PCS</x:v>
      </x:c>
      <x:c r="G1201" s="137" t="str">
        <x:v>Barcode Sticker</x:v>
      </x:c>
      <x:c r="H1201" s="137" t="str">
        <x:v>PCS</x:v>
      </x:c>
      <x:c r="I1201" s="175" t="n">
        <x:v>1</x:v>
      </x:c>
      <x:c r="J1201" s="176" t="str"/>
      <x:c r="K1201" s="177" t="str"/>
      <x:c r="L1201" s="178" t="str">
        <x:f>IF(J1201="","",J1201*(1+IF(K1201="",0,K1201)) )</x:f>
      </x:c>
      <x:c r="M1201" s="138" t="str"/>
      <x:c r="N1201" s="137" t="str">
        <x:v>Current model BOM seed</x:v>
      </x:c>
      <x:c r="O1201" s="137" t="str"/>
      <x:c r="P1201" s="137" t="str">
        <x:v>To Confirm</x:v>
      </x:c>
      <x:c r="Q1201" s="137" t="str"/>
    </x:row>
    <x:row r="1202">
      <x:c r="A1202" s="137" t="str">
        <x:v>BOM-01198</x:v>
      </x:c>
      <x:c r="B1202" s="137" t="str">
        <x:v>SPIKE</x:v>
      </x:c>
      <x:c r="C1202" s="137" t="str">
        <x:v>PER ORDER (V/L)</x:v>
      </x:c>
      <x:c r="D1202" s="137" t="str">
        <x:v>6X8</x:v>
      </x:c>
      <x:c r="E1202" s="137" t="str">
        <x:v>PACKING</x:v>
      </x:c>
      <x:c r="F1202" s="137" t="str">
        <x:v>CTN TAPE (1 CTN)||MTR</x:v>
      </x:c>
      <x:c r="G1202" s="137" t="str">
        <x:v>Ctn Tape (1 Ctn)</x:v>
      </x:c>
      <x:c r="H1202" s="137" t="str">
        <x:v>MTR</x:v>
      </x:c>
      <x:c r="I1202" s="175" t="n">
        <x:v>0.5</x:v>
      </x:c>
      <x:c r="J1202" s="176" t="str"/>
      <x:c r="K1202" s="177" t="str"/>
      <x:c r="L1202" s="178" t="str">
        <x:f>IF(J1202="","",J1202*(1+IF(K1202="",0,K1202)) )</x:f>
      </x:c>
      <x:c r="M1202" s="138" t="str"/>
      <x:c r="N1202" s="137" t="str">
        <x:v>Current model BOM seed</x:v>
      </x:c>
      <x:c r="O1202" s="137" t="str"/>
      <x:c r="P1202" s="137" t="str">
        <x:v>To Confirm</x:v>
      </x:c>
      <x:c r="Q1202" s="137" t="str"/>
    </x:row>
    <x:row r="1203">
      <x:c r="A1203" s="137" t="str">
        <x:v>BOM-01199</x:v>
      </x:c>
      <x:c r="B1203" s="137" t="str">
        <x:v>SPIKE</x:v>
      </x:c>
      <x:c r="C1203" s="137" t="str">
        <x:v>PER ORDER (V/L)</x:v>
      </x:c>
      <x:c r="D1203" s="137" t="str">
        <x:v>6X8</x:v>
      </x:c>
      <x:c r="E1203" s="137" t="str">
        <x:v>PACKING</x:v>
      </x:c>
      <x:c r="F1203" s="137" t="str">
        <x:v>STRAPING ROLL (1CTN)||MTR</x:v>
      </x:c>
      <x:c r="G1203" s="137" t="str">
        <x:v>Straping Roll (1Ctn)</x:v>
      </x:c>
      <x:c r="H1203" s="137" t="str">
        <x:v>MTR</x:v>
      </x:c>
      <x:c r="I1203" s="175" t="n">
        <x:v>0.25</x:v>
      </x:c>
      <x:c r="J1203" s="176" t="str"/>
      <x:c r="K1203" s="177" t="str"/>
      <x:c r="L1203" s="178" t="str">
        <x:f>IF(J1203="","",J1203*(1+IF(K1203="",0,K1203)) )</x:f>
      </x:c>
      <x:c r="M1203" s="138" t="str"/>
      <x:c r="N1203" s="137" t="str">
        <x:v>Current model BOM seed</x:v>
      </x:c>
      <x:c r="O1203" s="137" t="str"/>
      <x:c r="P1203" s="137" t="str">
        <x:v>To Confirm</x:v>
      </x:c>
      <x:c r="Q1203" s="137" t="str"/>
    </x:row>
    <x:row r="1204">
      <x:c r="A1204" s="137" t="str">
        <x:v>BOM-01200</x:v>
      </x:c>
      <x:c r="B1204" s="137" t="str">
        <x:v>SPIKE</x:v>
      </x:c>
      <x:c r="C1204" s="137" t="str">
        <x:v>PER ORDER (V/L)</x:v>
      </x:c>
      <x:c r="D1204" s="137" t="str">
        <x:v>6X8</x:v>
      </x:c>
      <x:c r="E1204" s="137" t="str">
        <x:v>STITCHING</x:v>
      </x:c>
      <x:c r="F1204" s="137" t="str">
        <x:v>THREAD 3 PLY||MTR</x:v>
      </x:c>
      <x:c r="G1204" s="137" t="str">
        <x:v>Thread 3 Ply</x:v>
      </x:c>
      <x:c r="H1204" s="137" t="str">
        <x:v>MTR</x:v>
      </x:c>
      <x:c r="I1204" s="175" t="n">
        <x:v>25.86206897</x:v>
      </x:c>
      <x:c r="J1204" s="176" t="str"/>
      <x:c r="K1204" s="177" t="str"/>
      <x:c r="L1204" s="178" t="str">
        <x:f>IF(J1204="","",J1204*(1+IF(K1204="",0,K1204)) )</x:f>
      </x:c>
      <x:c r="M1204" s="138" t="str"/>
      <x:c r="N1204" s="137" t="str">
        <x:v>Current model BOM seed</x:v>
      </x:c>
      <x:c r="O1204" s="137" t="str"/>
      <x:c r="P1204" s="137" t="str">
        <x:v>To Confirm</x:v>
      </x:c>
      <x:c r="Q1204" s="137" t="str"/>
    </x:row>
    <x:row r="1205">
      <x:c r="A1205" s="137" t="str">
        <x:v>BOM-01201</x:v>
      </x:c>
      <x:c r="B1205" s="137" t="str">
        <x:v>SPIKE</x:v>
      </x:c>
      <x:c r="C1205" s="137" t="str">
        <x:v>PER ORDER (V/L)</x:v>
      </x:c>
      <x:c r="D1205" s="137" t="str">
        <x:v>6X8</x:v>
      </x:c>
      <x:c r="E1205" s="137" t="str">
        <x:v>STITCHING</x:v>
      </x:c>
      <x:c r="F1205" s="137" t="str">
        <x:v>SIZE LABEL||PCS</x:v>
      </x:c>
      <x:c r="G1205" s="137" t="str">
        <x:v>SIZE LABEL</x:v>
      </x:c>
      <x:c r="H1205" s="137" t="str">
        <x:v>PCS</x:v>
      </x:c>
      <x:c r="I1205" s="175" t="n">
        <x:v>0.5</x:v>
      </x:c>
      <x:c r="J1205" s="176" t="str"/>
      <x:c r="K1205" s="177" t="str"/>
      <x:c r="L1205" s="178" t="str">
        <x:f>IF(J1205="","",J1205*(1+IF(K1205="",0,K1205)) )</x:f>
      </x:c>
      <x:c r="M1205" s="138" t="str"/>
      <x:c r="N1205" s="137" t="str">
        <x:v>Current model BOM seed</x:v>
      </x:c>
      <x:c r="O1205" s="137" t="str"/>
      <x:c r="P1205" s="137" t="str">
        <x:v>To Confirm</x:v>
      </x:c>
      <x:c r="Q1205" s="137" t="str"/>
    </x:row>
    <x:row r="1206">
      <x:c r="A1206" s="137" t="str">
        <x:v>BOM-01202</x:v>
      </x:c>
      <x:c r="B1206" s="137" t="str">
        <x:v>SPIKE</x:v>
      </x:c>
      <x:c r="C1206" s="137" t="str">
        <x:v>PER ORDER (V/L)</x:v>
      </x:c>
      <x:c r="D1206" s="137" t="str">
        <x:v>6X8</x:v>
      </x:c>
      <x:c r="E1206" s="137" t="str">
        <x:v>STITCHING</x:v>
      </x:c>
      <x:c r="F1206" s="137" t="str">
        <x:v>PF-48 BLACK||PCS</x:v>
      </x:c>
      <x:c r="G1206" s="137" t="str">
        <x:v>Pf-48 Black</x:v>
      </x:c>
      <x:c r="H1206" s="137" t="str">
        <x:v>PCS</x:v>
      </x:c>
      <x:c r="I1206" s="175" t="n">
        <x:v>0</x:v>
      </x:c>
      <x:c r="J1206" s="176" t="str"/>
      <x:c r="K1206" s="177" t="str"/>
      <x:c r="L1206" s="178" t="str">
        <x:f>IF(J1206="","",J1206*(1+IF(K1206="",0,K1206)) )</x:f>
      </x:c>
      <x:c r="M1206" s="138" t="str"/>
      <x:c r="N1206" s="137" t="str">
        <x:v>Current model BOM seed</x:v>
      </x:c>
      <x:c r="O1206" s="137" t="str"/>
      <x:c r="P1206" s="137" t="str">
        <x:v>To Confirm</x:v>
      </x:c>
      <x:c r="Q1206" s="137" t="str"/>
    </x:row>
    <x:row r="1207">
      <x:c r="A1207" s="137" t="str">
        <x:v>BOM-01203</x:v>
      </x:c>
      <x:c r="B1207" s="137" t="str">
        <x:v>SPIKE</x:v>
      </x:c>
      <x:c r="C1207" s="137" t="str">
        <x:v>PER ORDER (V/L)</x:v>
      </x:c>
      <x:c r="D1207" s="137" t="str">
        <x:v>6X8</x:v>
      </x:c>
      <x:c r="E1207" s="137" t="str">
        <x:v>STITCHING</x:v>
      </x:c>
      <x:c r="F1207" s="137" t="str">
        <x:v>PF-3 BLACK||PCS</x:v>
      </x:c>
      <x:c r="G1207" s="137" t="str">
        <x:v>Pf-3 Black</x:v>
      </x:c>
      <x:c r="H1207" s="137" t="str">
        <x:v>PCS</x:v>
      </x:c>
      <x:c r="I1207" s="175" t="n">
        <x:v>0.25</x:v>
      </x:c>
      <x:c r="J1207" s="176" t="str"/>
      <x:c r="K1207" s="177" t="str"/>
      <x:c r="L1207" s="178" t="str">
        <x:f>IF(J1207="","",J1207*(1+IF(K1207="",0,K1207)) )</x:f>
      </x:c>
      <x:c r="M1207" s="138" t="str"/>
      <x:c r="N1207" s="137" t="str">
        <x:v>Current model BOM seed</x:v>
      </x:c>
      <x:c r="O1207" s="137" t="str"/>
      <x:c r="P1207" s="137" t="str">
        <x:v>To Confirm</x:v>
      </x:c>
      <x:c r="Q1207" s="137" t="str"/>
    </x:row>
    <x:row r="1208">
      <x:c r="A1208" s="137" t="str">
        <x:v>BOM-01204</x:v>
      </x:c>
      <x:c r="B1208" s="137" t="str">
        <x:v>SPIKE</x:v>
      </x:c>
      <x:c r="C1208" s="137" t="str">
        <x:v>PER ORDER (V/L)</x:v>
      </x:c>
      <x:c r="D1208" s="137" t="str">
        <x:v>6X8</x:v>
      </x:c>
      <x:c r="E1208" s="137" t="str">
        <x:v>STITCHING</x:v>
      </x:c>
      <x:c r="F1208" s="137" t="str">
        <x:v>VELCRO 20 MM HOOK||MTR</x:v>
      </x:c>
      <x:c r="G1208" s="137" t="str">
        <x:v>VELCRO 20 MM HOOK</x:v>
      </x:c>
      <x:c r="H1208" s="137" t="str">
        <x:v>MTR</x:v>
      </x:c>
      <x:c r="I1208" s="175" t="n">
        <x:v>0</x:v>
      </x:c>
      <x:c r="J1208" s="176" t="str"/>
      <x:c r="K1208" s="177" t="str"/>
      <x:c r="L1208" s="178" t="str">
        <x:f>IF(J1208="","",J1208*(1+IF(K1208="",0,K1208)) )</x:f>
      </x:c>
      <x:c r="M1208" s="138" t="str"/>
      <x:c r="N1208" s="137" t="str">
        <x:v>Current model BOM seed</x:v>
      </x:c>
      <x:c r="O1208" s="137" t="str"/>
      <x:c r="P1208" s="137" t="str">
        <x:v>To Confirm</x:v>
      </x:c>
      <x:c r="Q1208" s="137" t="str"/>
    </x:row>
    <x:row r="1209">
      <x:c r="A1209" s="137" t="str">
        <x:v>BOM-01205</x:v>
      </x:c>
      <x:c r="B1209" s="137" t="str">
        <x:v>SPIKE</x:v>
      </x:c>
      <x:c r="C1209" s="137" t="str">
        <x:v>PER ORDER (V/L)</x:v>
      </x:c>
      <x:c r="D1209" s="137" t="str">
        <x:v>6X8</x:v>
      </x:c>
      <x:c r="E1209" s="137" t="str">
        <x:v>STITCHING</x:v>
      </x:c>
      <x:c r="F1209" s="137" t="str">
        <x:v>VELCRO 20 MM LOOP||MTR</x:v>
      </x:c>
      <x:c r="G1209" s="137" t="str">
        <x:v>VELCRO 20 MM LOOP</x:v>
      </x:c>
      <x:c r="H1209" s="137" t="str">
        <x:v>MTR</x:v>
      </x:c>
      <x:c r="I1209" s="175" t="n">
        <x:v>0</x:v>
      </x:c>
      <x:c r="J1209" s="176" t="str"/>
      <x:c r="K1209" s="177" t="str"/>
      <x:c r="L1209" s="178" t="str">
        <x:f>IF(J1209="","",J1209*(1+IF(K1209="",0,K1209)) )</x:f>
      </x:c>
      <x:c r="M1209" s="138" t="str"/>
      <x:c r="N1209" s="137" t="str">
        <x:v>Current model BOM seed</x:v>
      </x:c>
      <x:c r="O1209" s="137" t="str"/>
      <x:c r="P1209" s="137" t="str">
        <x:v>To Confirm</x:v>
      </x:c>
      <x:c r="Q1209" s="137" t="str"/>
    </x:row>
    <x:row r="1210">
      <x:c r="A1210" s="137" t="str">
        <x:v>BOM-01206</x:v>
      </x:c>
      <x:c r="B1210" s="137" t="str">
        <x:v>SPIKE</x:v>
      </x:c>
      <x:c r="C1210" s="137" t="str">
        <x:v>PER ORDER (V/L)</x:v>
      </x:c>
      <x:c r="D1210" s="137" t="str">
        <x:v>6X8</x:v>
      </x:c>
      <x:c r="E1210" s="137" t="str">
        <x:v>STITCHING</x:v>
      </x:c>
      <x:c r="F1210" s="137" t="str">
        <x:v>VELCRO 25 MM HOOK||MTR</x:v>
      </x:c>
      <x:c r="G1210" s="137" t="str">
        <x:v>VELCRO 25 MM HOOK</x:v>
      </x:c>
      <x:c r="H1210" s="137" t="str">
        <x:v>MTR</x:v>
      </x:c>
      <x:c r="I1210" s="175" t="n">
        <x:v>0.02631579</x:v>
      </x:c>
      <x:c r="J1210" s="176" t="str"/>
      <x:c r="K1210" s="177" t="str"/>
      <x:c r="L1210" s="178" t="str">
        <x:f>IF(J1210="","",J1210*(1+IF(K1210="",0,K1210)) )</x:f>
      </x:c>
      <x:c r="M1210" s="138" t="str"/>
      <x:c r="N1210" s="137" t="str">
        <x:v>Current model BOM seed</x:v>
      </x:c>
      <x:c r="O1210" s="137" t="str"/>
      <x:c r="P1210" s="137" t="str">
        <x:v>To Confirm</x:v>
      </x:c>
      <x:c r="Q1210" s="137" t="str"/>
    </x:row>
    <x:row r="1211">
      <x:c r="A1211" s="137" t="str">
        <x:v>BOM-01207</x:v>
      </x:c>
      <x:c r="B1211" s="137" t="str">
        <x:v>SPIKE</x:v>
      </x:c>
      <x:c r="C1211" s="137" t="str">
        <x:v>PER ORDER (V/L)</x:v>
      </x:c>
      <x:c r="D1211" s="137" t="str">
        <x:v>6X8</x:v>
      </x:c>
      <x:c r="E1211" s="137" t="str">
        <x:v>STITCHING</x:v>
      </x:c>
      <x:c r="F1211" s="137" t="str">
        <x:v>VELCRO 25 MM LOOP||MTR</x:v>
      </x:c>
      <x:c r="G1211" s="137" t="str">
        <x:v>VELCRO 25 MM LOOP</x:v>
      </x:c>
      <x:c r="H1211" s="137" t="str">
        <x:v>MTR</x:v>
      </x:c>
      <x:c r="I1211" s="175" t="n">
        <x:v>0.02631579</x:v>
      </x:c>
      <x:c r="J1211" s="176" t="str"/>
      <x:c r="K1211" s="177" t="str"/>
      <x:c r="L1211" s="178" t="str">
        <x:f>IF(J1211="","",J1211*(1+IF(K1211="",0,K1211)) )</x:f>
      </x:c>
      <x:c r="M1211" s="138" t="str"/>
      <x:c r="N1211" s="137" t="str">
        <x:v>Current model BOM seed</x:v>
      </x:c>
      <x:c r="O1211" s="137" t="str"/>
      <x:c r="P1211" s="137" t="str">
        <x:v>To Confirm</x:v>
      </x:c>
      <x:c r="Q1211" s="137" t="str"/>
    </x:row>
    <x:row r="1212">
      <x:c r="A1212" s="137" t="str">
        <x:v>BOM-01208</x:v>
      </x:c>
      <x:c r="B1212" s="137" t="str">
        <x:v>SPIKE</x:v>
      </x:c>
      <x:c r="C1212" s="137" t="str">
        <x:v>PER ORDER (V/L)</x:v>
      </x:c>
      <x:c r="D1212" s="137" t="str">
        <x:v>6X8</x:v>
      </x:c>
      <x:c r="E1212" s="137" t="str">
        <x:v>STITCHING</x:v>
      </x:c>
      <x:c r="F1212" s="137" t="str">
        <x:v>LYCRA BINDING||CM</x:v>
      </x:c>
      <x:c r="G1212" s="137" t="str">
        <x:v>Lycra Binding</x:v>
      </x:c>
      <x:c r="H1212" s="137" t="str">
        <x:v>CM</x:v>
      </x:c>
      <x:c r="I1212" s="175" t="n">
        <x:v>12.5</x:v>
      </x:c>
      <x:c r="J1212" s="176" t="str"/>
      <x:c r="K1212" s="177" t="str"/>
      <x:c r="L1212" s="178" t="str">
        <x:f>IF(J1212="","",J1212*(1+IF(K1212="",0,K1212)) )</x:f>
      </x:c>
      <x:c r="M1212" s="138" t="str"/>
      <x:c r="N1212" s="137" t="str">
        <x:v>Current model BOM seed</x:v>
      </x:c>
      <x:c r="O1212" s="137" t="str"/>
      <x:c r="P1212" s="137" t="str">
        <x:v>To Confirm</x:v>
      </x:c>
      <x:c r="Q1212" s="137" t="str"/>
    </x:row>
    <x:row r="1213">
      <x:c r="A1213" s="137" t="str">
        <x:v>BOM-01209</x:v>
      </x:c>
      <x:c r="B1213" s="137" t="str">
        <x:v>SPIKE</x:v>
      </x:c>
      <x:c r="C1213" s="137" t="str">
        <x:v>PER ORDER (V/L)</x:v>
      </x:c>
      <x:c r="D1213" s="137" t="str">
        <x:v>6X8</x:v>
      </x:c>
      <x:c r="E1213" s="137" t="str">
        <x:v>STITCHING</x:v>
      </x:c>
      <x:c r="F1213" s="137" t="str">
        <x:v>BACK TAPE 14 MM||MTR</x:v>
      </x:c>
      <x:c r="G1213" s="137" t="str">
        <x:v>BACK TAPE 14 MM</x:v>
      </x:c>
      <x:c r="H1213" s="137" t="str">
        <x:v>MTR</x:v>
      </x:c>
      <x:c r="I1213" s="175" t="n">
        <x:v>0.04761905</x:v>
      </x:c>
      <x:c r="J1213" s="176" t="str"/>
      <x:c r="K1213" s="177" t="str"/>
      <x:c r="L1213" s="178" t="str">
        <x:f>IF(J1213="","",J1213*(1+IF(K1213="",0,K1213)) )</x:f>
      </x:c>
      <x:c r="M1213" s="138" t="str"/>
      <x:c r="N1213" s="137" t="str">
        <x:v>Current model BOM seed</x:v>
      </x:c>
      <x:c r="O1213" s="137" t="str"/>
      <x:c r="P1213" s="137" t="str">
        <x:v>To Confirm</x:v>
      </x:c>
      <x:c r="Q1213" s="137" t="str"/>
    </x:row>
    <x:row r="1214">
      <x:c r="A1214" s="137" t="str">
        <x:v>BOM-01210</x:v>
      </x:c>
      <x:c r="B1214" s="137" t="str">
        <x:v>SPIKE</x:v>
      </x:c>
      <x:c r="C1214" s="137" t="str">
        <x:v>PER ORDER (V/L)</x:v>
      </x:c>
      <x:c r="D1214" s="137" t="str">
        <x:v>9X12</x:v>
      </x:c>
      <x:c r="E1214" s="137" t="str">
        <x:v>CUTTING</x:v>
      </x:c>
      <x:c r="F1214" s="137" t="str">
        <x:v>MESH 58"||MTR</x:v>
      </x:c>
      <x:c r="G1214" s="137" t="str">
        <x:v>Mesh 58"</x:v>
      </x:c>
      <x:c r="H1214" s="137" t="str">
        <x:v>MTR</x:v>
      </x:c>
      <x:c r="I1214" s="175" t="n">
        <x:v>0.13194444</x:v>
      </x:c>
      <x:c r="J1214" s="176" t="str"/>
      <x:c r="K1214" s="177" t="str"/>
      <x:c r="L1214" s="178" t="str">
        <x:f>IF(J1214="","",J1214*(1+IF(K1214="",0,K1214)) )</x:f>
      </x:c>
      <x:c r="M1214" s="138" t="str"/>
      <x:c r="N1214" s="137" t="str">
        <x:v>Current model BOM seed</x:v>
      </x:c>
      <x:c r="O1214" s="137" t="str"/>
      <x:c r="P1214" s="137" t="str">
        <x:v>To Confirm</x:v>
      </x:c>
      <x:c r="Q1214" s="137" t="str"/>
    </x:row>
    <x:row r="1215">
      <x:c r="A1215" s="137" t="str">
        <x:v>BOM-01211</x:v>
      </x:c>
      <x:c r="B1215" s="137" t="str">
        <x:v>SPIKE</x:v>
      </x:c>
      <x:c r="C1215" s="137" t="str">
        <x:v>PER ORDER (V/L)</x:v>
      </x:c>
      <x:c r="D1215" s="137" t="str">
        <x:v>9X12</x:v>
      </x:c>
      <x:c r="E1215" s="137" t="str">
        <x:v>CUTTING</x:v>
      </x:c>
      <x:c r="F1215" s="137" t="str">
        <x:v>SKINFIT 60"||MTR</x:v>
      </x:c>
      <x:c r="G1215" s="137" t="str">
        <x:v>Skinfit 60"</x:v>
      </x:c>
      <x:c r="H1215" s="137" t="str">
        <x:v>MTR</x:v>
      </x:c>
      <x:c r="I1215" s="175" t="n">
        <x:v>0.07638889</x:v>
      </x:c>
      <x:c r="J1215" s="176" t="str"/>
      <x:c r="K1215" s="177" t="str"/>
      <x:c r="L1215" s="178" t="str">
        <x:f>IF(J1215="","",J1215*(1+IF(K1215="",0,K1215)) )</x:f>
      </x:c>
      <x:c r="M1215" s="138" t="str"/>
      <x:c r="N1215" s="137" t="str">
        <x:v>Current model BOM seed</x:v>
      </x:c>
      <x:c r="O1215" s="137" t="str"/>
      <x:c r="P1215" s="137" t="str">
        <x:v>To Confirm</x:v>
      </x:c>
      <x:c r="Q1215" s="137" t="str"/>
    </x:row>
    <x:row r="1216">
      <x:c r="A1216" s="137" t="str">
        <x:v>BOM-01212</x:v>
      </x:c>
      <x:c r="B1216" s="137" t="str">
        <x:v>SPIKE</x:v>
      </x:c>
      <x:c r="C1216" s="137" t="str">
        <x:v>PER ORDER (V/L)</x:v>
      </x:c>
      <x:c r="D1216" s="137" t="str">
        <x:v>9X12</x:v>
      </x:c>
      <x:c r="E1216" s="137" t="str">
        <x:v>CUTTING</x:v>
      </x:c>
      <x:c r="F1216" s="137" t="str">
        <x:v>REXINE 54"||MTR</x:v>
      </x:c>
      <x:c r="G1216" s="137" t="str">
        <x:v>Rexine 54"</x:v>
      </x:c>
      <x:c r="H1216" s="137" t="str">
        <x:v>MTR</x:v>
      </x:c>
      <x:c r="I1216" s="175" t="n">
        <x:v>0.06519085</x:v>
      </x:c>
      <x:c r="J1216" s="176" t="str"/>
      <x:c r="K1216" s="177" t="str"/>
      <x:c r="L1216" s="178" t="str">
        <x:f>IF(J1216="","",J1216*(1+IF(K1216="",0,K1216)) )</x:f>
      </x:c>
      <x:c r="M1216" s="138" t="str"/>
      <x:c r="N1216" s="137" t="str">
        <x:v>Current model BOM seed</x:v>
      </x:c>
      <x:c r="O1216" s="137" t="str"/>
      <x:c r="P1216" s="137" t="str">
        <x:v>To Confirm</x:v>
      </x:c>
      <x:c r="Q1216" s="137" t="str"/>
    </x:row>
    <x:row r="1217">
      <x:c r="A1217" s="137" t="str">
        <x:v>BOM-01213</x:v>
      </x:c>
      <x:c r="B1217" s="137" t="str">
        <x:v>SPIKE</x:v>
      </x:c>
      <x:c r="C1217" s="137" t="str">
        <x:v>PER ORDER (V/L)</x:v>
      </x:c>
      <x:c r="D1217" s="137" t="str">
        <x:v>9X12</x:v>
      </x:c>
      <x:c r="E1217" s="137" t="str">
        <x:v>CUTTING</x:v>
      </x:c>
      <x:c r="F1217" s="137" t="str">
        <x:v>SHEET 1.4MM||SHEET</x:v>
      </x:c>
      <x:c r="G1217" s="137" t="str">
        <x:v>Sheet 1.4Mm</x:v>
      </x:c>
      <x:c r="H1217" s="137" t="str">
        <x:v>SHEET</x:v>
      </x:c>
      <x:c r="I1217" s="175" t="n">
        <x:v>0.01239157</x:v>
      </x:c>
      <x:c r="J1217" s="176" t="str"/>
      <x:c r="K1217" s="177" t="str"/>
      <x:c r="L1217" s="178" t="str">
        <x:f>IF(J1217="","",J1217*(1+IF(K1217="",0,K1217)) )</x:f>
      </x:c>
      <x:c r="M1217" s="138" t="str"/>
      <x:c r="N1217" s="137" t="str">
        <x:v>Current model BOM seed</x:v>
      </x:c>
      <x:c r="O1217" s="137" t="str"/>
      <x:c r="P1217" s="137" t="str">
        <x:v>To Confirm</x:v>
      </x:c>
      <x:c r="Q1217" s="137" t="str"/>
    </x:row>
    <x:row r="1218">
      <x:c r="A1218" s="137" t="str">
        <x:v>BOM-01214</x:v>
      </x:c>
      <x:c r="B1218" s="137" t="str">
        <x:v>SPIKE</x:v>
      </x:c>
      <x:c r="C1218" s="137" t="str">
        <x:v>PER ORDER (V/L)</x:v>
      </x:c>
      <x:c r="D1218" s="137" t="str">
        <x:v>9X12</x:v>
      </x:c>
      <x:c r="E1218" s="137" t="str">
        <x:v>CUTTING</x:v>
      </x:c>
      <x:c r="F1218" s="137" t="str">
        <x:v>SHEET 20MM||SHEET</x:v>
      </x:c>
      <x:c r="G1218" s="137" t="str">
        <x:v>Sheet 20Mm</x:v>
      </x:c>
      <x:c r="H1218" s="137" t="str">
        <x:v>SHEET</x:v>
      </x:c>
      <x:c r="I1218" s="175" t="n">
        <x:v>0.01680672</x:v>
      </x:c>
      <x:c r="J1218" s="176" t="str"/>
      <x:c r="K1218" s="177" t="str"/>
      <x:c r="L1218" s="178" t="str">
        <x:f>IF(J1218="","",J1218*(1+IF(K1218="",0,K1218)) )</x:f>
      </x:c>
      <x:c r="M1218" s="138" t="str"/>
      <x:c r="N1218" s="137" t="str">
        <x:v>Current model BOM seed</x:v>
      </x:c>
      <x:c r="O1218" s="137" t="str"/>
      <x:c r="P1218" s="137" t="str">
        <x:v>To Confirm</x:v>
      </x:c>
      <x:c r="Q1218" s="137" t="str"/>
    </x:row>
    <x:row r="1219">
      <x:c r="A1219" s="137" t="str">
        <x:v>BOM-01215</x:v>
      </x:c>
      <x:c r="B1219" s="137" t="str">
        <x:v>SPIKE</x:v>
      </x:c>
      <x:c r="C1219" s="137" t="str">
        <x:v>PER ORDER (V/L)</x:v>
      </x:c>
      <x:c r="D1219" s="137" t="str">
        <x:v>9X12</x:v>
      </x:c>
      <x:c r="E1219" s="137" t="str">
        <x:v>CUTTING</x:v>
      </x:c>
      <x:c r="F1219" s="137" t="str">
        <x:v>SHEET 0.8MM||SHEET</x:v>
      </x:c>
      <x:c r="G1219" s="137" t="str">
        <x:v>Sheet 0.8Mm</x:v>
      </x:c>
      <x:c r="H1219" s="137" t="str">
        <x:v>SHEET</x:v>
      </x:c>
      <x:c r="I1219" s="175" t="n">
        <x:v>0.01234568</x:v>
      </x:c>
      <x:c r="J1219" s="176" t="str"/>
      <x:c r="K1219" s="177" t="str"/>
      <x:c r="L1219" s="178" t="str">
        <x:f>IF(J1219="","",J1219*(1+IF(K1219="",0,K1219)) )</x:f>
      </x:c>
      <x:c r="M1219" s="138" t="str"/>
      <x:c r="N1219" s="137" t="str">
        <x:v>Current model BOM seed</x:v>
      </x:c>
      <x:c r="O1219" s="137" t="str"/>
      <x:c r="P1219" s="137" t="str">
        <x:v>To Confirm</x:v>
      </x:c>
      <x:c r="Q1219" s="137" t="str"/>
    </x:row>
    <x:row r="1220">
      <x:c r="A1220" s="137" t="str">
        <x:v>BOM-01216</x:v>
      </x:c>
      <x:c r="B1220" s="137" t="str">
        <x:v>SPIKE</x:v>
      </x:c>
      <x:c r="C1220" s="137" t="str">
        <x:v>PER ORDER (V/L)</x:v>
      </x:c>
      <x:c r="D1220" s="137" t="str">
        <x:v>9X12</x:v>
      </x:c>
      <x:c r="E1220" s="137" t="str">
        <x:v>CUTTING</x:v>
      </x:c>
      <x:c r="F1220" s="137" t="str">
        <x:v>INSOLE||PAIR</x:v>
      </x:c>
      <x:c r="G1220" s="137" t="str">
        <x:v>INSOLE</x:v>
      </x:c>
      <x:c r="H1220" s="137" t="str">
        <x:v>PAIR</x:v>
      </x:c>
      <x:c r="I1220" s="175" t="n">
        <x:v>2</x:v>
      </x:c>
      <x:c r="J1220" s="176" t="str"/>
      <x:c r="K1220" s="177" t="str"/>
      <x:c r="L1220" s="178" t="str">
        <x:f>IF(J1220="","",J1220*(1+IF(K1220="",0,K1220)) )</x:f>
      </x:c>
      <x:c r="M1220" s="138" t="str"/>
      <x:c r="N1220" s="137" t="str">
        <x:v>Current model BOM seed</x:v>
      </x:c>
      <x:c r="O1220" s="137" t="str"/>
      <x:c r="P1220" s="137" t="str">
        <x:v>To Confirm</x:v>
      </x:c>
      <x:c r="Q1220" s="137" t="str"/>
    </x:row>
    <x:row r="1221">
      <x:c r="A1221" s="137" t="str">
        <x:v>BOM-01217</x:v>
      </x:c>
      <x:c r="B1221" s="137" t="str">
        <x:v>SPIKE</x:v>
      </x:c>
      <x:c r="C1221" s="137" t="str">
        <x:v>PER ORDER (V/L)</x:v>
      </x:c>
      <x:c r="D1221" s="137" t="str">
        <x:v>9X12</x:v>
      </x:c>
      <x:c r="E1221" s="137" t="str">
        <x:v>MOLDING</x:v>
      </x:c>
      <x:c r="F1221" s="137" t="str">
        <x:v>SOLE 1231 EVA||PAIR</x:v>
      </x:c>
      <x:c r="G1221" s="137" t="str">
        <x:v>Sole 1231 EVA</x:v>
      </x:c>
      <x:c r="H1221" s="137" t="str">
        <x:v>PAIR</x:v>
      </x:c>
      <x:c r="I1221" s="175" t="n">
        <x:v>2</x:v>
      </x:c>
      <x:c r="J1221" s="176" t="str"/>
      <x:c r="K1221" s="177" t="str"/>
      <x:c r="L1221" s="178" t="str">
        <x:f>IF(J1221="","",J1221*(1+IF(K1221="",0,K1221)) )</x:f>
      </x:c>
      <x:c r="M1221" s="138" t="str"/>
      <x:c r="N1221" s="137" t="str">
        <x:v>Current model BOM seed</x:v>
      </x:c>
      <x:c r="O1221" s="137" t="str"/>
      <x:c r="P1221" s="137" t="str">
        <x:v>To Confirm</x:v>
      </x:c>
      <x:c r="Q1221" s="137" t="str"/>
    </x:row>
    <x:row r="1222">
      <x:c r="A1222" s="137" t="str">
        <x:v>BOM-01218</x:v>
      </x:c>
      <x:c r="B1222" s="137" t="str">
        <x:v>SPIKE</x:v>
      </x:c>
      <x:c r="C1222" s="137" t="str">
        <x:v>PER ORDER (V/L)</x:v>
      </x:c>
      <x:c r="D1222" s="137" t="str">
        <x:v>9X12</x:v>
      </x:c>
      <x:c r="E1222" s="137" t="str">
        <x:v>PACKING</x:v>
      </x:c>
      <x:c r="F1222" s="137" t="str">
        <x:v>TISSUE PAPER||PCS</x:v>
      </x:c>
      <x:c r="G1222" s="137" t="str">
        <x:v>Tissue Paper</x:v>
      </x:c>
      <x:c r="H1222" s="137" t="str">
        <x:v>PCS</x:v>
      </x:c>
      <x:c r="I1222" s="175" t="n">
        <x:v>0.25</x:v>
      </x:c>
      <x:c r="J1222" s="176" t="str"/>
      <x:c r="K1222" s="177" t="str"/>
      <x:c r="L1222" s="178" t="str">
        <x:f>IF(J1222="","",J1222*(1+IF(K1222="",0,K1222)) )</x:f>
      </x:c>
      <x:c r="M1222" s="138" t="str"/>
      <x:c r="N1222" s="137" t="str">
        <x:v>Current model BOM seed</x:v>
      </x:c>
      <x:c r="O1222" s="137" t="str"/>
      <x:c r="P1222" s="137" t="str">
        <x:v>To Confirm</x:v>
      </x:c>
      <x:c r="Q1222" s="137" t="str"/>
    </x:row>
    <x:row r="1223">
      <x:c r="A1223" s="137" t="str">
        <x:v>BOM-01219</x:v>
      </x:c>
      <x:c r="B1223" s="137" t="str">
        <x:v>SPIKE</x:v>
      </x:c>
      <x:c r="C1223" s="137" t="str">
        <x:v>PER ORDER (V/L)</x:v>
      </x:c>
      <x:c r="D1223" s="137" t="str">
        <x:v>9X12</x:v>
      </x:c>
      <x:c r="E1223" s="137" t="str">
        <x:v>PACKING</x:v>
      </x:c>
      <x:c r="F1223" s="137" t="str">
        <x:v>SHOE SHINER||GRAM</x:v>
      </x:c>
      <x:c r="G1223" s="137" t="str">
        <x:v>Shoe Shiner</x:v>
      </x:c>
      <x:c r="H1223" s="137" t="str">
        <x:v>GRAM</x:v>
      </x:c>
      <x:c r="I1223" s="175" t="n">
        <x:v>0.06666667</x:v>
      </x:c>
      <x:c r="J1223" s="176" t="str"/>
      <x:c r="K1223" s="177" t="str"/>
      <x:c r="L1223" s="178" t="str">
        <x:f>IF(J1223="","",J1223*(1+IF(K1223="",0,K1223)) )</x:f>
      </x:c>
      <x:c r="M1223" s="138" t="str"/>
      <x:c r="N1223" s="137" t="str">
        <x:v>Current model BOM seed</x:v>
      </x:c>
      <x:c r="O1223" s="137" t="str"/>
      <x:c r="P1223" s="137" t="str">
        <x:v>To Confirm</x:v>
      </x:c>
      <x:c r="Q1223" s="137" t="str"/>
    </x:row>
    <x:row r="1224">
      <x:c r="A1224" s="137" t="str">
        <x:v>BOM-01220</x:v>
      </x:c>
      <x:c r="B1224" s="137" t="str">
        <x:v>SPIKE</x:v>
      </x:c>
      <x:c r="C1224" s="137" t="str">
        <x:v>PER ORDER (V/L)</x:v>
      </x:c>
      <x:c r="D1224" s="137" t="str">
        <x:v>9X12</x:v>
      </x:c>
      <x:c r="E1224" s="137" t="str">
        <x:v>PACKING</x:v>
      </x:c>
      <x:c r="F1224" s="137" t="str">
        <x:v>EMYLE||GRAM</x:v>
      </x:c>
      <x:c r="G1224" s="137" t="str">
        <x:v>EMYLE</x:v>
      </x:c>
      <x:c r="H1224" s="137" t="str">
        <x:v>GRAM</x:v>
      </x:c>
      <x:c r="I1224" s="175" t="n">
        <x:v>0.07142857</x:v>
      </x:c>
      <x:c r="J1224" s="176" t="str"/>
      <x:c r="K1224" s="177" t="str"/>
      <x:c r="L1224" s="178" t="str">
        <x:f>IF(J1224="","",J1224*(1+IF(K1224="",0,K1224)) )</x:f>
      </x:c>
      <x:c r="M1224" s="138" t="str"/>
      <x:c r="N1224" s="137" t="str">
        <x:v>Current model BOM seed</x:v>
      </x:c>
      <x:c r="O1224" s="137" t="str"/>
      <x:c r="P1224" s="137" t="str">
        <x:v>To Confirm</x:v>
      </x:c>
      <x:c r="Q1224" s="137" t="str"/>
    </x:row>
    <x:row r="1225">
      <x:c r="A1225" s="137" t="str">
        <x:v>BOM-01221</x:v>
      </x:c>
      <x:c r="B1225" s="137" t="str">
        <x:v>SPIKE</x:v>
      </x:c>
      <x:c r="C1225" s="137" t="str">
        <x:v>PER ORDER (V/L)</x:v>
      </x:c>
      <x:c r="D1225" s="137" t="str">
        <x:v>9X12</x:v>
      </x:c>
      <x:c r="E1225" s="137" t="str">
        <x:v>PACKING</x:v>
      </x:c>
      <x:c r="F1225" s="137" t="str">
        <x:v>TAG PIN||PCS</x:v>
      </x:c>
      <x:c r="G1225" s="137" t="str">
        <x:v>Tag Pin</x:v>
      </x:c>
      <x:c r="H1225" s="137" t="str">
        <x:v>PCS</x:v>
      </x:c>
      <x:c r="I1225" s="175" t="n">
        <x:v>1</x:v>
      </x:c>
      <x:c r="J1225" s="176" t="str"/>
      <x:c r="K1225" s="177" t="str"/>
      <x:c r="L1225" s="178" t="str">
        <x:f>IF(J1225="","",J1225*(1+IF(K1225="",0,K1225)) )</x:f>
      </x:c>
      <x:c r="M1225" s="138" t="str"/>
      <x:c r="N1225" s="137" t="str">
        <x:v>Current model BOM seed</x:v>
      </x:c>
      <x:c r="O1225" s="137" t="str"/>
      <x:c r="P1225" s="137" t="str">
        <x:v>To Confirm</x:v>
      </x:c>
      <x:c r="Q1225" s="137" t="str"/>
    </x:row>
    <x:row r="1226">
      <x:c r="A1226" s="137" t="str">
        <x:v>BOM-01222</x:v>
      </x:c>
      <x:c r="B1226" s="137" t="str">
        <x:v>SPIKE</x:v>
      </x:c>
      <x:c r="C1226" s="137" t="str">
        <x:v>PER ORDER (V/L)</x:v>
      </x:c>
      <x:c r="D1226" s="137" t="str">
        <x:v>9X12</x:v>
      </x:c>
      <x:c r="E1226" s="137" t="str">
        <x:v>PACKING</x:v>
      </x:c>
      <x:c r="F1226" s="137" t="str">
        <x:v>TAG CARD||PCS</x:v>
      </x:c>
      <x:c r="G1226" s="137" t="str">
        <x:v>Tag Card</x:v>
      </x:c>
      <x:c r="H1226" s="137" t="str">
        <x:v>PCS</x:v>
      </x:c>
      <x:c r="I1226" s="175" t="n">
        <x:v>1</x:v>
      </x:c>
      <x:c r="J1226" s="176" t="str"/>
      <x:c r="K1226" s="177" t="str"/>
      <x:c r="L1226" s="178" t="str">
        <x:f>IF(J1226="","",J1226*(1+IF(K1226="",0,K1226)) )</x:f>
      </x:c>
      <x:c r="M1226" s="138" t="str"/>
      <x:c r="N1226" s="137" t="str">
        <x:v>Current model BOM seed</x:v>
      </x:c>
      <x:c r="O1226" s="137" t="str"/>
      <x:c r="P1226" s="137" t="str">
        <x:v>To Confirm</x:v>
      </x:c>
      <x:c r="Q1226" s="137" t="str"/>
    </x:row>
    <x:row r="1227">
      <x:c r="A1227" s="137" t="str">
        <x:v>BOM-01223</x:v>
      </x:c>
      <x:c r="B1227" s="137" t="str">
        <x:v>SPIKE</x:v>
      </x:c>
      <x:c r="C1227" s="137" t="str">
        <x:v>PER ORDER (V/L)</x:v>
      </x:c>
      <x:c r="D1227" s="137" t="str">
        <x:v>9X12</x:v>
      </x:c>
      <x:c r="E1227" s="137" t="str">
        <x:v>PACKING</x:v>
      </x:c>
      <x:c r="F1227" s="137" t="str">
        <x:v>WRAPING PAPER||PCS</x:v>
      </x:c>
      <x:c r="G1227" s="137" t="str">
        <x:v>Wraping Paper</x:v>
      </x:c>
      <x:c r="H1227" s="137" t="str">
        <x:v>PCS</x:v>
      </x:c>
      <x:c r="I1227" s="175" t="n">
        <x:v>1</x:v>
      </x:c>
      <x:c r="J1227" s="176" t="str"/>
      <x:c r="K1227" s="177" t="str"/>
      <x:c r="L1227" s="178" t="str">
        <x:f>IF(J1227="","",J1227*(1+IF(K1227="",0,K1227)) )</x:f>
      </x:c>
      <x:c r="M1227" s="138" t="str"/>
      <x:c r="N1227" s="137" t="str">
        <x:v>Current model BOM seed</x:v>
      </x:c>
      <x:c r="O1227" s="137" t="str"/>
      <x:c r="P1227" s="137" t="str">
        <x:v>To Confirm</x:v>
      </x:c>
      <x:c r="Q1227" s="137" t="str"/>
    </x:row>
    <x:row r="1228">
      <x:c r="A1228" s="137" t="str">
        <x:v>BOM-01224</x:v>
      </x:c>
      <x:c r="B1228" s="137" t="str">
        <x:v>SPIKE</x:v>
      </x:c>
      <x:c r="C1228" s="137" t="str">
        <x:v>PER ORDER (V/L)</x:v>
      </x:c>
      <x:c r="D1228" s="137" t="str">
        <x:v>9X12</x:v>
      </x:c>
      <x:c r="E1228" s="137" t="str">
        <x:v>PACKING</x:v>
      </x:c>
      <x:c r="F1228" s="137" t="str">
        <x:v>INNER||PCS</x:v>
      </x:c>
      <x:c r="G1228" s="137" t="str">
        <x:v>INNER</x:v>
      </x:c>
      <x:c r="H1228" s="137" t="str">
        <x:v>PCS</x:v>
      </x:c>
      <x:c r="I1228" s="175" t="n">
        <x:v>1</x:v>
      </x:c>
      <x:c r="J1228" s="176" t="str"/>
      <x:c r="K1228" s="177" t="str"/>
      <x:c r="L1228" s="178" t="str">
        <x:f>IF(J1228="","",J1228*(1+IF(K1228="",0,K1228)) )</x:f>
      </x:c>
      <x:c r="M1228" s="138" t="str"/>
      <x:c r="N1228" s="137" t="str">
        <x:v>Current model BOM seed</x:v>
      </x:c>
      <x:c r="O1228" s="137" t="str"/>
      <x:c r="P1228" s="137" t="str">
        <x:v>To Confirm</x:v>
      </x:c>
      <x:c r="Q1228" s="137" t="str"/>
    </x:row>
    <x:row r="1229">
      <x:c r="A1229" s="137" t="str">
        <x:v>BOM-01225</x:v>
      </x:c>
      <x:c r="B1229" s="137" t="str">
        <x:v>SPIKE</x:v>
      </x:c>
      <x:c r="C1229" s="137" t="str">
        <x:v>PER ORDER (V/L)</x:v>
      </x:c>
      <x:c r="D1229" s="137" t="str">
        <x:v>9X12</x:v>
      </x:c>
      <x:c r="E1229" s="137" t="str">
        <x:v>PACKING</x:v>
      </x:c>
      <x:c r="F1229" s="137" t="str">
        <x:v>BARCODE STICKER||PCS</x:v>
      </x:c>
      <x:c r="G1229" s="137" t="str">
        <x:v>Barcode Sticker</x:v>
      </x:c>
      <x:c r="H1229" s="137" t="str">
        <x:v>PCS</x:v>
      </x:c>
      <x:c r="I1229" s="175" t="n">
        <x:v>1</x:v>
      </x:c>
      <x:c r="J1229" s="176" t="str"/>
      <x:c r="K1229" s="177" t="str"/>
      <x:c r="L1229" s="178" t="str">
        <x:f>IF(J1229="","",J1229*(1+IF(K1229="",0,K1229)) )</x:f>
      </x:c>
      <x:c r="M1229" s="138" t="str"/>
      <x:c r="N1229" s="137" t="str">
        <x:v>Current model BOM seed</x:v>
      </x:c>
      <x:c r="O1229" s="137" t="str"/>
      <x:c r="P1229" s="137" t="str">
        <x:v>To Confirm</x:v>
      </x:c>
      <x:c r="Q1229" s="137" t="str"/>
    </x:row>
    <x:row r="1230">
      <x:c r="A1230" s="137" t="str">
        <x:v>BOM-01226</x:v>
      </x:c>
      <x:c r="B1230" s="137" t="str">
        <x:v>SPIKE</x:v>
      </x:c>
      <x:c r="C1230" s="137" t="str">
        <x:v>PER ORDER (V/L)</x:v>
      </x:c>
      <x:c r="D1230" s="137" t="str">
        <x:v>9X12</x:v>
      </x:c>
      <x:c r="E1230" s="137" t="str">
        <x:v>PACKING</x:v>
      </x:c>
      <x:c r="F1230" s="137" t="str">
        <x:v>CTN TAPE (1 CTN)||MTR</x:v>
      </x:c>
      <x:c r="G1230" s="137" t="str">
        <x:v>Ctn Tape (1 Ctn)</x:v>
      </x:c>
      <x:c r="H1230" s="137" t="str">
        <x:v>MTR</x:v>
      </x:c>
      <x:c r="I1230" s="175" t="n">
        <x:v>0.5</x:v>
      </x:c>
      <x:c r="J1230" s="176" t="str"/>
      <x:c r="K1230" s="177" t="str"/>
      <x:c r="L1230" s="178" t="str">
        <x:f>IF(J1230="","",J1230*(1+IF(K1230="",0,K1230)) )</x:f>
      </x:c>
      <x:c r="M1230" s="138" t="str"/>
      <x:c r="N1230" s="137" t="str">
        <x:v>Current model BOM seed</x:v>
      </x:c>
      <x:c r="O1230" s="137" t="str"/>
      <x:c r="P1230" s="137" t="str">
        <x:v>To Confirm</x:v>
      </x:c>
      <x:c r="Q1230" s="137" t="str"/>
    </x:row>
    <x:row r="1231">
      <x:c r="A1231" s="137" t="str">
        <x:v>BOM-01227</x:v>
      </x:c>
      <x:c r="B1231" s="137" t="str">
        <x:v>SPIKE</x:v>
      </x:c>
      <x:c r="C1231" s="137" t="str">
        <x:v>PER ORDER (V/L)</x:v>
      </x:c>
      <x:c r="D1231" s="137" t="str">
        <x:v>9X12</x:v>
      </x:c>
      <x:c r="E1231" s="137" t="str">
        <x:v>PACKING</x:v>
      </x:c>
      <x:c r="F1231" s="137" t="str">
        <x:v>STRAPING ROLL (1CTN)||MTR</x:v>
      </x:c>
      <x:c r="G1231" s="137" t="str">
        <x:v>Straping Roll (1Ctn)</x:v>
      </x:c>
      <x:c r="H1231" s="137" t="str">
        <x:v>MTR</x:v>
      </x:c>
      <x:c r="I1231" s="175" t="n">
        <x:v>0.25</x:v>
      </x:c>
      <x:c r="J1231" s="176" t="str"/>
      <x:c r="K1231" s="177" t="str"/>
      <x:c r="L1231" s="178" t="str">
        <x:f>IF(J1231="","",J1231*(1+IF(K1231="",0,K1231)) )</x:f>
      </x:c>
      <x:c r="M1231" s="138" t="str"/>
      <x:c r="N1231" s="137" t="str">
        <x:v>Current model BOM seed</x:v>
      </x:c>
      <x:c r="O1231" s="137" t="str"/>
      <x:c r="P1231" s="137" t="str">
        <x:v>To Confirm</x:v>
      </x:c>
      <x:c r="Q1231" s="137" t="str"/>
    </x:row>
    <x:row r="1232">
      <x:c r="A1232" s="137" t="str">
        <x:v>BOM-01228</x:v>
      </x:c>
      <x:c r="B1232" s="137" t="str">
        <x:v>SPIKE</x:v>
      </x:c>
      <x:c r="C1232" s="137" t="str">
        <x:v>PER ORDER (V/L)</x:v>
      </x:c>
      <x:c r="D1232" s="137" t="str">
        <x:v>9X12</x:v>
      </x:c>
      <x:c r="E1232" s="137" t="str">
        <x:v>STITCHING</x:v>
      </x:c>
      <x:c r="F1232" s="137" t="str">
        <x:v>THREAD 3 PLY||MTR</x:v>
      </x:c>
      <x:c r="G1232" s="137" t="str">
        <x:v>Thread 3 Ply</x:v>
      </x:c>
      <x:c r="H1232" s="137" t="str">
        <x:v>MTR</x:v>
      </x:c>
      <x:c r="I1232" s="175" t="n">
        <x:v>25.86206897</x:v>
      </x:c>
      <x:c r="J1232" s="176" t="str"/>
      <x:c r="K1232" s="177" t="str"/>
      <x:c r="L1232" s="178" t="str">
        <x:f>IF(J1232="","",J1232*(1+IF(K1232="",0,K1232)) )</x:f>
      </x:c>
      <x:c r="M1232" s="138" t="str"/>
      <x:c r="N1232" s="137" t="str">
        <x:v>Current model BOM seed</x:v>
      </x:c>
      <x:c r="O1232" s="137" t="str"/>
      <x:c r="P1232" s="137" t="str">
        <x:v>To Confirm</x:v>
      </x:c>
      <x:c r="Q1232" s="137" t="str"/>
    </x:row>
    <x:row r="1233">
      <x:c r="A1233" s="137" t="str">
        <x:v>BOM-01229</x:v>
      </x:c>
      <x:c r="B1233" s="137" t="str">
        <x:v>SPIKE</x:v>
      </x:c>
      <x:c r="C1233" s="137" t="str">
        <x:v>PER ORDER (V/L)</x:v>
      </x:c>
      <x:c r="D1233" s="137" t="str">
        <x:v>9X12</x:v>
      </x:c>
      <x:c r="E1233" s="137" t="str">
        <x:v>STITCHING</x:v>
      </x:c>
      <x:c r="F1233" s="137" t="str">
        <x:v>SIZE LABEL||PCS</x:v>
      </x:c>
      <x:c r="G1233" s="137" t="str">
        <x:v>SIZE LABEL</x:v>
      </x:c>
      <x:c r="H1233" s="137" t="str">
        <x:v>PCS</x:v>
      </x:c>
      <x:c r="I1233" s="175" t="n">
        <x:v>0.5</x:v>
      </x:c>
      <x:c r="J1233" s="176" t="str"/>
      <x:c r="K1233" s="177" t="str"/>
      <x:c r="L1233" s="178" t="str">
        <x:f>IF(J1233="","",J1233*(1+IF(K1233="",0,K1233)) )</x:f>
      </x:c>
      <x:c r="M1233" s="138" t="str"/>
      <x:c r="N1233" s="137" t="str">
        <x:v>Current model BOM seed</x:v>
      </x:c>
      <x:c r="O1233" s="137" t="str"/>
      <x:c r="P1233" s="137" t="str">
        <x:v>To Confirm</x:v>
      </x:c>
      <x:c r="Q1233" s="137" t="str"/>
    </x:row>
    <x:row r="1234">
      <x:c r="A1234" s="137" t="str">
        <x:v>BOM-01230</x:v>
      </x:c>
      <x:c r="B1234" s="137" t="str">
        <x:v>SPIKE</x:v>
      </x:c>
      <x:c r="C1234" s="137" t="str">
        <x:v>PER ORDER (V/L)</x:v>
      </x:c>
      <x:c r="D1234" s="137" t="str">
        <x:v>9X12</x:v>
      </x:c>
      <x:c r="E1234" s="137" t="str">
        <x:v>STITCHING</x:v>
      </x:c>
      <x:c r="F1234" s="137" t="str">
        <x:v>PF-48 BLACK||PCS</x:v>
      </x:c>
      <x:c r="G1234" s="137" t="str">
        <x:v>Pf-48 Black</x:v>
      </x:c>
      <x:c r="H1234" s="137" t="str">
        <x:v>PCS</x:v>
      </x:c>
      <x:c r="I1234" s="175" t="n">
        <x:v>0</x:v>
      </x:c>
      <x:c r="J1234" s="176" t="str"/>
      <x:c r="K1234" s="177" t="str"/>
      <x:c r="L1234" s="178" t="str">
        <x:f>IF(J1234="","",J1234*(1+IF(K1234="",0,K1234)) )</x:f>
      </x:c>
      <x:c r="M1234" s="138" t="str"/>
      <x:c r="N1234" s="137" t="str">
        <x:v>Current model BOM seed</x:v>
      </x:c>
      <x:c r="O1234" s="137" t="str"/>
      <x:c r="P1234" s="137" t="str">
        <x:v>To Confirm</x:v>
      </x:c>
      <x:c r="Q1234" s="137" t="str"/>
    </x:row>
    <x:row r="1235">
      <x:c r="A1235" s="137" t="str">
        <x:v>BOM-01231</x:v>
      </x:c>
      <x:c r="B1235" s="137" t="str">
        <x:v>SPIKE</x:v>
      </x:c>
      <x:c r="C1235" s="137" t="str">
        <x:v>PER ORDER (V/L)</x:v>
      </x:c>
      <x:c r="D1235" s="137" t="str">
        <x:v>9X12</x:v>
      </x:c>
      <x:c r="E1235" s="137" t="str">
        <x:v>STITCHING</x:v>
      </x:c>
      <x:c r="F1235" s="137" t="str">
        <x:v>PF-3 BLACK||PCS</x:v>
      </x:c>
      <x:c r="G1235" s="137" t="str">
        <x:v>Pf-3 Black</x:v>
      </x:c>
      <x:c r="H1235" s="137" t="str">
        <x:v>PCS</x:v>
      </x:c>
      <x:c r="I1235" s="175" t="n">
        <x:v>0.25</x:v>
      </x:c>
      <x:c r="J1235" s="176" t="str"/>
      <x:c r="K1235" s="177" t="str"/>
      <x:c r="L1235" s="178" t="str">
        <x:f>IF(J1235="","",J1235*(1+IF(K1235="",0,K1235)) )</x:f>
      </x:c>
      <x:c r="M1235" s="138" t="str"/>
      <x:c r="N1235" s="137" t="str">
        <x:v>Current model BOM seed</x:v>
      </x:c>
      <x:c r="O1235" s="137" t="str"/>
      <x:c r="P1235" s="137" t="str">
        <x:v>To Confirm</x:v>
      </x:c>
      <x:c r="Q1235" s="137" t="str"/>
    </x:row>
    <x:row r="1236">
      <x:c r="A1236" s="137" t="str">
        <x:v>BOM-01232</x:v>
      </x:c>
      <x:c r="B1236" s="137" t="str">
        <x:v>SPIKE</x:v>
      </x:c>
      <x:c r="C1236" s="137" t="str">
        <x:v>PER ORDER (V/L)</x:v>
      </x:c>
      <x:c r="D1236" s="137" t="str">
        <x:v>9X12</x:v>
      </x:c>
      <x:c r="E1236" s="137" t="str">
        <x:v>STITCHING</x:v>
      </x:c>
      <x:c r="F1236" s="137" t="str">
        <x:v>VELCRO 20 MM HOOK||MTR</x:v>
      </x:c>
      <x:c r="G1236" s="137" t="str">
        <x:v>VELCRO 20 MM HOOK</x:v>
      </x:c>
      <x:c r="H1236" s="137" t="str">
        <x:v>MTR</x:v>
      </x:c>
      <x:c r="I1236" s="175" t="n">
        <x:v>0</x:v>
      </x:c>
      <x:c r="J1236" s="176" t="str"/>
      <x:c r="K1236" s="177" t="str"/>
      <x:c r="L1236" s="178" t="str">
        <x:f>IF(J1236="","",J1236*(1+IF(K1236="",0,K1236)) )</x:f>
      </x:c>
      <x:c r="M1236" s="138" t="str"/>
      <x:c r="N1236" s="137" t="str">
        <x:v>Current model BOM seed</x:v>
      </x:c>
      <x:c r="O1236" s="137" t="str"/>
      <x:c r="P1236" s="137" t="str">
        <x:v>To Confirm</x:v>
      </x:c>
      <x:c r="Q1236" s="137" t="str"/>
    </x:row>
    <x:row r="1237">
      <x:c r="A1237" s="137" t="str">
        <x:v>BOM-01233</x:v>
      </x:c>
      <x:c r="B1237" s="137" t="str">
        <x:v>SPIKE</x:v>
      </x:c>
      <x:c r="C1237" s="137" t="str">
        <x:v>PER ORDER (V/L)</x:v>
      </x:c>
      <x:c r="D1237" s="137" t="str">
        <x:v>9X12</x:v>
      </x:c>
      <x:c r="E1237" s="137" t="str">
        <x:v>STITCHING</x:v>
      </x:c>
      <x:c r="F1237" s="137" t="str">
        <x:v>VELCRO 20 MM LOOP||MTR</x:v>
      </x:c>
      <x:c r="G1237" s="137" t="str">
        <x:v>VELCRO 20 MM LOOP</x:v>
      </x:c>
      <x:c r="H1237" s="137" t="str">
        <x:v>MTR</x:v>
      </x:c>
      <x:c r="I1237" s="175" t="n">
        <x:v>0</x:v>
      </x:c>
      <x:c r="J1237" s="176" t="str"/>
      <x:c r="K1237" s="177" t="str"/>
      <x:c r="L1237" s="178" t="str">
        <x:f>IF(J1237="","",J1237*(1+IF(K1237="",0,K1237)) )</x:f>
      </x:c>
      <x:c r="M1237" s="138" t="str"/>
      <x:c r="N1237" s="137" t="str">
        <x:v>Current model BOM seed</x:v>
      </x:c>
      <x:c r="O1237" s="137" t="str"/>
      <x:c r="P1237" s="137" t="str">
        <x:v>To Confirm</x:v>
      </x:c>
      <x:c r="Q1237" s="137" t="str"/>
    </x:row>
    <x:row r="1238">
      <x:c r="A1238" s="137" t="str">
        <x:v>BOM-01234</x:v>
      </x:c>
      <x:c r="B1238" s="137" t="str">
        <x:v>SPIKE</x:v>
      </x:c>
      <x:c r="C1238" s="137" t="str">
        <x:v>PER ORDER (V/L)</x:v>
      </x:c>
      <x:c r="D1238" s="137" t="str">
        <x:v>9X12</x:v>
      </x:c>
      <x:c r="E1238" s="137" t="str">
        <x:v>STITCHING</x:v>
      </x:c>
      <x:c r="F1238" s="137" t="str">
        <x:v>VELCRO 25 MM HOOK||MTR</x:v>
      </x:c>
      <x:c r="G1238" s="137" t="str">
        <x:v>VELCRO 25 MM HOOK</x:v>
      </x:c>
      <x:c r="H1238" s="137" t="str">
        <x:v>MTR</x:v>
      </x:c>
      <x:c r="I1238" s="175" t="n">
        <x:v>0.02631579</x:v>
      </x:c>
      <x:c r="J1238" s="176" t="str"/>
      <x:c r="K1238" s="177" t="str"/>
      <x:c r="L1238" s="178" t="str">
        <x:f>IF(J1238="","",J1238*(1+IF(K1238="",0,K1238)) )</x:f>
      </x:c>
      <x:c r="M1238" s="138" t="str"/>
      <x:c r="N1238" s="137" t="str">
        <x:v>Current model BOM seed</x:v>
      </x:c>
      <x:c r="O1238" s="137" t="str"/>
      <x:c r="P1238" s="137" t="str">
        <x:v>To Confirm</x:v>
      </x:c>
      <x:c r="Q1238" s="137" t="str"/>
    </x:row>
    <x:row r="1239">
      <x:c r="A1239" s="137" t="str">
        <x:v>BOM-01235</x:v>
      </x:c>
      <x:c r="B1239" s="137" t="str">
        <x:v>SPIKE</x:v>
      </x:c>
      <x:c r="C1239" s="137" t="str">
        <x:v>PER ORDER (V/L)</x:v>
      </x:c>
      <x:c r="D1239" s="137" t="str">
        <x:v>9X12</x:v>
      </x:c>
      <x:c r="E1239" s="137" t="str">
        <x:v>STITCHING</x:v>
      </x:c>
      <x:c r="F1239" s="137" t="str">
        <x:v>VELCRO 25 MM LOOP||MTR</x:v>
      </x:c>
      <x:c r="G1239" s="137" t="str">
        <x:v>VELCRO 25 MM LOOP</x:v>
      </x:c>
      <x:c r="H1239" s="137" t="str">
        <x:v>MTR</x:v>
      </x:c>
      <x:c r="I1239" s="175" t="n">
        <x:v>0.02631579</x:v>
      </x:c>
      <x:c r="J1239" s="176" t="str"/>
      <x:c r="K1239" s="177" t="str"/>
      <x:c r="L1239" s="178" t="str">
        <x:f>IF(J1239="","",J1239*(1+IF(K1239="",0,K1239)) )</x:f>
      </x:c>
      <x:c r="M1239" s="138" t="str"/>
      <x:c r="N1239" s="137" t="str">
        <x:v>Current model BOM seed</x:v>
      </x:c>
      <x:c r="O1239" s="137" t="str"/>
      <x:c r="P1239" s="137" t="str">
        <x:v>To Confirm</x:v>
      </x:c>
      <x:c r="Q1239" s="137" t="str"/>
    </x:row>
    <x:row r="1240">
      <x:c r="A1240" s="137" t="str">
        <x:v>BOM-01236</x:v>
      </x:c>
      <x:c r="B1240" s="137" t="str">
        <x:v>SPIKE</x:v>
      </x:c>
      <x:c r="C1240" s="137" t="str">
        <x:v>PER ORDER (V/L)</x:v>
      </x:c>
      <x:c r="D1240" s="137" t="str">
        <x:v>9X12</x:v>
      </x:c>
      <x:c r="E1240" s="137" t="str">
        <x:v>STITCHING</x:v>
      </x:c>
      <x:c r="F1240" s="137" t="str">
        <x:v>LYCRA BINDING||CM</x:v>
      </x:c>
      <x:c r="G1240" s="137" t="str">
        <x:v>Lycra Binding</x:v>
      </x:c>
      <x:c r="H1240" s="137" t="str">
        <x:v>CM</x:v>
      </x:c>
      <x:c r="I1240" s="175" t="n">
        <x:v>12.5</x:v>
      </x:c>
      <x:c r="J1240" s="176" t="str"/>
      <x:c r="K1240" s="177" t="str"/>
      <x:c r="L1240" s="178" t="str">
        <x:f>IF(J1240="","",J1240*(1+IF(K1240="",0,K1240)) )</x:f>
      </x:c>
      <x:c r="M1240" s="138" t="str"/>
      <x:c r="N1240" s="137" t="str">
        <x:v>Current model BOM seed</x:v>
      </x:c>
      <x:c r="O1240" s="137" t="str"/>
      <x:c r="P1240" s="137" t="str">
        <x:v>To Confirm</x:v>
      </x:c>
      <x:c r="Q1240" s="137" t="str"/>
    </x:row>
    <x:row r="1241">
      <x:c r="A1241" s="137" t="str">
        <x:v>BOM-01237</x:v>
      </x:c>
      <x:c r="B1241" s="137" t="str">
        <x:v>SPIKE</x:v>
      </x:c>
      <x:c r="C1241" s="137" t="str">
        <x:v>PER ORDER (V/L)</x:v>
      </x:c>
      <x:c r="D1241" s="137" t="str">
        <x:v>9X12</x:v>
      </x:c>
      <x:c r="E1241" s="137" t="str">
        <x:v>STITCHING</x:v>
      </x:c>
      <x:c r="F1241" s="137" t="str">
        <x:v>BACK TAPE 14 MM||MTR</x:v>
      </x:c>
      <x:c r="G1241" s="137" t="str">
        <x:v>BACK TAPE 14 MM</x:v>
      </x:c>
      <x:c r="H1241" s="137" t="str">
        <x:v>MTR</x:v>
      </x:c>
      <x:c r="I1241" s="175" t="n">
        <x:v>0.04761905</x:v>
      </x:c>
      <x:c r="J1241" s="176" t="str"/>
      <x:c r="K1241" s="177" t="str"/>
      <x:c r="L1241" s="178" t="str">
        <x:f>IF(J1241="","",J1241*(1+IF(K1241="",0,K1241)) )</x:f>
      </x:c>
      <x:c r="M1241" s="138" t="str"/>
      <x:c r="N1241" s="137" t="str">
        <x:v>Current model BOM seed</x:v>
      </x:c>
      <x:c r="O1241" s="137" t="str"/>
      <x:c r="P1241" s="137" t="str">
        <x:v>To Confirm</x:v>
      </x:c>
      <x:c r="Q1241" s="137" t="str"/>
    </x:row>
    <x:row r="1242">
      <x:c r="A1242" s="137" t="str"/>
      <x:c r="B1242" s="137" t="str"/>
      <x:c r="C1242" s="137" t="str"/>
      <x:c r="D1242" s="137" t="str"/>
      <x:c r="E1242" s="137" t="str"/>
      <x:c r="F1242" s="137" t="str"/>
      <x:c r="G1242" s="137" t="str"/>
      <x:c r="H1242" s="137" t="str"/>
      <x:c r="I1242" s="175" t="str"/>
      <x:c r="J1242" s="176" t="str"/>
      <x:c r="K1242" s="177" t="str"/>
      <x:c r="L1242" s="178" t="str">
        <x:f>IF(J1242="","",J1242*(1+IF(K1242="",0,K1242)) )</x:f>
      </x:c>
      <x:c r="M1242" s="138" t="str"/>
      <x:c r="N1242" s="137" t="str"/>
      <x:c r="O1242" s="137" t="str"/>
      <x:c r="P1242" s="137" t="str"/>
      <x:c r="Q1242" s="137" t="str"/>
    </x:row>
    <x:row r="1243">
      <x:c r="A1243" s="137" t="str"/>
      <x:c r="B1243" s="137" t="str"/>
      <x:c r="C1243" s="137" t="str"/>
      <x:c r="D1243" s="137" t="str"/>
      <x:c r="E1243" s="137" t="str"/>
      <x:c r="F1243" s="137" t="str"/>
      <x:c r="G1243" s="137" t="str"/>
      <x:c r="H1243" s="137" t="str"/>
      <x:c r="I1243" s="175" t="str"/>
      <x:c r="J1243" s="176" t="str"/>
      <x:c r="K1243" s="177" t="str"/>
      <x:c r="L1243" s="178" t="str">
        <x:f>IF(J1243="","",J1243*(1+IF(K1243="",0,K1243)) )</x:f>
      </x:c>
      <x:c r="M1243" s="138" t="str"/>
      <x:c r="N1243" s="137" t="str"/>
      <x:c r="O1243" s="137" t="str"/>
      <x:c r="P1243" s="137" t="str"/>
      <x:c r="Q1243" s="137" t="str"/>
    </x:row>
    <x:row r="1244">
      <x:c r="A1244" s="137" t="str"/>
      <x:c r="B1244" s="137" t="str"/>
      <x:c r="C1244" s="137" t="str"/>
      <x:c r="D1244" s="137" t="str"/>
      <x:c r="E1244" s="137" t="str"/>
      <x:c r="F1244" s="137" t="str"/>
      <x:c r="G1244" s="137" t="str"/>
      <x:c r="H1244" s="137" t="str"/>
      <x:c r="I1244" s="175" t="str"/>
      <x:c r="J1244" s="176" t="str"/>
      <x:c r="K1244" s="177" t="str"/>
      <x:c r="L1244" s="178" t="str">
        <x:f>IF(J1244="","",J1244*(1+IF(K1244="",0,K1244)) )</x:f>
      </x:c>
      <x:c r="M1244" s="138" t="str"/>
      <x:c r="N1244" s="137" t="str"/>
      <x:c r="O1244" s="137" t="str"/>
      <x:c r="P1244" s="137" t="str"/>
      <x:c r="Q1244" s="137" t="str"/>
    </x:row>
    <x:row r="1245">
      <x:c r="A1245" s="137" t="str"/>
      <x:c r="B1245" s="137" t="str"/>
      <x:c r="C1245" s="137" t="str"/>
      <x:c r="D1245" s="137" t="str"/>
      <x:c r="E1245" s="137" t="str"/>
      <x:c r="F1245" s="137" t="str"/>
      <x:c r="G1245" s="137" t="str"/>
      <x:c r="H1245" s="137" t="str"/>
      <x:c r="I1245" s="175" t="str"/>
      <x:c r="J1245" s="176" t="str"/>
      <x:c r="K1245" s="177" t="str"/>
      <x:c r="L1245" s="178" t="str">
        <x:f>IF(J1245="","",J1245*(1+IF(K1245="",0,K1245)) )</x:f>
      </x:c>
      <x:c r="M1245" s="138" t="str"/>
      <x:c r="N1245" s="137" t="str"/>
      <x:c r="O1245" s="137" t="str"/>
      <x:c r="P1245" s="137" t="str"/>
      <x:c r="Q1245" s="137" t="str"/>
    </x:row>
    <x:row r="1246">
      <x:c r="A1246" s="137" t="str"/>
      <x:c r="B1246" s="137" t="str"/>
      <x:c r="C1246" s="137" t="str"/>
      <x:c r="D1246" s="137" t="str"/>
      <x:c r="E1246" s="137" t="str"/>
      <x:c r="F1246" s="137" t="str"/>
      <x:c r="G1246" s="137" t="str"/>
      <x:c r="H1246" s="137" t="str"/>
      <x:c r="I1246" s="175" t="str"/>
      <x:c r="J1246" s="176" t="str"/>
      <x:c r="K1246" s="177" t="str"/>
      <x:c r="L1246" s="178" t="str">
        <x:f>IF(J1246="","",J1246*(1+IF(K1246="",0,K1246)) )</x:f>
      </x:c>
      <x:c r="M1246" s="138" t="str"/>
      <x:c r="N1246" s="137" t="str"/>
      <x:c r="O1246" s="137" t="str"/>
      <x:c r="P1246" s="137" t="str"/>
      <x:c r="Q1246" s="137" t="str"/>
    </x:row>
    <x:row r="1247">
      <x:c r="A1247" s="137" t="str"/>
      <x:c r="B1247" s="137" t="str"/>
      <x:c r="C1247" s="137" t="str"/>
      <x:c r="D1247" s="137" t="str"/>
      <x:c r="E1247" s="137" t="str"/>
      <x:c r="F1247" s="137" t="str"/>
      <x:c r="G1247" s="137" t="str"/>
      <x:c r="H1247" s="137" t="str"/>
      <x:c r="I1247" s="175" t="str"/>
      <x:c r="J1247" s="176" t="str"/>
      <x:c r="K1247" s="177" t="str"/>
      <x:c r="L1247" s="178" t="str">
        <x:f>IF(J1247="","",J1247*(1+IF(K1247="",0,K1247)) )</x:f>
      </x:c>
      <x:c r="M1247" s="138" t="str"/>
      <x:c r="N1247" s="137" t="str"/>
      <x:c r="O1247" s="137" t="str"/>
      <x:c r="P1247" s="137" t="str"/>
      <x:c r="Q1247" s="137" t="str"/>
    </x:row>
    <x:row r="1248">
      <x:c r="A1248" s="137" t="str"/>
      <x:c r="B1248" s="137" t="str"/>
      <x:c r="C1248" s="137" t="str"/>
      <x:c r="D1248" s="137" t="str"/>
      <x:c r="E1248" s="137" t="str"/>
      <x:c r="F1248" s="137" t="str"/>
      <x:c r="G1248" s="137" t="str"/>
      <x:c r="H1248" s="137" t="str"/>
      <x:c r="I1248" s="175" t="str"/>
      <x:c r="J1248" s="176" t="str"/>
      <x:c r="K1248" s="177" t="str"/>
      <x:c r="L1248" s="178" t="str">
        <x:f>IF(J1248="","",J1248*(1+IF(K1248="",0,K1248)) )</x:f>
      </x:c>
      <x:c r="M1248" s="138" t="str"/>
      <x:c r="N1248" s="137" t="str"/>
      <x:c r="O1248" s="137" t="str"/>
      <x:c r="P1248" s="137" t="str"/>
      <x:c r="Q1248" s="137" t="str"/>
    </x:row>
    <x:row r="1249">
      <x:c r="A1249" s="137" t="str"/>
      <x:c r="B1249" s="137" t="str"/>
      <x:c r="C1249" s="137" t="str"/>
      <x:c r="D1249" s="137" t="str"/>
      <x:c r="E1249" s="137" t="str"/>
      <x:c r="F1249" s="137" t="str"/>
      <x:c r="G1249" s="137" t="str"/>
      <x:c r="H1249" s="137" t="str"/>
      <x:c r="I1249" s="175" t="str"/>
      <x:c r="J1249" s="176" t="str"/>
      <x:c r="K1249" s="177" t="str"/>
      <x:c r="L1249" s="178" t="str">
        <x:f>IF(J1249="","",J1249*(1+IF(K1249="",0,K1249)) )</x:f>
      </x:c>
      <x:c r="M1249" s="138" t="str"/>
      <x:c r="N1249" s="137" t="str"/>
      <x:c r="O1249" s="137" t="str"/>
      <x:c r="P1249" s="137" t="str"/>
      <x:c r="Q1249" s="137" t="str"/>
    </x:row>
    <x:row r="1250">
      <x:c r="A1250" s="137" t="str"/>
      <x:c r="B1250" s="137" t="str"/>
      <x:c r="C1250" s="137" t="str"/>
      <x:c r="D1250" s="137" t="str"/>
      <x:c r="E1250" s="137" t="str"/>
      <x:c r="F1250" s="137" t="str"/>
      <x:c r="G1250" s="137" t="str"/>
      <x:c r="H1250" s="137" t="str"/>
      <x:c r="I1250" s="175" t="str"/>
      <x:c r="J1250" s="176" t="str"/>
      <x:c r="K1250" s="177" t="str"/>
      <x:c r="L1250" s="178" t="str">
        <x:f>IF(J1250="","",J1250*(1+IF(K1250="",0,K1250)) )</x:f>
      </x:c>
      <x:c r="M1250" s="138" t="str"/>
      <x:c r="N1250" s="137" t="str"/>
      <x:c r="O1250" s="137" t="str"/>
      <x:c r="P1250" s="137" t="str"/>
      <x:c r="Q1250" s="137" t="str"/>
    </x:row>
    <x:row r="1251">
      <x:c r="A1251" s="137" t="str"/>
      <x:c r="B1251" s="137" t="str"/>
      <x:c r="C1251" s="137" t="str"/>
      <x:c r="D1251" s="137" t="str"/>
      <x:c r="E1251" s="137" t="str"/>
      <x:c r="F1251" s="137" t="str"/>
      <x:c r="G1251" s="137" t="str"/>
      <x:c r="H1251" s="137" t="str"/>
      <x:c r="I1251" s="175" t="str"/>
      <x:c r="J1251" s="176" t="str"/>
      <x:c r="K1251" s="177" t="str"/>
      <x:c r="L1251" s="178" t="str">
        <x:f>IF(J1251="","",J1251*(1+IF(K1251="",0,K1251)) )</x:f>
      </x:c>
      <x:c r="M1251" s="138" t="str"/>
      <x:c r="N1251" s="137" t="str"/>
      <x:c r="O1251" s="137" t="str"/>
      <x:c r="P1251" s="137" t="str"/>
      <x:c r="Q1251" s="137" t="str"/>
    </x:row>
    <x:row r="1252">
      <x:c r="A1252" s="137" t="str"/>
      <x:c r="B1252" s="137" t="str"/>
      <x:c r="C1252" s="137" t="str"/>
      <x:c r="D1252" s="137" t="str"/>
      <x:c r="E1252" s="137" t="str"/>
      <x:c r="F1252" s="137" t="str"/>
      <x:c r="G1252" s="137" t="str"/>
      <x:c r="H1252" s="137" t="str"/>
      <x:c r="I1252" s="175" t="str"/>
      <x:c r="J1252" s="176" t="str"/>
      <x:c r="K1252" s="177" t="str"/>
      <x:c r="L1252" s="178" t="str">
        <x:f>IF(J1252="","",J1252*(1+IF(K1252="",0,K1252)) )</x:f>
      </x:c>
      <x:c r="M1252" s="138" t="str"/>
      <x:c r="N1252" s="137" t="str"/>
      <x:c r="O1252" s="137" t="str"/>
      <x:c r="P1252" s="137" t="str"/>
      <x:c r="Q1252" s="137" t="str"/>
    </x:row>
    <x:row r="1253">
      <x:c r="A1253" s="137" t="str"/>
      <x:c r="B1253" s="137" t="str"/>
      <x:c r="C1253" s="137" t="str"/>
      <x:c r="D1253" s="137" t="str"/>
      <x:c r="E1253" s="137" t="str"/>
      <x:c r="F1253" s="137" t="str"/>
      <x:c r="G1253" s="137" t="str"/>
      <x:c r="H1253" s="137" t="str"/>
      <x:c r="I1253" s="175" t="str"/>
      <x:c r="J1253" s="176" t="str"/>
      <x:c r="K1253" s="177" t="str"/>
      <x:c r="L1253" s="178" t="str">
        <x:f>IF(J1253="","",J1253*(1+IF(K1253="",0,K1253)) )</x:f>
      </x:c>
      <x:c r="M1253" s="138" t="str"/>
      <x:c r="N1253" s="137" t="str"/>
      <x:c r="O1253" s="137" t="str"/>
      <x:c r="P1253" s="137" t="str"/>
      <x:c r="Q1253" s="137" t="str"/>
    </x:row>
    <x:row r="1254">
      <x:c r="A1254" s="137" t="str"/>
      <x:c r="B1254" s="137" t="str"/>
      <x:c r="C1254" s="137" t="str"/>
      <x:c r="D1254" s="137" t="str"/>
      <x:c r="E1254" s="137" t="str"/>
      <x:c r="F1254" s="137" t="str"/>
      <x:c r="G1254" s="137" t="str"/>
      <x:c r="H1254" s="137" t="str"/>
      <x:c r="I1254" s="175" t="str"/>
      <x:c r="J1254" s="176" t="str"/>
      <x:c r="K1254" s="177" t="str"/>
      <x:c r="L1254" s="178" t="str">
        <x:f>IF(J1254="","",J1254*(1+IF(K1254="",0,K1254)) )</x:f>
      </x:c>
      <x:c r="M1254" s="138" t="str"/>
      <x:c r="N1254" s="137" t="str"/>
      <x:c r="O1254" s="137" t="str"/>
      <x:c r="P1254" s="137" t="str"/>
      <x:c r="Q1254" s="137" t="str"/>
    </x:row>
    <x:row r="1255">
      <x:c r="A1255" s="137" t="str"/>
      <x:c r="B1255" s="137" t="str"/>
      <x:c r="C1255" s="137" t="str"/>
      <x:c r="D1255" s="137" t="str"/>
      <x:c r="E1255" s="137" t="str"/>
      <x:c r="F1255" s="137" t="str"/>
      <x:c r="G1255" s="137" t="str"/>
      <x:c r="H1255" s="137" t="str"/>
      <x:c r="I1255" s="175" t="str"/>
      <x:c r="J1255" s="176" t="str"/>
      <x:c r="K1255" s="177" t="str"/>
      <x:c r="L1255" s="178" t="str">
        <x:f>IF(J1255="","",J1255*(1+IF(K1255="",0,K1255)) )</x:f>
      </x:c>
      <x:c r="M1255" s="138" t="str"/>
      <x:c r="N1255" s="137" t="str"/>
      <x:c r="O1255" s="137" t="str"/>
      <x:c r="P1255" s="137" t="str"/>
      <x:c r="Q1255" s="137" t="str"/>
    </x:row>
    <x:row r="1256">
      <x:c r="A1256" s="137" t="str"/>
      <x:c r="B1256" s="137" t="str"/>
      <x:c r="C1256" s="137" t="str"/>
      <x:c r="D1256" s="137" t="str"/>
      <x:c r="E1256" s="137" t="str"/>
      <x:c r="F1256" s="137" t="str"/>
      <x:c r="G1256" s="137" t="str"/>
      <x:c r="H1256" s="137" t="str"/>
      <x:c r="I1256" s="175" t="str"/>
      <x:c r="J1256" s="176" t="str"/>
      <x:c r="K1256" s="177" t="str"/>
      <x:c r="L1256" s="178" t="str">
        <x:f>IF(J1256="","",J1256*(1+IF(K1256="",0,K1256)) )</x:f>
      </x:c>
      <x:c r="M1256" s="138" t="str"/>
      <x:c r="N1256" s="137" t="str"/>
      <x:c r="O1256" s="137" t="str"/>
      <x:c r="P1256" s="137" t="str"/>
      <x:c r="Q1256" s="137" t="str"/>
    </x:row>
    <x:row r="1257">
      <x:c r="A1257" s="137" t="str"/>
      <x:c r="B1257" s="137" t="str"/>
      <x:c r="C1257" s="137" t="str"/>
      <x:c r="D1257" s="137" t="str"/>
      <x:c r="E1257" s="137" t="str"/>
      <x:c r="F1257" s="137" t="str"/>
      <x:c r="G1257" s="137" t="str"/>
      <x:c r="H1257" s="137" t="str"/>
      <x:c r="I1257" s="175" t="str"/>
      <x:c r="J1257" s="176" t="str"/>
      <x:c r="K1257" s="177" t="str"/>
      <x:c r="L1257" s="178" t="str">
        <x:f>IF(J1257="","",J1257*(1+IF(K1257="",0,K1257)) )</x:f>
      </x:c>
      <x:c r="M1257" s="138" t="str"/>
      <x:c r="N1257" s="137" t="str"/>
      <x:c r="O1257" s="137" t="str"/>
      <x:c r="P1257" s="137" t="str"/>
      <x:c r="Q1257" s="137" t="str"/>
    </x:row>
    <x:row r="1258">
      <x:c r="A1258" s="137" t="str"/>
      <x:c r="B1258" s="137" t="str"/>
      <x:c r="C1258" s="137" t="str"/>
      <x:c r="D1258" s="137" t="str"/>
      <x:c r="E1258" s="137" t="str"/>
      <x:c r="F1258" s="137" t="str"/>
      <x:c r="G1258" s="137" t="str"/>
      <x:c r="H1258" s="137" t="str"/>
      <x:c r="I1258" s="175" t="str"/>
      <x:c r="J1258" s="176" t="str"/>
      <x:c r="K1258" s="177" t="str"/>
      <x:c r="L1258" s="178" t="str">
        <x:f>IF(J1258="","",J1258*(1+IF(K1258="",0,K1258)) )</x:f>
      </x:c>
      <x:c r="M1258" s="138" t="str"/>
      <x:c r="N1258" s="137" t="str"/>
      <x:c r="O1258" s="137" t="str"/>
      <x:c r="P1258" s="137" t="str"/>
      <x:c r="Q1258" s="137" t="str"/>
    </x:row>
    <x:row r="1259">
      <x:c r="A1259" s="137" t="str"/>
      <x:c r="B1259" s="137" t="str"/>
      <x:c r="C1259" s="137" t="str"/>
      <x:c r="D1259" s="137" t="str"/>
      <x:c r="E1259" s="137" t="str"/>
      <x:c r="F1259" s="137" t="str"/>
      <x:c r="G1259" s="137" t="str"/>
      <x:c r="H1259" s="137" t="str"/>
      <x:c r="I1259" s="175" t="str"/>
      <x:c r="J1259" s="176" t="str"/>
      <x:c r="K1259" s="177" t="str"/>
      <x:c r="L1259" s="178" t="str">
        <x:f>IF(J1259="","",J1259*(1+IF(K1259="",0,K1259)) )</x:f>
      </x:c>
      <x:c r="M1259" s="138" t="str"/>
      <x:c r="N1259" s="137" t="str"/>
      <x:c r="O1259" s="137" t="str"/>
      <x:c r="P1259" s="137" t="str"/>
      <x:c r="Q1259" s="137" t="str"/>
    </x:row>
    <x:row r="1260">
      <x:c r="A1260" s="137" t="str"/>
      <x:c r="B1260" s="137" t="str"/>
      <x:c r="C1260" s="137" t="str"/>
      <x:c r="D1260" s="137" t="str"/>
      <x:c r="E1260" s="137" t="str"/>
      <x:c r="F1260" s="137" t="str"/>
      <x:c r="G1260" s="137" t="str"/>
      <x:c r="H1260" s="137" t="str"/>
      <x:c r="I1260" s="175" t="str"/>
      <x:c r="J1260" s="176" t="str"/>
      <x:c r="K1260" s="177" t="str"/>
      <x:c r="L1260" s="178" t="str">
        <x:f>IF(J1260="","",J1260*(1+IF(K1260="",0,K1260)) )</x:f>
      </x:c>
      <x:c r="M1260" s="138" t="str"/>
      <x:c r="N1260" s="137" t="str"/>
      <x:c r="O1260" s="137" t="str"/>
      <x:c r="P1260" s="137" t="str"/>
      <x:c r="Q1260" s="137" t="str"/>
    </x:row>
    <x:row r="1261">
      <x:c r="A1261" s="137" t="str"/>
      <x:c r="B1261" s="137" t="str"/>
      <x:c r="C1261" s="137" t="str"/>
      <x:c r="D1261" s="137" t="str"/>
      <x:c r="E1261" s="137" t="str"/>
      <x:c r="F1261" s="137" t="str"/>
      <x:c r="G1261" s="137" t="str"/>
      <x:c r="H1261" s="137" t="str"/>
      <x:c r="I1261" s="175" t="str"/>
      <x:c r="J1261" s="176" t="str"/>
      <x:c r="K1261" s="177" t="str"/>
      <x:c r="L1261" s="178" t="str">
        <x:f>IF(J1261="","",J1261*(1+IF(K1261="",0,K1261)) )</x:f>
      </x:c>
      <x:c r="M1261" s="138" t="str"/>
      <x:c r="N1261" s="137" t="str"/>
      <x:c r="O1261" s="137" t="str"/>
      <x:c r="P1261" s="137" t="str"/>
      <x:c r="Q1261" s="137" t="str"/>
    </x:row>
    <x:row r="1262">
      <x:c r="A1262" s="137" t="str"/>
      <x:c r="B1262" s="137" t="str"/>
      <x:c r="C1262" s="137" t="str"/>
      <x:c r="D1262" s="137" t="str"/>
      <x:c r="E1262" s="137" t="str"/>
      <x:c r="F1262" s="137" t="str"/>
      <x:c r="G1262" s="137" t="str"/>
      <x:c r="H1262" s="137" t="str"/>
      <x:c r="I1262" s="175" t="str"/>
      <x:c r="J1262" s="176" t="str"/>
      <x:c r="K1262" s="177" t="str"/>
      <x:c r="L1262" s="178" t="str">
        <x:f>IF(J1262="","",J1262*(1+IF(K1262="",0,K1262)) )</x:f>
      </x:c>
      <x:c r="M1262" s="138" t="str"/>
      <x:c r="N1262" s="137" t="str"/>
      <x:c r="O1262" s="137" t="str"/>
      <x:c r="P1262" s="137" t="str"/>
      <x:c r="Q1262" s="137" t="str"/>
    </x:row>
    <x:row r="1263">
      <x:c r="A1263" s="137" t="str"/>
      <x:c r="B1263" s="137" t="str"/>
      <x:c r="C1263" s="137" t="str"/>
      <x:c r="D1263" s="137" t="str"/>
      <x:c r="E1263" s="137" t="str"/>
      <x:c r="F1263" s="137" t="str"/>
      <x:c r="G1263" s="137" t="str"/>
      <x:c r="H1263" s="137" t="str"/>
      <x:c r="I1263" s="175" t="str"/>
      <x:c r="J1263" s="176" t="str"/>
      <x:c r="K1263" s="177" t="str"/>
      <x:c r="L1263" s="178" t="str">
        <x:f>IF(J1263="","",J1263*(1+IF(K1263="",0,K1263)) )</x:f>
      </x:c>
      <x:c r="M1263" s="138" t="str"/>
      <x:c r="N1263" s="137" t="str"/>
      <x:c r="O1263" s="137" t="str"/>
      <x:c r="P1263" s="137" t="str"/>
      <x:c r="Q1263" s="137" t="str"/>
    </x:row>
    <x:row r="1264">
      <x:c r="A1264" s="137" t="str"/>
      <x:c r="B1264" s="137" t="str"/>
      <x:c r="C1264" s="137" t="str"/>
      <x:c r="D1264" s="137" t="str"/>
      <x:c r="E1264" s="137" t="str"/>
      <x:c r="F1264" s="137" t="str"/>
      <x:c r="G1264" s="137" t="str"/>
      <x:c r="H1264" s="137" t="str"/>
      <x:c r="I1264" s="175" t="str"/>
      <x:c r="J1264" s="176" t="str"/>
      <x:c r="K1264" s="177" t="str"/>
      <x:c r="L1264" s="178" t="str">
        <x:f>IF(J1264="","",J1264*(1+IF(K1264="",0,K1264)) )</x:f>
      </x:c>
      <x:c r="M1264" s="138" t="str"/>
      <x:c r="N1264" s="137" t="str"/>
      <x:c r="O1264" s="137" t="str"/>
      <x:c r="P1264" s="137" t="str"/>
      <x:c r="Q1264" s="137" t="str"/>
    </x:row>
    <x:row r="1265">
      <x:c r="A1265" s="137" t="str"/>
      <x:c r="B1265" s="137" t="str"/>
      <x:c r="C1265" s="137" t="str"/>
      <x:c r="D1265" s="137" t="str"/>
      <x:c r="E1265" s="137" t="str"/>
      <x:c r="F1265" s="137" t="str"/>
      <x:c r="G1265" s="137" t="str"/>
      <x:c r="H1265" s="137" t="str"/>
      <x:c r="I1265" s="175" t="str"/>
      <x:c r="J1265" s="176" t="str"/>
      <x:c r="K1265" s="177" t="str"/>
      <x:c r="L1265" s="178" t="str">
        <x:f>IF(J1265="","",J1265*(1+IF(K1265="",0,K1265)) )</x:f>
      </x:c>
      <x:c r="M1265" s="138" t="str"/>
      <x:c r="N1265" s="137" t="str"/>
      <x:c r="O1265" s="137" t="str"/>
      <x:c r="P1265" s="137" t="str"/>
      <x:c r="Q1265" s="137" t="str"/>
    </x:row>
    <x:row r="1266">
      <x:c r="A1266" s="137" t="str"/>
      <x:c r="B1266" s="137" t="str"/>
      <x:c r="C1266" s="137" t="str"/>
      <x:c r="D1266" s="137" t="str"/>
      <x:c r="E1266" s="137" t="str"/>
      <x:c r="F1266" s="137" t="str"/>
      <x:c r="G1266" s="137" t="str"/>
      <x:c r="H1266" s="137" t="str"/>
      <x:c r="I1266" s="175" t="str"/>
      <x:c r="J1266" s="176" t="str"/>
      <x:c r="K1266" s="177" t="str"/>
      <x:c r="L1266" s="178" t="str">
        <x:f>IF(J1266="","",J1266*(1+IF(K1266="",0,K1266)) )</x:f>
      </x:c>
      <x:c r="M1266" s="138" t="str"/>
      <x:c r="N1266" s="137" t="str"/>
      <x:c r="O1266" s="137" t="str"/>
      <x:c r="P1266" s="137" t="str"/>
      <x:c r="Q1266" s="137" t="str"/>
    </x:row>
    <x:row r="1267">
      <x:c r="A1267" s="137" t="str"/>
      <x:c r="B1267" s="137" t="str"/>
      <x:c r="C1267" s="137" t="str"/>
      <x:c r="D1267" s="137" t="str"/>
      <x:c r="E1267" s="137" t="str"/>
      <x:c r="F1267" s="137" t="str"/>
      <x:c r="G1267" s="137" t="str"/>
      <x:c r="H1267" s="137" t="str"/>
      <x:c r="I1267" s="175" t="str"/>
      <x:c r="J1267" s="176" t="str"/>
      <x:c r="K1267" s="177" t="str"/>
      <x:c r="L1267" s="178" t="str">
        <x:f>IF(J1267="","",J1267*(1+IF(K1267="",0,K1267)) )</x:f>
      </x:c>
      <x:c r="M1267" s="138" t="str"/>
      <x:c r="N1267" s="137" t="str"/>
      <x:c r="O1267" s="137" t="str"/>
      <x:c r="P1267" s="137" t="str"/>
      <x:c r="Q1267" s="137" t="str"/>
    </x:row>
    <x:row r="1268">
      <x:c r="A1268" s="137" t="str"/>
      <x:c r="B1268" s="137" t="str"/>
      <x:c r="C1268" s="137" t="str"/>
      <x:c r="D1268" s="137" t="str"/>
      <x:c r="E1268" s="137" t="str"/>
      <x:c r="F1268" s="137" t="str"/>
      <x:c r="G1268" s="137" t="str"/>
      <x:c r="H1268" s="137" t="str"/>
      <x:c r="I1268" s="175" t="str"/>
      <x:c r="J1268" s="176" t="str"/>
      <x:c r="K1268" s="177" t="str"/>
      <x:c r="L1268" s="178" t="str">
        <x:f>IF(J1268="","",J1268*(1+IF(K1268="",0,K1268)) )</x:f>
      </x:c>
      <x:c r="M1268" s="138" t="str"/>
      <x:c r="N1268" s="137" t="str"/>
      <x:c r="O1268" s="137" t="str"/>
      <x:c r="P1268" s="137" t="str"/>
      <x:c r="Q1268" s="137" t="str"/>
    </x:row>
    <x:row r="1269">
      <x:c r="A1269" s="137" t="str"/>
      <x:c r="B1269" s="137" t="str"/>
      <x:c r="C1269" s="137" t="str"/>
      <x:c r="D1269" s="137" t="str"/>
      <x:c r="E1269" s="137" t="str"/>
      <x:c r="F1269" s="137" t="str"/>
      <x:c r="G1269" s="137" t="str"/>
      <x:c r="H1269" s="137" t="str"/>
      <x:c r="I1269" s="175" t="str"/>
      <x:c r="J1269" s="176" t="str"/>
      <x:c r="K1269" s="177" t="str"/>
      <x:c r="L1269" s="178" t="str">
        <x:f>IF(J1269="","",J1269*(1+IF(K1269="",0,K1269)) )</x:f>
      </x:c>
      <x:c r="M1269" s="138" t="str"/>
      <x:c r="N1269" s="137" t="str"/>
      <x:c r="O1269" s="137" t="str"/>
      <x:c r="P1269" s="137" t="str"/>
      <x:c r="Q1269" s="137" t="str"/>
    </x:row>
    <x:row r="1270">
      <x:c r="A1270" s="137" t="str"/>
      <x:c r="B1270" s="137" t="str"/>
      <x:c r="C1270" s="137" t="str"/>
      <x:c r="D1270" s="137" t="str"/>
      <x:c r="E1270" s="137" t="str"/>
      <x:c r="F1270" s="137" t="str"/>
      <x:c r="G1270" s="137" t="str"/>
      <x:c r="H1270" s="137" t="str"/>
      <x:c r="I1270" s="175" t="str"/>
      <x:c r="J1270" s="176" t="str"/>
      <x:c r="K1270" s="177" t="str"/>
      <x:c r="L1270" s="178" t="str">
        <x:f>IF(J1270="","",J1270*(1+IF(K1270="",0,K1270)) )</x:f>
      </x:c>
      <x:c r="M1270" s="138" t="str"/>
      <x:c r="N1270" s="137" t="str"/>
      <x:c r="O1270" s="137" t="str"/>
      <x:c r="P1270" s="137" t="str"/>
      <x:c r="Q1270" s="137" t="str"/>
    </x:row>
    <x:row r="1271">
      <x:c r="A1271" s="137" t="str"/>
      <x:c r="B1271" s="137" t="str"/>
      <x:c r="C1271" s="137" t="str"/>
      <x:c r="D1271" s="137" t="str"/>
      <x:c r="E1271" s="137" t="str"/>
      <x:c r="F1271" s="137" t="str"/>
      <x:c r="G1271" s="137" t="str"/>
      <x:c r="H1271" s="137" t="str"/>
      <x:c r="I1271" s="175" t="str"/>
      <x:c r="J1271" s="176" t="str"/>
      <x:c r="K1271" s="177" t="str"/>
      <x:c r="L1271" s="178" t="str">
        <x:f>IF(J1271="","",J1271*(1+IF(K1271="",0,K1271)) )</x:f>
      </x:c>
      <x:c r="M1271" s="138" t="str"/>
      <x:c r="N1271" s="137" t="str"/>
      <x:c r="O1271" s="137" t="str"/>
      <x:c r="P1271" s="137" t="str"/>
      <x:c r="Q1271" s="137" t="str"/>
    </x:row>
    <x:row r="1272">
      <x:c r="A1272" s="137" t="str"/>
      <x:c r="B1272" s="137" t="str"/>
      <x:c r="C1272" s="137" t="str"/>
      <x:c r="D1272" s="137" t="str"/>
      <x:c r="E1272" s="137" t="str"/>
      <x:c r="F1272" s="137" t="str"/>
      <x:c r="G1272" s="137" t="str"/>
      <x:c r="H1272" s="137" t="str"/>
      <x:c r="I1272" s="175" t="str"/>
      <x:c r="J1272" s="176" t="str"/>
      <x:c r="K1272" s="177" t="str"/>
      <x:c r="L1272" s="178" t="str">
        <x:f>IF(J1272="","",J1272*(1+IF(K1272="",0,K1272)) )</x:f>
      </x:c>
      <x:c r="M1272" s="138" t="str"/>
      <x:c r="N1272" s="137" t="str"/>
      <x:c r="O1272" s="137" t="str"/>
      <x:c r="P1272" s="137" t="str"/>
      <x:c r="Q1272" s="137" t="str"/>
    </x:row>
    <x:row r="1273">
      <x:c r="A1273" s="137" t="str"/>
      <x:c r="B1273" s="137" t="str"/>
      <x:c r="C1273" s="137" t="str"/>
      <x:c r="D1273" s="137" t="str"/>
      <x:c r="E1273" s="137" t="str"/>
      <x:c r="F1273" s="137" t="str"/>
      <x:c r="G1273" s="137" t="str"/>
      <x:c r="H1273" s="137" t="str"/>
      <x:c r="I1273" s="175" t="str"/>
      <x:c r="J1273" s="176" t="str"/>
      <x:c r="K1273" s="177" t="str"/>
      <x:c r="L1273" s="178" t="str">
        <x:f>IF(J1273="","",J1273*(1+IF(K1273="",0,K1273)) )</x:f>
      </x:c>
      <x:c r="M1273" s="138" t="str"/>
      <x:c r="N1273" s="137" t="str"/>
      <x:c r="O1273" s="137" t="str"/>
      <x:c r="P1273" s="137" t="str"/>
      <x:c r="Q1273" s="137" t="str"/>
    </x:row>
    <x:row r="1274">
      <x:c r="A1274" s="137" t="str"/>
      <x:c r="B1274" s="137" t="str"/>
      <x:c r="C1274" s="137" t="str"/>
      <x:c r="D1274" s="137" t="str"/>
      <x:c r="E1274" s="137" t="str"/>
      <x:c r="F1274" s="137" t="str"/>
      <x:c r="G1274" s="137" t="str"/>
      <x:c r="H1274" s="137" t="str"/>
      <x:c r="I1274" s="175" t="str"/>
      <x:c r="J1274" s="176" t="str"/>
      <x:c r="K1274" s="177" t="str"/>
      <x:c r="L1274" s="178" t="str">
        <x:f>IF(J1274="","",J1274*(1+IF(K1274="",0,K1274)) )</x:f>
      </x:c>
      <x:c r="M1274" s="138" t="str"/>
      <x:c r="N1274" s="137" t="str"/>
      <x:c r="O1274" s="137" t="str"/>
      <x:c r="P1274" s="137" t="str"/>
      <x:c r="Q1274" s="137" t="str"/>
    </x:row>
    <x:row r="1275">
      <x:c r="A1275" s="137" t="str"/>
      <x:c r="B1275" s="137" t="str"/>
      <x:c r="C1275" s="137" t="str"/>
      <x:c r="D1275" s="137" t="str"/>
      <x:c r="E1275" s="137" t="str"/>
      <x:c r="F1275" s="137" t="str"/>
      <x:c r="G1275" s="137" t="str"/>
      <x:c r="H1275" s="137" t="str"/>
      <x:c r="I1275" s="175" t="str"/>
      <x:c r="J1275" s="176" t="str"/>
      <x:c r="K1275" s="177" t="str"/>
      <x:c r="L1275" s="178" t="str">
        <x:f>IF(J1275="","",J1275*(1+IF(K1275="",0,K1275)) )</x:f>
      </x:c>
      <x:c r="M1275" s="138" t="str"/>
      <x:c r="N1275" s="137" t="str"/>
      <x:c r="O1275" s="137" t="str"/>
      <x:c r="P1275" s="137" t="str"/>
      <x:c r="Q1275" s="137" t="str"/>
    </x:row>
    <x:row r="1276">
      <x:c r="A1276" s="137" t="str"/>
      <x:c r="B1276" s="137" t="str"/>
      <x:c r="C1276" s="137" t="str"/>
      <x:c r="D1276" s="137" t="str"/>
      <x:c r="E1276" s="137" t="str"/>
      <x:c r="F1276" s="137" t="str"/>
      <x:c r="G1276" s="137" t="str"/>
      <x:c r="H1276" s="137" t="str"/>
      <x:c r="I1276" s="175" t="str"/>
      <x:c r="J1276" s="176" t="str"/>
      <x:c r="K1276" s="177" t="str"/>
      <x:c r="L1276" s="178" t="str">
        <x:f>IF(J1276="","",J1276*(1+IF(K1276="",0,K1276)) )</x:f>
      </x:c>
      <x:c r="M1276" s="138" t="str"/>
      <x:c r="N1276" s="137" t="str"/>
      <x:c r="O1276" s="137" t="str"/>
      <x:c r="P1276" s="137" t="str"/>
      <x:c r="Q1276" s="137" t="str"/>
    </x:row>
    <x:row r="1277">
      <x:c r="A1277" s="137" t="str"/>
      <x:c r="B1277" s="137" t="str"/>
      <x:c r="C1277" s="137" t="str"/>
      <x:c r="D1277" s="137" t="str"/>
      <x:c r="E1277" s="137" t="str"/>
      <x:c r="F1277" s="137" t="str"/>
      <x:c r="G1277" s="137" t="str"/>
      <x:c r="H1277" s="137" t="str"/>
      <x:c r="I1277" s="175" t="str"/>
      <x:c r="J1277" s="176" t="str"/>
      <x:c r="K1277" s="177" t="str"/>
      <x:c r="L1277" s="178" t="str">
        <x:f>IF(J1277="","",J1277*(1+IF(K1277="",0,K1277)) )</x:f>
      </x:c>
      <x:c r="M1277" s="138" t="str"/>
      <x:c r="N1277" s="137" t="str"/>
      <x:c r="O1277" s="137" t="str"/>
      <x:c r="P1277" s="137" t="str"/>
      <x:c r="Q1277" s="137" t="str"/>
    </x:row>
    <x:row r="1278">
      <x:c r="A1278" s="137" t="str"/>
      <x:c r="B1278" s="137" t="str"/>
      <x:c r="C1278" s="137" t="str"/>
      <x:c r="D1278" s="137" t="str"/>
      <x:c r="E1278" s="137" t="str"/>
      <x:c r="F1278" s="137" t="str"/>
      <x:c r="G1278" s="137" t="str"/>
      <x:c r="H1278" s="137" t="str"/>
      <x:c r="I1278" s="175" t="str"/>
      <x:c r="J1278" s="176" t="str"/>
      <x:c r="K1278" s="177" t="str"/>
      <x:c r="L1278" s="178" t="str">
        <x:f>IF(J1278="","",J1278*(1+IF(K1278="",0,K1278)) )</x:f>
      </x:c>
      <x:c r="M1278" s="138" t="str"/>
      <x:c r="N1278" s="137" t="str"/>
      <x:c r="O1278" s="137" t="str"/>
      <x:c r="P1278" s="137" t="str"/>
      <x:c r="Q1278" s="137" t="str"/>
    </x:row>
    <x:row r="1279">
      <x:c r="A1279" s="137" t="str"/>
      <x:c r="B1279" s="137" t="str"/>
      <x:c r="C1279" s="137" t="str"/>
      <x:c r="D1279" s="137" t="str"/>
      <x:c r="E1279" s="137" t="str"/>
      <x:c r="F1279" s="137" t="str"/>
      <x:c r="G1279" s="137" t="str"/>
      <x:c r="H1279" s="137" t="str"/>
      <x:c r="I1279" s="175" t="str"/>
      <x:c r="J1279" s="176" t="str"/>
      <x:c r="K1279" s="177" t="str"/>
      <x:c r="L1279" s="178" t="str">
        <x:f>IF(J1279="","",J1279*(1+IF(K1279="",0,K1279)) )</x:f>
      </x:c>
      <x:c r="M1279" s="138" t="str"/>
      <x:c r="N1279" s="137" t="str"/>
      <x:c r="O1279" s="137" t="str"/>
      <x:c r="P1279" s="137" t="str"/>
      <x:c r="Q1279" s="137" t="str"/>
    </x:row>
    <x:row r="1280">
      <x:c r="A1280" s="137" t="str"/>
      <x:c r="B1280" s="137" t="str"/>
      <x:c r="C1280" s="137" t="str"/>
      <x:c r="D1280" s="137" t="str"/>
      <x:c r="E1280" s="137" t="str"/>
      <x:c r="F1280" s="137" t="str"/>
      <x:c r="G1280" s="137" t="str"/>
      <x:c r="H1280" s="137" t="str"/>
      <x:c r="I1280" s="175" t="str"/>
      <x:c r="J1280" s="176" t="str"/>
      <x:c r="K1280" s="177" t="str"/>
      <x:c r="L1280" s="178" t="str">
        <x:f>IF(J1280="","",J1280*(1+IF(K1280="",0,K1280)) )</x:f>
      </x:c>
      <x:c r="M1280" s="138" t="str"/>
      <x:c r="N1280" s="137" t="str"/>
      <x:c r="O1280" s="137" t="str"/>
      <x:c r="P1280" s="137" t="str"/>
      <x:c r="Q1280" s="137" t="str"/>
    </x:row>
    <x:row r="1281">
      <x:c r="A1281" s="137" t="str"/>
      <x:c r="B1281" s="137" t="str"/>
      <x:c r="C1281" s="137" t="str"/>
      <x:c r="D1281" s="137" t="str"/>
      <x:c r="E1281" s="137" t="str"/>
      <x:c r="F1281" s="137" t="str"/>
      <x:c r="G1281" s="137" t="str"/>
      <x:c r="H1281" s="137" t="str"/>
      <x:c r="I1281" s="175" t="str"/>
      <x:c r="J1281" s="176" t="str"/>
      <x:c r="K1281" s="177" t="str"/>
      <x:c r="L1281" s="178" t="str">
        <x:f>IF(J1281="","",J1281*(1+IF(K1281="",0,K1281)) )</x:f>
      </x:c>
      <x:c r="M1281" s="138" t="str"/>
      <x:c r="N1281" s="137" t="str"/>
      <x:c r="O1281" s="137" t="str"/>
      <x:c r="P1281" s="137" t="str"/>
      <x:c r="Q1281" s="137" t="str"/>
    </x:row>
    <x:row r="1282">
      <x:c r="A1282" s="137" t="str"/>
      <x:c r="B1282" s="137" t="str"/>
      <x:c r="C1282" s="137" t="str"/>
      <x:c r="D1282" s="137" t="str"/>
      <x:c r="E1282" s="137" t="str"/>
      <x:c r="F1282" s="137" t="str"/>
      <x:c r="G1282" s="137" t="str"/>
      <x:c r="H1282" s="137" t="str"/>
      <x:c r="I1282" s="175" t="str"/>
      <x:c r="J1282" s="176" t="str"/>
      <x:c r="K1282" s="177" t="str"/>
      <x:c r="L1282" s="178" t="str">
        <x:f>IF(J1282="","",J1282*(1+IF(K1282="",0,K1282)) )</x:f>
      </x:c>
      <x:c r="M1282" s="138" t="str"/>
      <x:c r="N1282" s="137" t="str"/>
      <x:c r="O1282" s="137" t="str"/>
      <x:c r="P1282" s="137" t="str"/>
      <x:c r="Q1282" s="137" t="str"/>
    </x:row>
    <x:row r="1283">
      <x:c r="A1283" s="137" t="str"/>
      <x:c r="B1283" s="137" t="str"/>
      <x:c r="C1283" s="137" t="str"/>
      <x:c r="D1283" s="137" t="str"/>
      <x:c r="E1283" s="137" t="str"/>
      <x:c r="F1283" s="137" t="str"/>
      <x:c r="G1283" s="137" t="str"/>
      <x:c r="H1283" s="137" t="str"/>
      <x:c r="I1283" s="175" t="str"/>
      <x:c r="J1283" s="176" t="str"/>
      <x:c r="K1283" s="177" t="str"/>
      <x:c r="L1283" s="178" t="str">
        <x:f>IF(J1283="","",J1283*(1+IF(K1283="",0,K1283)) )</x:f>
      </x:c>
      <x:c r="M1283" s="138" t="str"/>
      <x:c r="N1283" s="137" t="str"/>
      <x:c r="O1283" s="137" t="str"/>
      <x:c r="P1283" s="137" t="str"/>
      <x:c r="Q1283" s="137" t="str"/>
    </x:row>
    <x:row r="1284">
      <x:c r="A1284" s="137" t="str"/>
      <x:c r="B1284" s="137" t="str"/>
      <x:c r="C1284" s="137" t="str"/>
      <x:c r="D1284" s="137" t="str"/>
      <x:c r="E1284" s="137" t="str"/>
      <x:c r="F1284" s="137" t="str"/>
      <x:c r="G1284" s="137" t="str"/>
      <x:c r="H1284" s="137" t="str"/>
      <x:c r="I1284" s="175" t="str"/>
      <x:c r="J1284" s="176" t="str"/>
      <x:c r="K1284" s="177" t="str"/>
      <x:c r="L1284" s="178" t="str">
        <x:f>IF(J1284="","",J1284*(1+IF(K1284="",0,K1284)) )</x:f>
      </x:c>
      <x:c r="M1284" s="138" t="str"/>
      <x:c r="N1284" s="137" t="str"/>
      <x:c r="O1284" s="137" t="str"/>
      <x:c r="P1284" s="137" t="str"/>
      <x:c r="Q1284" s="137" t="str"/>
    </x:row>
    <x:row r="1285">
      <x:c r="A1285" s="137" t="str"/>
      <x:c r="B1285" s="137" t="str"/>
      <x:c r="C1285" s="137" t="str"/>
      <x:c r="D1285" s="137" t="str"/>
      <x:c r="E1285" s="137" t="str"/>
      <x:c r="F1285" s="137" t="str"/>
      <x:c r="G1285" s="137" t="str"/>
      <x:c r="H1285" s="137" t="str"/>
      <x:c r="I1285" s="175" t="str"/>
      <x:c r="J1285" s="176" t="str"/>
      <x:c r="K1285" s="177" t="str"/>
      <x:c r="L1285" s="178" t="str">
        <x:f>IF(J1285="","",J1285*(1+IF(K1285="",0,K1285)) )</x:f>
      </x:c>
      <x:c r="M1285" s="138" t="str"/>
      <x:c r="N1285" s="137" t="str"/>
      <x:c r="O1285" s="137" t="str"/>
      <x:c r="P1285" s="137" t="str"/>
      <x:c r="Q1285" s="137" t="str"/>
    </x:row>
    <x:row r="1286">
      <x:c r="A1286" s="137" t="str"/>
      <x:c r="B1286" s="137" t="str"/>
      <x:c r="C1286" s="137" t="str"/>
      <x:c r="D1286" s="137" t="str"/>
      <x:c r="E1286" s="137" t="str"/>
      <x:c r="F1286" s="137" t="str"/>
      <x:c r="G1286" s="137" t="str"/>
      <x:c r="H1286" s="137" t="str"/>
      <x:c r="I1286" s="175" t="str"/>
      <x:c r="J1286" s="176" t="str"/>
      <x:c r="K1286" s="177" t="str"/>
      <x:c r="L1286" s="178" t="str">
        <x:f>IF(J1286="","",J1286*(1+IF(K1286="",0,K1286)) )</x:f>
      </x:c>
      <x:c r="M1286" s="138" t="str"/>
      <x:c r="N1286" s="137" t="str"/>
      <x:c r="O1286" s="137" t="str"/>
      <x:c r="P1286" s="137" t="str"/>
      <x:c r="Q1286" s="137" t="str"/>
    </x:row>
    <x:row r="1287">
      <x:c r="A1287" s="137" t="str"/>
      <x:c r="B1287" s="137" t="str"/>
      <x:c r="C1287" s="137" t="str"/>
      <x:c r="D1287" s="137" t="str"/>
      <x:c r="E1287" s="137" t="str"/>
      <x:c r="F1287" s="137" t="str"/>
      <x:c r="G1287" s="137" t="str"/>
      <x:c r="H1287" s="137" t="str"/>
      <x:c r="I1287" s="175" t="str"/>
      <x:c r="J1287" s="176" t="str"/>
      <x:c r="K1287" s="177" t="str"/>
      <x:c r="L1287" s="178" t="str">
        <x:f>IF(J1287="","",J1287*(1+IF(K1287="",0,K1287)) )</x:f>
      </x:c>
      <x:c r="M1287" s="138" t="str"/>
      <x:c r="N1287" s="137" t="str"/>
      <x:c r="O1287" s="137" t="str"/>
      <x:c r="P1287" s="137" t="str"/>
      <x:c r="Q1287" s="137" t="str"/>
    </x:row>
    <x:row r="1288">
      <x:c r="A1288" s="137" t="str"/>
      <x:c r="B1288" s="137" t="str"/>
      <x:c r="C1288" s="137" t="str"/>
      <x:c r="D1288" s="137" t="str"/>
      <x:c r="E1288" s="137" t="str"/>
      <x:c r="F1288" s="137" t="str"/>
      <x:c r="G1288" s="137" t="str"/>
      <x:c r="H1288" s="137" t="str"/>
      <x:c r="I1288" s="175" t="str"/>
      <x:c r="J1288" s="176" t="str"/>
      <x:c r="K1288" s="177" t="str"/>
      <x:c r="L1288" s="178" t="str">
        <x:f>IF(J1288="","",J1288*(1+IF(K1288="",0,K1288)) )</x:f>
      </x:c>
      <x:c r="M1288" s="138" t="str"/>
      <x:c r="N1288" s="137" t="str"/>
      <x:c r="O1288" s="137" t="str"/>
      <x:c r="P1288" s="137" t="str"/>
      <x:c r="Q1288" s="137" t="str"/>
    </x:row>
    <x:row r="1289">
      <x:c r="A1289" s="137" t="str"/>
      <x:c r="B1289" s="137" t="str"/>
      <x:c r="C1289" s="137" t="str"/>
      <x:c r="D1289" s="137" t="str"/>
      <x:c r="E1289" s="137" t="str"/>
      <x:c r="F1289" s="137" t="str"/>
      <x:c r="G1289" s="137" t="str"/>
      <x:c r="H1289" s="137" t="str"/>
      <x:c r="I1289" s="175" t="str"/>
      <x:c r="J1289" s="176" t="str"/>
      <x:c r="K1289" s="177" t="str"/>
      <x:c r="L1289" s="178" t="str">
        <x:f>IF(J1289="","",J1289*(1+IF(K1289="",0,K1289)) )</x:f>
      </x:c>
      <x:c r="M1289" s="138" t="str"/>
      <x:c r="N1289" s="137" t="str"/>
      <x:c r="O1289" s="137" t="str"/>
      <x:c r="P1289" s="137" t="str"/>
      <x:c r="Q1289" s="137" t="str"/>
    </x:row>
    <x:row r="1290">
      <x:c r="A1290" s="137" t="str"/>
      <x:c r="B1290" s="137" t="str"/>
      <x:c r="C1290" s="137" t="str"/>
      <x:c r="D1290" s="137" t="str"/>
      <x:c r="E1290" s="137" t="str"/>
      <x:c r="F1290" s="137" t="str"/>
      <x:c r="G1290" s="137" t="str"/>
      <x:c r="H1290" s="137" t="str"/>
      <x:c r="I1290" s="175" t="str"/>
      <x:c r="J1290" s="176" t="str"/>
      <x:c r="K1290" s="177" t="str"/>
      <x:c r="L1290" s="178" t="str">
        <x:f>IF(J1290="","",J1290*(1+IF(K1290="",0,K1290)) )</x:f>
      </x:c>
      <x:c r="M1290" s="138" t="str"/>
      <x:c r="N1290" s="137" t="str"/>
      <x:c r="O1290" s="137" t="str"/>
      <x:c r="P1290" s="137" t="str"/>
      <x:c r="Q1290" s="137" t="str"/>
    </x:row>
    <x:row r="1291">
      <x:c r="A1291" s="137" t="str"/>
      <x:c r="B1291" s="137" t="str"/>
      <x:c r="C1291" s="137" t="str"/>
      <x:c r="D1291" s="137" t="str"/>
      <x:c r="E1291" s="137" t="str"/>
      <x:c r="F1291" s="137" t="str"/>
      <x:c r="G1291" s="137" t="str"/>
      <x:c r="H1291" s="137" t="str"/>
      <x:c r="I1291" s="175" t="str"/>
      <x:c r="J1291" s="176" t="str"/>
      <x:c r="K1291" s="177" t="str"/>
      <x:c r="L1291" s="178" t="str">
        <x:f>IF(J1291="","",J1291*(1+IF(K1291="",0,K1291)) )</x:f>
      </x:c>
      <x:c r="M1291" s="138" t="str"/>
      <x:c r="N1291" s="137" t="str"/>
      <x:c r="O1291" s="137" t="str"/>
      <x:c r="P1291" s="137" t="str"/>
      <x:c r="Q1291" s="137" t="str"/>
    </x:row>
    <x:row r="1292">
      <x:c r="A1292" s="137" t="str"/>
      <x:c r="B1292" s="137" t="str"/>
      <x:c r="C1292" s="137" t="str"/>
      <x:c r="D1292" s="137" t="str"/>
      <x:c r="E1292" s="137" t="str"/>
      <x:c r="F1292" s="137" t="str"/>
      <x:c r="G1292" s="137" t="str"/>
      <x:c r="H1292" s="137" t="str"/>
      <x:c r="I1292" s="175" t="str"/>
      <x:c r="J1292" s="176" t="str"/>
      <x:c r="K1292" s="177" t="str"/>
      <x:c r="L1292" s="178" t="str">
        <x:f>IF(J1292="","",J1292*(1+IF(K1292="",0,K1292)) )</x:f>
      </x:c>
      <x:c r="M1292" s="138" t="str"/>
      <x:c r="N1292" s="137" t="str"/>
      <x:c r="O1292" s="137" t="str"/>
      <x:c r="P1292" s="137" t="str"/>
      <x:c r="Q1292" s="137" t="str"/>
    </x:row>
    <x:row r="1293">
      <x:c r="A1293" s="137" t="str"/>
      <x:c r="B1293" s="137" t="str"/>
      <x:c r="C1293" s="137" t="str"/>
      <x:c r="D1293" s="137" t="str"/>
      <x:c r="E1293" s="137" t="str"/>
      <x:c r="F1293" s="137" t="str"/>
      <x:c r="G1293" s="137" t="str"/>
      <x:c r="H1293" s="137" t="str"/>
      <x:c r="I1293" s="175" t="str"/>
      <x:c r="J1293" s="176" t="str"/>
      <x:c r="K1293" s="177" t="str"/>
      <x:c r="L1293" s="178" t="str">
        <x:f>IF(J1293="","",J1293*(1+IF(K1293="",0,K1293)) )</x:f>
      </x:c>
      <x:c r="M1293" s="138" t="str"/>
      <x:c r="N1293" s="137" t="str"/>
      <x:c r="O1293" s="137" t="str"/>
      <x:c r="P1293" s="137" t="str"/>
      <x:c r="Q1293" s="137" t="str"/>
    </x:row>
    <x:row r="1294">
      <x:c r="A1294" s="137" t="str"/>
      <x:c r="B1294" s="137" t="str"/>
      <x:c r="C1294" s="137" t="str"/>
      <x:c r="D1294" s="137" t="str"/>
      <x:c r="E1294" s="137" t="str"/>
      <x:c r="F1294" s="137" t="str"/>
      <x:c r="G1294" s="137" t="str"/>
      <x:c r="H1294" s="137" t="str"/>
      <x:c r="I1294" s="175" t="str"/>
      <x:c r="J1294" s="176" t="str"/>
      <x:c r="K1294" s="177" t="str"/>
      <x:c r="L1294" s="178" t="str">
        <x:f>IF(J1294="","",J1294*(1+IF(K1294="",0,K1294)) )</x:f>
      </x:c>
      <x:c r="M1294" s="138" t="str"/>
      <x:c r="N1294" s="137" t="str"/>
      <x:c r="O1294" s="137" t="str"/>
      <x:c r="P1294" s="137" t="str"/>
      <x:c r="Q1294" s="137" t="str"/>
    </x:row>
    <x:row r="1295">
      <x:c r="A1295" s="137" t="str"/>
      <x:c r="B1295" s="137" t="str"/>
      <x:c r="C1295" s="137" t="str"/>
      <x:c r="D1295" s="137" t="str"/>
      <x:c r="E1295" s="137" t="str"/>
      <x:c r="F1295" s="137" t="str"/>
      <x:c r="G1295" s="137" t="str"/>
      <x:c r="H1295" s="137" t="str"/>
      <x:c r="I1295" s="175" t="str"/>
      <x:c r="J1295" s="176" t="str"/>
      <x:c r="K1295" s="177" t="str"/>
      <x:c r="L1295" s="178" t="str">
        <x:f>IF(J1295="","",J1295*(1+IF(K1295="",0,K1295)) )</x:f>
      </x:c>
      <x:c r="M1295" s="138" t="str"/>
      <x:c r="N1295" s="137" t="str"/>
      <x:c r="O1295" s="137" t="str"/>
      <x:c r="P1295" s="137" t="str"/>
      <x:c r="Q1295" s="137" t="str"/>
    </x:row>
    <x:row r="1296">
      <x:c r="A1296" s="137" t="str"/>
      <x:c r="B1296" s="137" t="str"/>
      <x:c r="C1296" s="137" t="str"/>
      <x:c r="D1296" s="137" t="str"/>
      <x:c r="E1296" s="137" t="str"/>
      <x:c r="F1296" s="137" t="str"/>
      <x:c r="G1296" s="137" t="str"/>
      <x:c r="H1296" s="137" t="str"/>
      <x:c r="I1296" s="175" t="str"/>
      <x:c r="J1296" s="176" t="str"/>
      <x:c r="K1296" s="177" t="str"/>
      <x:c r="L1296" s="178" t="str">
        <x:f>IF(J1296="","",J1296*(1+IF(K1296="",0,K1296)) )</x:f>
      </x:c>
      <x:c r="M1296" s="138" t="str"/>
      <x:c r="N1296" s="137" t="str"/>
      <x:c r="O1296" s="137" t="str"/>
      <x:c r="P1296" s="137" t="str"/>
      <x:c r="Q1296" s="137" t="str"/>
    </x:row>
    <x:row r="1297">
      <x:c r="A1297" s="137" t="str"/>
      <x:c r="B1297" s="137" t="str"/>
      <x:c r="C1297" s="137" t="str"/>
      <x:c r="D1297" s="137" t="str"/>
      <x:c r="E1297" s="137" t="str"/>
      <x:c r="F1297" s="137" t="str"/>
      <x:c r="G1297" s="137" t="str"/>
      <x:c r="H1297" s="137" t="str"/>
      <x:c r="I1297" s="175" t="str"/>
      <x:c r="J1297" s="176" t="str"/>
      <x:c r="K1297" s="177" t="str"/>
      <x:c r="L1297" s="178" t="str">
        <x:f>IF(J1297="","",J1297*(1+IF(K1297="",0,K1297)) )</x:f>
      </x:c>
      <x:c r="M1297" s="138" t="str"/>
      <x:c r="N1297" s="137" t="str"/>
      <x:c r="O1297" s="137" t="str"/>
      <x:c r="P1297" s="137" t="str"/>
      <x:c r="Q1297" s="137" t="str"/>
    </x:row>
    <x:row r="1298">
      <x:c r="A1298" s="137" t="str"/>
      <x:c r="B1298" s="137" t="str"/>
      <x:c r="C1298" s="137" t="str"/>
      <x:c r="D1298" s="137" t="str"/>
      <x:c r="E1298" s="137" t="str"/>
      <x:c r="F1298" s="137" t="str"/>
      <x:c r="G1298" s="137" t="str"/>
      <x:c r="H1298" s="137" t="str"/>
      <x:c r="I1298" s="175" t="str"/>
      <x:c r="J1298" s="176" t="str"/>
      <x:c r="K1298" s="177" t="str"/>
      <x:c r="L1298" s="178" t="str">
        <x:f>IF(J1298="","",J1298*(1+IF(K1298="",0,K1298)) )</x:f>
      </x:c>
      <x:c r="M1298" s="138" t="str"/>
      <x:c r="N1298" s="137" t="str"/>
      <x:c r="O1298" s="137" t="str"/>
      <x:c r="P1298" s="137" t="str"/>
      <x:c r="Q1298" s="137" t="str"/>
    </x:row>
    <x:row r="1299">
      <x:c r="A1299" s="137" t="str"/>
      <x:c r="B1299" s="137" t="str"/>
      <x:c r="C1299" s="137" t="str"/>
      <x:c r="D1299" s="137" t="str"/>
      <x:c r="E1299" s="137" t="str"/>
      <x:c r="F1299" s="137" t="str"/>
      <x:c r="G1299" s="137" t="str"/>
      <x:c r="H1299" s="137" t="str"/>
      <x:c r="I1299" s="175" t="str"/>
      <x:c r="J1299" s="176" t="str"/>
      <x:c r="K1299" s="177" t="str"/>
      <x:c r="L1299" s="178" t="str">
        <x:f>IF(J1299="","",J1299*(1+IF(K1299="",0,K1299)) )</x:f>
      </x:c>
      <x:c r="M1299" s="138" t="str"/>
      <x:c r="N1299" s="137" t="str"/>
      <x:c r="O1299" s="137" t="str"/>
      <x:c r="P1299" s="137" t="str"/>
      <x:c r="Q1299" s="137" t="str"/>
    </x:row>
    <x:row r="1300">
      <x:c r="A1300" s="137" t="str"/>
      <x:c r="B1300" s="137" t="str"/>
      <x:c r="C1300" s="137" t="str"/>
      <x:c r="D1300" s="137" t="str"/>
      <x:c r="E1300" s="137" t="str"/>
      <x:c r="F1300" s="137" t="str"/>
      <x:c r="G1300" s="137" t="str"/>
      <x:c r="H1300" s="137" t="str"/>
      <x:c r="I1300" s="175" t="str"/>
      <x:c r="J1300" s="176" t="str"/>
      <x:c r="K1300" s="177" t="str"/>
      <x:c r="L1300" s="178" t="str">
        <x:f>IF(J1300="","",J1300*(1+IF(K1300="",0,K1300)) )</x:f>
      </x:c>
      <x:c r="M1300" s="138" t="str"/>
      <x:c r="N1300" s="137" t="str"/>
      <x:c r="O1300" s="137" t="str"/>
      <x:c r="P1300" s="137" t="str"/>
      <x:c r="Q1300" s="137" t="str"/>
    </x:row>
    <x:row r="1301">
      <x:c r="A1301" s="137" t="str"/>
      <x:c r="B1301" s="137" t="str"/>
      <x:c r="C1301" s="137" t="str"/>
      <x:c r="D1301" s="137" t="str"/>
      <x:c r="E1301" s="137" t="str"/>
      <x:c r="F1301" s="137" t="str"/>
      <x:c r="G1301" s="137" t="str"/>
      <x:c r="H1301" s="137" t="str"/>
      <x:c r="I1301" s="175" t="str"/>
      <x:c r="J1301" s="176" t="str"/>
      <x:c r="K1301" s="177" t="str"/>
      <x:c r="L1301" s="178" t="str">
        <x:f>IF(J1301="","",J1301*(1+IF(K1301="",0,K1301)) )</x:f>
      </x:c>
      <x:c r="M1301" s="138" t="str"/>
      <x:c r="N1301" s="137" t="str"/>
      <x:c r="O1301" s="137" t="str"/>
      <x:c r="P1301" s="137" t="str"/>
      <x:c r="Q1301" s="137" t="str"/>
    </x:row>
    <x:row r="1302">
      <x:c r="A1302" s="137" t="str"/>
      <x:c r="B1302" s="137" t="str"/>
      <x:c r="C1302" s="137" t="str"/>
      <x:c r="D1302" s="137" t="str"/>
      <x:c r="E1302" s="137" t="str"/>
      <x:c r="F1302" s="137" t="str"/>
      <x:c r="G1302" s="137" t="str"/>
      <x:c r="H1302" s="137" t="str"/>
      <x:c r="I1302" s="175" t="str"/>
      <x:c r="J1302" s="176" t="str"/>
      <x:c r="K1302" s="177" t="str"/>
      <x:c r="L1302" s="178" t="str">
        <x:f>IF(J1302="","",J1302*(1+IF(K1302="",0,K1302)) )</x:f>
      </x:c>
      <x:c r="M1302" s="138" t="str"/>
      <x:c r="N1302" s="137" t="str"/>
      <x:c r="O1302" s="137" t="str"/>
      <x:c r="P1302" s="137" t="str"/>
      <x:c r="Q1302" s="137" t="str"/>
    </x:row>
    <x:row r="1303">
      <x:c r="A1303" s="137" t="str"/>
      <x:c r="B1303" s="137" t="str"/>
      <x:c r="C1303" s="137" t="str"/>
      <x:c r="D1303" s="137" t="str"/>
      <x:c r="E1303" s="137" t="str"/>
      <x:c r="F1303" s="137" t="str"/>
      <x:c r="G1303" s="137" t="str"/>
      <x:c r="H1303" s="137" t="str"/>
      <x:c r="I1303" s="175" t="str"/>
      <x:c r="J1303" s="176" t="str"/>
      <x:c r="K1303" s="177" t="str"/>
      <x:c r="L1303" s="178" t="str">
        <x:f>IF(J1303="","",J1303*(1+IF(K1303="",0,K1303)) )</x:f>
      </x:c>
      <x:c r="M1303" s="138" t="str"/>
      <x:c r="N1303" s="137" t="str"/>
      <x:c r="O1303" s="137" t="str"/>
      <x:c r="P1303" s="137" t="str"/>
      <x:c r="Q1303" s="137" t="str"/>
    </x:row>
    <x:row r="1304">
      <x:c r="A1304" s="137" t="str"/>
      <x:c r="B1304" s="137" t="str"/>
      <x:c r="C1304" s="137" t="str"/>
      <x:c r="D1304" s="137" t="str"/>
      <x:c r="E1304" s="137" t="str"/>
      <x:c r="F1304" s="137" t="str"/>
      <x:c r="G1304" s="137" t="str"/>
      <x:c r="H1304" s="137" t="str"/>
      <x:c r="I1304" s="175" t="str"/>
      <x:c r="J1304" s="176" t="str"/>
      <x:c r="K1304" s="177" t="str"/>
      <x:c r="L1304" s="178" t="str">
        <x:f>IF(J1304="","",J1304*(1+IF(K1304="",0,K1304)) )</x:f>
      </x:c>
      <x:c r="M1304" s="138" t="str"/>
      <x:c r="N1304" s="137" t="str"/>
      <x:c r="O1304" s="137" t="str"/>
      <x:c r="P1304" s="137" t="str"/>
      <x:c r="Q1304" s="137" t="str"/>
    </x:row>
    <x:row r="1305">
      <x:c r="A1305" s="137" t="str"/>
      <x:c r="B1305" s="137" t="str"/>
      <x:c r="C1305" s="137" t="str"/>
      <x:c r="D1305" s="137" t="str"/>
      <x:c r="E1305" s="137" t="str"/>
      <x:c r="F1305" s="137" t="str"/>
      <x:c r="G1305" s="137" t="str"/>
      <x:c r="H1305" s="137" t="str"/>
      <x:c r="I1305" s="175" t="str"/>
      <x:c r="J1305" s="176" t="str"/>
      <x:c r="K1305" s="177" t="str"/>
      <x:c r="L1305" s="178" t="str">
        <x:f>IF(J1305="","",J1305*(1+IF(K1305="",0,K1305)) )</x:f>
      </x:c>
      <x:c r="M1305" s="138" t="str"/>
      <x:c r="N1305" s="137" t="str"/>
      <x:c r="O1305" s="137" t="str"/>
      <x:c r="P1305" s="137" t="str"/>
      <x:c r="Q1305" s="137" t="str"/>
    </x:row>
    <x:row r="1306">
      <x:c r="A1306" s="137" t="str"/>
      <x:c r="B1306" s="137" t="str"/>
      <x:c r="C1306" s="137" t="str"/>
      <x:c r="D1306" s="137" t="str"/>
      <x:c r="E1306" s="137" t="str"/>
      <x:c r="F1306" s="137" t="str"/>
      <x:c r="G1306" s="137" t="str"/>
      <x:c r="H1306" s="137" t="str"/>
      <x:c r="I1306" s="175" t="str"/>
      <x:c r="J1306" s="176" t="str"/>
      <x:c r="K1306" s="177" t="str"/>
      <x:c r="L1306" s="178" t="str">
        <x:f>IF(J1306="","",J1306*(1+IF(K1306="",0,K1306)) )</x:f>
      </x:c>
      <x:c r="M1306" s="138" t="str"/>
      <x:c r="N1306" s="137" t="str"/>
      <x:c r="O1306" s="137" t="str"/>
      <x:c r="P1306" s="137" t="str"/>
      <x:c r="Q1306" s="137" t="str"/>
    </x:row>
    <x:row r="1307">
      <x:c r="A1307" s="137" t="str"/>
      <x:c r="B1307" s="137" t="str"/>
      <x:c r="C1307" s="137" t="str"/>
      <x:c r="D1307" s="137" t="str"/>
      <x:c r="E1307" s="137" t="str"/>
      <x:c r="F1307" s="137" t="str"/>
      <x:c r="G1307" s="137" t="str"/>
      <x:c r="H1307" s="137" t="str"/>
      <x:c r="I1307" s="175" t="str"/>
      <x:c r="J1307" s="176" t="str"/>
      <x:c r="K1307" s="177" t="str"/>
      <x:c r="L1307" s="178" t="str">
        <x:f>IF(J1307="","",J1307*(1+IF(K1307="",0,K1307)) )</x:f>
      </x:c>
      <x:c r="M1307" s="138" t="str"/>
      <x:c r="N1307" s="137" t="str"/>
      <x:c r="O1307" s="137" t="str"/>
      <x:c r="P1307" s="137" t="str"/>
      <x:c r="Q1307" s="137" t="str"/>
    </x:row>
    <x:row r="1308">
      <x:c r="A1308" s="137" t="str"/>
      <x:c r="B1308" s="137" t="str"/>
      <x:c r="C1308" s="137" t="str"/>
      <x:c r="D1308" s="137" t="str"/>
      <x:c r="E1308" s="137" t="str"/>
      <x:c r="F1308" s="137" t="str"/>
      <x:c r="G1308" s="137" t="str"/>
      <x:c r="H1308" s="137" t="str"/>
      <x:c r="I1308" s="175" t="str"/>
      <x:c r="J1308" s="176" t="str"/>
      <x:c r="K1308" s="177" t="str"/>
      <x:c r="L1308" s="178" t="str">
        <x:f>IF(J1308="","",J1308*(1+IF(K1308="",0,K1308)) )</x:f>
      </x:c>
      <x:c r="M1308" s="138" t="str"/>
      <x:c r="N1308" s="137" t="str"/>
      <x:c r="O1308" s="137" t="str"/>
      <x:c r="P1308" s="137" t="str"/>
      <x:c r="Q1308" s="137" t="str"/>
    </x:row>
    <x:row r="1309">
      <x:c r="A1309" s="137" t="str"/>
      <x:c r="B1309" s="137" t="str"/>
      <x:c r="C1309" s="137" t="str"/>
      <x:c r="D1309" s="137" t="str"/>
      <x:c r="E1309" s="137" t="str"/>
      <x:c r="F1309" s="137" t="str"/>
      <x:c r="G1309" s="137" t="str"/>
      <x:c r="H1309" s="137" t="str"/>
      <x:c r="I1309" s="175" t="str"/>
      <x:c r="J1309" s="176" t="str"/>
      <x:c r="K1309" s="177" t="str"/>
      <x:c r="L1309" s="178" t="str">
        <x:f>IF(J1309="","",J1309*(1+IF(K1309="",0,K1309)) )</x:f>
      </x:c>
      <x:c r="M1309" s="138" t="str"/>
      <x:c r="N1309" s="137" t="str"/>
      <x:c r="O1309" s="137" t="str"/>
      <x:c r="P1309" s="137" t="str"/>
      <x:c r="Q1309" s="137" t="str"/>
    </x:row>
    <x:row r="1310">
      <x:c r="A1310" s="137" t="str"/>
      <x:c r="B1310" s="137" t="str"/>
      <x:c r="C1310" s="137" t="str"/>
      <x:c r="D1310" s="137" t="str"/>
      <x:c r="E1310" s="137" t="str"/>
      <x:c r="F1310" s="137" t="str"/>
      <x:c r="G1310" s="137" t="str"/>
      <x:c r="H1310" s="137" t="str"/>
      <x:c r="I1310" s="175" t="str"/>
      <x:c r="J1310" s="176" t="str"/>
      <x:c r="K1310" s="177" t="str"/>
      <x:c r="L1310" s="178" t="str">
        <x:f>IF(J1310="","",J1310*(1+IF(K1310="",0,K1310)) )</x:f>
      </x:c>
      <x:c r="M1310" s="138" t="str"/>
      <x:c r="N1310" s="137" t="str"/>
      <x:c r="O1310" s="137" t="str"/>
      <x:c r="P1310" s="137" t="str"/>
      <x:c r="Q1310" s="137" t="str"/>
    </x:row>
    <x:row r="1311">
      <x:c r="A1311" s="137" t="str"/>
      <x:c r="B1311" s="137" t="str"/>
      <x:c r="C1311" s="137" t="str"/>
      <x:c r="D1311" s="137" t="str"/>
      <x:c r="E1311" s="137" t="str"/>
      <x:c r="F1311" s="137" t="str"/>
      <x:c r="G1311" s="137" t="str"/>
      <x:c r="H1311" s="137" t="str"/>
      <x:c r="I1311" s="175" t="str"/>
      <x:c r="J1311" s="176" t="str"/>
      <x:c r="K1311" s="177" t="str"/>
      <x:c r="L1311" s="178" t="str">
        <x:f>IF(J1311="","",J1311*(1+IF(K1311="",0,K1311)) )</x:f>
      </x:c>
      <x:c r="M1311" s="138" t="str"/>
      <x:c r="N1311" s="137" t="str"/>
      <x:c r="O1311" s="137" t="str"/>
      <x:c r="P1311" s="137" t="str"/>
      <x:c r="Q1311" s="137" t="str"/>
    </x:row>
    <x:row r="1312">
      <x:c r="A1312" s="137" t="str"/>
      <x:c r="B1312" s="137" t="str"/>
      <x:c r="C1312" s="137" t="str"/>
      <x:c r="D1312" s="137" t="str"/>
      <x:c r="E1312" s="137" t="str"/>
      <x:c r="F1312" s="137" t="str"/>
      <x:c r="G1312" s="137" t="str"/>
      <x:c r="H1312" s="137" t="str"/>
      <x:c r="I1312" s="175" t="str"/>
      <x:c r="J1312" s="176" t="str"/>
      <x:c r="K1312" s="177" t="str"/>
      <x:c r="L1312" s="178" t="str">
        <x:f>IF(J1312="","",J1312*(1+IF(K1312="",0,K1312)) )</x:f>
      </x:c>
      <x:c r="M1312" s="138" t="str"/>
      <x:c r="N1312" s="137" t="str"/>
      <x:c r="O1312" s="137" t="str"/>
      <x:c r="P1312" s="137" t="str"/>
      <x:c r="Q1312" s="137" t="str"/>
    </x:row>
    <x:row r="1313">
      <x:c r="A1313" s="137" t="str"/>
      <x:c r="B1313" s="137" t="str"/>
      <x:c r="C1313" s="137" t="str"/>
      <x:c r="D1313" s="137" t="str"/>
      <x:c r="E1313" s="137" t="str"/>
      <x:c r="F1313" s="137" t="str"/>
      <x:c r="G1313" s="137" t="str"/>
      <x:c r="H1313" s="137" t="str"/>
      <x:c r="I1313" s="175" t="str"/>
      <x:c r="J1313" s="176" t="str"/>
      <x:c r="K1313" s="177" t="str"/>
      <x:c r="L1313" s="178" t="str">
        <x:f>IF(J1313="","",J1313*(1+IF(K1313="",0,K1313)) )</x:f>
      </x:c>
      <x:c r="M1313" s="138" t="str"/>
      <x:c r="N1313" s="137" t="str"/>
      <x:c r="O1313" s="137" t="str"/>
      <x:c r="P1313" s="137" t="str"/>
      <x:c r="Q1313" s="137" t="str"/>
    </x:row>
    <x:row r="1314">
      <x:c r="A1314" s="137" t="str"/>
      <x:c r="B1314" s="137" t="str"/>
      <x:c r="C1314" s="137" t="str"/>
      <x:c r="D1314" s="137" t="str"/>
      <x:c r="E1314" s="137" t="str"/>
      <x:c r="F1314" s="137" t="str"/>
      <x:c r="G1314" s="137" t="str"/>
      <x:c r="H1314" s="137" t="str"/>
      <x:c r="I1314" s="175" t="str"/>
      <x:c r="J1314" s="176" t="str"/>
      <x:c r="K1314" s="177" t="str"/>
      <x:c r="L1314" s="178" t="str">
        <x:f>IF(J1314="","",J1314*(1+IF(K1314="",0,K1314)) )</x:f>
      </x:c>
      <x:c r="M1314" s="138" t="str"/>
      <x:c r="N1314" s="137" t="str"/>
      <x:c r="O1314" s="137" t="str"/>
      <x:c r="P1314" s="137" t="str"/>
      <x:c r="Q1314" s="137" t="str"/>
    </x:row>
    <x:row r="1315">
      <x:c r="A1315" s="137" t="str"/>
      <x:c r="B1315" s="137" t="str"/>
      <x:c r="C1315" s="137" t="str"/>
      <x:c r="D1315" s="137" t="str"/>
      <x:c r="E1315" s="137" t="str"/>
      <x:c r="F1315" s="137" t="str"/>
      <x:c r="G1315" s="137" t="str"/>
      <x:c r="H1315" s="137" t="str"/>
      <x:c r="I1315" s="175" t="str"/>
      <x:c r="J1315" s="176" t="str"/>
      <x:c r="K1315" s="177" t="str"/>
      <x:c r="L1315" s="178" t="str">
        <x:f>IF(J1315="","",J1315*(1+IF(K1315="",0,K1315)) )</x:f>
      </x:c>
      <x:c r="M1315" s="138" t="str"/>
      <x:c r="N1315" s="137" t="str"/>
      <x:c r="O1315" s="137" t="str"/>
      <x:c r="P1315" s="137" t="str"/>
      <x:c r="Q1315" s="137" t="str"/>
    </x:row>
    <x:row r="1316">
      <x:c r="A1316" s="137" t="str"/>
      <x:c r="B1316" s="137" t="str"/>
      <x:c r="C1316" s="137" t="str"/>
      <x:c r="D1316" s="137" t="str"/>
      <x:c r="E1316" s="137" t="str"/>
      <x:c r="F1316" s="137" t="str"/>
      <x:c r="G1316" s="137" t="str"/>
      <x:c r="H1316" s="137" t="str"/>
      <x:c r="I1316" s="175" t="str"/>
      <x:c r="J1316" s="176" t="str"/>
      <x:c r="K1316" s="177" t="str"/>
      <x:c r="L1316" s="178" t="str">
        <x:f>IF(J1316="","",J1316*(1+IF(K1316="",0,K1316)) )</x:f>
      </x:c>
      <x:c r="M1316" s="138" t="str"/>
      <x:c r="N1316" s="137" t="str"/>
      <x:c r="O1316" s="137" t="str"/>
      <x:c r="P1316" s="137" t="str"/>
      <x:c r="Q1316" s="137" t="str"/>
    </x:row>
    <x:row r="1317">
      <x:c r="A1317" s="137" t="str"/>
      <x:c r="B1317" s="137" t="str"/>
      <x:c r="C1317" s="137" t="str"/>
      <x:c r="D1317" s="137" t="str"/>
      <x:c r="E1317" s="137" t="str"/>
      <x:c r="F1317" s="137" t="str"/>
      <x:c r="G1317" s="137" t="str"/>
      <x:c r="H1317" s="137" t="str"/>
      <x:c r="I1317" s="175" t="str"/>
      <x:c r="J1317" s="176" t="str"/>
      <x:c r="K1317" s="177" t="str"/>
      <x:c r="L1317" s="178" t="str">
        <x:f>IF(J1317="","",J1317*(1+IF(K1317="",0,K1317)) )</x:f>
      </x:c>
      <x:c r="M1317" s="138" t="str"/>
      <x:c r="N1317" s="137" t="str"/>
      <x:c r="O1317" s="137" t="str"/>
      <x:c r="P1317" s="137" t="str"/>
      <x:c r="Q1317" s="137" t="str"/>
    </x:row>
    <x:row r="1318">
      <x:c r="A1318" s="137" t="str"/>
      <x:c r="B1318" s="137" t="str"/>
      <x:c r="C1318" s="137" t="str"/>
      <x:c r="D1318" s="137" t="str"/>
      <x:c r="E1318" s="137" t="str"/>
      <x:c r="F1318" s="137" t="str"/>
      <x:c r="G1318" s="137" t="str"/>
      <x:c r="H1318" s="137" t="str"/>
      <x:c r="I1318" s="175" t="str"/>
      <x:c r="J1318" s="176" t="str"/>
      <x:c r="K1318" s="177" t="str"/>
      <x:c r="L1318" s="178" t="str">
        <x:f>IF(J1318="","",J1318*(1+IF(K1318="",0,K1318)) )</x:f>
      </x:c>
      <x:c r="M1318" s="138" t="str"/>
      <x:c r="N1318" s="137" t="str"/>
      <x:c r="O1318" s="137" t="str"/>
      <x:c r="P1318" s="137" t="str"/>
      <x:c r="Q1318" s="137" t="str"/>
    </x:row>
    <x:row r="1319">
      <x:c r="A1319" s="137" t="str"/>
      <x:c r="B1319" s="137" t="str"/>
      <x:c r="C1319" s="137" t="str"/>
      <x:c r="D1319" s="137" t="str"/>
      <x:c r="E1319" s="137" t="str"/>
      <x:c r="F1319" s="137" t="str"/>
      <x:c r="G1319" s="137" t="str"/>
      <x:c r="H1319" s="137" t="str"/>
      <x:c r="I1319" s="175" t="str"/>
      <x:c r="J1319" s="176" t="str"/>
      <x:c r="K1319" s="177" t="str"/>
      <x:c r="L1319" s="178" t="str">
        <x:f>IF(J1319="","",J1319*(1+IF(K1319="",0,K1319)) )</x:f>
      </x:c>
      <x:c r="M1319" s="138" t="str"/>
      <x:c r="N1319" s="137" t="str"/>
      <x:c r="O1319" s="137" t="str"/>
      <x:c r="P1319" s="137" t="str"/>
      <x:c r="Q1319" s="137" t="str"/>
    </x:row>
    <x:row r="1320">
      <x:c r="A1320" s="137" t="str"/>
      <x:c r="B1320" s="137" t="str"/>
      <x:c r="C1320" s="137" t="str"/>
      <x:c r="D1320" s="137" t="str"/>
      <x:c r="E1320" s="137" t="str"/>
      <x:c r="F1320" s="137" t="str"/>
      <x:c r="G1320" s="137" t="str"/>
      <x:c r="H1320" s="137" t="str"/>
      <x:c r="I1320" s="175" t="str"/>
      <x:c r="J1320" s="176" t="str"/>
      <x:c r="K1320" s="177" t="str"/>
      <x:c r="L1320" s="178" t="str">
        <x:f>IF(J1320="","",J1320*(1+IF(K1320="",0,K1320)) )</x:f>
      </x:c>
      <x:c r="M1320" s="138" t="str"/>
      <x:c r="N1320" s="137" t="str"/>
      <x:c r="O1320" s="137" t="str"/>
      <x:c r="P1320" s="137" t="str"/>
      <x:c r="Q1320" s="137" t="str"/>
    </x:row>
    <x:row r="1321">
      <x:c r="A1321" s="137" t="str"/>
      <x:c r="B1321" s="137" t="str"/>
      <x:c r="C1321" s="137" t="str"/>
      <x:c r="D1321" s="137" t="str"/>
      <x:c r="E1321" s="137" t="str"/>
      <x:c r="F1321" s="137" t="str"/>
      <x:c r="G1321" s="137" t="str"/>
      <x:c r="H1321" s="137" t="str"/>
      <x:c r="I1321" s="175" t="str"/>
      <x:c r="J1321" s="176" t="str"/>
      <x:c r="K1321" s="177" t="str"/>
      <x:c r="L1321" s="178" t="str">
        <x:f>IF(J1321="","",J1321*(1+IF(K1321="",0,K1321)) )</x:f>
      </x:c>
      <x:c r="M1321" s="138" t="str"/>
      <x:c r="N1321" s="137" t="str"/>
      <x:c r="O1321" s="137" t="str"/>
      <x:c r="P1321" s="137" t="str"/>
      <x:c r="Q1321" s="137" t="str"/>
    </x:row>
    <x:row r="1322">
      <x:c r="A1322" s="137" t="str"/>
      <x:c r="B1322" s="137" t="str"/>
      <x:c r="C1322" s="137" t="str"/>
      <x:c r="D1322" s="137" t="str"/>
      <x:c r="E1322" s="137" t="str"/>
      <x:c r="F1322" s="137" t="str"/>
      <x:c r="G1322" s="137" t="str"/>
      <x:c r="H1322" s="137" t="str"/>
      <x:c r="I1322" s="175" t="str"/>
      <x:c r="J1322" s="176" t="str"/>
      <x:c r="K1322" s="177" t="str"/>
      <x:c r="L1322" s="178" t="str">
        <x:f>IF(J1322="","",J1322*(1+IF(K1322="",0,K1322)) )</x:f>
      </x:c>
      <x:c r="M1322" s="138" t="str"/>
      <x:c r="N1322" s="137" t="str"/>
      <x:c r="O1322" s="137" t="str"/>
      <x:c r="P1322" s="137" t="str"/>
      <x:c r="Q1322" s="137" t="str"/>
    </x:row>
    <x:row r="1323">
      <x:c r="A1323" s="137" t="str"/>
      <x:c r="B1323" s="137" t="str"/>
      <x:c r="C1323" s="137" t="str"/>
      <x:c r="D1323" s="137" t="str"/>
      <x:c r="E1323" s="137" t="str"/>
      <x:c r="F1323" s="137" t="str"/>
      <x:c r="G1323" s="137" t="str"/>
      <x:c r="H1323" s="137" t="str"/>
      <x:c r="I1323" s="175" t="str"/>
      <x:c r="J1323" s="176" t="str"/>
      <x:c r="K1323" s="177" t="str"/>
      <x:c r="L1323" s="178" t="str">
        <x:f>IF(J1323="","",J1323*(1+IF(K1323="",0,K1323)) )</x:f>
      </x:c>
      <x:c r="M1323" s="138" t="str"/>
      <x:c r="N1323" s="137" t="str"/>
      <x:c r="O1323" s="137" t="str"/>
      <x:c r="P1323" s="137" t="str"/>
      <x:c r="Q1323" s="137" t="str"/>
    </x:row>
    <x:row r="1324">
      <x:c r="A1324" s="137" t="str"/>
      <x:c r="B1324" s="137" t="str"/>
      <x:c r="C1324" s="137" t="str"/>
      <x:c r="D1324" s="137" t="str"/>
      <x:c r="E1324" s="137" t="str"/>
      <x:c r="F1324" s="137" t="str"/>
      <x:c r="G1324" s="137" t="str"/>
      <x:c r="H1324" s="137" t="str"/>
      <x:c r="I1324" s="175" t="str"/>
      <x:c r="J1324" s="176" t="str"/>
      <x:c r="K1324" s="177" t="str"/>
      <x:c r="L1324" s="178" t="str">
        <x:f>IF(J1324="","",J1324*(1+IF(K1324="",0,K1324)) )</x:f>
      </x:c>
      <x:c r="M1324" s="138" t="str"/>
      <x:c r="N1324" s="137" t="str"/>
      <x:c r="O1324" s="137" t="str"/>
      <x:c r="P1324" s="137" t="str"/>
      <x:c r="Q1324" s="137" t="str"/>
    </x:row>
    <x:row r="1325">
      <x:c r="A1325" s="137" t="str"/>
      <x:c r="B1325" s="137" t="str"/>
      <x:c r="C1325" s="137" t="str"/>
      <x:c r="D1325" s="137" t="str"/>
      <x:c r="E1325" s="137" t="str"/>
      <x:c r="F1325" s="137" t="str"/>
      <x:c r="G1325" s="137" t="str"/>
      <x:c r="H1325" s="137" t="str"/>
      <x:c r="I1325" s="175" t="str"/>
      <x:c r="J1325" s="176" t="str"/>
      <x:c r="K1325" s="177" t="str"/>
      <x:c r="L1325" s="178" t="str">
        <x:f>IF(J1325="","",J1325*(1+IF(K1325="",0,K1325)) )</x:f>
      </x:c>
      <x:c r="M1325" s="138" t="str"/>
      <x:c r="N1325" s="137" t="str"/>
      <x:c r="O1325" s="137" t="str"/>
      <x:c r="P1325" s="137" t="str"/>
      <x:c r="Q1325" s="137" t="str"/>
    </x:row>
    <x:row r="1326">
      <x:c r="A1326" s="137" t="str"/>
      <x:c r="B1326" s="137" t="str"/>
      <x:c r="C1326" s="137" t="str"/>
      <x:c r="D1326" s="137" t="str"/>
      <x:c r="E1326" s="137" t="str"/>
      <x:c r="F1326" s="137" t="str"/>
      <x:c r="G1326" s="137" t="str"/>
      <x:c r="H1326" s="137" t="str"/>
      <x:c r="I1326" s="175" t="str"/>
      <x:c r="J1326" s="176" t="str"/>
      <x:c r="K1326" s="177" t="str"/>
      <x:c r="L1326" s="178" t="str">
        <x:f>IF(J1326="","",J1326*(1+IF(K1326="",0,K1326)) )</x:f>
      </x:c>
      <x:c r="M1326" s="138" t="str"/>
      <x:c r="N1326" s="137" t="str"/>
      <x:c r="O1326" s="137" t="str"/>
      <x:c r="P1326" s="137" t="str"/>
      <x:c r="Q1326" s="137" t="str"/>
    </x:row>
    <x:row r="1327">
      <x:c r="A1327" s="137" t="str"/>
      <x:c r="B1327" s="137" t="str"/>
      <x:c r="C1327" s="137" t="str"/>
      <x:c r="D1327" s="137" t="str"/>
      <x:c r="E1327" s="137" t="str"/>
      <x:c r="F1327" s="137" t="str"/>
      <x:c r="G1327" s="137" t="str"/>
      <x:c r="H1327" s="137" t="str"/>
      <x:c r="I1327" s="175" t="str"/>
      <x:c r="J1327" s="176" t="str"/>
      <x:c r="K1327" s="177" t="str"/>
      <x:c r="L1327" s="178" t="str">
        <x:f>IF(J1327="","",J1327*(1+IF(K1327="",0,K1327)) )</x:f>
      </x:c>
      <x:c r="M1327" s="138" t="str"/>
      <x:c r="N1327" s="137" t="str"/>
      <x:c r="O1327" s="137" t="str"/>
      <x:c r="P1327" s="137" t="str"/>
      <x:c r="Q1327" s="137" t="str"/>
    </x:row>
    <x:row r="1328">
      <x:c r="A1328" s="137" t="str"/>
      <x:c r="B1328" s="137" t="str"/>
      <x:c r="C1328" s="137" t="str"/>
      <x:c r="D1328" s="137" t="str"/>
      <x:c r="E1328" s="137" t="str"/>
      <x:c r="F1328" s="137" t="str"/>
      <x:c r="G1328" s="137" t="str"/>
      <x:c r="H1328" s="137" t="str"/>
      <x:c r="I1328" s="175" t="str"/>
      <x:c r="J1328" s="176" t="str"/>
      <x:c r="K1328" s="177" t="str"/>
      <x:c r="L1328" s="178" t="str">
        <x:f>IF(J1328="","",J1328*(1+IF(K1328="",0,K1328)) )</x:f>
      </x:c>
      <x:c r="M1328" s="138" t="str"/>
      <x:c r="N1328" s="137" t="str"/>
      <x:c r="O1328" s="137" t="str"/>
      <x:c r="P1328" s="137" t="str"/>
      <x:c r="Q1328" s="137" t="str"/>
    </x:row>
    <x:row r="1329">
      <x:c r="A1329" s="137" t="str"/>
      <x:c r="B1329" s="137" t="str"/>
      <x:c r="C1329" s="137" t="str"/>
      <x:c r="D1329" s="137" t="str"/>
      <x:c r="E1329" s="137" t="str"/>
      <x:c r="F1329" s="137" t="str"/>
      <x:c r="G1329" s="137" t="str"/>
      <x:c r="H1329" s="137" t="str"/>
      <x:c r="I1329" s="175" t="str"/>
      <x:c r="J1329" s="176" t="str"/>
      <x:c r="K1329" s="177" t="str"/>
      <x:c r="L1329" s="178" t="str">
        <x:f>IF(J1329="","",J1329*(1+IF(K1329="",0,K1329)) )</x:f>
      </x:c>
      <x:c r="M1329" s="138" t="str"/>
      <x:c r="N1329" s="137" t="str"/>
      <x:c r="O1329" s="137" t="str"/>
      <x:c r="P1329" s="137" t="str"/>
      <x:c r="Q1329" s="137" t="str"/>
    </x:row>
    <x:row r="1330">
      <x:c r="A1330" s="137" t="str"/>
      <x:c r="B1330" s="137" t="str"/>
      <x:c r="C1330" s="137" t="str"/>
      <x:c r="D1330" s="137" t="str"/>
      <x:c r="E1330" s="137" t="str"/>
      <x:c r="F1330" s="137" t="str"/>
      <x:c r="G1330" s="137" t="str"/>
      <x:c r="H1330" s="137" t="str"/>
      <x:c r="I1330" s="175" t="str"/>
      <x:c r="J1330" s="176" t="str"/>
      <x:c r="K1330" s="177" t="str"/>
      <x:c r="L1330" s="178" t="str">
        <x:f>IF(J1330="","",J1330*(1+IF(K1330="",0,K1330)) )</x:f>
      </x:c>
      <x:c r="M1330" s="138" t="str"/>
      <x:c r="N1330" s="137" t="str"/>
      <x:c r="O1330" s="137" t="str"/>
      <x:c r="P1330" s="137" t="str"/>
      <x:c r="Q1330" s="137" t="str"/>
    </x:row>
    <x:row r="1331">
      <x:c r="A1331" s="137" t="str"/>
      <x:c r="B1331" s="137" t="str"/>
      <x:c r="C1331" s="137" t="str"/>
      <x:c r="D1331" s="137" t="str"/>
      <x:c r="E1331" s="137" t="str"/>
      <x:c r="F1331" s="137" t="str"/>
      <x:c r="G1331" s="137" t="str"/>
      <x:c r="H1331" s="137" t="str"/>
      <x:c r="I1331" s="175" t="str"/>
      <x:c r="J1331" s="176" t="str"/>
      <x:c r="K1331" s="177" t="str"/>
      <x:c r="L1331" s="178" t="str">
        <x:f>IF(J1331="","",J1331*(1+IF(K1331="",0,K1331)) )</x:f>
      </x:c>
      <x:c r="M1331" s="138" t="str"/>
      <x:c r="N1331" s="137" t="str"/>
      <x:c r="O1331" s="137" t="str"/>
      <x:c r="P1331" s="137" t="str"/>
      <x:c r="Q1331" s="137" t="str"/>
    </x:row>
    <x:row r="1332">
      <x:c r="A1332" s="137" t="str"/>
      <x:c r="B1332" s="137" t="str"/>
      <x:c r="C1332" s="137" t="str"/>
      <x:c r="D1332" s="137" t="str"/>
      <x:c r="E1332" s="137" t="str"/>
      <x:c r="F1332" s="137" t="str"/>
      <x:c r="G1332" s="137" t="str"/>
      <x:c r="H1332" s="137" t="str"/>
      <x:c r="I1332" s="175" t="str"/>
      <x:c r="J1332" s="176" t="str"/>
      <x:c r="K1332" s="177" t="str"/>
      <x:c r="L1332" s="178" t="str">
        <x:f>IF(J1332="","",J1332*(1+IF(K1332="",0,K1332)) )</x:f>
      </x:c>
      <x:c r="M1332" s="138" t="str"/>
      <x:c r="N1332" s="137" t="str"/>
      <x:c r="O1332" s="137" t="str"/>
      <x:c r="P1332" s="137" t="str"/>
      <x:c r="Q1332" s="137" t="str"/>
    </x:row>
    <x:row r="1333">
      <x:c r="A1333" s="137" t="str"/>
      <x:c r="B1333" s="137" t="str"/>
      <x:c r="C1333" s="137" t="str"/>
      <x:c r="D1333" s="137" t="str"/>
      <x:c r="E1333" s="137" t="str"/>
      <x:c r="F1333" s="137" t="str"/>
      <x:c r="G1333" s="137" t="str"/>
      <x:c r="H1333" s="137" t="str"/>
      <x:c r="I1333" s="175" t="str"/>
      <x:c r="J1333" s="176" t="str"/>
      <x:c r="K1333" s="177" t="str"/>
      <x:c r="L1333" s="178" t="str">
        <x:f>IF(J1333="","",J1333*(1+IF(K1333="",0,K1333)) )</x:f>
      </x:c>
      <x:c r="M1333" s="138" t="str"/>
      <x:c r="N1333" s="137" t="str"/>
      <x:c r="O1333" s="137" t="str"/>
      <x:c r="P1333" s="137" t="str"/>
      <x:c r="Q1333" s="137" t="str"/>
    </x:row>
    <x:row r="1334">
      <x:c r="A1334" s="137" t="str"/>
      <x:c r="B1334" s="137" t="str"/>
      <x:c r="C1334" s="137" t="str"/>
      <x:c r="D1334" s="137" t="str"/>
      <x:c r="E1334" s="137" t="str"/>
      <x:c r="F1334" s="137" t="str"/>
      <x:c r="G1334" s="137" t="str"/>
      <x:c r="H1334" s="137" t="str"/>
      <x:c r="I1334" s="175" t="str"/>
      <x:c r="J1334" s="176" t="str"/>
      <x:c r="K1334" s="177" t="str"/>
      <x:c r="L1334" s="178" t="str">
        <x:f>IF(J1334="","",J1334*(1+IF(K1334="",0,K1334)) )</x:f>
      </x:c>
      <x:c r="M1334" s="138" t="str"/>
      <x:c r="N1334" s="137" t="str"/>
      <x:c r="O1334" s="137" t="str"/>
      <x:c r="P1334" s="137" t="str"/>
      <x:c r="Q1334" s="137" t="str"/>
    </x:row>
    <x:row r="1335">
      <x:c r="A1335" s="137" t="str"/>
      <x:c r="B1335" s="137" t="str"/>
      <x:c r="C1335" s="137" t="str"/>
      <x:c r="D1335" s="137" t="str"/>
      <x:c r="E1335" s="137" t="str"/>
      <x:c r="F1335" s="137" t="str"/>
      <x:c r="G1335" s="137" t="str"/>
      <x:c r="H1335" s="137" t="str"/>
      <x:c r="I1335" s="175" t="str"/>
      <x:c r="J1335" s="176" t="str"/>
      <x:c r="K1335" s="177" t="str"/>
      <x:c r="L1335" s="178" t="str">
        <x:f>IF(J1335="","",J1335*(1+IF(K1335="",0,K1335)) )</x:f>
      </x:c>
      <x:c r="M1335" s="138" t="str"/>
      <x:c r="N1335" s="137" t="str"/>
      <x:c r="O1335" s="137" t="str"/>
      <x:c r="P1335" s="137" t="str"/>
      <x:c r="Q1335" s="137" t="str"/>
    </x:row>
    <x:row r="1336">
      <x:c r="A1336" s="137" t="str"/>
      <x:c r="B1336" s="137" t="str"/>
      <x:c r="C1336" s="137" t="str"/>
      <x:c r="D1336" s="137" t="str"/>
      <x:c r="E1336" s="137" t="str"/>
      <x:c r="F1336" s="137" t="str"/>
      <x:c r="G1336" s="137" t="str"/>
      <x:c r="H1336" s="137" t="str"/>
      <x:c r="I1336" s="175" t="str"/>
      <x:c r="J1336" s="176" t="str"/>
      <x:c r="K1336" s="177" t="str"/>
      <x:c r="L1336" s="178" t="str">
        <x:f>IF(J1336="","",J1336*(1+IF(K1336="",0,K1336)) )</x:f>
      </x:c>
      <x:c r="M1336" s="138" t="str"/>
      <x:c r="N1336" s="137" t="str"/>
      <x:c r="O1336" s="137" t="str"/>
      <x:c r="P1336" s="137" t="str"/>
      <x:c r="Q1336" s="137" t="str"/>
    </x:row>
    <x:row r="1337">
      <x:c r="A1337" s="137" t="str"/>
      <x:c r="B1337" s="137" t="str"/>
      <x:c r="C1337" s="137" t="str"/>
      <x:c r="D1337" s="137" t="str"/>
      <x:c r="E1337" s="137" t="str"/>
      <x:c r="F1337" s="137" t="str"/>
      <x:c r="G1337" s="137" t="str"/>
      <x:c r="H1337" s="137" t="str"/>
      <x:c r="I1337" s="175" t="str"/>
      <x:c r="J1337" s="176" t="str"/>
      <x:c r="K1337" s="177" t="str"/>
      <x:c r="L1337" s="178" t="str">
        <x:f>IF(J1337="","",J1337*(1+IF(K1337="",0,K1337)) )</x:f>
      </x:c>
      <x:c r="M1337" s="138" t="str"/>
      <x:c r="N1337" s="137" t="str"/>
      <x:c r="O1337" s="137" t="str"/>
      <x:c r="P1337" s="137" t="str"/>
      <x:c r="Q1337" s="137" t="str"/>
    </x:row>
    <x:row r="1338">
      <x:c r="A1338" s="137" t="str"/>
      <x:c r="B1338" s="137" t="str"/>
      <x:c r="C1338" s="137" t="str"/>
      <x:c r="D1338" s="137" t="str"/>
      <x:c r="E1338" s="137" t="str"/>
      <x:c r="F1338" s="137" t="str"/>
      <x:c r="G1338" s="137" t="str"/>
      <x:c r="H1338" s="137" t="str"/>
      <x:c r="I1338" s="175" t="str"/>
      <x:c r="J1338" s="176" t="str"/>
      <x:c r="K1338" s="177" t="str"/>
      <x:c r="L1338" s="178" t="str">
        <x:f>IF(J1338="","",J1338*(1+IF(K1338="",0,K1338)) )</x:f>
      </x:c>
      <x:c r="M1338" s="138" t="str"/>
      <x:c r="N1338" s="137" t="str"/>
      <x:c r="O1338" s="137" t="str"/>
      <x:c r="P1338" s="137" t="str"/>
      <x:c r="Q1338" s="137" t="str"/>
    </x:row>
    <x:row r="1339">
      <x:c r="A1339" s="137" t="str"/>
      <x:c r="B1339" s="137" t="str"/>
      <x:c r="C1339" s="137" t="str"/>
      <x:c r="D1339" s="137" t="str"/>
      <x:c r="E1339" s="137" t="str"/>
      <x:c r="F1339" s="137" t="str"/>
      <x:c r="G1339" s="137" t="str"/>
      <x:c r="H1339" s="137" t="str"/>
      <x:c r="I1339" s="175" t="str"/>
      <x:c r="J1339" s="176" t="str"/>
      <x:c r="K1339" s="177" t="str"/>
      <x:c r="L1339" s="178" t="str">
        <x:f>IF(J1339="","",J1339*(1+IF(K1339="",0,K1339)) )</x:f>
      </x:c>
      <x:c r="M1339" s="138" t="str"/>
      <x:c r="N1339" s="137" t="str"/>
      <x:c r="O1339" s="137" t="str"/>
      <x:c r="P1339" s="137" t="str"/>
      <x:c r="Q1339" s="137" t="str"/>
    </x:row>
    <x:row r="1340">
      <x:c r="A1340" s="137" t="str"/>
      <x:c r="B1340" s="137" t="str"/>
      <x:c r="C1340" s="137" t="str"/>
      <x:c r="D1340" s="137" t="str"/>
      <x:c r="E1340" s="137" t="str"/>
      <x:c r="F1340" s="137" t="str"/>
      <x:c r="G1340" s="137" t="str"/>
      <x:c r="H1340" s="137" t="str"/>
      <x:c r="I1340" s="175" t="str"/>
      <x:c r="J1340" s="176" t="str"/>
      <x:c r="K1340" s="177" t="str"/>
      <x:c r="L1340" s="178" t="str">
        <x:f>IF(J1340="","",J1340*(1+IF(K1340="",0,K1340)) )</x:f>
      </x:c>
      <x:c r="M1340" s="138" t="str"/>
      <x:c r="N1340" s="137" t="str"/>
      <x:c r="O1340" s="137" t="str"/>
      <x:c r="P1340" s="137" t="str"/>
      <x:c r="Q1340" s="137" t="str"/>
    </x:row>
    <x:row r="1341">
      <x:c r="A1341" s="139" t="str"/>
      <x:c r="B1341" s="139" t="str"/>
      <x:c r="C1341" s="139" t="str"/>
      <x:c r="D1341" s="139" t="str"/>
      <x:c r="E1341" s="139" t="str"/>
      <x:c r="F1341" s="139" t="str"/>
      <x:c r="G1341" s="139" t="str"/>
      <x:c r="H1341" s="139" t="str"/>
      <x:c r="I1341" s="179" t="str"/>
      <x:c r="J1341" s="180" t="str"/>
      <x:c r="K1341" s="181" t="str"/>
      <x:c r="L1341" s="182" t="str">
        <x:f>IF(J1341="","",J1341*(1+IF(K1341="",0,K1341)) )</x:f>
      </x:c>
      <x:c r="M1341" s="145" t="str"/>
      <x:c r="N1341" s="139" t="str"/>
      <x:c r="O1341" s="139" t="str"/>
      <x:c r="P1341" s="139" t="str"/>
      <x:c r="Q1341" s="139" t="str"/>
    </x:row>
  </x:sheetData>
  <x:mergeCells>
    <x:mergeCell ref="A1:Q1"/>
    <x:mergeCell ref="A2:Q2"/>
    <x:mergeCell ref="A3:Q3"/>
  </x:mergeCells>
  <x:conditionalFormatting sqref="P5:P1341">
    <x:cfRule type="containsText" dxfId="42" priority="1" operator="containsText" text="Approved"/>
    <x:cfRule type="containsText" dxfId="43" priority="2" operator="containsText" text="Validated"/>
    <x:cfRule type="containsText" dxfId="44" priority="3" operator="containsText" text="Confirmed"/>
    <x:cfRule type="containsText" dxfId="45" priority="4" operator="containsText" text="To Confirm"/>
    <x:cfRule type="containsText" dxfId="46" priority="5" operator="containsText" text="Rejected"/>
    <x:cfRule type="containsText" dxfId="47" priority="6" operator="containsText" text="Blocked"/>
  </x:conditionalFormatting>
  <x:dataValidations count="3">
    <x:dataValidation type="list" sqref="B5:B1341">
      <x:formula1>'Lists - Do Not Edit'!$S$2:$S$17</x:formula1>
    </x:dataValidation>
    <x:dataValidation type="list" sqref="E5:E1341">
      <x:formula1>'Lists - Do Not Edit'!$B$2:$B$12</x:formula1>
    </x:dataValidation>
    <x:dataValidation type="list" sqref="P5:P1341">
      <x:formula1>"To Confirm,Confirmed,Not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a0e84037dd4b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4" hidden="0" customWidth="1"/>
    <x:col min="3" max="3" width="12" hidden="0" customWidth="1"/>
    <x:col min="4" max="4" width="20" hidden="0" customWidth="1"/>
    <x:col min="5" max="5" width="18" hidden="0" customWidth="1"/>
    <x:col min="6" max="6" width="22" hidden="0" customWidth="1"/>
    <x:col min="7" max="7" width="24" hidden="0" customWidth="1"/>
    <x:col min="8" max="8" width="20" hidden="0" customWidth="1"/>
    <x:col min="9" max="9" width="18" hidden="0" customWidth="1"/>
    <x:col min="10" max="10" width="15" hidden="0" customWidth="1"/>
    <x:col min="11" max="11" width="28" hidden="0" customWidth="1"/>
    <x:col min="12" max="12" width="18" hidden="0" customWidth="1"/>
    <x:col min="13" max="13" width="16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  <x:col min="18" max="18" width="36" hidden="0" customWidth="1"/>
  </x:cols>
  <x:sheetData>
    <x:row r="1" ht="30" customHeight="1">
      <x:c r="A1" s="140" t="str">
        <x:v>Material Stock &amp; Procurement Inputs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</x:row>
    <x:row r="2" ht="34" customHeight="1">
      <x:c r="A2" s="123" t="str">
        <x:v>Enter a dated physical count. Available-to-plan is calculated from physical stock, reservation and near-term open purchase orders.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</x:row>
    <x:row r="4" ht="34" customHeight="1">
      <x:c r="A4" s="141" t="str">
        <x:v>Material Key</x:v>
      </x:c>
      <x:c r="B4" s="142" t="str">
        <x:v>Material Name</x:v>
      </x:c>
      <x:c r="C4" s="142" t="str">
        <x:v>UOM</x:v>
      </x:c>
      <x:c r="D4" s="142" t="str">
        <x:v>Current Model Stock</x:v>
      </x:c>
      <x:c r="E4" s="142" t="str">
        <x:v>Physical Count</x:v>
      </x:c>
      <x:c r="F4" s="142" t="str">
        <x:v>Reserved for Open Orders</x:v>
      </x:c>
      <x:c r="G4" s="142" t="str">
        <x:v>Open PO Due Within Horizon</x:v>
      </x:c>
      <x:c r="H4" s="142" t="str">
        <x:v>Available to Plan</x:v>
      </x:c>
      <x:c r="I4" s="142" t="str">
        <x:v>Reorder Level</x:v>
      </x:c>
      <x:c r="J4" s="142" t="str">
        <x:v>Lead Time Days</x:v>
      </x:c>
      <x:c r="K4" s="142" t="str">
        <x:v>Preferred Supplier</x:v>
      </x:c>
      <x:c r="L4" s="142" t="str">
        <x:v>Last Purchase Rate</x:v>
      </x:c>
      <x:c r="M4" s="142" t="str">
        <x:v>Stock Count Date</x:v>
      </x:c>
      <x:c r="N4" s="142" t="str">
        <x:v>Location / Bin</x:v>
      </x:c>
      <x:c r="O4" s="142" t="str">
        <x:v>Batch / Lot</x:v>
      </x:c>
      <x:c r="P4" s="142" t="str">
        <x:v>Approved By</x:v>
      </x:c>
      <x:c r="Q4" s="142" t="str">
        <x:v>Confirmation Status</x:v>
      </x:c>
      <x:c r="R4" s="143" t="str">
        <x:v>Notes</x:v>
      </x:c>
    </x:row>
    <x:row r="5">
      <x:c r="A5" s="136" t="str">
        <x:v>ARMOR REXION||MTR</x:v>
      </x:c>
      <x:c r="B5" s="136" t="str">
        <x:v>ARMOR REXION</x:v>
      </x:c>
      <x:c r="C5" s="136" t="str">
        <x:v>MTR</x:v>
      </x:c>
      <x:c r="D5" s="183" t="n">
        <x:v>1229</x:v>
      </x:c>
      <x:c r="E5" s="184" t="str"/>
      <x:c r="F5" s="184" t="str"/>
      <x:c r="G5" s="184" t="str"/>
      <x:c r="H5" s="185" t="str">
        <x:f>IF(E5="","",MAX(0,E5-IF(F5="",0,F5)+IF(G5="",0,G5)))</x:f>
      </x:c>
      <x:c r="I5" s="184" t="str"/>
      <x:c r="J5" s="184" t="str"/>
      <x:c r="K5" s="136" t="str"/>
      <x:c r="L5" s="186" t="str"/>
      <x:c r="M5" s="144" t="str"/>
      <x:c r="N5" s="136" t="str"/>
      <x:c r="O5" s="136" t="str"/>
      <x:c r="P5" s="136" t="str"/>
      <x:c r="Q5" s="136" t="str">
        <x:v>To Confirm</x:v>
      </x:c>
      <x:c r="R5" s="136" t="str"/>
    </x:row>
    <x:row r="6">
      <x:c r="A6" s="137" t="str">
        <x:v>ASTAR 3 MM Heavy||MTR</x:v>
      </x:c>
      <x:c r="B6" s="137" t="str">
        <x:v>ASTAR 3 MM Heavy</x:v>
      </x:c>
      <x:c r="C6" s="137" t="str">
        <x:v>MTR</x:v>
      </x:c>
      <x:c r="D6" s="187" t="n">
        <x:v>134.5</x:v>
      </x:c>
      <x:c r="E6" s="188" t="str"/>
      <x:c r="F6" s="188" t="str"/>
      <x:c r="G6" s="188" t="str"/>
      <x:c r="H6" s="189" t="str">
        <x:f>IF(E6="","",MAX(0,E6-IF(F6="",0,F6)+IF(G6="",0,G6)))</x:f>
      </x:c>
      <x:c r="I6" s="188" t="str"/>
      <x:c r="J6" s="188" t="str"/>
      <x:c r="K6" s="137" t="str"/>
      <x:c r="L6" s="190" t="str"/>
      <x:c r="M6" s="138" t="str"/>
      <x:c r="N6" s="137" t="str"/>
      <x:c r="O6" s="137" t="str"/>
      <x:c r="P6" s="137" t="str"/>
      <x:c r="Q6" s="137" t="str">
        <x:v>To Confirm</x:v>
      </x:c>
      <x:c r="R6" s="137" t="str"/>
    </x:row>
    <x:row r="7">
      <x:c r="A7" s="137" t="str">
        <x:v>ASTAR 3 MM WHITE light||MTR</x:v>
      </x:c>
      <x:c r="B7" s="137" t="str">
        <x:v>ASTAR 3 MM WHITE light</x:v>
      </x:c>
      <x:c r="C7" s="137" t="str">
        <x:v>MTR</x:v>
      </x:c>
      <x:c r="D7" s="187" t="n">
        <x:v>98.8</x:v>
      </x:c>
      <x:c r="E7" s="188" t="str"/>
      <x:c r="F7" s="188" t="str"/>
      <x:c r="G7" s="188" t="str"/>
      <x:c r="H7" s="189" t="str">
        <x:f>IF(E7="","",MAX(0,E7-IF(F7="",0,F7)+IF(G7="",0,G7)))</x:f>
      </x:c>
      <x:c r="I7" s="188" t="str"/>
      <x:c r="J7" s="188" t="str"/>
      <x:c r="K7" s="137" t="str"/>
      <x:c r="L7" s="190" t="str"/>
      <x:c r="M7" s="138" t="str"/>
      <x:c r="N7" s="137" t="str"/>
      <x:c r="O7" s="137" t="str"/>
      <x:c r="P7" s="137" t="str"/>
      <x:c r="Q7" s="137" t="str">
        <x:v>To Confirm</x:v>
      </x:c>
      <x:c r="R7" s="137" t="str"/>
    </x:row>
    <x:row r="8">
      <x:c r="A8" s="137" t="str">
        <x:v>ASTAR 3 MM black light||MTR</x:v>
      </x:c>
      <x:c r="B8" s="137" t="str">
        <x:v>ASTAR 3 MM black light</x:v>
      </x:c>
      <x:c r="C8" s="137" t="str">
        <x:v>MTR</x:v>
      </x:c>
      <x:c r="D8" s="187" t="n">
        <x:v>161</x:v>
      </x:c>
      <x:c r="E8" s="188" t="str"/>
      <x:c r="F8" s="188" t="str"/>
      <x:c r="G8" s="188" t="str"/>
      <x:c r="H8" s="189" t="str">
        <x:f>IF(E8="","",MAX(0,E8-IF(F8="",0,F8)+IF(G8="",0,G8)))</x:f>
      </x:c>
      <x:c r="I8" s="188" t="str"/>
      <x:c r="J8" s="188" t="str"/>
      <x:c r="K8" s="137" t="str"/>
      <x:c r="L8" s="190" t="str"/>
      <x:c r="M8" s="138" t="str"/>
      <x:c r="N8" s="137" t="str"/>
      <x:c r="O8" s="137" t="str"/>
      <x:c r="P8" s="137" t="str"/>
      <x:c r="Q8" s="137" t="str">
        <x:v>To Confirm</x:v>
      </x:c>
      <x:c r="R8" s="137" t="str"/>
    </x:row>
    <x:row r="9">
      <x:c r="A9" s="137" t="str">
        <x:v>ASTAR 3 MM light||MTR</x:v>
      </x:c>
      <x:c r="B9" s="137" t="str">
        <x:v>ASTAR 3 MM light</x:v>
      </x:c>
      <x:c r="C9" s="137" t="str">
        <x:v>MTR</x:v>
      </x:c>
      <x:c r="D9" s="187" t="n">
        <x:v>81</x:v>
      </x:c>
      <x:c r="E9" s="188" t="str"/>
      <x:c r="F9" s="188" t="str"/>
      <x:c r="G9" s="188" t="str"/>
      <x:c r="H9" s="189" t="str">
        <x:f>IF(E9="","",MAX(0,E9-IF(F9="",0,F9)+IF(G9="",0,G9)))</x:f>
      </x:c>
      <x:c r="I9" s="188" t="str"/>
      <x:c r="J9" s="188" t="str"/>
      <x:c r="K9" s="137" t="str"/>
      <x:c r="L9" s="190" t="str"/>
      <x:c r="M9" s="138" t="str"/>
      <x:c r="N9" s="137" t="str"/>
      <x:c r="O9" s="137" t="str"/>
      <x:c r="P9" s="137" t="str"/>
      <x:c r="Q9" s="137" t="str">
        <x:v>To Confirm</x:v>
      </x:c>
      <x:c r="R9" s="137" t="str"/>
    </x:row>
    <x:row r="10">
      <x:c r="A10" s="137" t="str">
        <x:v>ASTER BLACK HEAVY||MTR</x:v>
      </x:c>
      <x:c r="B10" s="137" t="str">
        <x:v>ASTER BLACK HEAVY</x:v>
      </x:c>
      <x:c r="C10" s="137" t="str">
        <x:v>MTR</x:v>
      </x:c>
      <x:c r="D10" s="187" t="n">
        <x:v>15.6</x:v>
      </x:c>
      <x:c r="E10" s="188" t="str"/>
      <x:c r="F10" s="188" t="str"/>
      <x:c r="G10" s="188" t="str"/>
      <x:c r="H10" s="189" t="str">
        <x:f>IF(E10="","",MAX(0,E10-IF(F10="",0,F10)+IF(G10="",0,G10)))</x:f>
      </x:c>
      <x:c r="I10" s="188" t="str"/>
      <x:c r="J10" s="188" t="str"/>
      <x:c r="K10" s="137" t="str"/>
      <x:c r="L10" s="190" t="str"/>
      <x:c r="M10" s="138" t="str"/>
      <x:c r="N10" s="137" t="str"/>
      <x:c r="O10" s="137" t="str"/>
      <x:c r="P10" s="137" t="str"/>
      <x:c r="Q10" s="137" t="str">
        <x:v>To Confirm</x:v>
      </x:c>
      <x:c r="R10" s="137" t="str"/>
    </x:row>
    <x:row r="11">
      <x:c r="A11" s="137" t="str">
        <x:v>ASTER HEAVY FOR TOUNG||MTR</x:v>
      </x:c>
      <x:c r="B11" s="137" t="str">
        <x:v>ASTER HEAVY FOR TOUNG</x:v>
      </x:c>
      <x:c r="C11" s="137" t="str">
        <x:v>MTR</x:v>
      </x:c>
      <x:c r="D11" s="187" t="n">
        <x:v>152.5</x:v>
      </x:c>
      <x:c r="E11" s="188" t="str"/>
      <x:c r="F11" s="188" t="str"/>
      <x:c r="G11" s="188" t="str"/>
      <x:c r="H11" s="189" t="str">
        <x:f>IF(E11="","",MAX(0,E11-IF(F11="",0,F11)+IF(G11="",0,G11)))</x:f>
      </x:c>
      <x:c r="I11" s="188" t="str"/>
      <x:c r="J11" s="188" t="str"/>
      <x:c r="K11" s="137" t="str"/>
      <x:c r="L11" s="190" t="str"/>
      <x:c r="M11" s="138" t="str"/>
      <x:c r="N11" s="137" t="str"/>
      <x:c r="O11" s="137" t="str"/>
      <x:c r="P11" s="137" t="str"/>
      <x:c r="Q11" s="137" t="str">
        <x:v>To Confirm</x:v>
      </x:c>
      <x:c r="R11" s="137" t="str"/>
    </x:row>
    <x:row r="12">
      <x:c r="A12" s="137" t="str">
        <x:v>ASTER WHITE HEAVY||MTR</x:v>
      </x:c>
      <x:c r="B12" s="137" t="str">
        <x:v>ASTER WHITE HEAVY</x:v>
      </x:c>
      <x:c r="C12" s="137" t="str">
        <x:v>MTR</x:v>
      </x:c>
      <x:c r="D12" s="187" t="n">
        <x:v>52.4</x:v>
      </x:c>
      <x:c r="E12" s="188" t="str"/>
      <x:c r="F12" s="188" t="str"/>
      <x:c r="G12" s="188" t="str"/>
      <x:c r="H12" s="189" t="str">
        <x:f>IF(E12="","",MAX(0,E12-IF(F12="",0,F12)+IF(G12="",0,G12)))</x:f>
      </x:c>
      <x:c r="I12" s="188" t="str"/>
      <x:c r="J12" s="188" t="str"/>
      <x:c r="K12" s="137" t="str"/>
      <x:c r="L12" s="190" t="str"/>
      <x:c r="M12" s="138" t="str"/>
      <x:c r="N12" s="137" t="str"/>
      <x:c r="O12" s="137" t="str"/>
      <x:c r="P12" s="137" t="str"/>
      <x:c r="Q12" s="137" t="str">
        <x:v>To Confirm</x:v>
      </x:c>
      <x:c r="R12" s="137" t="str"/>
    </x:row>
    <x:row r="13">
      <x:c r="A13" s="137" t="str">
        <x:v>BACK TAPE 14 MM||MTR</x:v>
      </x:c>
      <x:c r="B13" s="137" t="str">
        <x:v>BACK TAPE 14 MM</x:v>
      </x:c>
      <x:c r="C13" s="137" t="str">
        <x:v>MTR</x:v>
      </x:c>
      <x:c r="D13" s="187" t="n">
        <x:v>627</x:v>
      </x:c>
      <x:c r="E13" s="188" t="str"/>
      <x:c r="F13" s="188" t="str"/>
      <x:c r="G13" s="188" t="str"/>
      <x:c r="H13" s="189" t="str">
        <x:f>IF(E13="","",MAX(0,E13-IF(F13="",0,F13)+IF(G13="",0,G13)))</x:f>
      </x:c>
      <x:c r="I13" s="188" t="str"/>
      <x:c r="J13" s="188" t="str"/>
      <x:c r="K13" s="137" t="str"/>
      <x:c r="L13" s="190" t="str"/>
      <x:c r="M13" s="138" t="str"/>
      <x:c r="N13" s="137" t="str"/>
      <x:c r="O13" s="137" t="str"/>
      <x:c r="P13" s="137" t="str"/>
      <x:c r="Q13" s="137" t="str">
        <x:v>To Confirm</x:v>
      </x:c>
      <x:c r="R13" s="137" t="str"/>
    </x:row>
    <x:row r="14">
      <x:c r="A14" s="137" t="str">
        <x:v>BUCKLE PF-3||PCS</x:v>
      </x:c>
      <x:c r="B14" s="137" t="str">
        <x:v>BUCKLE PF-3</x:v>
      </x:c>
      <x:c r="C14" s="137" t="str">
        <x:v>PCS</x:v>
      </x:c>
      <x:c r="D14" s="187" t="n">
        <x:v>383</x:v>
      </x:c>
      <x:c r="E14" s="188" t="str"/>
      <x:c r="F14" s="188" t="str"/>
      <x:c r="G14" s="188" t="str"/>
      <x:c r="H14" s="189" t="str">
        <x:f>IF(E14="","",MAX(0,E14-IF(F14="",0,F14)+IF(G14="",0,G14)))</x:f>
      </x:c>
      <x:c r="I14" s="188" t="str"/>
      <x:c r="J14" s="188" t="str"/>
      <x:c r="K14" s="137" t="str"/>
      <x:c r="L14" s="190" t="str"/>
      <x:c r="M14" s="138" t="str"/>
      <x:c r="N14" s="137" t="str"/>
      <x:c r="O14" s="137" t="str"/>
      <x:c r="P14" s="137" t="str"/>
      <x:c r="Q14" s="137" t="str">
        <x:v>To Confirm</x:v>
      </x:c>
      <x:c r="R14" s="137" t="str"/>
    </x:row>
    <x:row r="15">
      <x:c r="A15" s="137" t="str">
        <x:v>Buckle PF-48||PCS</x:v>
      </x:c>
      <x:c r="B15" s="137" t="str">
        <x:v>Buckle PF-48</x:v>
      </x:c>
      <x:c r="C15" s="137" t="str">
        <x:v>PCS</x:v>
      </x:c>
      <x:c r="D15" s="187" t="n">
        <x:v>26100</x:v>
      </x:c>
      <x:c r="E15" s="188" t="str"/>
      <x:c r="F15" s="188" t="str"/>
      <x:c r="G15" s="188" t="str"/>
      <x:c r="H15" s="189" t="str">
        <x:f>IF(E15="","",MAX(0,E15-IF(F15="",0,F15)+IF(G15="",0,G15)))</x:f>
      </x:c>
      <x:c r="I15" s="188" t="str"/>
      <x:c r="J15" s="188" t="str"/>
      <x:c r="K15" s="137" t="str"/>
      <x:c r="L15" s="190" t="str"/>
      <x:c r="M15" s="138" t="str"/>
      <x:c r="N15" s="137" t="str"/>
      <x:c r="O15" s="137" t="str"/>
      <x:c r="P15" s="137" t="str"/>
      <x:c r="Q15" s="137" t="str">
        <x:v>To Confirm</x:v>
      </x:c>
      <x:c r="R15" s="137" t="str"/>
    </x:row>
    <x:row r="16">
      <x:c r="A16" s="137" t="str">
        <x:v>COLOR FOAM 20MM||SHEET</x:v>
      </x:c>
      <x:c r="B16" s="137" t="str">
        <x:v>COLOR FOAM 20MM</x:v>
      </x:c>
      <x:c r="C16" s="137" t="str">
        <x:v>SHEET</x:v>
      </x:c>
      <x:c r="D16" s="187" t="n">
        <x:v>59.4</x:v>
      </x:c>
      <x:c r="E16" s="188" t="str"/>
      <x:c r="F16" s="188" t="str"/>
      <x:c r="G16" s="188" t="str"/>
      <x:c r="H16" s="189" t="str">
        <x:f>IF(E16="","",MAX(0,E16-IF(F16="",0,F16)+IF(G16="",0,G16)))</x:f>
      </x:c>
      <x:c r="I16" s="188" t="str"/>
      <x:c r="J16" s="188" t="str"/>
      <x:c r="K16" s="137" t="str"/>
      <x:c r="L16" s="190" t="str"/>
      <x:c r="M16" s="138" t="str"/>
      <x:c r="N16" s="137" t="str"/>
      <x:c r="O16" s="137" t="str"/>
      <x:c r="P16" s="137" t="str"/>
      <x:c r="Q16" s="137" t="str">
        <x:v>To Confirm</x:v>
      </x:c>
      <x:c r="R16" s="137" t="str"/>
    </x:row>
    <x:row r="17">
      <x:c r="A17" s="137" t="str">
        <x:v>Cotton Thread Black||TUBE</x:v>
      </x:c>
      <x:c r="B17" s="137" t="str">
        <x:v>Cotton Thread Black</x:v>
      </x:c>
      <x:c r="C17" s="137" t="str">
        <x:v>TUBE</x:v>
      </x:c>
      <x:c r="D17" s="187" t="n">
        <x:v>18.7</x:v>
      </x:c>
      <x:c r="E17" s="188" t="str"/>
      <x:c r="F17" s="188" t="str"/>
      <x:c r="G17" s="188" t="str"/>
      <x:c r="H17" s="189" t="str">
        <x:f>IF(E17="","",MAX(0,E17-IF(F17="",0,F17)+IF(G17="",0,G17)))</x:f>
      </x:c>
      <x:c r="I17" s="188" t="str"/>
      <x:c r="J17" s="188" t="str"/>
      <x:c r="K17" s="137" t="str"/>
      <x:c r="L17" s="190" t="str"/>
      <x:c r="M17" s="138" t="str"/>
      <x:c r="N17" s="137" t="str"/>
      <x:c r="O17" s="137" t="str"/>
      <x:c r="P17" s="137" t="str"/>
      <x:c r="Q17" s="137" t="str">
        <x:v>To Confirm</x:v>
      </x:c>
      <x:c r="R17" s="137" t="str"/>
    </x:row>
    <x:row r="18">
      <x:c r="A18" s="137" t="str">
        <x:v>Cotton Thread WHITE||TUBE</x:v>
      </x:c>
      <x:c r="B18" s="137" t="str">
        <x:v>Cotton Thread WHITE</x:v>
      </x:c>
      <x:c r="C18" s="137" t="str">
        <x:v>TUBE</x:v>
      </x:c>
      <x:c r="D18" s="187" t="n">
        <x:v>8.9</x:v>
      </x:c>
      <x:c r="E18" s="188" t="str"/>
      <x:c r="F18" s="188" t="str"/>
      <x:c r="G18" s="188" t="str"/>
      <x:c r="H18" s="189" t="str">
        <x:f>IF(E18="","",MAX(0,E18-IF(F18="",0,F18)+IF(G18="",0,G18)))</x:f>
      </x:c>
      <x:c r="I18" s="188" t="str"/>
      <x:c r="J18" s="188" t="str"/>
      <x:c r="K18" s="137" t="str"/>
      <x:c r="L18" s="190" t="str"/>
      <x:c r="M18" s="138" t="str"/>
      <x:c r="N18" s="137" t="str"/>
      <x:c r="O18" s="137" t="str"/>
      <x:c r="P18" s="137" t="str"/>
      <x:c r="Q18" s="137" t="str">
        <x:v>To Confirm</x:v>
      </x:c>
      <x:c r="R18" s="137" t="str"/>
    </x:row>
    <x:row r="19">
      <x:c r="A19" s="137" t="str">
        <x:v>DOCTOR TAPE||MTR</x:v>
      </x:c>
      <x:c r="B19" s="137" t="str">
        <x:v>DOCTOR TAPE</x:v>
      </x:c>
      <x:c r="C19" s="137" t="str">
        <x:v>MTR</x:v>
      </x:c>
      <x:c r="D19" s="187" t="n">
        <x:v>977.5</x:v>
      </x:c>
      <x:c r="E19" s="188" t="str"/>
      <x:c r="F19" s="188" t="str"/>
      <x:c r="G19" s="188" t="str"/>
      <x:c r="H19" s="189" t="str">
        <x:f>IF(E19="","",MAX(0,E19-IF(F19="",0,F19)+IF(G19="",0,G19)))</x:f>
      </x:c>
      <x:c r="I19" s="188" t="str"/>
      <x:c r="J19" s="188" t="str"/>
      <x:c r="K19" s="137" t="str"/>
      <x:c r="L19" s="190" t="str"/>
      <x:c r="M19" s="138" t="str"/>
      <x:c r="N19" s="137" t="str"/>
      <x:c r="O19" s="137" t="str"/>
      <x:c r="P19" s="137" t="str"/>
      <x:c r="Q19" s="137" t="str">
        <x:v>To Confirm</x:v>
      </x:c>
      <x:c r="R19" s="137" t="str"/>
    </x:row>
    <x:row r="20">
      <x:c r="A20" s="137" t="str">
        <x:v>DRILL CLOTH||MTR</x:v>
      </x:c>
      <x:c r="B20" s="137" t="str">
        <x:v>DRILL CLOTH</x:v>
      </x:c>
      <x:c r="C20" s="137" t="str">
        <x:v>MTR</x:v>
      </x:c>
      <x:c r="D20" s="187" t="n">
        <x:v>45.5</x:v>
      </x:c>
      <x:c r="E20" s="188" t="str"/>
      <x:c r="F20" s="188" t="str"/>
      <x:c r="G20" s="188" t="str"/>
      <x:c r="H20" s="189" t="str">
        <x:f>IF(E20="","",MAX(0,E20-IF(F20="",0,F20)+IF(G20="",0,G20)))</x:f>
      </x:c>
      <x:c r="I20" s="188" t="str"/>
      <x:c r="J20" s="188" t="str"/>
      <x:c r="K20" s="137" t="str"/>
      <x:c r="L20" s="190" t="str"/>
      <x:c r="M20" s="138" t="str"/>
      <x:c r="N20" s="137" t="str"/>
      <x:c r="O20" s="137" t="str"/>
      <x:c r="P20" s="137" t="str"/>
      <x:c r="Q20" s="137" t="str">
        <x:v>To Confirm</x:v>
      </x:c>
      <x:c r="R20" s="137" t="str"/>
    </x:row>
    <x:row r="21">
      <x:c r="A21" s="137" t="str">
        <x:v>FOAM 10 MM||SHEET</x:v>
      </x:c>
      <x:c r="B21" s="137" t="str">
        <x:v>FOAM 10 MM</x:v>
      </x:c>
      <x:c r="C21" s="137" t="str">
        <x:v>SHEET</x:v>
      </x:c>
      <x:c r="D21" s="187" t="n">
        <x:v>158.5</x:v>
      </x:c>
      <x:c r="E21" s="188" t="str"/>
      <x:c r="F21" s="188" t="str"/>
      <x:c r="G21" s="188" t="str"/>
      <x:c r="H21" s="189" t="str">
        <x:f>IF(E21="","",MAX(0,E21-IF(F21="",0,F21)+IF(G21="",0,G21)))</x:f>
      </x:c>
      <x:c r="I21" s="188" t="str"/>
      <x:c r="J21" s="188" t="str"/>
      <x:c r="K21" s="137" t="str"/>
      <x:c r="L21" s="190" t="str"/>
      <x:c r="M21" s="138" t="str"/>
      <x:c r="N21" s="137" t="str"/>
      <x:c r="O21" s="137" t="str"/>
      <x:c r="P21" s="137" t="str"/>
      <x:c r="Q21" s="137" t="str">
        <x:v>To Confirm</x:v>
      </x:c>
      <x:c r="R21" s="137" t="str"/>
    </x:row>
    <x:row r="22">
      <x:c r="A22" s="137" t="str">
        <x:v>FOAM 20 MM||SHEET</x:v>
      </x:c>
      <x:c r="B22" s="137" t="str">
        <x:v>FOAM 20 MM</x:v>
      </x:c>
      <x:c r="C22" s="137" t="str">
        <x:v>SHEET</x:v>
      </x:c>
      <x:c r="D22" s="187" t="n">
        <x:v>212.5</x:v>
      </x:c>
      <x:c r="E22" s="188" t="str"/>
      <x:c r="F22" s="188" t="str"/>
      <x:c r="G22" s="188" t="str"/>
      <x:c r="H22" s="189" t="str">
        <x:f>IF(E22="","",MAX(0,E22-IF(F22="",0,F22)+IF(G22="",0,G22)))</x:f>
      </x:c>
      <x:c r="I22" s="188" t="str"/>
      <x:c r="J22" s="188" t="str"/>
      <x:c r="K22" s="137" t="str"/>
      <x:c r="L22" s="190" t="str"/>
      <x:c r="M22" s="138" t="str"/>
      <x:c r="N22" s="137" t="str"/>
      <x:c r="O22" s="137" t="str"/>
      <x:c r="P22" s="137" t="str"/>
      <x:c r="Q22" s="137" t="str">
        <x:v>To Confirm</x:v>
      </x:c>
      <x:c r="R22" s="137" t="str"/>
    </x:row>
    <x:row r="23">
      <x:c r="A23" s="137" t="str">
        <x:v>INSOLE 2.5 MM BLACK||MTR</x:v>
      </x:c>
      <x:c r="B23" s="137" t="str">
        <x:v>INSOLE 2.5 MM BLACK</x:v>
      </x:c>
      <x:c r="C23" s="137" t="str">
        <x:v>MTR</x:v>
      </x:c>
      <x:c r="D23" s="187" t="n">
        <x:v>119.2</x:v>
      </x:c>
      <x:c r="E23" s="188" t="str"/>
      <x:c r="F23" s="188" t="str"/>
      <x:c r="G23" s="188" t="str"/>
      <x:c r="H23" s="189" t="str">
        <x:f>IF(E23="","",MAX(0,E23-IF(F23="",0,F23)+IF(G23="",0,G23)))</x:f>
      </x:c>
      <x:c r="I23" s="188" t="str"/>
      <x:c r="J23" s="188" t="str"/>
      <x:c r="K23" s="137" t="str"/>
      <x:c r="L23" s="190" t="str"/>
      <x:c r="M23" s="138" t="str"/>
      <x:c r="N23" s="137" t="str"/>
      <x:c r="O23" s="137" t="str"/>
      <x:c r="P23" s="137" t="str"/>
      <x:c r="Q23" s="137" t="str">
        <x:v>To Confirm</x:v>
      </x:c>
      <x:c r="R23" s="137" t="str"/>
    </x:row>
    <x:row r="24">
      <x:c r="A24" s="137" t="str">
        <x:v>INSOLE 2.5 MM WHITE||MTR</x:v>
      </x:c>
      <x:c r="B24" s="137" t="str">
        <x:v>INSOLE 2.5 MM WHITE</x:v>
      </x:c>
      <x:c r="C24" s="137" t="str">
        <x:v>MTR</x:v>
      </x:c>
      <x:c r="D24" s="187" t="n">
        <x:v>160.3</x:v>
      </x:c>
      <x:c r="E24" s="188" t="str"/>
      <x:c r="F24" s="188" t="str"/>
      <x:c r="G24" s="188" t="str"/>
      <x:c r="H24" s="189" t="str">
        <x:f>IF(E24="","",MAX(0,E24-IF(F24="",0,F24)+IF(G24="",0,G24)))</x:f>
      </x:c>
      <x:c r="I24" s="188" t="str"/>
      <x:c r="J24" s="188" t="str"/>
      <x:c r="K24" s="137" t="str"/>
      <x:c r="L24" s="190" t="str"/>
      <x:c r="M24" s="138" t="str"/>
      <x:c r="N24" s="137" t="str"/>
      <x:c r="O24" s="137" t="str"/>
      <x:c r="P24" s="137" t="str"/>
      <x:c r="Q24" s="137" t="str">
        <x:v>To Confirm</x:v>
      </x:c>
      <x:c r="R24" s="137" t="str"/>
    </x:row>
    <x:row r="25">
      <x:c r="A25" s="137" t="str">
        <x:v>INSOLE 4 MM BLACK||MTR</x:v>
      </x:c>
      <x:c r="B25" s="137" t="str">
        <x:v>INSOLE 4 MM BLACK</x:v>
      </x:c>
      <x:c r="C25" s="137" t="str">
        <x:v>MTR</x:v>
      </x:c>
      <x:c r="D25" s="187" t="n">
        <x:v>223.5</x:v>
      </x:c>
      <x:c r="E25" s="188" t="str"/>
      <x:c r="F25" s="188" t="str"/>
      <x:c r="G25" s="188" t="str"/>
      <x:c r="H25" s="189" t="str">
        <x:f>IF(E25="","",MAX(0,E25-IF(F25="",0,F25)+IF(G25="",0,G25)))</x:f>
      </x:c>
      <x:c r="I25" s="188" t="str"/>
      <x:c r="J25" s="188" t="str"/>
      <x:c r="K25" s="137" t="str"/>
      <x:c r="L25" s="190" t="str"/>
      <x:c r="M25" s="138" t="str"/>
      <x:c r="N25" s="137" t="str"/>
      <x:c r="O25" s="137" t="str"/>
      <x:c r="P25" s="137" t="str"/>
      <x:c r="Q25" s="137" t="str">
        <x:v>To Confirm</x:v>
      </x:c>
      <x:c r="R25" s="137" t="str"/>
    </x:row>
    <x:row r="26">
      <x:c r="A26" s="137" t="str">
        <x:v>INSOLE 4 MM WHITE||MTR</x:v>
      </x:c>
      <x:c r="B26" s="137" t="str">
        <x:v>INSOLE 4 MM WHITE</x:v>
      </x:c>
      <x:c r="C26" s="137" t="str">
        <x:v>MTR</x:v>
      </x:c>
      <x:c r="D26" s="187" t="n">
        <x:v>67.6</x:v>
      </x:c>
      <x:c r="E26" s="188" t="str"/>
      <x:c r="F26" s="188" t="str"/>
      <x:c r="G26" s="188" t="str"/>
      <x:c r="H26" s="189" t="str">
        <x:f>IF(E26="","",MAX(0,E26-IF(F26="",0,F26)+IF(G26="",0,G26)))</x:f>
      </x:c>
      <x:c r="I26" s="188" t="str"/>
      <x:c r="J26" s="188" t="str"/>
      <x:c r="K26" s="137" t="str"/>
      <x:c r="L26" s="190" t="str"/>
      <x:c r="M26" s="138" t="str"/>
      <x:c r="N26" s="137" t="str"/>
      <x:c r="O26" s="137" t="str"/>
      <x:c r="P26" s="137" t="str"/>
      <x:c r="Q26" s="137" t="str">
        <x:v>To Confirm</x:v>
      </x:c>
      <x:c r="R26" s="137" t="str"/>
    </x:row>
    <x:row r="27">
      <x:c r="A27" s="137" t="str">
        <x:v>INSOLE 4 MM||MTR</x:v>
      </x:c>
      <x:c r="B27" s="137" t="str">
        <x:v>INSOLE 4 MM</x:v>
      </x:c>
      <x:c r="C27" s="137" t="str">
        <x:v>MTR</x:v>
      </x:c>
      <x:c r="D27" s="187" t="n">
        <x:v>526.2</x:v>
      </x:c>
      <x:c r="E27" s="188" t="str"/>
      <x:c r="F27" s="188" t="str"/>
      <x:c r="G27" s="188" t="str"/>
      <x:c r="H27" s="189" t="str">
        <x:f>IF(E27="","",MAX(0,E27-IF(F27="",0,F27)+IF(G27="",0,G27)))</x:f>
      </x:c>
      <x:c r="I27" s="188" t="str"/>
      <x:c r="J27" s="188" t="str"/>
      <x:c r="K27" s="137" t="str"/>
      <x:c r="L27" s="190" t="str"/>
      <x:c r="M27" s="138" t="str"/>
      <x:c r="N27" s="137" t="str"/>
      <x:c r="O27" s="137" t="str"/>
      <x:c r="P27" s="137" t="str"/>
      <x:c r="Q27" s="137" t="str">
        <x:v>To Confirm</x:v>
      </x:c>
      <x:c r="R27" s="137" t="str"/>
    </x:row>
    <x:row r="28">
      <x:c r="A28" s="137" t="str">
        <x:v>Lebel Gola||MTR</x:v>
      </x:c>
      <x:c r="B28" s="137" t="str">
        <x:v>Lebel Gola</x:v>
      </x:c>
      <x:c r="C28" s="137" t="str">
        <x:v>MTR</x:v>
      </x:c>
      <x:c r="D28" s="187" t="n">
        <x:v>7650</x:v>
      </x:c>
      <x:c r="E28" s="188" t="str"/>
      <x:c r="F28" s="188" t="str"/>
      <x:c r="G28" s="188" t="str"/>
      <x:c r="H28" s="189" t="str">
        <x:f>IF(E28="","",MAX(0,E28-IF(F28="",0,F28)+IF(G28="",0,G28)))</x:f>
      </x:c>
      <x:c r="I28" s="188" t="str"/>
      <x:c r="J28" s="188" t="str"/>
      <x:c r="K28" s="137" t="str"/>
      <x:c r="L28" s="190" t="str"/>
      <x:c r="M28" s="138" t="str"/>
      <x:c r="N28" s="137" t="str"/>
      <x:c r="O28" s="137" t="str"/>
      <x:c r="P28" s="137" t="str"/>
      <x:c r="Q28" s="137" t="str">
        <x:v>To Confirm</x:v>
      </x:c>
      <x:c r="R28" s="137" t="str"/>
    </x:row>
    <x:row r="29">
      <x:c r="A29" s="137" t="str">
        <x:v>Lebel Gola||PCS</x:v>
      </x:c>
      <x:c r="B29" s="137" t="str">
        <x:v>Lebel Gola</x:v>
      </x:c>
      <x:c r="C29" s="137" t="str">
        <x:v>PCS</x:v>
      </x:c>
      <x:c r="D29" s="187" t="n">
        <x:v>16660</x:v>
      </x:c>
      <x:c r="E29" s="188" t="str"/>
      <x:c r="F29" s="188" t="str"/>
      <x:c r="G29" s="188" t="str"/>
      <x:c r="H29" s="189" t="str">
        <x:f>IF(E29="","",MAX(0,E29-IF(F29="",0,F29)+IF(G29="",0,G29)))</x:f>
      </x:c>
      <x:c r="I29" s="188" t="str"/>
      <x:c r="J29" s="188" t="str"/>
      <x:c r="K29" s="137" t="str"/>
      <x:c r="L29" s="190" t="str"/>
      <x:c r="M29" s="138" t="str"/>
      <x:c r="N29" s="137" t="str"/>
      <x:c r="O29" s="137" t="str"/>
      <x:c r="P29" s="137" t="str"/>
      <x:c r="Q29" s="137" t="str">
        <x:v>To Confirm</x:v>
      </x:c>
      <x:c r="R29" s="137" t="str"/>
    </x:row>
    <x:row r="30">
      <x:c r="A30" s="137" t="str">
        <x:v>Lebel school shoe Black Small||PCS</x:v>
      </x:c>
      <x:c r="B30" s="137" t="str">
        <x:v>Lebel school shoe Black Small</x:v>
      </x:c>
      <x:c r="C30" s="137" t="str">
        <x:v>PCS</x:v>
      </x:c>
      <x:c r="D30" s="187" t="n">
        <x:v>4480</x:v>
      </x:c>
      <x:c r="E30" s="188" t="str"/>
      <x:c r="F30" s="188" t="str"/>
      <x:c r="G30" s="188" t="str"/>
      <x:c r="H30" s="189" t="str">
        <x:f>IF(E30="","",MAX(0,E30-IF(F30="",0,F30)+IF(G30="",0,G30)))</x:f>
      </x:c>
      <x:c r="I30" s="188" t="str"/>
      <x:c r="J30" s="188" t="str"/>
      <x:c r="K30" s="137" t="str"/>
      <x:c r="L30" s="190" t="str"/>
      <x:c r="M30" s="138" t="str"/>
      <x:c r="N30" s="137" t="str"/>
      <x:c r="O30" s="137" t="str"/>
      <x:c r="P30" s="137" t="str"/>
      <x:c r="Q30" s="137" t="str">
        <x:v>To Confirm</x:v>
      </x:c>
      <x:c r="R30" s="137" t="str"/>
    </x:row>
    <x:row r="31">
      <x:c r="A31" s="137" t="str">
        <x:v>Lebel school shoe WHITE Small||PCS</x:v>
      </x:c>
      <x:c r="B31" s="137" t="str">
        <x:v>Lebel school shoe WHITE Small</x:v>
      </x:c>
      <x:c r="C31" s="137" t="str">
        <x:v>PCS</x:v>
      </x:c>
      <x:c r="D31" s="187" t="n">
        <x:v>8140</x:v>
      </x:c>
      <x:c r="E31" s="188" t="str"/>
      <x:c r="F31" s="188" t="str"/>
      <x:c r="G31" s="188" t="str"/>
      <x:c r="H31" s="189" t="str">
        <x:f>IF(E31="","",MAX(0,E31-IF(F31="",0,F31)+IF(G31="",0,G31)))</x:f>
      </x:c>
      <x:c r="I31" s="188" t="str"/>
      <x:c r="J31" s="188" t="str"/>
      <x:c r="K31" s="137" t="str"/>
      <x:c r="L31" s="190" t="str"/>
      <x:c r="M31" s="138" t="str"/>
      <x:c r="N31" s="137" t="str"/>
      <x:c r="O31" s="137" t="str"/>
      <x:c r="P31" s="137" t="str"/>
      <x:c r="Q31" s="137" t="str">
        <x:v>To Confirm</x:v>
      </x:c>
      <x:c r="R31" s="137" t="str"/>
    </x:row>
    <x:row r="32">
      <x:c r="A32" s="137" t="str">
        <x:v>NYLON THREAD WHITE 3 PLY||CONE</x:v>
      </x:c>
      <x:c r="B32" s="137" t="str">
        <x:v>NYLON THREAD WHITE 3 PLY</x:v>
      </x:c>
      <x:c r="C32" s="137" t="str">
        <x:v>CONE</x:v>
      </x:c>
      <x:c r="D32" s="187" t="n">
        <x:v>102</x:v>
      </x:c>
      <x:c r="E32" s="188" t="str"/>
      <x:c r="F32" s="188" t="str"/>
      <x:c r="G32" s="188" t="str"/>
      <x:c r="H32" s="189" t="str">
        <x:f>IF(E32="","",MAX(0,E32-IF(F32="",0,F32)+IF(G32="",0,G32)))</x:f>
      </x:c>
      <x:c r="I32" s="188" t="str"/>
      <x:c r="J32" s="188" t="str"/>
      <x:c r="K32" s="137" t="str"/>
      <x:c r="L32" s="190" t="str"/>
      <x:c r="M32" s="138" t="str"/>
      <x:c r="N32" s="137" t="str"/>
      <x:c r="O32" s="137" t="str"/>
      <x:c r="P32" s="137" t="str"/>
      <x:c r="Q32" s="137" t="str">
        <x:v>To Confirm</x:v>
      </x:c>
      <x:c r="R32" s="137" t="str"/>
    </x:row>
    <x:row r="33">
      <x:c r="A33" s="137" t="str">
        <x:v>Nylon Binding Black 14mm||MTR</x:v>
      </x:c>
      <x:c r="B33" s="137" t="str">
        <x:v>Nylon Binding Black 14mm</x:v>
      </x:c>
      <x:c r="C33" s="137" t="str">
        <x:v>MTR</x:v>
      </x:c>
      <x:c r="D33" s="187" t="n">
        <x:v>10829.2</x:v>
      </x:c>
      <x:c r="E33" s="188" t="str"/>
      <x:c r="F33" s="188" t="str"/>
      <x:c r="G33" s="188" t="str"/>
      <x:c r="H33" s="189" t="str">
        <x:f>IF(E33="","",MAX(0,E33-IF(F33="",0,F33)+IF(G33="",0,G33)))</x:f>
      </x:c>
      <x:c r="I33" s="188" t="str"/>
      <x:c r="J33" s="188" t="str"/>
      <x:c r="K33" s="137" t="str"/>
      <x:c r="L33" s="190" t="str"/>
      <x:c r="M33" s="138" t="str"/>
      <x:c r="N33" s="137" t="str"/>
      <x:c r="O33" s="137" t="str"/>
      <x:c r="P33" s="137" t="str"/>
      <x:c r="Q33" s="137" t="str">
        <x:v>To Confirm</x:v>
      </x:c>
      <x:c r="R33" s="137" t="str"/>
    </x:row>
    <x:row r="34">
      <x:c r="A34" s="137" t="str">
        <x:v>Nylon Thread 3 Ply||CONE</x:v>
      </x:c>
      <x:c r="B34" s="137" t="str">
        <x:v>Nylon Thread 3 Ply</x:v>
      </x:c>
      <x:c r="C34" s="137" t="str">
        <x:v>CONE</x:v>
      </x:c>
      <x:c r="D34" s="187" t="n">
        <x:v>181.9</x:v>
      </x:c>
      <x:c r="E34" s="188" t="str"/>
      <x:c r="F34" s="188" t="str"/>
      <x:c r="G34" s="188" t="str"/>
      <x:c r="H34" s="189" t="str">
        <x:f>IF(E34="","",MAX(0,E34-IF(F34="",0,F34)+IF(G34="",0,G34)))</x:f>
      </x:c>
      <x:c r="I34" s="188" t="str"/>
      <x:c r="J34" s="188" t="str"/>
      <x:c r="K34" s="137" t="str"/>
      <x:c r="L34" s="190" t="str"/>
      <x:c r="M34" s="138" t="str"/>
      <x:c r="N34" s="137" t="str"/>
      <x:c r="O34" s="137" t="str"/>
      <x:c r="P34" s="137" t="str"/>
      <x:c r="Q34" s="137" t="str">
        <x:v>To Confirm</x:v>
      </x:c>
      <x:c r="R34" s="137" t="str"/>
    </x:row>
    <x:row r="35">
      <x:c r="A35" s="137" t="str">
        <x:v>Nylon Thread Black 3 Ply||CONE</x:v>
      </x:c>
      <x:c r="B35" s="137" t="str">
        <x:v>Nylon Thread Black 3 Ply</x:v>
      </x:c>
      <x:c r="C35" s="137" t="str">
        <x:v>CONE</x:v>
      </x:c>
      <x:c r="D35" s="187" t="n">
        <x:v>231.2</x:v>
      </x:c>
      <x:c r="E35" s="188" t="str"/>
      <x:c r="F35" s="188" t="str"/>
      <x:c r="G35" s="188" t="str"/>
      <x:c r="H35" s="189" t="str">
        <x:f>IF(E35="","",MAX(0,E35-IF(F35="",0,F35)+IF(G35="",0,G35)))</x:f>
      </x:c>
      <x:c r="I35" s="188" t="str"/>
      <x:c r="J35" s="188" t="str"/>
      <x:c r="K35" s="137" t="str"/>
      <x:c r="L35" s="190" t="str"/>
      <x:c r="M35" s="138" t="str"/>
      <x:c r="N35" s="137" t="str"/>
      <x:c r="O35" s="137" t="str"/>
      <x:c r="P35" s="137" t="str"/>
      <x:c r="Q35" s="137" t="str">
        <x:v>To Confirm</x:v>
      </x:c>
      <x:c r="R35" s="137" t="str"/>
    </x:row>
    <x:row r="36">
      <x:c r="A36" s="137" t="str">
        <x:v>Nylon Thread WHITE 3 Ply||CONE</x:v>
      </x:c>
      <x:c r="B36" s="137" t="str">
        <x:v>Nylon Thread WHITE 3 Ply</x:v>
      </x:c>
      <x:c r="C36" s="137" t="str">
        <x:v>CONE</x:v>
      </x:c>
      <x:c r="D36" s="187" t="n">
        <x:v>38</x:v>
      </x:c>
      <x:c r="E36" s="188" t="str"/>
      <x:c r="F36" s="188" t="str"/>
      <x:c r="G36" s="188" t="str"/>
      <x:c r="H36" s="189" t="str">
        <x:f>IF(E36="","",MAX(0,E36-IF(F36="",0,F36)+IF(G36="",0,G36)))</x:f>
      </x:c>
      <x:c r="I36" s="188" t="str"/>
      <x:c r="J36" s="188" t="str"/>
      <x:c r="K36" s="137" t="str"/>
      <x:c r="L36" s="190" t="str"/>
      <x:c r="M36" s="138" t="str"/>
      <x:c r="N36" s="137" t="str"/>
      <x:c r="O36" s="137" t="str"/>
      <x:c r="P36" s="137" t="str"/>
      <x:c r="Q36" s="137" t="str">
        <x:v>To Confirm</x:v>
      </x:c>
      <x:c r="R36" s="137" t="str"/>
    </x:row>
    <x:row r="37">
      <x:c r="A37" s="137" t="str">
        <x:v>Nylonthread 3 ply||CONE</x:v>
      </x:c>
      <x:c r="B37" s="137" t="str">
        <x:v>Nylonthread 3 ply</x:v>
      </x:c>
      <x:c r="C37" s="137" t="str">
        <x:v>CONE</x:v>
      </x:c>
      <x:c r="D37" s="187" t="n">
        <x:v>148.6</x:v>
      </x:c>
      <x:c r="E37" s="188" t="str"/>
      <x:c r="F37" s="188" t="str"/>
      <x:c r="G37" s="188" t="str"/>
      <x:c r="H37" s="189" t="str">
        <x:f>IF(E37="","",MAX(0,E37-IF(F37="",0,F37)+IF(G37="",0,G37)))</x:f>
      </x:c>
      <x:c r="I37" s="188" t="str"/>
      <x:c r="J37" s="188" t="str"/>
      <x:c r="K37" s="137" t="str"/>
      <x:c r="L37" s="190" t="str"/>
      <x:c r="M37" s="138" t="str"/>
      <x:c r="N37" s="137" t="str"/>
      <x:c r="O37" s="137" t="str"/>
      <x:c r="P37" s="137" t="str"/>
      <x:c r="Q37" s="137" t="str">
        <x:v>To Confirm</x:v>
      </x:c>
      <x:c r="R37" s="137" t="str"/>
    </x:row>
    <x:row r="38">
      <x:c r="A38" s="137" t="str">
        <x:v>PF-3||PCS</x:v>
      </x:c>
      <x:c r="B38" s="137" t="str">
        <x:v>PF-3</x:v>
      </x:c>
      <x:c r="C38" s="137" t="str">
        <x:v>PCS</x:v>
      </x:c>
      <x:c r="D38" s="187" t="n">
        <x:v>3060</x:v>
      </x:c>
      <x:c r="E38" s="188" t="str"/>
      <x:c r="F38" s="188" t="str"/>
      <x:c r="G38" s="188" t="str"/>
      <x:c r="H38" s="189" t="str">
        <x:f>IF(E38="","",MAX(0,E38-IF(F38="",0,F38)+IF(G38="",0,G38)))</x:f>
      </x:c>
      <x:c r="I38" s="188" t="str"/>
      <x:c r="J38" s="188" t="str"/>
      <x:c r="K38" s="137" t="str"/>
      <x:c r="L38" s="190" t="str"/>
      <x:c r="M38" s="138" t="str"/>
      <x:c r="N38" s="137" t="str"/>
      <x:c r="O38" s="137" t="str"/>
      <x:c r="P38" s="137" t="str"/>
      <x:c r="Q38" s="137" t="str">
        <x:v>To Confirm</x:v>
      </x:c>
      <x:c r="R38" s="137" t="str"/>
    </x:row>
    <x:row r="39">
      <x:c r="A39" s="137" t="str">
        <x:v>PF-48||PCS</x:v>
      </x:c>
      <x:c r="B39" s="137" t="str">
        <x:v>PF-48</x:v>
      </x:c>
      <x:c r="C39" s="137" t="str">
        <x:v>PCS</x:v>
      </x:c>
      <x:c r="D39" s="187" t="n">
        <x:v>31280</x:v>
      </x:c>
      <x:c r="E39" s="188" t="str"/>
      <x:c r="F39" s="188" t="str"/>
      <x:c r="G39" s="188" t="str"/>
      <x:c r="H39" s="189" t="str">
        <x:f>IF(E39="","",MAX(0,E39-IF(F39="",0,F39)+IF(G39="",0,G39)))</x:f>
      </x:c>
      <x:c r="I39" s="188" t="str"/>
      <x:c r="J39" s="188" t="str"/>
      <x:c r="K39" s="137" t="str"/>
      <x:c r="L39" s="190" t="str"/>
      <x:c r="M39" s="138" t="str"/>
      <x:c r="N39" s="137" t="str"/>
      <x:c r="O39" s="137" t="str"/>
      <x:c r="P39" s="137" t="str"/>
      <x:c r="Q39" s="137" t="str">
        <x:v>To Confirm</x:v>
      </x:c>
      <x:c r="R39" s="137" t="str"/>
    </x:row>
    <x:row r="40">
      <x:c r="A40" s="137" t="str">
        <x:v>POLYESTER BINDING 12 MM||MTR</x:v>
      </x:c>
      <x:c r="B40" s="137" t="str">
        <x:v>POLYESTER BINDING 12 MM</x:v>
      </x:c>
      <x:c r="C40" s="137" t="str">
        <x:v>MTR</x:v>
      </x:c>
      <x:c r="D40" s="187" t="n">
        <x:v>1139.2</x:v>
      </x:c>
      <x:c r="E40" s="188" t="str"/>
      <x:c r="F40" s="188" t="str"/>
      <x:c r="G40" s="188" t="str"/>
      <x:c r="H40" s="189" t="str">
        <x:f>IF(E40="","",MAX(0,E40-IF(F40="",0,F40)+IF(G40="",0,G40)))</x:f>
      </x:c>
      <x:c r="I40" s="188" t="str"/>
      <x:c r="J40" s="188" t="str"/>
      <x:c r="K40" s="137" t="str"/>
      <x:c r="L40" s="190" t="str"/>
      <x:c r="M40" s="138" t="str"/>
      <x:c r="N40" s="137" t="str"/>
      <x:c r="O40" s="137" t="str"/>
      <x:c r="P40" s="137" t="str"/>
      <x:c r="Q40" s="137" t="str">
        <x:v>To Confirm</x:v>
      </x:c>
      <x:c r="R40" s="137" t="str"/>
    </x:row>
    <x:row r="41">
      <x:c r="A41" s="137" t="str">
        <x:v>PP Bag 18.5x31||PCS</x:v>
      </x:c>
      <x:c r="B41" s="137" t="str">
        <x:v>PP Bag 18.5x31</x:v>
      </x:c>
      <x:c r="C41" s="137" t="str">
        <x:v>PCS</x:v>
      </x:c>
      <x:c r="D41" s="187" t="n">
        <x:v>1545.5</x:v>
      </x:c>
      <x:c r="E41" s="188" t="str"/>
      <x:c r="F41" s="188" t="str"/>
      <x:c r="G41" s="188" t="str"/>
      <x:c r="H41" s="189" t="str">
        <x:f>IF(E41="","",MAX(0,E41-IF(F41="",0,F41)+IF(G41="",0,G41)))</x:f>
      </x:c>
      <x:c r="I41" s="188" t="str"/>
      <x:c r="J41" s="188" t="str"/>
      <x:c r="K41" s="137" t="str"/>
      <x:c r="L41" s="190" t="str"/>
      <x:c r="M41" s="138" t="str"/>
      <x:c r="N41" s="137" t="str"/>
      <x:c r="O41" s="137" t="str"/>
      <x:c r="P41" s="137" t="str"/>
      <x:c r="Q41" s="137" t="str">
        <x:v>To Confirm</x:v>
      </x:c>
      <x:c r="R41" s="137" t="str"/>
    </x:row>
    <x:row r="42">
      <x:c r="A42" s="137" t="str">
        <x:v>PU MESH (HARD FOAM+BACKER)||MTR</x:v>
      </x:c>
      <x:c r="B42" s="137" t="str">
        <x:v>PU MESH (HARD FOAM+BACKER)</x:v>
      </x:c>
      <x:c r="C42" s="137" t="str">
        <x:v>MTR</x:v>
      </x:c>
      <x:c r="D42" s="187" t="n">
        <x:v>1302.4</x:v>
      </x:c>
      <x:c r="E42" s="188" t="str"/>
      <x:c r="F42" s="188" t="str"/>
      <x:c r="G42" s="188" t="str"/>
      <x:c r="H42" s="189" t="str">
        <x:f>IF(E42="","",MAX(0,E42-IF(F42="",0,F42)+IF(G42="",0,G42)))</x:f>
      </x:c>
      <x:c r="I42" s="188" t="str"/>
      <x:c r="J42" s="188" t="str"/>
      <x:c r="K42" s="137" t="str"/>
      <x:c r="L42" s="190" t="str"/>
      <x:c r="M42" s="138" t="str"/>
      <x:c r="N42" s="137" t="str"/>
      <x:c r="O42" s="137" t="str"/>
      <x:c r="P42" s="137" t="str"/>
      <x:c r="Q42" s="137" t="str">
        <x:v>To Confirm</x:v>
      </x:c>
      <x:c r="R42" s="137" t="str"/>
    </x:row>
    <x:row r="43">
      <x:c r="A43" s="137" t="str">
        <x:v>Polister Binding 12mm||MTR</x:v>
      </x:c>
      <x:c r="B43" s="137" t="str">
        <x:v>Polister Binding 12mm</x:v>
      </x:c>
      <x:c r="C43" s="137" t="str">
        <x:v>MTR</x:v>
      </x:c>
      <x:c r="D43" s="187" t="n">
        <x:v>2517</x:v>
      </x:c>
      <x:c r="E43" s="188" t="str"/>
      <x:c r="F43" s="188" t="str"/>
      <x:c r="G43" s="188" t="str"/>
      <x:c r="H43" s="189" t="str">
        <x:f>IF(E43="","",MAX(0,E43-IF(F43="",0,F43)+IF(G43="",0,G43)))</x:f>
      </x:c>
      <x:c r="I43" s="188" t="str"/>
      <x:c r="J43" s="188" t="str"/>
      <x:c r="K43" s="137" t="str"/>
      <x:c r="L43" s="190" t="str"/>
      <x:c r="M43" s="138" t="str"/>
      <x:c r="N43" s="137" t="str"/>
      <x:c r="O43" s="137" t="str"/>
      <x:c r="P43" s="137" t="str"/>
      <x:c r="Q43" s="137" t="str">
        <x:v>To Confirm</x:v>
      </x:c>
      <x:c r="R43" s="137" t="str"/>
    </x:row>
    <x:row r="44">
      <x:c r="A44" s="137" t="str">
        <x:v>R.||MTR</x:v>
      </x:c>
      <x:c r="B44" s="137" t="str">
        <x:v>R.</x:v>
      </x:c>
      <x:c r="C44" s="137" t="str">
        <x:v>MTR</x:v>
      </x:c>
      <x:c r="D44" s="187" t="n">
        <x:v>315.2</x:v>
      </x:c>
      <x:c r="E44" s="188" t="str"/>
      <x:c r="F44" s="188" t="str"/>
      <x:c r="G44" s="188" t="str"/>
      <x:c r="H44" s="189" t="str">
        <x:f>IF(E44="","",MAX(0,E44-IF(F44="",0,F44)+IF(G44="",0,G44)))</x:f>
      </x:c>
      <x:c r="I44" s="188" t="str"/>
      <x:c r="J44" s="188" t="str"/>
      <x:c r="K44" s="137" t="str"/>
      <x:c r="L44" s="190" t="str"/>
      <x:c r="M44" s="138" t="str"/>
      <x:c r="N44" s="137" t="str"/>
      <x:c r="O44" s="137" t="str"/>
      <x:c r="P44" s="137" t="str"/>
      <x:c r="Q44" s="137" t="str">
        <x:v>To Confirm</x:v>
      </x:c>
      <x:c r="R44" s="137" t="str"/>
    </x:row>
    <x:row r="45">
      <x:c r="A45" s="137" t="str">
        <x:v>REXION 0.85 MM BLACK||MTR</x:v>
      </x:c>
      <x:c r="B45" s="137" t="str">
        <x:v>REXION 0.85 MM BLACK</x:v>
      </x:c>
      <x:c r="C45" s="137" t="str">
        <x:v>MTR</x:v>
      </x:c>
      <x:c r="D45" s="187" t="n">
        <x:v>53.5</x:v>
      </x:c>
      <x:c r="E45" s="188" t="str"/>
      <x:c r="F45" s="188" t="str"/>
      <x:c r="G45" s="188" t="str"/>
      <x:c r="H45" s="189" t="str">
        <x:f>IF(E45="","",MAX(0,E45-IF(F45="",0,F45)+IF(G45="",0,G45)))</x:f>
      </x:c>
      <x:c r="I45" s="188" t="str"/>
      <x:c r="J45" s="188" t="str"/>
      <x:c r="K45" s="137" t="str"/>
      <x:c r="L45" s="190" t="str"/>
      <x:c r="M45" s="138" t="str"/>
      <x:c r="N45" s="137" t="str"/>
      <x:c r="O45" s="137" t="str"/>
      <x:c r="P45" s="137" t="str"/>
      <x:c r="Q45" s="137" t="str">
        <x:v>To Confirm</x:v>
      </x:c>
      <x:c r="R45" s="137" t="str"/>
    </x:row>
    <x:row r="46">
      <x:c r="A46" s="137" t="str">
        <x:v>REXION 0.85 MM WHITE||MTR</x:v>
      </x:c>
      <x:c r="B46" s="137" t="str">
        <x:v>REXION 0.85 MM WHITE</x:v>
      </x:c>
      <x:c r="C46" s="137" t="str">
        <x:v>MTR</x:v>
      </x:c>
      <x:c r="D46" s="187" t="n">
        <x:v>16.8</x:v>
      </x:c>
      <x:c r="E46" s="188" t="str"/>
      <x:c r="F46" s="188" t="str"/>
      <x:c r="G46" s="188" t="str"/>
      <x:c r="H46" s="189" t="str">
        <x:f>IF(E46="","",MAX(0,E46-IF(F46="",0,F46)+IF(G46="",0,G46)))</x:f>
      </x:c>
      <x:c r="I46" s="188" t="str"/>
      <x:c r="J46" s="188" t="str"/>
      <x:c r="K46" s="137" t="str"/>
      <x:c r="L46" s="190" t="str"/>
      <x:c r="M46" s="138" t="str"/>
      <x:c r="N46" s="137" t="str"/>
      <x:c r="O46" s="137" t="str"/>
      <x:c r="P46" s="137" t="str"/>
      <x:c r="Q46" s="137" t="str">
        <x:v>To Confirm</x:v>
      </x:c>
      <x:c r="R46" s="137" t="str"/>
    </x:row>
    <x:row r="47">
      <x:c r="A47" s="137" t="str">
        <x:v>REXION 0.8MM FOR EYELET PATTI||MTR</x:v>
      </x:c>
      <x:c r="B47" s="137" t="str">
        <x:v>REXION 0.8MM FOR EYELET PATTI</x:v>
      </x:c>
      <x:c r="C47" s="137" t="str">
        <x:v>MTR</x:v>
      </x:c>
      <x:c r="D47" s="187" t="n">
        <x:v>53.9</x:v>
      </x:c>
      <x:c r="E47" s="188" t="str"/>
      <x:c r="F47" s="188" t="str"/>
      <x:c r="G47" s="188" t="str"/>
      <x:c r="H47" s="189" t="str">
        <x:f>IF(E47="","",MAX(0,E47-IF(F47="",0,F47)+IF(G47="",0,G47)))</x:f>
      </x:c>
      <x:c r="I47" s="188" t="str"/>
      <x:c r="J47" s="188" t="str"/>
      <x:c r="K47" s="137" t="str"/>
      <x:c r="L47" s="190" t="str"/>
      <x:c r="M47" s="138" t="str"/>
      <x:c r="N47" s="137" t="str"/>
      <x:c r="O47" s="137" t="str"/>
      <x:c r="P47" s="137" t="str"/>
      <x:c r="Q47" s="137" t="str">
        <x:v>To Confirm</x:v>
      </x:c>
      <x:c r="R47" s="137" t="str"/>
    </x:row>
    <x:row r="48">
      <x:c r="A48" s="137" t="str">
        <x:v>REXION 1.5MM FOR INTOE||MTR</x:v>
      </x:c>
      <x:c r="B48" s="137" t="str">
        <x:v>REXION 1.5MM FOR INTOE</x:v>
      </x:c>
      <x:c r="C48" s="137" t="str">
        <x:v>MTR</x:v>
      </x:c>
      <x:c r="D48" s="187" t="n">
        <x:v>132</x:v>
      </x:c>
      <x:c r="E48" s="188" t="str"/>
      <x:c r="F48" s="188" t="str"/>
      <x:c r="G48" s="188" t="str"/>
      <x:c r="H48" s="189" t="str">
        <x:f>IF(E48="","",MAX(0,E48-IF(F48="",0,F48)+IF(G48="",0,G48)))</x:f>
      </x:c>
      <x:c r="I48" s="188" t="str"/>
      <x:c r="J48" s="188" t="str"/>
      <x:c r="K48" s="137" t="str"/>
      <x:c r="L48" s="190" t="str"/>
      <x:c r="M48" s="138" t="str"/>
      <x:c r="N48" s="137" t="str"/>
      <x:c r="O48" s="137" t="str"/>
      <x:c r="P48" s="137" t="str"/>
      <x:c r="Q48" s="137" t="str">
        <x:v>To Confirm</x:v>
      </x:c>
      <x:c r="R48" s="137" t="str"/>
    </x:row>
    <x:row r="49">
      <x:c r="A49" s="137" t="str">
        <x:v>REXION 1.5MM FRENZY (HEAVY) BLACK||MTR</x:v>
      </x:c>
      <x:c r="B49" s="137" t="str">
        <x:v>REXION 1.5MM FRENZY (HEAVY) BLACK</x:v>
      </x:c>
      <x:c r="C49" s="137" t="str">
        <x:v>MTR</x:v>
      </x:c>
      <x:c r="D49" s="187" t="n">
        <x:v>1781.5</x:v>
      </x:c>
      <x:c r="E49" s="188" t="str"/>
      <x:c r="F49" s="188" t="str"/>
      <x:c r="G49" s="188" t="str"/>
      <x:c r="H49" s="189" t="str">
        <x:f>IF(E49="","",MAX(0,E49-IF(F49="",0,F49)+IF(G49="",0,G49)))</x:f>
      </x:c>
      <x:c r="I49" s="188" t="str"/>
      <x:c r="J49" s="188" t="str"/>
      <x:c r="K49" s="137" t="str"/>
      <x:c r="L49" s="190" t="str"/>
      <x:c r="M49" s="138" t="str"/>
      <x:c r="N49" s="137" t="str"/>
      <x:c r="O49" s="137" t="str"/>
      <x:c r="P49" s="137" t="str"/>
      <x:c r="Q49" s="137" t="str">
        <x:v>To Confirm</x:v>
      </x:c>
      <x:c r="R49" s="137" t="str"/>
    </x:row>
    <x:row r="50">
      <x:c r="A50" s="137" t="str">
        <x:v>REXION 1.5MM FRENZY (HEAVY) WHITE||MTR</x:v>
      </x:c>
      <x:c r="B50" s="137" t="str">
        <x:v>REXION 1.5MM FRENZY (HEAVY) WHITE</x:v>
      </x:c>
      <x:c r="C50" s="137" t="str">
        <x:v>MTR</x:v>
      </x:c>
      <x:c r="D50" s="187" t="n">
        <x:v>308.3</x:v>
      </x:c>
      <x:c r="E50" s="188" t="str"/>
      <x:c r="F50" s="188" t="str"/>
      <x:c r="G50" s="188" t="str"/>
      <x:c r="H50" s="189" t="str">
        <x:f>IF(E50="","",MAX(0,E50-IF(F50="",0,F50)+IF(G50="",0,G50)))</x:f>
      </x:c>
      <x:c r="I50" s="188" t="str"/>
      <x:c r="J50" s="188" t="str"/>
      <x:c r="K50" s="137" t="str"/>
      <x:c r="L50" s="190" t="str"/>
      <x:c r="M50" s="138" t="str"/>
      <x:c r="N50" s="137" t="str"/>
      <x:c r="O50" s="137" t="str"/>
      <x:c r="P50" s="137" t="str"/>
      <x:c r="Q50" s="137" t="str">
        <x:v>To Confirm</x:v>
      </x:c>
      <x:c r="R50" s="137" t="str"/>
    </x:row>
    <x:row r="51">
      <x:c r="A51" s="137" t="str">
        <x:v>REXION 1.5MM FRENZY (HEAVY)||MTR</x:v>
      </x:c>
      <x:c r="B51" s="137" t="str">
        <x:v>REXION 1.5MM FRENZY (HEAVY)</x:v>
      </x:c>
      <x:c r="C51" s="137" t="str">
        <x:v>MTR</x:v>
      </x:c>
      <x:c r="D51" s="187" t="n">
        <x:v>614.1</x:v>
      </x:c>
      <x:c r="E51" s="188" t="str"/>
      <x:c r="F51" s="188" t="str"/>
      <x:c r="G51" s="188" t="str"/>
      <x:c r="H51" s="189" t="str">
        <x:f>IF(E51="","",MAX(0,E51-IF(F51="",0,F51)+IF(G51="",0,G51)))</x:f>
      </x:c>
      <x:c r="I51" s="188" t="str"/>
      <x:c r="J51" s="188" t="str"/>
      <x:c r="K51" s="137" t="str"/>
      <x:c r="L51" s="190" t="str"/>
      <x:c r="M51" s="138" t="str"/>
      <x:c r="N51" s="137" t="str"/>
      <x:c r="O51" s="137" t="str"/>
      <x:c r="P51" s="137" t="str"/>
      <x:c r="Q51" s="137" t="str">
        <x:v>To Confirm</x:v>
      </x:c>
      <x:c r="R51" s="137" t="str"/>
    </x:row>
    <x:row r="52">
      <x:c r="A52" s="137" t="str">
        <x:v>REXION 1.5MM FRENZY (LIGHT) BLACK||MTR</x:v>
      </x:c>
      <x:c r="B52" s="137" t="str">
        <x:v>REXION 1.5MM FRENZY (LIGHT) BLACK</x:v>
      </x:c>
      <x:c r="C52" s="137" t="str">
        <x:v>MTR</x:v>
      </x:c>
      <x:c r="D52" s="187" t="n">
        <x:v>473.8</x:v>
      </x:c>
      <x:c r="E52" s="188" t="str"/>
      <x:c r="F52" s="188" t="str"/>
      <x:c r="G52" s="188" t="str"/>
      <x:c r="H52" s="189" t="str">
        <x:f>IF(E52="","",MAX(0,E52-IF(F52="",0,F52)+IF(G52="",0,G52)))</x:f>
      </x:c>
      <x:c r="I52" s="188" t="str"/>
      <x:c r="J52" s="188" t="str"/>
      <x:c r="K52" s="137" t="str"/>
      <x:c r="L52" s="190" t="str"/>
      <x:c r="M52" s="138" t="str"/>
      <x:c r="N52" s="137" t="str"/>
      <x:c r="O52" s="137" t="str"/>
      <x:c r="P52" s="137" t="str"/>
      <x:c r="Q52" s="137" t="str">
        <x:v>To Confirm</x:v>
      </x:c>
      <x:c r="R52" s="137" t="str"/>
    </x:row>
    <x:row r="53">
      <x:c r="A53" s="137" t="str">
        <x:v>REXION 1.5MM FRENZY (LIGHT) WHITE||MTR</x:v>
      </x:c>
      <x:c r="B53" s="137" t="str">
        <x:v>REXION 1.5MM FRENZY (LIGHT) WHITE</x:v>
      </x:c>
      <x:c r="C53" s="137" t="str">
        <x:v>MTR</x:v>
      </x:c>
      <x:c r="D53" s="187" t="n">
        <x:v>141.2</x:v>
      </x:c>
      <x:c r="E53" s="188" t="str"/>
      <x:c r="F53" s="188" t="str"/>
      <x:c r="G53" s="188" t="str"/>
      <x:c r="H53" s="189" t="str">
        <x:f>IF(E53="","",MAX(0,E53-IF(F53="",0,F53)+IF(G53="",0,G53)))</x:f>
      </x:c>
      <x:c r="I53" s="188" t="str"/>
      <x:c r="J53" s="188" t="str"/>
      <x:c r="K53" s="137" t="str"/>
      <x:c r="L53" s="190" t="str"/>
      <x:c r="M53" s="138" t="str"/>
      <x:c r="N53" s="137" t="str"/>
      <x:c r="O53" s="137" t="str"/>
      <x:c r="P53" s="137" t="str"/>
      <x:c r="Q53" s="137" t="str">
        <x:v>To Confirm</x:v>
      </x:c>
      <x:c r="R53" s="137" t="str"/>
    </x:row>
    <x:row r="54">
      <x:c r="A54" s="137" t="str">
        <x:v>REXION 1.5MM FRENZY (LIGHT)||MTR</x:v>
      </x:c>
      <x:c r="B54" s="137" t="str">
        <x:v>REXION 1.5MM FRENZY (LIGHT)</x:v>
      </x:c>
      <x:c r="C54" s="137" t="str">
        <x:v>MTR</x:v>
      </x:c>
      <x:c r="D54" s="187" t="n">
        <x:v>782.6</x:v>
      </x:c>
      <x:c r="E54" s="188" t="str"/>
      <x:c r="F54" s="188" t="str"/>
      <x:c r="G54" s="188" t="str"/>
      <x:c r="H54" s="189" t="str">
        <x:f>IF(E54="","",MAX(0,E54-IF(F54="",0,F54)+IF(G54="",0,G54)))</x:f>
      </x:c>
      <x:c r="I54" s="188" t="str"/>
      <x:c r="J54" s="188" t="str"/>
      <x:c r="K54" s="137" t="str"/>
      <x:c r="L54" s="190" t="str"/>
      <x:c r="M54" s="138" t="str"/>
      <x:c r="N54" s="137" t="str"/>
      <x:c r="O54" s="137" t="str"/>
      <x:c r="P54" s="137" t="str"/>
      <x:c r="Q54" s="137" t="str">
        <x:v>To Confirm</x:v>
      </x:c>
      <x:c r="R54" s="137" t="str"/>
    </x:row>
    <x:row r="55">
      <x:c r="A55" s="137" t="str">
        <x:v>REXION BENDING 14 MM WHITE||MTR</x:v>
      </x:c>
      <x:c r="B55" s="137" t="str">
        <x:v>REXION BENDING 14 MM WHITE</x:v>
      </x:c>
      <x:c r="C55" s="137" t="str">
        <x:v>MTR</x:v>
      </x:c>
      <x:c r="D55" s="187" t="n">
        <x:v>6844</x:v>
      </x:c>
      <x:c r="E55" s="188" t="str"/>
      <x:c r="F55" s="188" t="str"/>
      <x:c r="G55" s="188" t="str"/>
      <x:c r="H55" s="189" t="str">
        <x:f>IF(E55="","",MAX(0,E55-IF(F55="",0,F55)+IF(G55="",0,G55)))</x:f>
      </x:c>
      <x:c r="I55" s="188" t="str"/>
      <x:c r="J55" s="188" t="str"/>
      <x:c r="K55" s="137" t="str"/>
      <x:c r="L55" s="190" t="str"/>
      <x:c r="M55" s="138" t="str"/>
      <x:c r="N55" s="137" t="str"/>
      <x:c r="O55" s="137" t="str"/>
      <x:c r="P55" s="137" t="str"/>
      <x:c r="Q55" s="137" t="str">
        <x:v>To Confirm</x:v>
      </x:c>
      <x:c r="R55" s="137" t="str"/>
    </x:row>
    <x:row r="56">
      <x:c r="A56" s="137" t="str">
        <x:v>REXION Binding WHITE 14mm||MTR</x:v>
      </x:c>
      <x:c r="B56" s="137" t="str">
        <x:v>REXION Binding WHITE 14mm</x:v>
      </x:c>
      <x:c r="C56" s="137" t="str">
        <x:v>MTR</x:v>
      </x:c>
      <x:c r="D56" s="187" t="n">
        <x:v>3403.2</x:v>
      </x:c>
      <x:c r="E56" s="188" t="str"/>
      <x:c r="F56" s="188" t="str"/>
      <x:c r="G56" s="188" t="str"/>
      <x:c r="H56" s="189" t="str">
        <x:f>IF(E56="","",MAX(0,E56-IF(F56="",0,F56)+IF(G56="",0,G56)))</x:f>
      </x:c>
      <x:c r="I56" s="188" t="str"/>
      <x:c r="J56" s="188" t="str"/>
      <x:c r="K56" s="137" t="str"/>
      <x:c r="L56" s="190" t="str"/>
      <x:c r="M56" s="138" t="str"/>
      <x:c r="N56" s="137" t="str"/>
      <x:c r="O56" s="137" t="str"/>
      <x:c r="P56" s="137" t="str"/>
      <x:c r="Q56" s="137" t="str">
        <x:v>To Confirm</x:v>
      </x:c>
      <x:c r="R56" s="137" t="str"/>
    </x:row>
    <x:row r="57">
      <x:c r="A57" s="137" t="str">
        <x:v>SIZE LABEL||PCS</x:v>
      </x:c>
      <x:c r="B57" s="137" t="str">
        <x:v>SIZE LABEL</x:v>
      </x:c>
      <x:c r="C57" s="137" t="str">
        <x:v>PCS</x:v>
      </x:c>
      <x:c r="D57" s="187" t="n">
        <x:v>22560</x:v>
      </x:c>
      <x:c r="E57" s="188" t="str"/>
      <x:c r="F57" s="188" t="str"/>
      <x:c r="G57" s="188" t="str"/>
      <x:c r="H57" s="189" t="str">
        <x:f>IF(E57="","",MAX(0,E57-IF(F57="",0,F57)+IF(G57="",0,G57)))</x:f>
      </x:c>
      <x:c r="I57" s="188" t="str"/>
      <x:c r="J57" s="188" t="str"/>
      <x:c r="K57" s="137" t="str"/>
      <x:c r="L57" s="190" t="str"/>
      <x:c r="M57" s="138" t="str"/>
      <x:c r="N57" s="137" t="str"/>
      <x:c r="O57" s="137" t="str"/>
      <x:c r="P57" s="137" t="str"/>
      <x:c r="Q57" s="137" t="str">
        <x:v>To Confirm</x:v>
      </x:c>
      <x:c r="R57" s="137" t="str"/>
    </x:row>
    <x:row r="58">
      <x:c r="A58" s="137" t="str">
        <x:v>SKIN FIT 5 MM||MTR</x:v>
      </x:c>
      <x:c r="B58" s="137" t="str">
        <x:v>SKIN FIT 5 MM</x:v>
      </x:c>
      <x:c r="C58" s="137" t="str">
        <x:v>MTR</x:v>
      </x:c>
      <x:c r="D58" s="187" t="n">
        <x:v>514.6</x:v>
      </x:c>
      <x:c r="E58" s="188" t="str"/>
      <x:c r="F58" s="188" t="str"/>
      <x:c r="G58" s="188" t="str"/>
      <x:c r="H58" s="189" t="str">
        <x:f>IF(E58="","",MAX(0,E58-IF(F58="",0,F58)+IF(G58="",0,G58)))</x:f>
      </x:c>
      <x:c r="I58" s="188" t="str"/>
      <x:c r="J58" s="188" t="str"/>
      <x:c r="K58" s="137" t="str"/>
      <x:c r="L58" s="190" t="str"/>
      <x:c r="M58" s="138" t="str"/>
      <x:c r="N58" s="137" t="str"/>
      <x:c r="O58" s="137" t="str"/>
      <x:c r="P58" s="137" t="str"/>
      <x:c r="Q58" s="137" t="str">
        <x:v>To Confirm</x:v>
      </x:c>
      <x:c r="R58" s="137" t="str"/>
    </x:row>
    <x:row r="59">
      <x:c r="A59" s="137" t="str">
        <x:v>SKINFIT GOLA ( FOAM + BACKER)||MTR</x:v>
      </x:c>
      <x:c r="B59" s="137" t="str">
        <x:v>SKINFIT GOLA ( FOAM + BACKER)</x:v>
      </x:c>
      <x:c r="C59" s="137" t="str">
        <x:v>MTR</x:v>
      </x:c>
      <x:c r="D59" s="187" t="n">
        <x:v>1048.1</x:v>
      </x:c>
      <x:c r="E59" s="188" t="str"/>
      <x:c r="F59" s="188" t="str"/>
      <x:c r="G59" s="188" t="str"/>
      <x:c r="H59" s="189" t="str">
        <x:f>IF(E59="","",MAX(0,E59-IF(F59="",0,F59)+IF(G59="",0,G59)))</x:f>
      </x:c>
      <x:c r="I59" s="188" t="str"/>
      <x:c r="J59" s="188" t="str"/>
      <x:c r="K59" s="137" t="str"/>
      <x:c r="L59" s="190" t="str"/>
      <x:c r="M59" s="138" t="str"/>
      <x:c r="N59" s="137" t="str"/>
      <x:c r="O59" s="137" t="str"/>
      <x:c r="P59" s="137" t="str"/>
      <x:c r="Q59" s="137" t="str">
        <x:v>To Confirm</x:v>
      </x:c>
      <x:c r="R59" s="137" t="str"/>
    </x:row>
    <x:row r="60">
      <x:c r="A60" s="137" t="str">
        <x:v>STIFFNER 1.4 MM||MTR</x:v>
      </x:c>
      <x:c r="B60" s="137" t="str">
        <x:v>STIFFNER 1.4 MM</x:v>
      </x:c>
      <x:c r="C60" s="137" t="str">
        <x:v>MTR</x:v>
      </x:c>
      <x:c r="D60" s="187" t="n">
        <x:v>25.1</x:v>
      </x:c>
      <x:c r="E60" s="188" t="str"/>
      <x:c r="F60" s="188" t="str"/>
      <x:c r="G60" s="188" t="str"/>
      <x:c r="H60" s="189" t="str">
        <x:f>IF(E60="","",MAX(0,E60-IF(F60="",0,F60)+IF(G60="",0,G60)))</x:f>
      </x:c>
      <x:c r="I60" s="188" t="str"/>
      <x:c r="J60" s="188" t="str"/>
      <x:c r="K60" s="137" t="str"/>
      <x:c r="L60" s="190" t="str"/>
      <x:c r="M60" s="138" t="str"/>
      <x:c r="N60" s="137" t="str"/>
      <x:c r="O60" s="137" t="str"/>
      <x:c r="P60" s="137" t="str"/>
      <x:c r="Q60" s="137" t="str">
        <x:v>To Confirm</x:v>
      </x:c>
      <x:c r="R60" s="137" t="str"/>
    </x:row>
    <x:row r="61">
      <x:c r="A61" s="137" t="str">
        <x:v>STIFFNER 1.4 MM||SHEET</x:v>
      </x:c>
      <x:c r="B61" s="137" t="str">
        <x:v>STIFFNER 1.4 MM</x:v>
      </x:c>
      <x:c r="C61" s="137" t="str">
        <x:v>SHEET</x:v>
      </x:c>
      <x:c r="D61" s="187" t="n">
        <x:v>62.4</x:v>
      </x:c>
      <x:c r="E61" s="188" t="str"/>
      <x:c r="F61" s="188" t="str"/>
      <x:c r="G61" s="188" t="str"/>
      <x:c r="H61" s="189" t="str">
        <x:f>IF(E61="","",MAX(0,E61-IF(F61="",0,F61)+IF(G61="",0,G61)))</x:f>
      </x:c>
      <x:c r="I61" s="188" t="str"/>
      <x:c r="J61" s="188" t="str"/>
      <x:c r="K61" s="137" t="str"/>
      <x:c r="L61" s="190" t="str"/>
      <x:c r="M61" s="138" t="str"/>
      <x:c r="N61" s="137" t="str"/>
      <x:c r="O61" s="137" t="str"/>
      <x:c r="P61" s="137" t="str"/>
      <x:c r="Q61" s="137" t="str">
        <x:v>To Confirm</x:v>
      </x:c>
      <x:c r="R61" s="137" t="str"/>
    </x:row>
    <x:row r="62">
      <x:c r="A62" s="137" t="str">
        <x:v>STIFNER 1.4MM YELLOW||SHEET</x:v>
      </x:c>
      <x:c r="B62" s="137" t="str">
        <x:v>STIFNER 1.4MM YELLOW</x:v>
      </x:c>
      <x:c r="C62" s="137" t="str">
        <x:v>SHEET</x:v>
      </x:c>
      <x:c r="D62" s="187" t="n">
        <x:v>148.4</x:v>
      </x:c>
      <x:c r="E62" s="188" t="str"/>
      <x:c r="F62" s="188" t="str"/>
      <x:c r="G62" s="188" t="str"/>
      <x:c r="H62" s="189" t="str">
        <x:f>IF(E62="","",MAX(0,E62-IF(F62="",0,F62)+IF(G62="",0,G62)))</x:f>
      </x:c>
      <x:c r="I62" s="188" t="str"/>
      <x:c r="J62" s="188" t="str"/>
      <x:c r="K62" s="137" t="str"/>
      <x:c r="L62" s="190" t="str"/>
      <x:c r="M62" s="138" t="str"/>
      <x:c r="N62" s="137" t="str"/>
      <x:c r="O62" s="137" t="str"/>
      <x:c r="P62" s="137" t="str"/>
      <x:c r="Q62" s="137" t="str">
        <x:v>To Confirm</x:v>
      </x:c>
      <x:c r="R62" s="137" t="str"/>
    </x:row>
    <x:row r="63">
      <x:c r="A63" s="137" t="str">
        <x:v>TEXION||SHEET</x:v>
      </x:c>
      <x:c r="B63" s="137" t="str">
        <x:v>TEXION</x:v>
      </x:c>
      <x:c r="C63" s="137" t="str">
        <x:v>SHEET</x:v>
      </x:c>
      <x:c r="D63" s="187" t="n">
        <x:v>209.4</x:v>
      </x:c>
      <x:c r="E63" s="188" t="str"/>
      <x:c r="F63" s="188" t="str"/>
      <x:c r="G63" s="188" t="str"/>
      <x:c r="H63" s="189" t="str">
        <x:f>IF(E63="","",MAX(0,E63-IF(F63="",0,F63)+IF(G63="",0,G63)))</x:f>
      </x:c>
      <x:c r="I63" s="188" t="str"/>
      <x:c r="J63" s="188" t="str"/>
      <x:c r="K63" s="137" t="str"/>
      <x:c r="L63" s="190" t="str"/>
      <x:c r="M63" s="138" t="str"/>
      <x:c r="N63" s="137" t="str"/>
      <x:c r="O63" s="137" t="str"/>
      <x:c r="P63" s="137" t="str"/>
      <x:c r="Q63" s="137" t="str">
        <x:v>To Confirm</x:v>
      </x:c>
      <x:c r="R63" s="137" t="str"/>
    </x:row>
    <x:row r="64">
      <x:c r="A64" s="137" t="str">
        <x:v>THREAD 3 PLY||SPOOL</x:v>
      </x:c>
      <x:c r="B64" s="137" t="str">
        <x:v>THREAD 3 PLY</x:v>
      </x:c>
      <x:c r="C64" s="137" t="str">
        <x:v>SPOOL</x:v>
      </x:c>
      <x:c r="D64" s="187" t="n">
        <x:v>484.8</x:v>
      </x:c>
      <x:c r="E64" s="188" t="str"/>
      <x:c r="F64" s="188" t="str"/>
      <x:c r="G64" s="188" t="str"/>
      <x:c r="H64" s="189" t="str">
        <x:f>IF(E64="","",MAX(0,E64-IF(F64="",0,F64)+IF(G64="",0,G64)))</x:f>
      </x:c>
      <x:c r="I64" s="188" t="str"/>
      <x:c r="J64" s="188" t="str"/>
      <x:c r="K64" s="137" t="str"/>
      <x:c r="L64" s="190" t="str"/>
      <x:c r="M64" s="138" t="str"/>
      <x:c r="N64" s="137" t="str"/>
      <x:c r="O64" s="137" t="str"/>
      <x:c r="P64" s="137" t="str"/>
      <x:c r="Q64" s="137" t="str">
        <x:v>To Confirm</x:v>
      </x:c>
      <x:c r="R64" s="137" t="str"/>
    </x:row>
    <x:row r="65">
      <x:c r="A65" s="137" t="str">
        <x:v>TOE PUFF 0.8MM||SHEET</x:v>
      </x:c>
      <x:c r="B65" s="137" t="str">
        <x:v>TOE PUFF 0.8MM</x:v>
      </x:c>
      <x:c r="C65" s="137" t="str">
        <x:v>SHEET</x:v>
      </x:c>
      <x:c r="D65" s="187" t="n">
        <x:v>147.8</x:v>
      </x:c>
      <x:c r="E65" s="188" t="str"/>
      <x:c r="F65" s="188" t="str"/>
      <x:c r="G65" s="188" t="str"/>
      <x:c r="H65" s="189" t="str">
        <x:f>IF(E65="","",MAX(0,E65-IF(F65="",0,F65)+IF(G65="",0,G65)))</x:f>
      </x:c>
      <x:c r="I65" s="188" t="str"/>
      <x:c r="J65" s="188" t="str"/>
      <x:c r="K65" s="137" t="str"/>
      <x:c r="L65" s="190" t="str"/>
      <x:c r="M65" s="138" t="str"/>
      <x:c r="N65" s="137" t="str"/>
      <x:c r="O65" s="137" t="str"/>
      <x:c r="P65" s="137" t="str"/>
      <x:c r="Q65" s="137" t="str">
        <x:v>To Confirm</x:v>
      </x:c>
      <x:c r="R65" s="137" t="str"/>
    </x:row>
    <x:row r="66">
      <x:c r="A66" s="137" t="str">
        <x:v>TOUNG LABEL SNEAKER||PCS</x:v>
      </x:c>
      <x:c r="B66" s="137" t="str">
        <x:v>TOUNG LABEL SNEAKER</x:v>
      </x:c>
      <x:c r="C66" s="137" t="str">
        <x:v>PCS</x:v>
      </x:c>
      <x:c r="D66" s="187" t="n">
        <x:v>11656</x:v>
      </x:c>
      <x:c r="E66" s="188" t="str"/>
      <x:c r="F66" s="188" t="str"/>
      <x:c r="G66" s="188" t="str"/>
      <x:c r="H66" s="189" t="str">
        <x:f>IF(E66="","",MAX(0,E66-IF(F66="",0,F66)+IF(G66="",0,G66)))</x:f>
      </x:c>
      <x:c r="I66" s="188" t="str"/>
      <x:c r="J66" s="188" t="str"/>
      <x:c r="K66" s="137" t="str"/>
      <x:c r="L66" s="190" t="str"/>
      <x:c r="M66" s="138" t="str"/>
      <x:c r="N66" s="137" t="str"/>
      <x:c r="O66" s="137" t="str"/>
      <x:c r="P66" s="137" t="str"/>
      <x:c r="Q66" s="137" t="str">
        <x:v>To Confirm</x:v>
      </x:c>
      <x:c r="R66" s="137" t="str"/>
    </x:row>
    <x:row r="67">
      <x:c r="A67" s="137" t="str">
        <x:v>VAMP ASTER DOUBLE BACKER||MTR</x:v>
      </x:c>
      <x:c r="B67" s="137" t="str">
        <x:v>VAMP ASTER DOUBLE BACKER</x:v>
      </x:c>
      <x:c r="C67" s="137" t="str">
        <x:v>MTR</x:v>
      </x:c>
      <x:c r="D67" s="187" t="n">
        <x:v>238.4</x:v>
      </x:c>
      <x:c r="E67" s="188" t="str"/>
      <x:c r="F67" s="188" t="str"/>
      <x:c r="G67" s="188" t="str"/>
      <x:c r="H67" s="189" t="str">
        <x:f>IF(E67="","",MAX(0,E67-IF(F67="",0,F67)+IF(G67="",0,G67)))</x:f>
      </x:c>
      <x:c r="I67" s="188" t="str"/>
      <x:c r="J67" s="188" t="str"/>
      <x:c r="K67" s="137" t="str"/>
      <x:c r="L67" s="190" t="str"/>
      <x:c r="M67" s="138" t="str"/>
      <x:c r="N67" s="137" t="str"/>
      <x:c r="O67" s="137" t="str"/>
      <x:c r="P67" s="137" t="str"/>
      <x:c r="Q67" s="137" t="str">
        <x:v>To Confirm</x:v>
      </x:c>
      <x:c r="R67" s="137" t="str"/>
    </x:row>
    <x:row r="68">
      <x:c r="A68" s="137" t="str">
        <x:v>VELCRO 20 MM HOOK||MTR</x:v>
      </x:c>
      <x:c r="B68" s="137" t="str">
        <x:v>VELCRO 20 MM HOOK</x:v>
      </x:c>
      <x:c r="C68" s="137" t="str">
        <x:v>MTR</x:v>
      </x:c>
      <x:c r="D68" s="187" t="n">
        <x:v>1240.1</x:v>
      </x:c>
      <x:c r="E68" s="188" t="str"/>
      <x:c r="F68" s="188" t="str"/>
      <x:c r="G68" s="188" t="str"/>
      <x:c r="H68" s="189" t="str">
        <x:f>IF(E68="","",MAX(0,E68-IF(F68="",0,F68)+IF(G68="",0,G68)))</x:f>
      </x:c>
      <x:c r="I68" s="188" t="str"/>
      <x:c r="J68" s="188" t="str"/>
      <x:c r="K68" s="137" t="str"/>
      <x:c r="L68" s="190" t="str"/>
      <x:c r="M68" s="138" t="str"/>
      <x:c r="N68" s="137" t="str"/>
      <x:c r="O68" s="137" t="str"/>
      <x:c r="P68" s="137" t="str"/>
      <x:c r="Q68" s="137" t="str">
        <x:v>To Confirm</x:v>
      </x:c>
      <x:c r="R68" s="137" t="str"/>
    </x:row>
    <x:row r="69">
      <x:c r="A69" s="137" t="str">
        <x:v>VELCRO 20 MM LOOP||MTR</x:v>
      </x:c>
      <x:c r="B69" s="137" t="str">
        <x:v>VELCRO 20 MM LOOP</x:v>
      </x:c>
      <x:c r="C69" s="137" t="str">
        <x:v>MTR</x:v>
      </x:c>
      <x:c r="D69" s="187" t="n">
        <x:v>2480.3</x:v>
      </x:c>
      <x:c r="E69" s="188" t="str"/>
      <x:c r="F69" s="188" t="str"/>
      <x:c r="G69" s="188" t="str"/>
      <x:c r="H69" s="189" t="str">
        <x:f>IF(E69="","",MAX(0,E69-IF(F69="",0,F69)+IF(G69="",0,G69)))</x:f>
      </x:c>
      <x:c r="I69" s="188" t="str"/>
      <x:c r="J69" s="188" t="str"/>
      <x:c r="K69" s="137" t="str"/>
      <x:c r="L69" s="190" t="str"/>
      <x:c r="M69" s="138" t="str"/>
      <x:c r="N69" s="137" t="str"/>
      <x:c r="O69" s="137" t="str"/>
      <x:c r="P69" s="137" t="str"/>
      <x:c r="Q69" s="137" t="str">
        <x:v>To Confirm</x:v>
      </x:c>
      <x:c r="R69" s="137" t="str"/>
    </x:row>
    <x:row r="70">
      <x:c r="A70" s="137" t="str">
        <x:v>VELCRO 25 MM HOOK||MTR</x:v>
      </x:c>
      <x:c r="B70" s="137" t="str">
        <x:v>VELCRO 25 MM HOOK</x:v>
      </x:c>
      <x:c r="C70" s="137" t="str">
        <x:v>MTR</x:v>
      </x:c>
      <x:c r="D70" s="187" t="n">
        <x:v>144</x:v>
      </x:c>
      <x:c r="E70" s="188" t="str"/>
      <x:c r="F70" s="188" t="str"/>
      <x:c r="G70" s="188" t="str"/>
      <x:c r="H70" s="189" t="str">
        <x:f>IF(E70="","",MAX(0,E70-IF(F70="",0,F70)+IF(G70="",0,G70)))</x:f>
      </x:c>
      <x:c r="I70" s="188" t="str"/>
      <x:c r="J70" s="188" t="str"/>
      <x:c r="K70" s="137" t="str"/>
      <x:c r="L70" s="190" t="str"/>
      <x:c r="M70" s="138" t="str"/>
      <x:c r="N70" s="137" t="str"/>
      <x:c r="O70" s="137" t="str"/>
      <x:c r="P70" s="137" t="str"/>
      <x:c r="Q70" s="137" t="str">
        <x:v>To Confirm</x:v>
      </x:c>
      <x:c r="R70" s="137" t="str"/>
    </x:row>
    <x:row r="71">
      <x:c r="A71" s="137" t="str">
        <x:v>VELCRO 25 MM LOOP||MTR</x:v>
      </x:c>
      <x:c r="B71" s="137" t="str">
        <x:v>VELCRO 25 MM LOOP</x:v>
      </x:c>
      <x:c r="C71" s="137" t="str">
        <x:v>MTR</x:v>
      </x:c>
      <x:c r="D71" s="187" t="n">
        <x:v>396</x:v>
      </x:c>
      <x:c r="E71" s="188" t="str"/>
      <x:c r="F71" s="188" t="str"/>
      <x:c r="G71" s="188" t="str"/>
      <x:c r="H71" s="189" t="str">
        <x:f>IF(E71="","",MAX(0,E71-IF(F71="",0,F71)+IF(G71="",0,G71)))</x:f>
      </x:c>
      <x:c r="I71" s="188" t="str"/>
      <x:c r="J71" s="188" t="str"/>
      <x:c r="K71" s="137" t="str"/>
      <x:c r="L71" s="190" t="str"/>
      <x:c r="M71" s="138" t="str"/>
      <x:c r="N71" s="137" t="str"/>
      <x:c r="O71" s="137" t="str"/>
      <x:c r="P71" s="137" t="str"/>
      <x:c r="Q71" s="137" t="str">
        <x:v>To Confirm</x:v>
      </x:c>
      <x:c r="R71" s="137" t="str"/>
    </x:row>
    <x:row r="72">
      <x:c r="A72" s="137" t="str">
        <x:v>Velcro 20mm Hook||MTR</x:v>
      </x:c>
      <x:c r="B72" s="137" t="str">
        <x:v>Velcro 20mm Hook</x:v>
      </x:c>
      <x:c r="C72" s="137" t="str">
        <x:v>MTR</x:v>
      </x:c>
      <x:c r="D72" s="187" t="n">
        <x:v>2864.5</x:v>
      </x:c>
      <x:c r="E72" s="188" t="str"/>
      <x:c r="F72" s="188" t="str"/>
      <x:c r="G72" s="188" t="str"/>
      <x:c r="H72" s="189" t="str">
        <x:f>IF(E72="","",MAX(0,E72-IF(F72="",0,F72)+IF(G72="",0,G72)))</x:f>
      </x:c>
      <x:c r="I72" s="188" t="str"/>
      <x:c r="J72" s="188" t="str"/>
      <x:c r="K72" s="137" t="str"/>
      <x:c r="L72" s="190" t="str"/>
      <x:c r="M72" s="138" t="str"/>
      <x:c r="N72" s="137" t="str"/>
      <x:c r="O72" s="137" t="str"/>
      <x:c r="P72" s="137" t="str"/>
      <x:c r="Q72" s="137" t="str">
        <x:v>To Confirm</x:v>
      </x:c>
      <x:c r="R72" s="137" t="str"/>
    </x:row>
    <x:row r="73">
      <x:c r="A73" s="137" t="str">
        <x:v>Velcro 20mm Loop||MTR</x:v>
      </x:c>
      <x:c r="B73" s="137" t="str">
        <x:v>Velcro 20mm Loop</x:v>
      </x:c>
      <x:c r="C73" s="137" t="str">
        <x:v>MTR</x:v>
      </x:c>
      <x:c r="D73" s="187" t="n">
        <x:v>1101.8</x:v>
      </x:c>
      <x:c r="E73" s="188" t="str"/>
      <x:c r="F73" s="188" t="str"/>
      <x:c r="G73" s="188" t="str"/>
      <x:c r="H73" s="189" t="str">
        <x:f>IF(E73="","",MAX(0,E73-IF(F73="",0,F73)+IF(G73="",0,G73)))</x:f>
      </x:c>
      <x:c r="I73" s="188" t="str"/>
      <x:c r="J73" s="188" t="str"/>
      <x:c r="K73" s="137" t="str"/>
      <x:c r="L73" s="190" t="str"/>
      <x:c r="M73" s="138" t="str"/>
      <x:c r="N73" s="137" t="str"/>
      <x:c r="O73" s="137" t="str"/>
      <x:c r="P73" s="137" t="str"/>
      <x:c r="Q73" s="137" t="str">
        <x:v>To Confirm</x:v>
      </x:c>
      <x:c r="R73" s="137" t="str"/>
    </x:row>
    <x:row r="74">
      <x:c r="A74" s="137" t="str">
        <x:v>tung label school shoe WHITE big||PCS</x:v>
      </x:c>
      <x:c r="B74" s="137" t="str">
        <x:v>tung label school shoe WHITE big</x:v>
      </x:c>
      <x:c r="C74" s="137" t="str">
        <x:v>PCS</x:v>
      </x:c>
      <x:c r="D74" s="187" t="n">
        <x:v>2080</x:v>
      </x:c>
      <x:c r="E74" s="188" t="str"/>
      <x:c r="F74" s="188" t="str"/>
      <x:c r="G74" s="188" t="str"/>
      <x:c r="H74" s="189" t="str">
        <x:f>IF(E74="","",MAX(0,E74-IF(F74="",0,F74)+IF(G74="",0,G74)))</x:f>
      </x:c>
      <x:c r="I74" s="188" t="str"/>
      <x:c r="J74" s="188" t="str"/>
      <x:c r="K74" s="137" t="str"/>
      <x:c r="L74" s="190" t="str"/>
      <x:c r="M74" s="138" t="str"/>
      <x:c r="N74" s="137" t="str"/>
      <x:c r="O74" s="137" t="str"/>
      <x:c r="P74" s="137" t="str"/>
      <x:c r="Q74" s="137" t="str">
        <x:v>To Confirm</x:v>
      </x:c>
      <x:c r="R74" s="137" t="str"/>
    </x:row>
    <x:row r="75">
      <x:c r="A75" s="137" t="str">
        <x:v>tung label school shoe black big||PCS</x:v>
      </x:c>
      <x:c r="B75" s="137" t="str">
        <x:v>tung label school shoe black big</x:v>
      </x:c>
      <x:c r="C75" s="137" t="str">
        <x:v>PCS</x:v>
      </x:c>
      <x:c r="D75" s="187" t="n">
        <x:v>4060</x:v>
      </x:c>
      <x:c r="E75" s="188" t="str"/>
      <x:c r="F75" s="188" t="str"/>
      <x:c r="G75" s="188" t="str"/>
      <x:c r="H75" s="189" t="str">
        <x:f>IF(E75="","",MAX(0,E75-IF(F75="",0,F75)+IF(G75="",0,G75)))</x:f>
      </x:c>
      <x:c r="I75" s="188" t="str"/>
      <x:c r="J75" s="188" t="str"/>
      <x:c r="K75" s="137" t="str"/>
      <x:c r="L75" s="190" t="str"/>
      <x:c r="M75" s="138" t="str"/>
      <x:c r="N75" s="137" t="str"/>
      <x:c r="O75" s="137" t="str"/>
      <x:c r="P75" s="137" t="str"/>
      <x:c r="Q75" s="137" t="str">
        <x:v>To Confirm</x:v>
      </x:c>
      <x:c r="R75" s="137" t="str"/>
    </x:row>
    <x:row r="76">
      <x:c r="A76" s="137" t="str">
        <x:v>MESH 58"||MTR</x:v>
      </x:c>
      <x:c r="B76" s="137" t="str">
        <x:v>Mesh 58"</x:v>
      </x:c>
      <x:c r="C76" s="137" t="str">
        <x:v>MTR</x:v>
      </x:c>
      <x:c r="D76" s="187" t="n">
        <x:v>0</x:v>
      </x:c>
      <x:c r="E76" s="188" t="str"/>
      <x:c r="F76" s="188" t="str"/>
      <x:c r="G76" s="188" t="str"/>
      <x:c r="H76" s="189" t="str">
        <x:f>IF(E76="","",MAX(0,E76-IF(F76="",0,F76)+IF(G76="",0,G76)))</x:f>
      </x:c>
      <x:c r="I76" s="188" t="str"/>
      <x:c r="J76" s="188" t="str"/>
      <x:c r="K76" s="137" t="str"/>
      <x:c r="L76" s="190" t="str"/>
      <x:c r="M76" s="138" t="str"/>
      <x:c r="N76" s="137" t="str"/>
      <x:c r="O76" s="137" t="str"/>
      <x:c r="P76" s="137" t="str"/>
      <x:c r="Q76" s="137" t="str">
        <x:v>To Confirm</x:v>
      </x:c>
      <x:c r="R76" s="137" t="str"/>
    </x:row>
    <x:row r="77">
      <x:c r="A77" s="137" t="str">
        <x:v>ASTER 60"||MTR</x:v>
      </x:c>
      <x:c r="B77" s="137" t="str">
        <x:v>Aster 60"</x:v>
      </x:c>
      <x:c r="C77" s="137" t="str">
        <x:v>MTR</x:v>
      </x:c>
      <x:c r="D77" s="187" t="n">
        <x:v>0</x:v>
      </x:c>
      <x:c r="E77" s="188" t="str"/>
      <x:c r="F77" s="188" t="str"/>
      <x:c r="G77" s="188" t="str"/>
      <x:c r="H77" s="189" t="str">
        <x:f>IF(E77="","",MAX(0,E77-IF(F77="",0,F77)+IF(G77="",0,G77)))</x:f>
      </x:c>
      <x:c r="I77" s="188" t="str"/>
      <x:c r="J77" s="188" t="str"/>
      <x:c r="K77" s="137" t="str"/>
      <x:c r="L77" s="190" t="str"/>
      <x:c r="M77" s="138" t="str"/>
      <x:c r="N77" s="137" t="str"/>
      <x:c r="O77" s="137" t="str"/>
      <x:c r="P77" s="137" t="str"/>
      <x:c r="Q77" s="137" t="str">
        <x:v>To Confirm</x:v>
      </x:c>
      <x:c r="R77" s="137" t="str"/>
    </x:row>
    <x:row r="78">
      <x:c r="A78" s="137" t="str">
        <x:v>SKINFIT 60"||MTR</x:v>
      </x:c>
      <x:c r="B78" s="137" t="str">
        <x:v>Skinfit 60"</x:v>
      </x:c>
      <x:c r="C78" s="137" t="str">
        <x:v>MTR</x:v>
      </x:c>
      <x:c r="D78" s="187" t="n">
        <x:v>0</x:v>
      </x:c>
      <x:c r="E78" s="188" t="str"/>
      <x:c r="F78" s="188" t="str"/>
      <x:c r="G78" s="188" t="str"/>
      <x:c r="H78" s="189" t="str">
        <x:f>IF(E78="","",MAX(0,E78-IF(F78="",0,F78)+IF(G78="",0,G78)))</x:f>
      </x:c>
      <x:c r="I78" s="188" t="str"/>
      <x:c r="J78" s="188" t="str"/>
      <x:c r="K78" s="137" t="str"/>
      <x:c r="L78" s="190" t="str"/>
      <x:c r="M78" s="138" t="str"/>
      <x:c r="N78" s="137" t="str"/>
      <x:c r="O78" s="137" t="str"/>
      <x:c r="P78" s="137" t="str"/>
      <x:c r="Q78" s="137" t="str">
        <x:v>To Confirm</x:v>
      </x:c>
      <x:c r="R78" s="137" t="str"/>
    </x:row>
    <x:row r="79">
      <x:c r="A79" s="137" t="str">
        <x:v>REXINE 54"||MTR</x:v>
      </x:c>
      <x:c r="B79" s="137" t="str">
        <x:v>Rexine 54"</x:v>
      </x:c>
      <x:c r="C79" s="137" t="str">
        <x:v>MTR</x:v>
      </x:c>
      <x:c r="D79" s="187" t="n">
        <x:v>0</x:v>
      </x:c>
      <x:c r="E79" s="188" t="str"/>
      <x:c r="F79" s="188" t="str"/>
      <x:c r="G79" s="188" t="str"/>
      <x:c r="H79" s="189" t="str">
        <x:f>IF(E79="","",MAX(0,E79-IF(F79="",0,F79)+IF(G79="",0,G79)))</x:f>
      </x:c>
      <x:c r="I79" s="188" t="str"/>
      <x:c r="J79" s="188" t="str"/>
      <x:c r="K79" s="137" t="str"/>
      <x:c r="L79" s="190" t="str"/>
      <x:c r="M79" s="138" t="str"/>
      <x:c r="N79" s="137" t="str"/>
      <x:c r="O79" s="137" t="str"/>
      <x:c r="P79" s="137" t="str"/>
      <x:c r="Q79" s="137" t="str">
        <x:v>To Confirm</x:v>
      </x:c>
      <x:c r="R79" s="137" t="str"/>
    </x:row>
    <x:row r="80">
      <x:c r="A80" s="137" t="str">
        <x:v>SHEET 1.4MM||MTR</x:v>
      </x:c>
      <x:c r="B80" s="137" t="str">
        <x:v>Sheet 1.4Mm</x:v>
      </x:c>
      <x:c r="C80" s="137" t="str">
        <x:v>MTR</x:v>
      </x:c>
      <x:c r="D80" s="187" t="n">
        <x:v>0</x:v>
      </x:c>
      <x:c r="E80" s="188" t="str"/>
      <x:c r="F80" s="188" t="str"/>
      <x:c r="G80" s="188" t="str"/>
      <x:c r="H80" s="189" t="str">
        <x:f>IF(E80="","",MAX(0,E80-IF(F80="",0,F80)+IF(G80="",0,G80)))</x:f>
      </x:c>
      <x:c r="I80" s="188" t="str"/>
      <x:c r="J80" s="188" t="str"/>
      <x:c r="K80" s="137" t="str"/>
      <x:c r="L80" s="190" t="str"/>
      <x:c r="M80" s="138" t="str"/>
      <x:c r="N80" s="137" t="str"/>
      <x:c r="O80" s="137" t="str"/>
      <x:c r="P80" s="137" t="str"/>
      <x:c r="Q80" s="137" t="str">
        <x:v>To Confirm</x:v>
      </x:c>
      <x:c r="R80" s="137" t="str"/>
    </x:row>
    <x:row r="81">
      <x:c r="A81" s="137" t="str">
        <x:v>SHEET 0.8MM||MTR</x:v>
      </x:c>
      <x:c r="B81" s="137" t="str">
        <x:v>Sheet 0.8Mm</x:v>
      </x:c>
      <x:c r="C81" s="137" t="str">
        <x:v>MTR</x:v>
      </x:c>
      <x:c r="D81" s="187" t="n">
        <x:v>0</x:v>
      </x:c>
      <x:c r="E81" s="188" t="str"/>
      <x:c r="F81" s="188" t="str"/>
      <x:c r="G81" s="188" t="str"/>
      <x:c r="H81" s="189" t="str">
        <x:f>IF(E81="","",MAX(0,E81-IF(F81="",0,F81)+IF(G81="",0,G81)))</x:f>
      </x:c>
      <x:c r="I81" s="188" t="str"/>
      <x:c r="J81" s="188" t="str"/>
      <x:c r="K81" s="137" t="str"/>
      <x:c r="L81" s="190" t="str"/>
      <x:c r="M81" s="138" t="str"/>
      <x:c r="N81" s="137" t="str"/>
      <x:c r="O81" s="137" t="str"/>
      <x:c r="P81" s="137" t="str"/>
      <x:c r="Q81" s="137" t="str">
        <x:v>To Confirm</x:v>
      </x:c>
      <x:c r="R81" s="137" t="str"/>
    </x:row>
    <x:row r="82">
      <x:c r="A82" s="137" t="str">
        <x:v>SHEET 20MM||MTR</x:v>
      </x:c>
      <x:c r="B82" s="137" t="str">
        <x:v>Sheet 20Mm</x:v>
      </x:c>
      <x:c r="C82" s="137" t="str">
        <x:v>MTR</x:v>
      </x:c>
      <x:c r="D82" s="187" t="n">
        <x:v>0</x:v>
      </x:c>
      <x:c r="E82" s="188" t="str"/>
      <x:c r="F82" s="188" t="str"/>
      <x:c r="G82" s="188" t="str"/>
      <x:c r="H82" s="189" t="str">
        <x:f>IF(E82="","",MAX(0,E82-IF(F82="",0,F82)+IF(G82="",0,G82)))</x:f>
      </x:c>
      <x:c r="I82" s="188" t="str"/>
      <x:c r="J82" s="188" t="str"/>
      <x:c r="K82" s="137" t="str"/>
      <x:c r="L82" s="190" t="str"/>
      <x:c r="M82" s="138" t="str"/>
      <x:c r="N82" s="137" t="str"/>
      <x:c r="O82" s="137" t="str"/>
      <x:c r="P82" s="137" t="str"/>
      <x:c r="Q82" s="137" t="str">
        <x:v>To Confirm</x:v>
      </x:c>
      <x:c r="R82" s="137" t="str"/>
    </x:row>
    <x:row r="83">
      <x:c r="A83" s="137" t="str">
        <x:v>THREAD 3 PLY||MTR</x:v>
      </x:c>
      <x:c r="B83" s="137" t="str">
        <x:v>Thread 3 Ply</x:v>
      </x:c>
      <x:c r="C83" s="137" t="str">
        <x:v>MTR</x:v>
      </x:c>
      <x:c r="D83" s="187" t="n">
        <x:v>0</x:v>
      </x:c>
      <x:c r="E83" s="188" t="str"/>
      <x:c r="F83" s="188" t="str"/>
      <x:c r="G83" s="188" t="str"/>
      <x:c r="H83" s="189" t="str">
        <x:f>IF(E83="","",MAX(0,E83-IF(F83="",0,F83)+IF(G83="",0,G83)))</x:f>
      </x:c>
      <x:c r="I83" s="188" t="str"/>
      <x:c r="J83" s="188" t="str"/>
      <x:c r="K83" s="137" t="str"/>
      <x:c r="L83" s="190" t="str"/>
      <x:c r="M83" s="138" t="str"/>
      <x:c r="N83" s="137" t="str"/>
      <x:c r="O83" s="137" t="str"/>
      <x:c r="P83" s="137" t="str"/>
      <x:c r="Q83" s="137" t="str">
        <x:v>To Confirm</x:v>
      </x:c>
      <x:c r="R83" s="137" t="str"/>
    </x:row>
    <x:row r="84">
      <x:c r="A84" s="137" t="str">
        <x:v>THREAD 3 PLY COLOURED||MTR</x:v>
      </x:c>
      <x:c r="B84" s="137" t="str">
        <x:v>Thread 3 Ply Coloured</x:v>
      </x:c>
      <x:c r="C84" s="137" t="str">
        <x:v>MTR</x:v>
      </x:c>
      <x:c r="D84" s="187" t="n">
        <x:v>0</x:v>
      </x:c>
      <x:c r="E84" s="188" t="str"/>
      <x:c r="F84" s="188" t="str"/>
      <x:c r="G84" s="188" t="str"/>
      <x:c r="H84" s="189" t="str">
        <x:f>IF(E84="","",MAX(0,E84-IF(F84="",0,F84)+IF(G84="",0,G84)))</x:f>
      </x:c>
      <x:c r="I84" s="188" t="str"/>
      <x:c r="J84" s="188" t="str"/>
      <x:c r="K84" s="137" t="str"/>
      <x:c r="L84" s="190" t="str"/>
      <x:c r="M84" s="138" t="str"/>
      <x:c r="N84" s="137" t="str"/>
      <x:c r="O84" s="137" t="str"/>
      <x:c r="P84" s="137" t="str"/>
      <x:c r="Q84" s="137" t="str">
        <x:v>To Confirm</x:v>
      </x:c>
      <x:c r="R84" s="137" t="str"/>
    </x:row>
    <x:row r="85">
      <x:c r="A85" s="137" t="str">
        <x:v>INSOLE||PAIR</x:v>
      </x:c>
      <x:c r="B85" s="137" t="str">
        <x:v>INSOLE</x:v>
      </x:c>
      <x:c r="C85" s="137" t="str">
        <x:v>PAIR</x:v>
      </x:c>
      <x:c r="D85" s="187" t="n">
        <x:v>0</x:v>
      </x:c>
      <x:c r="E85" s="188" t="str"/>
      <x:c r="F85" s="188" t="str"/>
      <x:c r="G85" s="188" t="str"/>
      <x:c r="H85" s="189" t="str">
        <x:f>IF(E85="","",MAX(0,E85-IF(F85="",0,F85)+IF(G85="",0,G85)))</x:f>
      </x:c>
      <x:c r="I85" s="188" t="str"/>
      <x:c r="J85" s="188" t="str"/>
      <x:c r="K85" s="137" t="str"/>
      <x:c r="L85" s="190" t="str"/>
      <x:c r="M85" s="138" t="str"/>
      <x:c r="N85" s="137" t="str"/>
      <x:c r="O85" s="137" t="str"/>
      <x:c r="P85" s="137" t="str"/>
      <x:c r="Q85" s="137" t="str">
        <x:v>To Confirm</x:v>
      </x:c>
      <x:c r="R85" s="137" t="str"/>
    </x:row>
    <x:row r="86">
      <x:c r="A86" s="137" t="str">
        <x:v>TISSUE PAPER||PCS</x:v>
      </x:c>
      <x:c r="B86" s="137" t="str">
        <x:v>Tissue Paper</x:v>
      </x:c>
      <x:c r="C86" s="137" t="str">
        <x:v>PCS</x:v>
      </x:c>
      <x:c r="D86" s="187" t="n">
        <x:v>0</x:v>
      </x:c>
      <x:c r="E86" s="188" t="str"/>
      <x:c r="F86" s="188" t="str"/>
      <x:c r="G86" s="188" t="str"/>
      <x:c r="H86" s="189" t="str">
        <x:f>IF(E86="","",MAX(0,E86-IF(F86="",0,F86)+IF(G86="",0,G86)))</x:f>
      </x:c>
      <x:c r="I86" s="188" t="str"/>
      <x:c r="J86" s="188" t="str"/>
      <x:c r="K86" s="137" t="str"/>
      <x:c r="L86" s="190" t="str"/>
      <x:c r="M86" s="138" t="str"/>
      <x:c r="N86" s="137" t="str"/>
      <x:c r="O86" s="137" t="str"/>
      <x:c r="P86" s="137" t="str"/>
      <x:c r="Q86" s="137" t="str">
        <x:v>To Confirm</x:v>
      </x:c>
      <x:c r="R86" s="137" t="str"/>
    </x:row>
    <x:row r="87">
      <x:c r="A87" s="137" t="str">
        <x:v>SHOE SHINER||GRAM</x:v>
      </x:c>
      <x:c r="B87" s="137" t="str">
        <x:v>Shoe Shiner</x:v>
      </x:c>
      <x:c r="C87" s="137" t="str">
        <x:v>GRAM</x:v>
      </x:c>
      <x:c r="D87" s="187" t="n">
        <x:v>0</x:v>
      </x:c>
      <x:c r="E87" s="188" t="str"/>
      <x:c r="F87" s="188" t="str"/>
      <x:c r="G87" s="188" t="str"/>
      <x:c r="H87" s="189" t="str">
        <x:f>IF(E87="","",MAX(0,E87-IF(F87="",0,F87)+IF(G87="",0,G87)))</x:f>
      </x:c>
      <x:c r="I87" s="188" t="str"/>
      <x:c r="J87" s="188" t="str"/>
      <x:c r="K87" s="137" t="str"/>
      <x:c r="L87" s="190" t="str"/>
      <x:c r="M87" s="138" t="str"/>
      <x:c r="N87" s="137" t="str"/>
      <x:c r="O87" s="137" t="str"/>
      <x:c r="P87" s="137" t="str"/>
      <x:c r="Q87" s="137" t="str">
        <x:v>To Confirm</x:v>
      </x:c>
      <x:c r="R87" s="137" t="str"/>
    </x:row>
    <x:row r="88">
      <x:c r="A88" s="137" t="str">
        <x:v>EMYLE||GRAM</x:v>
      </x:c>
      <x:c r="B88" s="137" t="str">
        <x:v>EMYLE</x:v>
      </x:c>
      <x:c r="C88" s="137" t="str">
        <x:v>GRAM</x:v>
      </x:c>
      <x:c r="D88" s="187" t="n">
        <x:v>0</x:v>
      </x:c>
      <x:c r="E88" s="188" t="str"/>
      <x:c r="F88" s="188" t="str"/>
      <x:c r="G88" s="188" t="str"/>
      <x:c r="H88" s="189" t="str">
        <x:f>IF(E88="","",MAX(0,E88-IF(F88="",0,F88)+IF(G88="",0,G88)))</x:f>
      </x:c>
      <x:c r="I88" s="188" t="str"/>
      <x:c r="J88" s="188" t="str"/>
      <x:c r="K88" s="137" t="str"/>
      <x:c r="L88" s="190" t="str"/>
      <x:c r="M88" s="138" t="str"/>
      <x:c r="N88" s="137" t="str"/>
      <x:c r="O88" s="137" t="str"/>
      <x:c r="P88" s="137" t="str"/>
      <x:c r="Q88" s="137" t="str">
        <x:v>To Confirm</x:v>
      </x:c>
      <x:c r="R88" s="137" t="str"/>
    </x:row>
    <x:row r="89">
      <x:c r="A89" s="137" t="str">
        <x:v>TAG PIN||PCS</x:v>
      </x:c>
      <x:c r="B89" s="137" t="str">
        <x:v>Tag Pin</x:v>
      </x:c>
      <x:c r="C89" s="137" t="str">
        <x:v>PCS</x:v>
      </x:c>
      <x:c r="D89" s="187" t="n">
        <x:v>0</x:v>
      </x:c>
      <x:c r="E89" s="188" t="str"/>
      <x:c r="F89" s="188" t="str"/>
      <x:c r="G89" s="188" t="str"/>
      <x:c r="H89" s="189" t="str">
        <x:f>IF(E89="","",MAX(0,E89-IF(F89="",0,F89)+IF(G89="",0,G89)))</x:f>
      </x:c>
      <x:c r="I89" s="188" t="str"/>
      <x:c r="J89" s="188" t="str"/>
      <x:c r="K89" s="137" t="str"/>
      <x:c r="L89" s="190" t="str"/>
      <x:c r="M89" s="138" t="str"/>
      <x:c r="N89" s="137" t="str"/>
      <x:c r="O89" s="137" t="str"/>
      <x:c r="P89" s="137" t="str"/>
      <x:c r="Q89" s="137" t="str">
        <x:v>To Confirm</x:v>
      </x:c>
      <x:c r="R89" s="137" t="str"/>
    </x:row>
    <x:row r="90">
      <x:c r="A90" s="137" t="str">
        <x:v>TAG CARD||PCS</x:v>
      </x:c>
      <x:c r="B90" s="137" t="str">
        <x:v>Tag Card</x:v>
      </x:c>
      <x:c r="C90" s="137" t="str">
        <x:v>PCS</x:v>
      </x:c>
      <x:c r="D90" s="187" t="n">
        <x:v>0</x:v>
      </x:c>
      <x:c r="E90" s="188" t="str"/>
      <x:c r="F90" s="188" t="str"/>
      <x:c r="G90" s="188" t="str"/>
      <x:c r="H90" s="189" t="str">
        <x:f>IF(E90="","",MAX(0,E90-IF(F90="",0,F90)+IF(G90="",0,G90)))</x:f>
      </x:c>
      <x:c r="I90" s="188" t="str"/>
      <x:c r="J90" s="188" t="str"/>
      <x:c r="K90" s="137" t="str"/>
      <x:c r="L90" s="190" t="str"/>
      <x:c r="M90" s="138" t="str"/>
      <x:c r="N90" s="137" t="str"/>
      <x:c r="O90" s="137" t="str"/>
      <x:c r="P90" s="137" t="str"/>
      <x:c r="Q90" s="137" t="str">
        <x:v>To Confirm</x:v>
      </x:c>
      <x:c r="R90" s="137" t="str"/>
    </x:row>
    <x:row r="91">
      <x:c r="A91" s="137" t="str">
        <x:v>WRAPING PAPER||PCS</x:v>
      </x:c>
      <x:c r="B91" s="137" t="str">
        <x:v>Wraping Paper</x:v>
      </x:c>
      <x:c r="C91" s="137" t="str">
        <x:v>PCS</x:v>
      </x:c>
      <x:c r="D91" s="187" t="n">
        <x:v>0</x:v>
      </x:c>
      <x:c r="E91" s="188" t="str"/>
      <x:c r="F91" s="188" t="str"/>
      <x:c r="G91" s="188" t="str"/>
      <x:c r="H91" s="189" t="str">
        <x:f>IF(E91="","",MAX(0,E91-IF(F91="",0,F91)+IF(G91="",0,G91)))</x:f>
      </x:c>
      <x:c r="I91" s="188" t="str"/>
      <x:c r="J91" s="188" t="str"/>
      <x:c r="K91" s="137" t="str"/>
      <x:c r="L91" s="190" t="str"/>
      <x:c r="M91" s="138" t="str"/>
      <x:c r="N91" s="137" t="str"/>
      <x:c r="O91" s="137" t="str"/>
      <x:c r="P91" s="137" t="str"/>
      <x:c r="Q91" s="137" t="str">
        <x:v>To Confirm</x:v>
      </x:c>
      <x:c r="R91" s="137" t="str"/>
    </x:row>
    <x:row r="92">
      <x:c r="A92" s="137" t="str">
        <x:v>INNER||PCS</x:v>
      </x:c>
      <x:c r="B92" s="137" t="str">
        <x:v>INNER</x:v>
      </x:c>
      <x:c r="C92" s="137" t="str">
        <x:v>PCS</x:v>
      </x:c>
      <x:c r="D92" s="187" t="n">
        <x:v>0</x:v>
      </x:c>
      <x:c r="E92" s="188" t="str"/>
      <x:c r="F92" s="188" t="str"/>
      <x:c r="G92" s="188" t="str"/>
      <x:c r="H92" s="189" t="str">
        <x:f>IF(E92="","",MAX(0,E92-IF(F92="",0,F92)+IF(G92="",0,G92)))</x:f>
      </x:c>
      <x:c r="I92" s="188" t="str"/>
      <x:c r="J92" s="188" t="str"/>
      <x:c r="K92" s="137" t="str"/>
      <x:c r="L92" s="190" t="str"/>
      <x:c r="M92" s="138" t="str"/>
      <x:c r="N92" s="137" t="str"/>
      <x:c r="O92" s="137" t="str"/>
      <x:c r="P92" s="137" t="str"/>
      <x:c r="Q92" s="137" t="str">
        <x:v>To Confirm</x:v>
      </x:c>
      <x:c r="R92" s="137" t="str"/>
    </x:row>
    <x:row r="93">
      <x:c r="A93" s="137" t="str">
        <x:v>BARCODE STICKER||PCS</x:v>
      </x:c>
      <x:c r="B93" s="137" t="str">
        <x:v>Barcode Sticker</x:v>
      </x:c>
      <x:c r="C93" s="137" t="str">
        <x:v>PCS</x:v>
      </x:c>
      <x:c r="D93" s="187" t="n">
        <x:v>0</x:v>
      </x:c>
      <x:c r="E93" s="188" t="str"/>
      <x:c r="F93" s="188" t="str"/>
      <x:c r="G93" s="188" t="str"/>
      <x:c r="H93" s="189" t="str">
        <x:f>IF(E93="","",MAX(0,E93-IF(F93="",0,F93)+IF(G93="",0,G93)))</x:f>
      </x:c>
      <x:c r="I93" s="188" t="str"/>
      <x:c r="J93" s="188" t="str"/>
      <x:c r="K93" s="137" t="str"/>
      <x:c r="L93" s="190" t="str"/>
      <x:c r="M93" s="138" t="str"/>
      <x:c r="N93" s="137" t="str"/>
      <x:c r="O93" s="137" t="str"/>
      <x:c r="P93" s="137" t="str"/>
      <x:c r="Q93" s="137" t="str">
        <x:v>To Confirm</x:v>
      </x:c>
      <x:c r="R93" s="137" t="str"/>
    </x:row>
    <x:row r="94">
      <x:c r="A94" s="137" t="str">
        <x:v>CTN TAPE (1 CTN)||MTR</x:v>
      </x:c>
      <x:c r="B94" s="137" t="str">
        <x:v>Ctn Tape (1 Ctn)</x:v>
      </x:c>
      <x:c r="C94" s="137" t="str">
        <x:v>MTR</x:v>
      </x:c>
      <x:c r="D94" s="187" t="n">
        <x:v>0</x:v>
      </x:c>
      <x:c r="E94" s="188" t="str"/>
      <x:c r="F94" s="188" t="str"/>
      <x:c r="G94" s="188" t="str"/>
      <x:c r="H94" s="189" t="str">
        <x:f>IF(E94="","",MAX(0,E94-IF(F94="",0,F94)+IF(G94="",0,G94)))</x:f>
      </x:c>
      <x:c r="I94" s="188" t="str"/>
      <x:c r="J94" s="188" t="str"/>
      <x:c r="K94" s="137" t="str"/>
      <x:c r="L94" s="190" t="str"/>
      <x:c r="M94" s="138" t="str"/>
      <x:c r="N94" s="137" t="str"/>
      <x:c r="O94" s="137" t="str"/>
      <x:c r="P94" s="137" t="str"/>
      <x:c r="Q94" s="137" t="str">
        <x:v>To Confirm</x:v>
      </x:c>
      <x:c r="R94" s="137" t="str"/>
    </x:row>
    <x:row r="95">
      <x:c r="A95" s="137" t="str">
        <x:v>STRAPING ROLL (1CTN)||MTR</x:v>
      </x:c>
      <x:c r="B95" s="137" t="str">
        <x:v>Straping Roll (1Ctn)</x:v>
      </x:c>
      <x:c r="C95" s="137" t="str">
        <x:v>MTR</x:v>
      </x:c>
      <x:c r="D95" s="187" t="n">
        <x:v>0</x:v>
      </x:c>
      <x:c r="E95" s="188" t="str"/>
      <x:c r="F95" s="188" t="str"/>
      <x:c r="G95" s="188" t="str"/>
      <x:c r="H95" s="189" t="str">
        <x:f>IF(E95="","",MAX(0,E95-IF(F95="",0,F95)+IF(G95="",0,G95)))</x:f>
      </x:c>
      <x:c r="I95" s="188" t="str"/>
      <x:c r="J95" s="188" t="str"/>
      <x:c r="K95" s="137" t="str"/>
      <x:c r="L95" s="190" t="str"/>
      <x:c r="M95" s="138" t="str"/>
      <x:c r="N95" s="137" t="str"/>
      <x:c r="O95" s="137" t="str"/>
      <x:c r="P95" s="137" t="str"/>
      <x:c r="Q95" s="137" t="str">
        <x:v>To Confirm</x:v>
      </x:c>
      <x:c r="R95" s="137" t="str"/>
    </x:row>
    <x:row r="96">
      <x:c r="A96" s="137" t="str">
        <x:v>SHEET 20MM||SHEET</x:v>
      </x:c>
      <x:c r="B96" s="137" t="str">
        <x:v>Sheet 20Mm</x:v>
      </x:c>
      <x:c r="C96" s="137" t="str">
        <x:v>SHEET</x:v>
      </x:c>
      <x:c r="D96" s="187" t="n">
        <x:v>0</x:v>
      </x:c>
      <x:c r="E96" s="188" t="str"/>
      <x:c r="F96" s="188" t="str"/>
      <x:c r="G96" s="188" t="str"/>
      <x:c r="H96" s="189" t="str">
        <x:f>IF(E96="","",MAX(0,E96-IF(F96="",0,F96)+IF(G96="",0,G96)))</x:f>
      </x:c>
      <x:c r="I96" s="188" t="str"/>
      <x:c r="J96" s="188" t="str"/>
      <x:c r="K96" s="137" t="str"/>
      <x:c r="L96" s="190" t="str"/>
      <x:c r="M96" s="138" t="str"/>
      <x:c r="N96" s="137" t="str"/>
      <x:c r="O96" s="137" t="str"/>
      <x:c r="P96" s="137" t="str"/>
      <x:c r="Q96" s="137" t="str">
        <x:v>To Confirm</x:v>
      </x:c>
      <x:c r="R96" s="137" t="str"/>
    </x:row>
    <x:row r="97">
      <x:c r="A97" s="137" t="str">
        <x:v>SHEET 10MM||SHEET</x:v>
      </x:c>
      <x:c r="B97" s="137" t="str">
        <x:v>Sheet 10Mm</x:v>
      </x:c>
      <x:c r="C97" s="137" t="str">
        <x:v>SHEET</x:v>
      </x:c>
      <x:c r="D97" s="187" t="n">
        <x:v>0</x:v>
      </x:c>
      <x:c r="E97" s="188" t="str"/>
      <x:c r="F97" s="188" t="str"/>
      <x:c r="G97" s="188" t="str"/>
      <x:c r="H97" s="189" t="str">
        <x:f>IF(E97="","",MAX(0,E97-IF(F97="",0,F97)+IF(G97="",0,G97)))</x:f>
      </x:c>
      <x:c r="I97" s="188" t="str"/>
      <x:c r="J97" s="188" t="str"/>
      <x:c r="K97" s="137" t="str"/>
      <x:c r="L97" s="190" t="str"/>
      <x:c r="M97" s="138" t="str"/>
      <x:c r="N97" s="137" t="str"/>
      <x:c r="O97" s="137" t="str"/>
      <x:c r="P97" s="137" t="str"/>
      <x:c r="Q97" s="137" t="str">
        <x:v>To Confirm</x:v>
      </x:c>
      <x:c r="R97" s="137" t="str"/>
    </x:row>
    <x:row r="98">
      <x:c r="A98" s="137" t="str">
        <x:v>SHEET 1.4MM||SHEET</x:v>
      </x:c>
      <x:c r="B98" s="137" t="str">
        <x:v>Sheet 1.4Mm</x:v>
      </x:c>
      <x:c r="C98" s="137" t="str">
        <x:v>SHEET</x:v>
      </x:c>
      <x:c r="D98" s="187" t="n">
        <x:v>0</x:v>
      </x:c>
      <x:c r="E98" s="188" t="str"/>
      <x:c r="F98" s="188" t="str"/>
      <x:c r="G98" s="188" t="str"/>
      <x:c r="H98" s="189" t="str">
        <x:f>IF(E98="","",MAX(0,E98-IF(F98="",0,F98)+IF(G98="",0,G98)))</x:f>
      </x:c>
      <x:c r="I98" s="188" t="str"/>
      <x:c r="J98" s="188" t="str"/>
      <x:c r="K98" s="137" t="str"/>
      <x:c r="L98" s="190" t="str"/>
      <x:c r="M98" s="138" t="str"/>
      <x:c r="N98" s="137" t="str"/>
      <x:c r="O98" s="137" t="str"/>
      <x:c r="P98" s="137" t="str"/>
      <x:c r="Q98" s="137" t="str">
        <x:v>To Confirm</x:v>
      </x:c>
      <x:c r="R98" s="137" t="str"/>
    </x:row>
    <x:row r="99">
      <x:c r="A99" s="137" t="str">
        <x:v>SHEET 0.8MM||SHEET</x:v>
      </x:c>
      <x:c r="B99" s="137" t="str">
        <x:v>Sheet 0.8Mm</x:v>
      </x:c>
      <x:c r="C99" s="137" t="str">
        <x:v>SHEET</x:v>
      </x:c>
      <x:c r="D99" s="187" t="n">
        <x:v>0</x:v>
      </x:c>
      <x:c r="E99" s="188" t="str"/>
      <x:c r="F99" s="188" t="str"/>
      <x:c r="G99" s="188" t="str"/>
      <x:c r="H99" s="189" t="str">
        <x:f>IF(E99="","",MAX(0,E99-IF(F99="",0,F99)+IF(G99="",0,G99)))</x:f>
      </x:c>
      <x:c r="I99" s="188" t="str"/>
      <x:c r="J99" s="188" t="str"/>
      <x:c r="K99" s="137" t="str"/>
      <x:c r="L99" s="190" t="str"/>
      <x:c r="M99" s="138" t="str"/>
      <x:c r="N99" s="137" t="str"/>
      <x:c r="O99" s="137" t="str"/>
      <x:c r="P99" s="137" t="str"/>
      <x:c r="Q99" s="137" t="str">
        <x:v>To Confirm</x:v>
      </x:c>
      <x:c r="R99" s="137" t="str"/>
    </x:row>
    <x:row r="100">
      <x:c r="A100" s="137" t="str">
        <x:v>PP BAG||PCS</x:v>
      </x:c>
      <x:c r="B100" s="137" t="str">
        <x:v>Pp Bag</x:v>
      </x:c>
      <x:c r="C100" s="137" t="str">
        <x:v>PCS</x:v>
      </x:c>
      <x:c r="D100" s="187" t="n">
        <x:v>0</x:v>
      </x:c>
      <x:c r="E100" s="188" t="str"/>
      <x:c r="F100" s="188" t="str"/>
      <x:c r="G100" s="188" t="str"/>
      <x:c r="H100" s="189" t="str">
        <x:f>IF(E100="","",MAX(0,E100-IF(F100="",0,F100)+IF(G100="",0,G100)))</x:f>
      </x:c>
      <x:c r="I100" s="188" t="str"/>
      <x:c r="J100" s="188" t="str"/>
      <x:c r="K100" s="137" t="str"/>
      <x:c r="L100" s="190" t="str"/>
      <x:c r="M100" s="138" t="str"/>
      <x:c r="N100" s="137" t="str"/>
      <x:c r="O100" s="137" t="str"/>
      <x:c r="P100" s="137" t="str"/>
      <x:c r="Q100" s="137" t="str">
        <x:v>To Confirm</x:v>
      </x:c>
      <x:c r="R100" s="137" t="str"/>
    </x:row>
    <x:row r="101">
      <x:c r="A101" s="137" t="str">
        <x:v>HEAVY REXINE 54"||MTR</x:v>
      </x:c>
      <x:c r="B101" s="137" t="str">
        <x:v>Heavy Rexine 54"</x:v>
      </x:c>
      <x:c r="C101" s="137" t="str">
        <x:v>MTR</x:v>
      </x:c>
      <x:c r="D101" s="187" t="n">
        <x:v>0</x:v>
      </x:c>
      <x:c r="E101" s="188" t="str"/>
      <x:c r="F101" s="188" t="str"/>
      <x:c r="G101" s="188" t="str"/>
      <x:c r="H101" s="189" t="str">
        <x:f>IF(E101="","",MAX(0,E101-IF(F101="",0,F101)+IF(G101="",0,G101)))</x:f>
      </x:c>
      <x:c r="I101" s="188" t="str"/>
      <x:c r="J101" s="188" t="str"/>
      <x:c r="K101" s="137" t="str"/>
      <x:c r="L101" s="190" t="str"/>
      <x:c r="M101" s="138" t="str"/>
      <x:c r="N101" s="137" t="str"/>
      <x:c r="O101" s="137" t="str"/>
      <x:c r="P101" s="137" t="str"/>
      <x:c r="Q101" s="137" t="str">
        <x:v>To Confirm</x:v>
      </x:c>
      <x:c r="R101" s="137" t="str"/>
    </x:row>
    <x:row r="102">
      <x:c r="A102" s="137" t="str">
        <x:v>HEAVY REXINE 54"||SHEET</x:v>
      </x:c>
      <x:c r="B102" s="137" t="str">
        <x:v>Heavy Rexine 54"</x:v>
      </x:c>
      <x:c r="C102" s="137" t="str">
        <x:v>SHEET</x:v>
      </x:c>
      <x:c r="D102" s="187" t="n">
        <x:v>0</x:v>
      </x:c>
      <x:c r="E102" s="188" t="str"/>
      <x:c r="F102" s="188" t="str"/>
      <x:c r="G102" s="188" t="str"/>
      <x:c r="H102" s="189" t="str">
        <x:f>IF(E102="","",MAX(0,E102-IF(F102="",0,F102)+IF(G102="",0,G102)))</x:f>
      </x:c>
      <x:c r="I102" s="188" t="str"/>
      <x:c r="J102" s="188" t="str"/>
      <x:c r="K102" s="137" t="str"/>
      <x:c r="L102" s="190" t="str"/>
      <x:c r="M102" s="138" t="str"/>
      <x:c r="N102" s="137" t="str"/>
      <x:c r="O102" s="137" t="str"/>
      <x:c r="P102" s="137" t="str"/>
      <x:c r="Q102" s="137" t="str">
        <x:v>To Confirm</x:v>
      </x:c>
      <x:c r="R102" s="137" t="str"/>
    </x:row>
    <x:row r="103">
      <x:c r="A103" s="137" t="str">
        <x:v>THREAD 3 PLY (COLOURED||MTR</x:v>
      </x:c>
      <x:c r="B103" s="137" t="str">
        <x:v>Thread 3 Ply (Coloured</x:v>
      </x:c>
      <x:c r="C103" s="137" t="str">
        <x:v>MTR</x:v>
      </x:c>
      <x:c r="D103" s="187" t="n">
        <x:v>0</x:v>
      </x:c>
      <x:c r="E103" s="188" t="str"/>
      <x:c r="F103" s="188" t="str"/>
      <x:c r="G103" s="188" t="str"/>
      <x:c r="H103" s="189" t="str">
        <x:f>IF(E103="","",MAX(0,E103-IF(F103="",0,F103)+IF(G103="",0,G103)))</x:f>
      </x:c>
      <x:c r="I103" s="188" t="str"/>
      <x:c r="J103" s="188" t="str"/>
      <x:c r="K103" s="137" t="str"/>
      <x:c r="L103" s="190" t="str"/>
      <x:c r="M103" s="138" t="str"/>
      <x:c r="N103" s="137" t="str"/>
      <x:c r="O103" s="137" t="str"/>
      <x:c r="P103" s="137" t="str"/>
      <x:c r="Q103" s="137" t="str">
        <x:v>To Confirm</x:v>
      </x:c>
      <x:c r="R103" s="137" t="str"/>
    </x:row>
    <x:row r="104">
      <x:c r="A104" s="137" t="str">
        <x:v>SIZE LABEL||MTR</x:v>
      </x:c>
      <x:c r="B104" s="137" t="str">
        <x:v>Size Label</x:v>
      </x:c>
      <x:c r="C104" s="137" t="str">
        <x:v>MTR</x:v>
      </x:c>
      <x:c r="D104" s="187" t="n">
        <x:v>0</x:v>
      </x:c>
      <x:c r="E104" s="188" t="str"/>
      <x:c r="F104" s="188" t="str"/>
      <x:c r="G104" s="188" t="str"/>
      <x:c r="H104" s="189" t="str">
        <x:f>IF(E104="","",MAX(0,E104-IF(F104="",0,F104)+IF(G104="",0,G104)))</x:f>
      </x:c>
      <x:c r="I104" s="188" t="str"/>
      <x:c r="J104" s="188" t="str"/>
      <x:c r="K104" s="137" t="str"/>
      <x:c r="L104" s="190" t="str"/>
      <x:c r="M104" s="138" t="str"/>
      <x:c r="N104" s="137" t="str"/>
      <x:c r="O104" s="137" t="str"/>
      <x:c r="P104" s="137" t="str"/>
      <x:c r="Q104" s="137" t="str">
        <x:v>To Confirm</x:v>
      </x:c>
      <x:c r="R104" s="137" t="str"/>
    </x:row>
    <x:row r="105">
      <x:c r="A105" s="137" t="str">
        <x:v>TOUNGE LABEL||MTR</x:v>
      </x:c>
      <x:c r="B105" s="137" t="str">
        <x:v>Tounge Label</x:v>
      </x:c>
      <x:c r="C105" s="137" t="str">
        <x:v>MTR</x:v>
      </x:c>
      <x:c r="D105" s="187" t="n">
        <x:v>0</x:v>
      </x:c>
      <x:c r="E105" s="188" t="str"/>
      <x:c r="F105" s="188" t="str"/>
      <x:c r="G105" s="188" t="str"/>
      <x:c r="H105" s="189" t="str">
        <x:f>IF(E105="","",MAX(0,E105-IF(F105="",0,F105)+IF(G105="",0,G105)))</x:f>
      </x:c>
      <x:c r="I105" s="188" t="str"/>
      <x:c r="J105" s="188" t="str"/>
      <x:c r="K105" s="137" t="str"/>
      <x:c r="L105" s="190" t="str"/>
      <x:c r="M105" s="138" t="str"/>
      <x:c r="N105" s="137" t="str"/>
      <x:c r="O105" s="137" t="str"/>
      <x:c r="P105" s="137" t="str"/>
      <x:c r="Q105" s="137" t="str">
        <x:v>To Confirm</x:v>
      </x:c>
      <x:c r="R105" s="137" t="str"/>
    </x:row>
    <x:row r="106">
      <x:c r="A106" s="137" t="str">
        <x:v>D-RING 20MM||CM</x:v>
      </x:c>
      <x:c r="B106" s="137" t="str">
        <x:v>D-Ring 20Mm</x:v>
      </x:c>
      <x:c r="C106" s="137" t="str">
        <x:v>CM</x:v>
      </x:c>
      <x:c r="D106" s="187" t="n">
        <x:v>0</x:v>
      </x:c>
      <x:c r="E106" s="188" t="str"/>
      <x:c r="F106" s="188" t="str"/>
      <x:c r="G106" s="188" t="str"/>
      <x:c r="H106" s="189" t="str">
        <x:f>IF(E106="","",MAX(0,E106-IF(F106="",0,F106)+IF(G106="",0,G106)))</x:f>
      </x:c>
      <x:c r="I106" s="188" t="str"/>
      <x:c r="J106" s="188" t="str"/>
      <x:c r="K106" s="137" t="str"/>
      <x:c r="L106" s="190" t="str"/>
      <x:c r="M106" s="138" t="str"/>
      <x:c r="N106" s="137" t="str"/>
      <x:c r="O106" s="137" t="str"/>
      <x:c r="P106" s="137" t="str"/>
      <x:c r="Q106" s="137" t="str">
        <x:v>To Confirm</x:v>
      </x:c>
      <x:c r="R106" s="137" t="str"/>
    </x:row>
    <x:row r="107">
      <x:c r="A107" s="137" t="str">
        <x:v>D-RING 25MM||CM</x:v>
      </x:c>
      <x:c r="B107" s="137" t="str">
        <x:v>D-Ring 25Mm</x:v>
      </x:c>
      <x:c r="C107" s="137" t="str">
        <x:v>CM</x:v>
      </x:c>
      <x:c r="D107" s="187" t="n">
        <x:v>0</x:v>
      </x:c>
      <x:c r="E107" s="188" t="str"/>
      <x:c r="F107" s="188" t="str"/>
      <x:c r="G107" s="188" t="str"/>
      <x:c r="H107" s="189" t="str">
        <x:f>IF(E107="","",MAX(0,E107-IF(F107="",0,F107)+IF(G107="",0,G107)))</x:f>
      </x:c>
      <x:c r="I107" s="188" t="str"/>
      <x:c r="J107" s="188" t="str"/>
      <x:c r="K107" s="137" t="str"/>
      <x:c r="L107" s="190" t="str"/>
      <x:c r="M107" s="138" t="str"/>
      <x:c r="N107" s="137" t="str"/>
      <x:c r="O107" s="137" t="str"/>
      <x:c r="P107" s="137" t="str"/>
      <x:c r="Q107" s="137" t="str">
        <x:v>To Confirm</x:v>
      </x:c>
      <x:c r="R107" s="137" t="str"/>
    </x:row>
    <x:row r="108">
      <x:c r="A108" s="137" t="str">
        <x:v>VELCRO 25 MM HOOK||PCS</x:v>
      </x:c>
      <x:c r="B108" s="137" t="str">
        <x:v>Velcro 25 Mm Hook</x:v>
      </x:c>
      <x:c r="C108" s="137" t="str">
        <x:v>PCS</x:v>
      </x:c>
      <x:c r="D108" s="187" t="n">
        <x:v>0</x:v>
      </x:c>
      <x:c r="E108" s="188" t="str"/>
      <x:c r="F108" s="188" t="str"/>
      <x:c r="G108" s="188" t="str"/>
      <x:c r="H108" s="189" t="str">
        <x:f>IF(E108="","",MAX(0,E108-IF(F108="",0,F108)+IF(G108="",0,G108)))</x:f>
      </x:c>
      <x:c r="I108" s="188" t="str"/>
      <x:c r="J108" s="188" t="str"/>
      <x:c r="K108" s="137" t="str"/>
      <x:c r="L108" s="190" t="str"/>
      <x:c r="M108" s="138" t="str"/>
      <x:c r="N108" s="137" t="str"/>
      <x:c r="O108" s="137" t="str"/>
      <x:c r="P108" s="137" t="str"/>
      <x:c r="Q108" s="137" t="str">
        <x:v>To Confirm</x:v>
      </x:c>
      <x:c r="R108" s="137" t="str"/>
    </x:row>
    <x:row r="109">
      <x:c r="A109" s="137" t="str">
        <x:v>VELCRO 25 MM LOOP||PCS</x:v>
      </x:c>
      <x:c r="B109" s="137" t="str">
        <x:v>Velcro 25 Mm Loop</x:v>
      </x:c>
      <x:c r="C109" s="137" t="str">
        <x:v>PCS</x:v>
      </x:c>
      <x:c r="D109" s="187" t="n">
        <x:v>0</x:v>
      </x:c>
      <x:c r="E109" s="188" t="str"/>
      <x:c r="F109" s="188" t="str"/>
      <x:c r="G109" s="188" t="str"/>
      <x:c r="H109" s="189" t="str">
        <x:f>IF(E109="","",MAX(0,E109-IF(F109="",0,F109)+IF(G109="",0,G109)))</x:f>
      </x:c>
      <x:c r="I109" s="188" t="str"/>
      <x:c r="J109" s="188" t="str"/>
      <x:c r="K109" s="137" t="str"/>
      <x:c r="L109" s="190" t="str"/>
      <x:c r="M109" s="138" t="str"/>
      <x:c r="N109" s="137" t="str"/>
      <x:c r="O109" s="137" t="str"/>
      <x:c r="P109" s="137" t="str"/>
      <x:c r="Q109" s="137" t="str">
        <x:v>To Confirm</x:v>
      </x:c>
      <x:c r="R109" s="137" t="str"/>
    </x:row>
    <x:row r="110">
      <x:c r="A110" s="137" t="str">
        <x:v>PF-48 BLACK||PCS</x:v>
      </x:c>
      <x:c r="B110" s="137" t="str">
        <x:v>Pf-48 Black</x:v>
      </x:c>
      <x:c r="C110" s="137" t="str">
        <x:v>PCS</x:v>
      </x:c>
      <x:c r="D110" s="187" t="n">
        <x:v>0</x:v>
      </x:c>
      <x:c r="E110" s="188" t="str"/>
      <x:c r="F110" s="188" t="str"/>
      <x:c r="G110" s="188" t="str"/>
      <x:c r="H110" s="189" t="str">
        <x:f>IF(E110="","",MAX(0,E110-IF(F110="",0,F110)+IF(G110="",0,G110)))</x:f>
      </x:c>
      <x:c r="I110" s="188" t="str"/>
      <x:c r="J110" s="188" t="str"/>
      <x:c r="K110" s="137" t="str"/>
      <x:c r="L110" s="190" t="str"/>
      <x:c r="M110" s="138" t="str"/>
      <x:c r="N110" s="137" t="str"/>
      <x:c r="O110" s="137" t="str"/>
      <x:c r="P110" s="137" t="str"/>
      <x:c r="Q110" s="137" t="str">
        <x:v>To Confirm</x:v>
      </x:c>
      <x:c r="R110" s="137" t="str"/>
    </x:row>
    <x:row r="111">
      <x:c r="A111" s="137" t="str">
        <x:v>PF-3 BLACK||PCS</x:v>
      </x:c>
      <x:c r="B111" s="137" t="str">
        <x:v>Pf-3 Black</x:v>
      </x:c>
      <x:c r="C111" s="137" t="str">
        <x:v>PCS</x:v>
      </x:c>
      <x:c r="D111" s="187" t="n">
        <x:v>0</x:v>
      </x:c>
      <x:c r="E111" s="188" t="str"/>
      <x:c r="F111" s="188" t="str"/>
      <x:c r="G111" s="188" t="str"/>
      <x:c r="H111" s="189" t="str">
        <x:f>IF(E111="","",MAX(0,E111-IF(F111="",0,F111)+IF(G111="",0,G111)))</x:f>
      </x:c>
      <x:c r="I111" s="188" t="str"/>
      <x:c r="J111" s="188" t="str"/>
      <x:c r="K111" s="137" t="str"/>
      <x:c r="L111" s="190" t="str"/>
      <x:c r="M111" s="138" t="str"/>
      <x:c r="N111" s="137" t="str"/>
      <x:c r="O111" s="137" t="str"/>
      <x:c r="P111" s="137" t="str"/>
      <x:c r="Q111" s="137" t="str">
        <x:v>To Confirm</x:v>
      </x:c>
      <x:c r="R111" s="137" t="str"/>
    </x:row>
    <x:row r="112">
      <x:c r="A112" s="137" t="str">
        <x:v>LYCRA BINDING||CM</x:v>
      </x:c>
      <x:c r="B112" s="137" t="str">
        <x:v>Lycra Binding</x:v>
      </x:c>
      <x:c r="C112" s="137" t="str">
        <x:v>CM</x:v>
      </x:c>
      <x:c r="D112" s="187" t="n">
        <x:v>0</x:v>
      </x:c>
      <x:c r="E112" s="188" t="str"/>
      <x:c r="F112" s="188" t="str"/>
      <x:c r="G112" s="188" t="str"/>
      <x:c r="H112" s="189" t="str">
        <x:f>IF(E112="","",MAX(0,E112-IF(F112="",0,F112)+IF(G112="",0,G112)))</x:f>
      </x:c>
      <x:c r="I112" s="188" t="str"/>
      <x:c r="J112" s="188" t="str"/>
      <x:c r="K112" s="137" t="str"/>
      <x:c r="L112" s="190" t="str"/>
      <x:c r="M112" s="138" t="str"/>
      <x:c r="N112" s="137" t="str"/>
      <x:c r="O112" s="137" t="str"/>
      <x:c r="P112" s="137" t="str"/>
      <x:c r="Q112" s="137" t="str">
        <x:v>To Confirm</x:v>
      </x:c>
      <x:c r="R112" s="137" t="str"/>
    </x:row>
    <x:row r="113">
      <x:c r="A113" s="137" t="str">
        <x:v>SOLE 1231 EVA||PAIR</x:v>
      </x:c>
      <x:c r="B113" s="137" t="str">
        <x:v>Sole 1231 EVA</x:v>
      </x:c>
      <x:c r="C113" s="137" t="str">
        <x:v>PAIR</x:v>
      </x:c>
      <x:c r="D113" s="187" t="n">
        <x:v>0</x:v>
      </x:c>
      <x:c r="E113" s="188" t="str"/>
      <x:c r="F113" s="188" t="str"/>
      <x:c r="G113" s="188" t="str"/>
      <x:c r="H113" s="189" t="str">
        <x:f>IF(E113="","",MAX(0,E113-IF(F113="",0,F113)+IF(G113="",0,G113)))</x:f>
      </x:c>
      <x:c r="I113" s="188" t="str"/>
      <x:c r="J113" s="188" t="str"/>
      <x:c r="K113" s="137" t="str"/>
      <x:c r="L113" s="190" t="str"/>
      <x:c r="M113" s="138" t="str"/>
      <x:c r="N113" s="137" t="str"/>
      <x:c r="O113" s="137" t="str"/>
      <x:c r="P113" s="137" t="str"/>
      <x:c r="Q113" s="137" t="str">
        <x:v>To Confirm</x:v>
      </x:c>
      <x:c r="R113" s="137" t="str"/>
    </x:row>
    <x:row r="114">
      <x:c r="A114" s="137" t="str"/>
      <x:c r="B114" s="137" t="str"/>
      <x:c r="C114" s="137" t="str"/>
      <x:c r="D114" s="187" t="str"/>
      <x:c r="E114" s="188" t="str"/>
      <x:c r="F114" s="188" t="str"/>
      <x:c r="G114" s="188" t="str"/>
      <x:c r="H114" s="189" t="str">
        <x:f>IF(E114="","",MAX(0,E114-IF(F114="",0,F114)+IF(G114="",0,G114)))</x:f>
      </x:c>
      <x:c r="I114" s="188" t="str"/>
      <x:c r="J114" s="188" t="str"/>
      <x:c r="K114" s="137" t="str"/>
      <x:c r="L114" s="190" t="str"/>
      <x:c r="M114" s="138" t="str"/>
      <x:c r="N114" s="137" t="str"/>
      <x:c r="O114" s="137" t="str"/>
      <x:c r="P114" s="137" t="str"/>
      <x:c r="Q114" s="137" t="str"/>
      <x:c r="R114" s="137" t="str"/>
    </x:row>
    <x:row r="115">
      <x:c r="A115" s="137" t="str"/>
      <x:c r="B115" s="137" t="str"/>
      <x:c r="C115" s="137" t="str"/>
      <x:c r="D115" s="187" t="str"/>
      <x:c r="E115" s="188" t="str"/>
      <x:c r="F115" s="188" t="str"/>
      <x:c r="G115" s="188" t="str"/>
      <x:c r="H115" s="189" t="str">
        <x:f>IF(E115="","",MAX(0,E115-IF(F115="",0,F115)+IF(G115="",0,G115)))</x:f>
      </x:c>
      <x:c r="I115" s="188" t="str"/>
      <x:c r="J115" s="188" t="str"/>
      <x:c r="K115" s="137" t="str"/>
      <x:c r="L115" s="190" t="str"/>
      <x:c r="M115" s="138" t="str"/>
      <x:c r="N115" s="137" t="str"/>
      <x:c r="O115" s="137" t="str"/>
      <x:c r="P115" s="137" t="str"/>
      <x:c r="Q115" s="137" t="str"/>
      <x:c r="R115" s="137" t="str"/>
    </x:row>
    <x:row r="116">
      <x:c r="A116" s="137" t="str"/>
      <x:c r="B116" s="137" t="str"/>
      <x:c r="C116" s="137" t="str"/>
      <x:c r="D116" s="187" t="str"/>
      <x:c r="E116" s="188" t="str"/>
      <x:c r="F116" s="188" t="str"/>
      <x:c r="G116" s="188" t="str"/>
      <x:c r="H116" s="189" t="str">
        <x:f>IF(E116="","",MAX(0,E116-IF(F116="",0,F116)+IF(G116="",0,G116)))</x:f>
      </x:c>
      <x:c r="I116" s="188" t="str"/>
      <x:c r="J116" s="188" t="str"/>
      <x:c r="K116" s="137" t="str"/>
      <x:c r="L116" s="190" t="str"/>
      <x:c r="M116" s="138" t="str"/>
      <x:c r="N116" s="137" t="str"/>
      <x:c r="O116" s="137" t="str"/>
      <x:c r="P116" s="137" t="str"/>
      <x:c r="Q116" s="137" t="str"/>
      <x:c r="R116" s="137" t="str"/>
    </x:row>
    <x:row r="117">
      <x:c r="A117" s="137" t="str"/>
      <x:c r="B117" s="137" t="str"/>
      <x:c r="C117" s="137" t="str"/>
      <x:c r="D117" s="187" t="str"/>
      <x:c r="E117" s="188" t="str"/>
      <x:c r="F117" s="188" t="str"/>
      <x:c r="G117" s="188" t="str"/>
      <x:c r="H117" s="189" t="str">
        <x:f>IF(E117="","",MAX(0,E117-IF(F117="",0,F117)+IF(G117="",0,G117)))</x:f>
      </x:c>
      <x:c r="I117" s="188" t="str"/>
      <x:c r="J117" s="188" t="str"/>
      <x:c r="K117" s="137" t="str"/>
      <x:c r="L117" s="190" t="str"/>
      <x:c r="M117" s="138" t="str"/>
      <x:c r="N117" s="137" t="str"/>
      <x:c r="O117" s="137" t="str"/>
      <x:c r="P117" s="137" t="str"/>
      <x:c r="Q117" s="137" t="str"/>
      <x:c r="R117" s="137" t="str"/>
    </x:row>
    <x:row r="118">
      <x:c r="A118" s="137" t="str"/>
      <x:c r="B118" s="137" t="str"/>
      <x:c r="C118" s="137" t="str"/>
      <x:c r="D118" s="187" t="str"/>
      <x:c r="E118" s="188" t="str"/>
      <x:c r="F118" s="188" t="str"/>
      <x:c r="G118" s="188" t="str"/>
      <x:c r="H118" s="189" t="str">
        <x:f>IF(E118="","",MAX(0,E118-IF(F118="",0,F118)+IF(G118="",0,G118)))</x:f>
      </x:c>
      <x:c r="I118" s="188" t="str"/>
      <x:c r="J118" s="188" t="str"/>
      <x:c r="K118" s="137" t="str"/>
      <x:c r="L118" s="190" t="str"/>
      <x:c r="M118" s="138" t="str"/>
      <x:c r="N118" s="137" t="str"/>
      <x:c r="O118" s="137" t="str"/>
      <x:c r="P118" s="137" t="str"/>
      <x:c r="Q118" s="137" t="str"/>
      <x:c r="R118" s="137" t="str"/>
    </x:row>
    <x:row r="119">
      <x:c r="A119" s="137" t="str"/>
      <x:c r="B119" s="137" t="str"/>
      <x:c r="C119" s="137" t="str"/>
      <x:c r="D119" s="187" t="str"/>
      <x:c r="E119" s="188" t="str"/>
      <x:c r="F119" s="188" t="str"/>
      <x:c r="G119" s="188" t="str"/>
      <x:c r="H119" s="189" t="str">
        <x:f>IF(E119="","",MAX(0,E119-IF(F119="",0,F119)+IF(G119="",0,G119)))</x:f>
      </x:c>
      <x:c r="I119" s="188" t="str"/>
      <x:c r="J119" s="188" t="str"/>
      <x:c r="K119" s="137" t="str"/>
      <x:c r="L119" s="190" t="str"/>
      <x:c r="M119" s="138" t="str"/>
      <x:c r="N119" s="137" t="str"/>
      <x:c r="O119" s="137" t="str"/>
      <x:c r="P119" s="137" t="str"/>
      <x:c r="Q119" s="137" t="str"/>
      <x:c r="R119" s="137" t="str"/>
    </x:row>
    <x:row r="120">
      <x:c r="A120" s="137" t="str"/>
      <x:c r="B120" s="137" t="str"/>
      <x:c r="C120" s="137" t="str"/>
      <x:c r="D120" s="187" t="str"/>
      <x:c r="E120" s="188" t="str"/>
      <x:c r="F120" s="188" t="str"/>
      <x:c r="G120" s="188" t="str"/>
      <x:c r="H120" s="189" t="str">
        <x:f>IF(E120="","",MAX(0,E120-IF(F120="",0,F120)+IF(G120="",0,G120)))</x:f>
      </x:c>
      <x:c r="I120" s="188" t="str"/>
      <x:c r="J120" s="188" t="str"/>
      <x:c r="K120" s="137" t="str"/>
      <x:c r="L120" s="190" t="str"/>
      <x:c r="M120" s="138" t="str"/>
      <x:c r="N120" s="137" t="str"/>
      <x:c r="O120" s="137" t="str"/>
      <x:c r="P120" s="137" t="str"/>
      <x:c r="Q120" s="137" t="str"/>
      <x:c r="R120" s="137" t="str"/>
    </x:row>
    <x:row r="121">
      <x:c r="A121" s="137" t="str"/>
      <x:c r="B121" s="137" t="str"/>
      <x:c r="C121" s="137" t="str"/>
      <x:c r="D121" s="187" t="str"/>
      <x:c r="E121" s="188" t="str"/>
      <x:c r="F121" s="188" t="str"/>
      <x:c r="G121" s="188" t="str"/>
      <x:c r="H121" s="189" t="str">
        <x:f>IF(E121="","",MAX(0,E121-IF(F121="",0,F121)+IF(G121="",0,G121)))</x:f>
      </x:c>
      <x:c r="I121" s="188" t="str"/>
      <x:c r="J121" s="188" t="str"/>
      <x:c r="K121" s="137" t="str"/>
      <x:c r="L121" s="190" t="str"/>
      <x:c r="M121" s="138" t="str"/>
      <x:c r="N121" s="137" t="str"/>
      <x:c r="O121" s="137" t="str"/>
      <x:c r="P121" s="137" t="str"/>
      <x:c r="Q121" s="137" t="str"/>
      <x:c r="R121" s="137" t="str"/>
    </x:row>
    <x:row r="122">
      <x:c r="A122" s="137" t="str"/>
      <x:c r="B122" s="137" t="str"/>
      <x:c r="C122" s="137" t="str"/>
      <x:c r="D122" s="187" t="str"/>
      <x:c r="E122" s="188" t="str"/>
      <x:c r="F122" s="188" t="str"/>
      <x:c r="G122" s="188" t="str"/>
      <x:c r="H122" s="189" t="str">
        <x:f>IF(E122="","",MAX(0,E122-IF(F122="",0,F122)+IF(G122="",0,G122)))</x:f>
      </x:c>
      <x:c r="I122" s="188" t="str"/>
      <x:c r="J122" s="188" t="str"/>
      <x:c r="K122" s="137" t="str"/>
      <x:c r="L122" s="190" t="str"/>
      <x:c r="M122" s="138" t="str"/>
      <x:c r="N122" s="137" t="str"/>
      <x:c r="O122" s="137" t="str"/>
      <x:c r="P122" s="137" t="str"/>
      <x:c r="Q122" s="137" t="str"/>
      <x:c r="R122" s="137" t="str"/>
    </x:row>
    <x:row r="123">
      <x:c r="A123" s="137" t="str"/>
      <x:c r="B123" s="137" t="str"/>
      <x:c r="C123" s="137" t="str"/>
      <x:c r="D123" s="187" t="str"/>
      <x:c r="E123" s="188" t="str"/>
      <x:c r="F123" s="188" t="str"/>
      <x:c r="G123" s="188" t="str"/>
      <x:c r="H123" s="189" t="str">
        <x:f>IF(E123="","",MAX(0,E123-IF(F123="",0,F123)+IF(G123="",0,G123)))</x:f>
      </x:c>
      <x:c r="I123" s="188" t="str"/>
      <x:c r="J123" s="188" t="str"/>
      <x:c r="K123" s="137" t="str"/>
      <x:c r="L123" s="190" t="str"/>
      <x:c r="M123" s="138" t="str"/>
      <x:c r="N123" s="137" t="str"/>
      <x:c r="O123" s="137" t="str"/>
      <x:c r="P123" s="137" t="str"/>
      <x:c r="Q123" s="137" t="str"/>
      <x:c r="R123" s="137" t="str"/>
    </x:row>
    <x:row r="124">
      <x:c r="A124" s="137" t="str"/>
      <x:c r="B124" s="137" t="str"/>
      <x:c r="C124" s="137" t="str"/>
      <x:c r="D124" s="187" t="str"/>
      <x:c r="E124" s="188" t="str"/>
      <x:c r="F124" s="188" t="str"/>
      <x:c r="G124" s="188" t="str"/>
      <x:c r="H124" s="189" t="str">
        <x:f>IF(E124="","",MAX(0,E124-IF(F124="",0,F124)+IF(G124="",0,G124)))</x:f>
      </x:c>
      <x:c r="I124" s="188" t="str"/>
      <x:c r="J124" s="188" t="str"/>
      <x:c r="K124" s="137" t="str"/>
      <x:c r="L124" s="190" t="str"/>
      <x:c r="M124" s="138" t="str"/>
      <x:c r="N124" s="137" t="str"/>
      <x:c r="O124" s="137" t="str"/>
      <x:c r="P124" s="137" t="str"/>
      <x:c r="Q124" s="137" t="str"/>
      <x:c r="R124" s="137" t="str"/>
    </x:row>
    <x:row r="125">
      <x:c r="A125" s="137" t="str"/>
      <x:c r="B125" s="137" t="str"/>
      <x:c r="C125" s="137" t="str"/>
      <x:c r="D125" s="187" t="str"/>
      <x:c r="E125" s="188" t="str"/>
      <x:c r="F125" s="188" t="str"/>
      <x:c r="G125" s="188" t="str"/>
      <x:c r="H125" s="189" t="str">
        <x:f>IF(E125="","",MAX(0,E125-IF(F125="",0,F125)+IF(G125="",0,G125)))</x:f>
      </x:c>
      <x:c r="I125" s="188" t="str"/>
      <x:c r="J125" s="188" t="str"/>
      <x:c r="K125" s="137" t="str"/>
      <x:c r="L125" s="190" t="str"/>
      <x:c r="M125" s="138" t="str"/>
      <x:c r="N125" s="137" t="str"/>
      <x:c r="O125" s="137" t="str"/>
      <x:c r="P125" s="137" t="str"/>
      <x:c r="Q125" s="137" t="str"/>
      <x:c r="R125" s="137" t="str"/>
    </x:row>
    <x:row r="126">
      <x:c r="A126" s="137" t="str"/>
      <x:c r="B126" s="137" t="str"/>
      <x:c r="C126" s="137" t="str"/>
      <x:c r="D126" s="187" t="str"/>
      <x:c r="E126" s="188" t="str"/>
      <x:c r="F126" s="188" t="str"/>
      <x:c r="G126" s="188" t="str"/>
      <x:c r="H126" s="189" t="str">
        <x:f>IF(E126="","",MAX(0,E126-IF(F126="",0,F126)+IF(G126="",0,G126)))</x:f>
      </x:c>
      <x:c r="I126" s="188" t="str"/>
      <x:c r="J126" s="188" t="str"/>
      <x:c r="K126" s="137" t="str"/>
      <x:c r="L126" s="190" t="str"/>
      <x:c r="M126" s="138" t="str"/>
      <x:c r="N126" s="137" t="str"/>
      <x:c r="O126" s="137" t="str"/>
      <x:c r="P126" s="137" t="str"/>
      <x:c r="Q126" s="137" t="str"/>
      <x:c r="R126" s="137" t="str"/>
    </x:row>
    <x:row r="127">
      <x:c r="A127" s="137" t="str"/>
      <x:c r="B127" s="137" t="str"/>
      <x:c r="C127" s="137" t="str"/>
      <x:c r="D127" s="187" t="str"/>
      <x:c r="E127" s="188" t="str"/>
      <x:c r="F127" s="188" t="str"/>
      <x:c r="G127" s="188" t="str"/>
      <x:c r="H127" s="189" t="str">
        <x:f>IF(E127="","",MAX(0,E127-IF(F127="",0,F127)+IF(G127="",0,G127)))</x:f>
      </x:c>
      <x:c r="I127" s="188" t="str"/>
      <x:c r="J127" s="188" t="str"/>
      <x:c r="K127" s="137" t="str"/>
      <x:c r="L127" s="190" t="str"/>
      <x:c r="M127" s="138" t="str"/>
      <x:c r="N127" s="137" t="str"/>
      <x:c r="O127" s="137" t="str"/>
      <x:c r="P127" s="137" t="str"/>
      <x:c r="Q127" s="137" t="str"/>
      <x:c r="R127" s="137" t="str"/>
    </x:row>
    <x:row r="128">
      <x:c r="A128" s="137" t="str"/>
      <x:c r="B128" s="137" t="str"/>
      <x:c r="C128" s="137" t="str"/>
      <x:c r="D128" s="187" t="str"/>
      <x:c r="E128" s="188" t="str"/>
      <x:c r="F128" s="188" t="str"/>
      <x:c r="G128" s="188" t="str"/>
      <x:c r="H128" s="189" t="str">
        <x:f>IF(E128="","",MAX(0,E128-IF(F128="",0,F128)+IF(G128="",0,G128)))</x:f>
      </x:c>
      <x:c r="I128" s="188" t="str"/>
      <x:c r="J128" s="188" t="str"/>
      <x:c r="K128" s="137" t="str"/>
      <x:c r="L128" s="190" t="str"/>
      <x:c r="M128" s="138" t="str"/>
      <x:c r="N128" s="137" t="str"/>
      <x:c r="O128" s="137" t="str"/>
      <x:c r="P128" s="137" t="str"/>
      <x:c r="Q128" s="137" t="str"/>
      <x:c r="R128" s="137" t="str"/>
    </x:row>
    <x:row r="129">
      <x:c r="A129" s="137" t="str"/>
      <x:c r="B129" s="137" t="str"/>
      <x:c r="C129" s="137" t="str"/>
      <x:c r="D129" s="187" t="str"/>
      <x:c r="E129" s="188" t="str"/>
      <x:c r="F129" s="188" t="str"/>
      <x:c r="G129" s="188" t="str"/>
      <x:c r="H129" s="189" t="str">
        <x:f>IF(E129="","",MAX(0,E129-IF(F129="",0,F129)+IF(G129="",0,G129)))</x:f>
      </x:c>
      <x:c r="I129" s="188" t="str"/>
      <x:c r="J129" s="188" t="str"/>
      <x:c r="K129" s="137" t="str"/>
      <x:c r="L129" s="190" t="str"/>
      <x:c r="M129" s="138" t="str"/>
      <x:c r="N129" s="137" t="str"/>
      <x:c r="O129" s="137" t="str"/>
      <x:c r="P129" s="137" t="str"/>
      <x:c r="Q129" s="137" t="str"/>
      <x:c r="R129" s="137" t="str"/>
    </x:row>
    <x:row r="130">
      <x:c r="A130" s="137" t="str"/>
      <x:c r="B130" s="137" t="str"/>
      <x:c r="C130" s="137" t="str"/>
      <x:c r="D130" s="187" t="str"/>
      <x:c r="E130" s="188" t="str"/>
      <x:c r="F130" s="188" t="str"/>
      <x:c r="G130" s="188" t="str"/>
      <x:c r="H130" s="189" t="str">
        <x:f>IF(E130="","",MAX(0,E130-IF(F130="",0,F130)+IF(G130="",0,G130)))</x:f>
      </x:c>
      <x:c r="I130" s="188" t="str"/>
      <x:c r="J130" s="188" t="str"/>
      <x:c r="K130" s="137" t="str"/>
      <x:c r="L130" s="190" t="str"/>
      <x:c r="M130" s="138" t="str"/>
      <x:c r="N130" s="137" t="str"/>
      <x:c r="O130" s="137" t="str"/>
      <x:c r="P130" s="137" t="str"/>
      <x:c r="Q130" s="137" t="str"/>
      <x:c r="R130" s="137" t="str"/>
    </x:row>
    <x:row r="131">
      <x:c r="A131" s="137" t="str"/>
      <x:c r="B131" s="137" t="str"/>
      <x:c r="C131" s="137" t="str"/>
      <x:c r="D131" s="187" t="str"/>
      <x:c r="E131" s="188" t="str"/>
      <x:c r="F131" s="188" t="str"/>
      <x:c r="G131" s="188" t="str"/>
      <x:c r="H131" s="189" t="str">
        <x:f>IF(E131="","",MAX(0,E131-IF(F131="",0,F131)+IF(G131="",0,G131)))</x:f>
      </x:c>
      <x:c r="I131" s="188" t="str"/>
      <x:c r="J131" s="188" t="str"/>
      <x:c r="K131" s="137" t="str"/>
      <x:c r="L131" s="190" t="str"/>
      <x:c r="M131" s="138" t="str"/>
      <x:c r="N131" s="137" t="str"/>
      <x:c r="O131" s="137" t="str"/>
      <x:c r="P131" s="137" t="str"/>
      <x:c r="Q131" s="137" t="str"/>
      <x:c r="R131" s="137" t="str"/>
    </x:row>
    <x:row r="132">
      <x:c r="A132" s="137" t="str"/>
      <x:c r="B132" s="137" t="str"/>
      <x:c r="C132" s="137" t="str"/>
      <x:c r="D132" s="187" t="str"/>
      <x:c r="E132" s="188" t="str"/>
      <x:c r="F132" s="188" t="str"/>
      <x:c r="G132" s="188" t="str"/>
      <x:c r="H132" s="189" t="str">
        <x:f>IF(E132="","",MAX(0,E132-IF(F132="",0,F132)+IF(G132="",0,G132)))</x:f>
      </x:c>
      <x:c r="I132" s="188" t="str"/>
      <x:c r="J132" s="188" t="str"/>
      <x:c r="K132" s="137" t="str"/>
      <x:c r="L132" s="190" t="str"/>
      <x:c r="M132" s="138" t="str"/>
      <x:c r="N132" s="137" t="str"/>
      <x:c r="O132" s="137" t="str"/>
      <x:c r="P132" s="137" t="str"/>
      <x:c r="Q132" s="137" t="str"/>
      <x:c r="R132" s="137" t="str"/>
    </x:row>
    <x:row r="133">
      <x:c r="A133" s="137" t="str"/>
      <x:c r="B133" s="137" t="str"/>
      <x:c r="C133" s="137" t="str"/>
      <x:c r="D133" s="187" t="str"/>
      <x:c r="E133" s="188" t="str"/>
      <x:c r="F133" s="188" t="str"/>
      <x:c r="G133" s="188" t="str"/>
      <x:c r="H133" s="189" t="str">
        <x:f>IF(E133="","",MAX(0,E133-IF(F133="",0,F133)+IF(G133="",0,G133)))</x:f>
      </x:c>
      <x:c r="I133" s="188" t="str"/>
      <x:c r="J133" s="188" t="str"/>
      <x:c r="K133" s="137" t="str"/>
      <x:c r="L133" s="190" t="str"/>
      <x:c r="M133" s="138" t="str"/>
      <x:c r="N133" s="137" t="str"/>
      <x:c r="O133" s="137" t="str"/>
      <x:c r="P133" s="137" t="str"/>
      <x:c r="Q133" s="137" t="str"/>
      <x:c r="R133" s="137" t="str"/>
    </x:row>
    <x:row r="134">
      <x:c r="A134" s="137" t="str"/>
      <x:c r="B134" s="137" t="str"/>
      <x:c r="C134" s="137" t="str"/>
      <x:c r="D134" s="187" t="str"/>
      <x:c r="E134" s="188" t="str"/>
      <x:c r="F134" s="188" t="str"/>
      <x:c r="G134" s="188" t="str"/>
      <x:c r="H134" s="189" t="str">
        <x:f>IF(E134="","",MAX(0,E134-IF(F134="",0,F134)+IF(G134="",0,G134)))</x:f>
      </x:c>
      <x:c r="I134" s="188" t="str"/>
      <x:c r="J134" s="188" t="str"/>
      <x:c r="K134" s="137" t="str"/>
      <x:c r="L134" s="190" t="str"/>
      <x:c r="M134" s="138" t="str"/>
      <x:c r="N134" s="137" t="str"/>
      <x:c r="O134" s="137" t="str"/>
      <x:c r="P134" s="137" t="str"/>
      <x:c r="Q134" s="137" t="str"/>
      <x:c r="R134" s="137" t="str"/>
    </x:row>
    <x:row r="135">
      <x:c r="A135" s="137" t="str"/>
      <x:c r="B135" s="137" t="str"/>
      <x:c r="C135" s="137" t="str"/>
      <x:c r="D135" s="187" t="str"/>
      <x:c r="E135" s="188" t="str"/>
      <x:c r="F135" s="188" t="str"/>
      <x:c r="G135" s="188" t="str"/>
      <x:c r="H135" s="189" t="str">
        <x:f>IF(E135="","",MAX(0,E135-IF(F135="",0,F135)+IF(G135="",0,G135)))</x:f>
      </x:c>
      <x:c r="I135" s="188" t="str"/>
      <x:c r="J135" s="188" t="str"/>
      <x:c r="K135" s="137" t="str"/>
      <x:c r="L135" s="190" t="str"/>
      <x:c r="M135" s="138" t="str"/>
      <x:c r="N135" s="137" t="str"/>
      <x:c r="O135" s="137" t="str"/>
      <x:c r="P135" s="137" t="str"/>
      <x:c r="Q135" s="137" t="str"/>
      <x:c r="R135" s="137" t="str"/>
    </x:row>
    <x:row r="136">
      <x:c r="A136" s="137" t="str"/>
      <x:c r="B136" s="137" t="str"/>
      <x:c r="C136" s="137" t="str"/>
      <x:c r="D136" s="187" t="str"/>
      <x:c r="E136" s="188" t="str"/>
      <x:c r="F136" s="188" t="str"/>
      <x:c r="G136" s="188" t="str"/>
      <x:c r="H136" s="189" t="str">
        <x:f>IF(E136="","",MAX(0,E136-IF(F136="",0,F136)+IF(G136="",0,G136)))</x:f>
      </x:c>
      <x:c r="I136" s="188" t="str"/>
      <x:c r="J136" s="188" t="str"/>
      <x:c r="K136" s="137" t="str"/>
      <x:c r="L136" s="190" t="str"/>
      <x:c r="M136" s="138" t="str"/>
      <x:c r="N136" s="137" t="str"/>
      <x:c r="O136" s="137" t="str"/>
      <x:c r="P136" s="137" t="str"/>
      <x:c r="Q136" s="137" t="str"/>
      <x:c r="R136" s="137" t="str"/>
    </x:row>
    <x:row r="137">
      <x:c r="A137" s="137" t="str"/>
      <x:c r="B137" s="137" t="str"/>
      <x:c r="C137" s="137" t="str"/>
      <x:c r="D137" s="187" t="str"/>
      <x:c r="E137" s="188" t="str"/>
      <x:c r="F137" s="188" t="str"/>
      <x:c r="G137" s="188" t="str"/>
      <x:c r="H137" s="189" t="str">
        <x:f>IF(E137="","",MAX(0,E137-IF(F137="",0,F137)+IF(G137="",0,G137)))</x:f>
      </x:c>
      <x:c r="I137" s="188" t="str"/>
      <x:c r="J137" s="188" t="str"/>
      <x:c r="K137" s="137" t="str"/>
      <x:c r="L137" s="190" t="str"/>
      <x:c r="M137" s="138" t="str"/>
      <x:c r="N137" s="137" t="str"/>
      <x:c r="O137" s="137" t="str"/>
      <x:c r="P137" s="137" t="str"/>
      <x:c r="Q137" s="137" t="str"/>
      <x:c r="R137" s="137" t="str"/>
    </x:row>
    <x:row r="138">
      <x:c r="A138" s="137" t="str"/>
      <x:c r="B138" s="137" t="str"/>
      <x:c r="C138" s="137" t="str"/>
      <x:c r="D138" s="187" t="str"/>
      <x:c r="E138" s="188" t="str"/>
      <x:c r="F138" s="188" t="str"/>
      <x:c r="G138" s="188" t="str"/>
      <x:c r="H138" s="189" t="str">
        <x:f>IF(E138="","",MAX(0,E138-IF(F138="",0,F138)+IF(G138="",0,G138)))</x:f>
      </x:c>
      <x:c r="I138" s="188" t="str"/>
      <x:c r="J138" s="188" t="str"/>
      <x:c r="K138" s="137" t="str"/>
      <x:c r="L138" s="190" t="str"/>
      <x:c r="M138" s="138" t="str"/>
      <x:c r="N138" s="137" t="str"/>
      <x:c r="O138" s="137" t="str"/>
      <x:c r="P138" s="137" t="str"/>
      <x:c r="Q138" s="137" t="str"/>
      <x:c r="R138" s="137" t="str"/>
    </x:row>
    <x:row r="139">
      <x:c r="A139" s="137" t="str"/>
      <x:c r="B139" s="137" t="str"/>
      <x:c r="C139" s="137" t="str"/>
      <x:c r="D139" s="187" t="str"/>
      <x:c r="E139" s="188" t="str"/>
      <x:c r="F139" s="188" t="str"/>
      <x:c r="G139" s="188" t="str"/>
      <x:c r="H139" s="189" t="str">
        <x:f>IF(E139="","",MAX(0,E139-IF(F139="",0,F139)+IF(G139="",0,G139)))</x:f>
      </x:c>
      <x:c r="I139" s="188" t="str"/>
      <x:c r="J139" s="188" t="str"/>
      <x:c r="K139" s="137" t="str"/>
      <x:c r="L139" s="190" t="str"/>
      <x:c r="M139" s="138" t="str"/>
      <x:c r="N139" s="137" t="str"/>
      <x:c r="O139" s="137" t="str"/>
      <x:c r="P139" s="137" t="str"/>
      <x:c r="Q139" s="137" t="str"/>
      <x:c r="R139" s="137" t="str"/>
    </x:row>
    <x:row r="140">
      <x:c r="A140" s="137" t="str"/>
      <x:c r="B140" s="137" t="str"/>
      <x:c r="C140" s="137" t="str"/>
      <x:c r="D140" s="187" t="str"/>
      <x:c r="E140" s="188" t="str"/>
      <x:c r="F140" s="188" t="str"/>
      <x:c r="G140" s="188" t="str"/>
      <x:c r="H140" s="189" t="str">
        <x:f>IF(E140="","",MAX(0,E140-IF(F140="",0,F140)+IF(G140="",0,G140)))</x:f>
      </x:c>
      <x:c r="I140" s="188" t="str"/>
      <x:c r="J140" s="188" t="str"/>
      <x:c r="K140" s="137" t="str"/>
      <x:c r="L140" s="190" t="str"/>
      <x:c r="M140" s="138" t="str"/>
      <x:c r="N140" s="137" t="str"/>
      <x:c r="O140" s="137" t="str"/>
      <x:c r="P140" s="137" t="str"/>
      <x:c r="Q140" s="137" t="str"/>
      <x:c r="R140" s="137" t="str"/>
    </x:row>
    <x:row r="141">
      <x:c r="A141" s="137" t="str"/>
      <x:c r="B141" s="137" t="str"/>
      <x:c r="C141" s="137" t="str"/>
      <x:c r="D141" s="187" t="str"/>
      <x:c r="E141" s="188" t="str"/>
      <x:c r="F141" s="188" t="str"/>
      <x:c r="G141" s="188" t="str"/>
      <x:c r="H141" s="189" t="str">
        <x:f>IF(E141="","",MAX(0,E141-IF(F141="",0,F141)+IF(G141="",0,G141)))</x:f>
      </x:c>
      <x:c r="I141" s="188" t="str"/>
      <x:c r="J141" s="188" t="str"/>
      <x:c r="K141" s="137" t="str"/>
      <x:c r="L141" s="190" t="str"/>
      <x:c r="M141" s="138" t="str"/>
      <x:c r="N141" s="137" t="str"/>
      <x:c r="O141" s="137" t="str"/>
      <x:c r="P141" s="137" t="str"/>
      <x:c r="Q141" s="137" t="str"/>
      <x:c r="R141" s="137" t="str"/>
    </x:row>
    <x:row r="142">
      <x:c r="A142" s="137" t="str"/>
      <x:c r="B142" s="137" t="str"/>
      <x:c r="C142" s="137" t="str"/>
      <x:c r="D142" s="187" t="str"/>
      <x:c r="E142" s="188" t="str"/>
      <x:c r="F142" s="188" t="str"/>
      <x:c r="G142" s="188" t="str"/>
      <x:c r="H142" s="189" t="str">
        <x:f>IF(E142="","",MAX(0,E142-IF(F142="",0,F142)+IF(G142="",0,G142)))</x:f>
      </x:c>
      <x:c r="I142" s="188" t="str"/>
      <x:c r="J142" s="188" t="str"/>
      <x:c r="K142" s="137" t="str"/>
      <x:c r="L142" s="190" t="str"/>
      <x:c r="M142" s="138" t="str"/>
      <x:c r="N142" s="137" t="str"/>
      <x:c r="O142" s="137" t="str"/>
      <x:c r="P142" s="137" t="str"/>
      <x:c r="Q142" s="137" t="str"/>
      <x:c r="R142" s="137" t="str"/>
    </x:row>
    <x:row r="143">
      <x:c r="A143" s="137" t="str"/>
      <x:c r="B143" s="137" t="str"/>
      <x:c r="C143" s="137" t="str"/>
      <x:c r="D143" s="187" t="str"/>
      <x:c r="E143" s="188" t="str"/>
      <x:c r="F143" s="188" t="str"/>
      <x:c r="G143" s="188" t="str"/>
      <x:c r="H143" s="189" t="str">
        <x:f>IF(E143="","",MAX(0,E143-IF(F143="",0,F143)+IF(G143="",0,G143)))</x:f>
      </x:c>
      <x:c r="I143" s="188" t="str"/>
      <x:c r="J143" s="188" t="str"/>
      <x:c r="K143" s="137" t="str"/>
      <x:c r="L143" s="190" t="str"/>
      <x:c r="M143" s="138" t="str"/>
      <x:c r="N143" s="137" t="str"/>
      <x:c r="O143" s="137" t="str"/>
      <x:c r="P143" s="137" t="str"/>
      <x:c r="Q143" s="137" t="str"/>
      <x:c r="R143" s="137" t="str"/>
    </x:row>
    <x:row r="144">
      <x:c r="A144" s="137" t="str"/>
      <x:c r="B144" s="137" t="str"/>
      <x:c r="C144" s="137" t="str"/>
      <x:c r="D144" s="187" t="str"/>
      <x:c r="E144" s="188" t="str"/>
      <x:c r="F144" s="188" t="str"/>
      <x:c r="G144" s="188" t="str"/>
      <x:c r="H144" s="189" t="str">
        <x:f>IF(E144="","",MAX(0,E144-IF(F144="",0,F144)+IF(G144="",0,G144)))</x:f>
      </x:c>
      <x:c r="I144" s="188" t="str"/>
      <x:c r="J144" s="188" t="str"/>
      <x:c r="K144" s="137" t="str"/>
      <x:c r="L144" s="190" t="str"/>
      <x:c r="M144" s="138" t="str"/>
      <x:c r="N144" s="137" t="str"/>
      <x:c r="O144" s="137" t="str"/>
      <x:c r="P144" s="137" t="str"/>
      <x:c r="Q144" s="137" t="str"/>
      <x:c r="R144" s="137" t="str"/>
    </x:row>
    <x:row r="145">
      <x:c r="A145" s="137" t="str"/>
      <x:c r="B145" s="137" t="str"/>
      <x:c r="C145" s="137" t="str"/>
      <x:c r="D145" s="187" t="str"/>
      <x:c r="E145" s="188" t="str"/>
      <x:c r="F145" s="188" t="str"/>
      <x:c r="G145" s="188" t="str"/>
      <x:c r="H145" s="189" t="str">
        <x:f>IF(E145="","",MAX(0,E145-IF(F145="",0,F145)+IF(G145="",0,G145)))</x:f>
      </x:c>
      <x:c r="I145" s="188" t="str"/>
      <x:c r="J145" s="188" t="str"/>
      <x:c r="K145" s="137" t="str"/>
      <x:c r="L145" s="190" t="str"/>
      <x:c r="M145" s="138" t="str"/>
      <x:c r="N145" s="137" t="str"/>
      <x:c r="O145" s="137" t="str"/>
      <x:c r="P145" s="137" t="str"/>
      <x:c r="Q145" s="137" t="str"/>
      <x:c r="R145" s="137" t="str"/>
    </x:row>
    <x:row r="146">
      <x:c r="A146" s="137" t="str"/>
      <x:c r="B146" s="137" t="str"/>
      <x:c r="C146" s="137" t="str"/>
      <x:c r="D146" s="187" t="str"/>
      <x:c r="E146" s="188" t="str"/>
      <x:c r="F146" s="188" t="str"/>
      <x:c r="G146" s="188" t="str"/>
      <x:c r="H146" s="189" t="str">
        <x:f>IF(E146="","",MAX(0,E146-IF(F146="",0,F146)+IF(G146="",0,G146)))</x:f>
      </x:c>
      <x:c r="I146" s="188" t="str"/>
      <x:c r="J146" s="188" t="str"/>
      <x:c r="K146" s="137" t="str"/>
      <x:c r="L146" s="190" t="str"/>
      <x:c r="M146" s="138" t="str"/>
      <x:c r="N146" s="137" t="str"/>
      <x:c r="O146" s="137" t="str"/>
      <x:c r="P146" s="137" t="str"/>
      <x:c r="Q146" s="137" t="str"/>
      <x:c r="R146" s="137" t="str"/>
    </x:row>
    <x:row r="147">
      <x:c r="A147" s="137" t="str"/>
      <x:c r="B147" s="137" t="str"/>
      <x:c r="C147" s="137" t="str"/>
      <x:c r="D147" s="187" t="str"/>
      <x:c r="E147" s="188" t="str"/>
      <x:c r="F147" s="188" t="str"/>
      <x:c r="G147" s="188" t="str"/>
      <x:c r="H147" s="189" t="str">
        <x:f>IF(E147="","",MAX(0,E147-IF(F147="",0,F147)+IF(G147="",0,G147)))</x:f>
      </x:c>
      <x:c r="I147" s="188" t="str"/>
      <x:c r="J147" s="188" t="str"/>
      <x:c r="K147" s="137" t="str"/>
      <x:c r="L147" s="190" t="str"/>
      <x:c r="M147" s="138" t="str"/>
      <x:c r="N147" s="137" t="str"/>
      <x:c r="O147" s="137" t="str"/>
      <x:c r="P147" s="137" t="str"/>
      <x:c r="Q147" s="137" t="str"/>
      <x:c r="R147" s="137" t="str"/>
    </x:row>
    <x:row r="148">
      <x:c r="A148" s="137" t="str"/>
      <x:c r="B148" s="137" t="str"/>
      <x:c r="C148" s="137" t="str"/>
      <x:c r="D148" s="187" t="str"/>
      <x:c r="E148" s="188" t="str"/>
      <x:c r="F148" s="188" t="str"/>
      <x:c r="G148" s="188" t="str"/>
      <x:c r="H148" s="189" t="str">
        <x:f>IF(E148="","",MAX(0,E148-IF(F148="",0,F148)+IF(G148="",0,G148)))</x:f>
      </x:c>
      <x:c r="I148" s="188" t="str"/>
      <x:c r="J148" s="188" t="str"/>
      <x:c r="K148" s="137" t="str"/>
      <x:c r="L148" s="190" t="str"/>
      <x:c r="M148" s="138" t="str"/>
      <x:c r="N148" s="137" t="str"/>
      <x:c r="O148" s="137" t="str"/>
      <x:c r="P148" s="137" t="str"/>
      <x:c r="Q148" s="137" t="str"/>
      <x:c r="R148" s="137" t="str"/>
    </x:row>
    <x:row r="149">
      <x:c r="A149" s="137" t="str"/>
      <x:c r="B149" s="137" t="str"/>
      <x:c r="C149" s="137" t="str"/>
      <x:c r="D149" s="187" t="str"/>
      <x:c r="E149" s="188" t="str"/>
      <x:c r="F149" s="188" t="str"/>
      <x:c r="G149" s="188" t="str"/>
      <x:c r="H149" s="189" t="str">
        <x:f>IF(E149="","",MAX(0,E149-IF(F149="",0,F149)+IF(G149="",0,G149)))</x:f>
      </x:c>
      <x:c r="I149" s="188" t="str"/>
      <x:c r="J149" s="188" t="str"/>
      <x:c r="K149" s="137" t="str"/>
      <x:c r="L149" s="190" t="str"/>
      <x:c r="M149" s="138" t="str"/>
      <x:c r="N149" s="137" t="str"/>
      <x:c r="O149" s="137" t="str"/>
      <x:c r="P149" s="137" t="str"/>
      <x:c r="Q149" s="137" t="str"/>
      <x:c r="R149" s="137" t="str"/>
    </x:row>
    <x:row r="150">
      <x:c r="A150" s="137" t="str"/>
      <x:c r="B150" s="137" t="str"/>
      <x:c r="C150" s="137" t="str"/>
      <x:c r="D150" s="187" t="str"/>
      <x:c r="E150" s="188" t="str"/>
      <x:c r="F150" s="188" t="str"/>
      <x:c r="G150" s="188" t="str"/>
      <x:c r="H150" s="189" t="str">
        <x:f>IF(E150="","",MAX(0,E150-IF(F150="",0,F150)+IF(G150="",0,G150)))</x:f>
      </x:c>
      <x:c r="I150" s="188" t="str"/>
      <x:c r="J150" s="188" t="str"/>
      <x:c r="K150" s="137" t="str"/>
      <x:c r="L150" s="190" t="str"/>
      <x:c r="M150" s="138" t="str"/>
      <x:c r="N150" s="137" t="str"/>
      <x:c r="O150" s="137" t="str"/>
      <x:c r="P150" s="137" t="str"/>
      <x:c r="Q150" s="137" t="str"/>
      <x:c r="R150" s="137" t="str"/>
    </x:row>
    <x:row r="151">
      <x:c r="A151" s="137" t="str"/>
      <x:c r="B151" s="137" t="str"/>
      <x:c r="C151" s="137" t="str"/>
      <x:c r="D151" s="187" t="str"/>
      <x:c r="E151" s="188" t="str"/>
      <x:c r="F151" s="188" t="str"/>
      <x:c r="G151" s="188" t="str"/>
      <x:c r="H151" s="189" t="str">
        <x:f>IF(E151="","",MAX(0,E151-IF(F151="",0,F151)+IF(G151="",0,G151)))</x:f>
      </x:c>
      <x:c r="I151" s="188" t="str"/>
      <x:c r="J151" s="188" t="str"/>
      <x:c r="K151" s="137" t="str"/>
      <x:c r="L151" s="190" t="str"/>
      <x:c r="M151" s="138" t="str"/>
      <x:c r="N151" s="137" t="str"/>
      <x:c r="O151" s="137" t="str"/>
      <x:c r="P151" s="137" t="str"/>
      <x:c r="Q151" s="137" t="str"/>
      <x:c r="R151" s="137" t="str"/>
    </x:row>
    <x:row r="152">
      <x:c r="A152" s="137" t="str"/>
      <x:c r="B152" s="137" t="str"/>
      <x:c r="C152" s="137" t="str"/>
      <x:c r="D152" s="187" t="str"/>
      <x:c r="E152" s="188" t="str"/>
      <x:c r="F152" s="188" t="str"/>
      <x:c r="G152" s="188" t="str"/>
      <x:c r="H152" s="189" t="str">
        <x:f>IF(E152="","",MAX(0,E152-IF(F152="",0,F152)+IF(G152="",0,G152)))</x:f>
      </x:c>
      <x:c r="I152" s="188" t="str"/>
      <x:c r="J152" s="188" t="str"/>
      <x:c r="K152" s="137" t="str"/>
      <x:c r="L152" s="190" t="str"/>
      <x:c r="M152" s="138" t="str"/>
      <x:c r="N152" s="137" t="str"/>
      <x:c r="O152" s="137" t="str"/>
      <x:c r="P152" s="137" t="str"/>
      <x:c r="Q152" s="137" t="str"/>
      <x:c r="R152" s="137" t="str"/>
    </x:row>
    <x:row r="153">
      <x:c r="A153" s="139" t="str"/>
      <x:c r="B153" s="139" t="str"/>
      <x:c r="C153" s="139" t="str"/>
      <x:c r="D153" s="191" t="str"/>
      <x:c r="E153" s="192" t="str"/>
      <x:c r="F153" s="192" t="str"/>
      <x:c r="G153" s="192" t="str"/>
      <x:c r="H153" s="193" t="str">
        <x:f>IF(E153="","",MAX(0,E153-IF(F153="",0,F153)+IF(G153="",0,G153)))</x:f>
      </x:c>
      <x:c r="I153" s="192" t="str"/>
      <x:c r="J153" s="192" t="str"/>
      <x:c r="K153" s="139" t="str"/>
      <x:c r="L153" s="194" t="str"/>
      <x:c r="M153" s="145" t="str"/>
      <x:c r="N153" s="139" t="str"/>
      <x:c r="O153" s="139" t="str"/>
      <x:c r="P153" s="139" t="str"/>
      <x:c r="Q153" s="139" t="str"/>
      <x:c r="R153" s="139" t="str"/>
    </x:row>
  </x:sheetData>
  <x:mergeCells>
    <x:mergeCell ref="A1:R1"/>
    <x:mergeCell ref="A2:R2"/>
    <x:mergeCell ref="A3:R3"/>
  </x:mergeCells>
  <x:conditionalFormatting sqref="Q5:Q153">
    <x:cfRule type="containsText" dxfId="48" priority="1" operator="containsText" text="Approved"/>
    <x:cfRule type="containsText" dxfId="49" priority="2" operator="containsText" text="Validated"/>
    <x:cfRule type="containsText" dxfId="50" priority="3" operator="containsText" text="Confirmed"/>
    <x:cfRule type="containsText" dxfId="51" priority="4" operator="containsText" text="To Confirm"/>
    <x:cfRule type="containsText" dxfId="52" priority="5" operator="containsText" text="Rejected"/>
    <x:cfRule type="containsText" dxfId="53" priority="6" operator="containsText" text="Blocked"/>
  </x:conditionalFormatting>
  <x:dataValidations count="1">
    <x:dataValidation type="list" sqref="Q5:Q153">
      <x:formula1>"To Confirm,Confirmed,Not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5bcaa665944b0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2" hidden="0" customWidth="1"/>
    <x:col min="4" max="4" width="15" hidden="0" customWidth="1"/>
    <x:col min="5" max="5" width="22" hidden="0" customWidth="1"/>
    <x:col min="6" max="6" width="15" hidden="0" customWidth="1"/>
    <x:col min="7" max="7" width="22" hidden="0" customWidth="1"/>
    <x:col min="8" max="8" width="15" hidden="0" customWidth="1"/>
    <x:col min="9" max="9" width="22" hidden="0" customWidth="1"/>
    <x:col min="10" max="10" width="15" hidden="0" customWidth="1"/>
    <x:col min="11" max="11" width="12" hidden="0" customWidth="1"/>
    <x:col min="12" max="12" width="20" hidden="0" customWidth="1"/>
    <x:col min="13" max="13" width="20" hidden="0" customWidth="1"/>
    <x:col min="14" max="14" width="24" hidden="0" customWidth="1"/>
    <x:col min="15" max="15" width="34" hidden="0" customWidth="1"/>
    <x:col min="16" max="16" width="15" hidden="0" customWidth="1"/>
    <x:col min="17" max="17" width="20" hidden="0" customWidth="1"/>
    <x:col min="18" max="18" width="18" hidden="0" customWidth="1"/>
    <x:col min="19" max="19" width="36" hidden="0" customWidth="1"/>
  </x:cols>
  <x:sheetData>
    <x:row r="1" ht="30" customHeight="1">
      <x:c r="A1" s="140" t="str">
        <x:v>Parties &amp; Commercial Terms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</x:row>
    <x:row r="2" ht="34" customHeight="1">
      <x:c r="A2" s="123" t="str">
        <x:v>Terms are master data and remain locked on each PI. Dispatch timeline is deliberately not requested here.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</x:row>
    <x:row r="4" ht="34" customHeight="1">
      <x:c r="A4" s="141" t="str">
        <x:v>Party Name</x:v>
      </x:c>
      <x:c r="B4" s="142" t="str">
        <x:v>City</x:v>
      </x:c>
      <x:c r="C4" s="142" t="str">
        <x:v>Active?</x:v>
      </x:c>
      <x:c r="D4" s="142" t="str">
        <x:v>Discount %</x:v>
      </x:c>
      <x:c r="E4" s="142" t="str">
        <x:v>Deduction 1 Label</x:v>
      </x:c>
      <x:c r="F4" s="142" t="str">
        <x:v>Deduction 1 %</x:v>
      </x:c>
      <x:c r="G4" s="142" t="str">
        <x:v>Deduction 2 Label</x:v>
      </x:c>
      <x:c r="H4" s="142" t="str">
        <x:v>Deduction 2 %</x:v>
      </x:c>
      <x:c r="I4" s="142" t="str">
        <x:v>Deduction 3 Label</x:v>
      </x:c>
      <x:c r="J4" s="142" t="str">
        <x:v>Deduction 3 %</x:v>
      </x:c>
      <x:c r="K4" s="142" t="str">
        <x:v>GST %</x:v>
      </x:c>
      <x:c r="L4" s="142" t="str">
        <x:v>Payment Advance %</x:v>
      </x:c>
      <x:c r="M4" s="142" t="str">
        <x:v>Payment Balance %</x:v>
      </x:c>
      <x:c r="N4" s="142" t="str">
        <x:v>Order Nature Default</x:v>
      </x:c>
      <x:c r="O4" s="142" t="str">
        <x:v>Credit / Payment Terms</x:v>
      </x:c>
      <x:c r="P4" s="142" t="str">
        <x:v>Effective From</x:v>
      </x:c>
      <x:c r="Q4" s="142" t="str">
        <x:v>Approved By</x:v>
      </x:c>
      <x:c r="R4" s="142" t="str">
        <x:v>Confirmation Status</x:v>
      </x:c>
      <x:c r="S4" s="143" t="str">
        <x:v>Notes</x:v>
      </x:c>
    </x:row>
    <x:row r="5">
      <x:c r="A5" s="136" t="str"/>
      <x:c r="B5" s="136" t="str"/>
      <x:c r="C5" s="136" t="str"/>
      <x:c r="D5" s="173" t="str"/>
      <x:c r="E5" s="136" t="str"/>
      <x:c r="F5" s="173" t="str"/>
      <x:c r="G5" s="136" t="str"/>
      <x:c r="H5" s="173" t="str"/>
      <x:c r="I5" s="136" t="str"/>
      <x:c r="J5" s="173" t="str"/>
      <x:c r="K5" s="173" t="str"/>
      <x:c r="L5" s="173" t="str"/>
      <x:c r="M5" s="173" t="str"/>
      <x:c r="N5" s="136" t="str"/>
      <x:c r="O5" s="136" t="str"/>
      <x:c r="P5" s="144" t="str"/>
      <x:c r="Q5" s="136" t="str"/>
      <x:c r="R5" s="136" t="str"/>
      <x:c r="S5" s="136" t="str"/>
    </x:row>
    <x:row r="6">
      <x:c r="A6" s="137" t="str"/>
      <x:c r="B6" s="137" t="str"/>
      <x:c r="C6" s="137" t="str"/>
      <x:c r="D6" s="177" t="str"/>
      <x:c r="E6" s="137" t="str"/>
      <x:c r="F6" s="177" t="str"/>
      <x:c r="G6" s="137" t="str"/>
      <x:c r="H6" s="177" t="str"/>
      <x:c r="I6" s="137" t="str"/>
      <x:c r="J6" s="177" t="str"/>
      <x:c r="K6" s="177" t="str"/>
      <x:c r="L6" s="177" t="str"/>
      <x:c r="M6" s="177" t="str"/>
      <x:c r="N6" s="137" t="str"/>
      <x:c r="O6" s="137" t="str"/>
      <x:c r="P6" s="138" t="str"/>
      <x:c r="Q6" s="137" t="str"/>
      <x:c r="R6" s="137" t="str"/>
      <x:c r="S6" s="137" t="str"/>
    </x:row>
    <x:row r="7">
      <x:c r="A7" s="137" t="str"/>
      <x:c r="B7" s="137" t="str"/>
      <x:c r="C7" s="137" t="str"/>
      <x:c r="D7" s="177" t="str"/>
      <x:c r="E7" s="137" t="str"/>
      <x:c r="F7" s="177" t="str"/>
      <x:c r="G7" s="137" t="str"/>
      <x:c r="H7" s="177" t="str"/>
      <x:c r="I7" s="137" t="str"/>
      <x:c r="J7" s="177" t="str"/>
      <x:c r="K7" s="177" t="str"/>
      <x:c r="L7" s="177" t="str"/>
      <x:c r="M7" s="177" t="str"/>
      <x:c r="N7" s="137" t="str"/>
      <x:c r="O7" s="137" t="str"/>
      <x:c r="P7" s="138" t="str"/>
      <x:c r="Q7" s="137" t="str"/>
      <x:c r="R7" s="137" t="str"/>
      <x:c r="S7" s="137" t="str"/>
    </x:row>
    <x:row r="8">
      <x:c r="A8" s="137" t="str"/>
      <x:c r="B8" s="137" t="str"/>
      <x:c r="C8" s="137" t="str"/>
      <x:c r="D8" s="177" t="str"/>
      <x:c r="E8" s="137" t="str"/>
      <x:c r="F8" s="177" t="str"/>
      <x:c r="G8" s="137" t="str"/>
      <x:c r="H8" s="177" t="str"/>
      <x:c r="I8" s="137" t="str"/>
      <x:c r="J8" s="177" t="str"/>
      <x:c r="K8" s="177" t="str"/>
      <x:c r="L8" s="177" t="str"/>
      <x:c r="M8" s="177" t="str"/>
      <x:c r="N8" s="137" t="str"/>
      <x:c r="O8" s="137" t="str"/>
      <x:c r="P8" s="138" t="str"/>
      <x:c r="Q8" s="137" t="str"/>
      <x:c r="R8" s="137" t="str"/>
      <x:c r="S8" s="137" t="str"/>
    </x:row>
    <x:row r="9">
      <x:c r="A9" s="137" t="str"/>
      <x:c r="B9" s="137" t="str"/>
      <x:c r="C9" s="137" t="str"/>
      <x:c r="D9" s="177" t="str"/>
      <x:c r="E9" s="137" t="str"/>
      <x:c r="F9" s="177" t="str"/>
      <x:c r="G9" s="137" t="str"/>
      <x:c r="H9" s="177" t="str"/>
      <x:c r="I9" s="137" t="str"/>
      <x:c r="J9" s="177" t="str"/>
      <x:c r="K9" s="177" t="str"/>
      <x:c r="L9" s="177" t="str"/>
      <x:c r="M9" s="177" t="str"/>
      <x:c r="N9" s="137" t="str"/>
      <x:c r="O9" s="137" t="str"/>
      <x:c r="P9" s="138" t="str"/>
      <x:c r="Q9" s="137" t="str"/>
      <x:c r="R9" s="137" t="str"/>
      <x:c r="S9" s="137" t="str"/>
    </x:row>
    <x:row r="10">
      <x:c r="A10" s="137" t="str"/>
      <x:c r="B10" s="137" t="str"/>
      <x:c r="C10" s="137" t="str"/>
      <x:c r="D10" s="177" t="str"/>
      <x:c r="E10" s="137" t="str"/>
      <x:c r="F10" s="177" t="str"/>
      <x:c r="G10" s="137" t="str"/>
      <x:c r="H10" s="177" t="str"/>
      <x:c r="I10" s="137" t="str"/>
      <x:c r="J10" s="177" t="str"/>
      <x:c r="K10" s="177" t="str"/>
      <x:c r="L10" s="177" t="str"/>
      <x:c r="M10" s="177" t="str"/>
      <x:c r="N10" s="137" t="str"/>
      <x:c r="O10" s="137" t="str"/>
      <x:c r="P10" s="138" t="str"/>
      <x:c r="Q10" s="137" t="str"/>
      <x:c r="R10" s="137" t="str"/>
      <x:c r="S10" s="137" t="str"/>
    </x:row>
    <x:row r="11">
      <x:c r="A11" s="137" t="str"/>
      <x:c r="B11" s="137" t="str"/>
      <x:c r="C11" s="137" t="str"/>
      <x:c r="D11" s="177" t="str"/>
      <x:c r="E11" s="137" t="str"/>
      <x:c r="F11" s="177" t="str"/>
      <x:c r="G11" s="137" t="str"/>
      <x:c r="H11" s="177" t="str"/>
      <x:c r="I11" s="137" t="str"/>
      <x:c r="J11" s="177" t="str"/>
      <x:c r="K11" s="177" t="str"/>
      <x:c r="L11" s="177" t="str"/>
      <x:c r="M11" s="177" t="str"/>
      <x:c r="N11" s="137" t="str"/>
      <x:c r="O11" s="137" t="str"/>
      <x:c r="P11" s="138" t="str"/>
      <x:c r="Q11" s="137" t="str"/>
      <x:c r="R11" s="137" t="str"/>
      <x:c r="S11" s="137" t="str"/>
    </x:row>
    <x:row r="12">
      <x:c r="A12" s="137" t="str"/>
      <x:c r="B12" s="137" t="str"/>
      <x:c r="C12" s="137" t="str"/>
      <x:c r="D12" s="177" t="str"/>
      <x:c r="E12" s="137" t="str"/>
      <x:c r="F12" s="177" t="str"/>
      <x:c r="G12" s="137" t="str"/>
      <x:c r="H12" s="177" t="str"/>
      <x:c r="I12" s="137" t="str"/>
      <x:c r="J12" s="177" t="str"/>
      <x:c r="K12" s="177" t="str"/>
      <x:c r="L12" s="177" t="str"/>
      <x:c r="M12" s="177" t="str"/>
      <x:c r="N12" s="137" t="str"/>
      <x:c r="O12" s="137" t="str"/>
      <x:c r="P12" s="138" t="str"/>
      <x:c r="Q12" s="137" t="str"/>
      <x:c r="R12" s="137" t="str"/>
      <x:c r="S12" s="137" t="str"/>
    </x:row>
    <x:row r="13">
      <x:c r="A13" s="137" t="str"/>
      <x:c r="B13" s="137" t="str"/>
      <x:c r="C13" s="137" t="str"/>
      <x:c r="D13" s="177" t="str"/>
      <x:c r="E13" s="137" t="str"/>
      <x:c r="F13" s="177" t="str"/>
      <x:c r="G13" s="137" t="str"/>
      <x:c r="H13" s="177" t="str"/>
      <x:c r="I13" s="137" t="str"/>
      <x:c r="J13" s="177" t="str"/>
      <x:c r="K13" s="177" t="str"/>
      <x:c r="L13" s="177" t="str"/>
      <x:c r="M13" s="177" t="str"/>
      <x:c r="N13" s="137" t="str"/>
      <x:c r="O13" s="137" t="str"/>
      <x:c r="P13" s="138" t="str"/>
      <x:c r="Q13" s="137" t="str"/>
      <x:c r="R13" s="137" t="str"/>
      <x:c r="S13" s="137" t="str"/>
    </x:row>
    <x:row r="14">
      <x:c r="A14" s="137" t="str"/>
      <x:c r="B14" s="137" t="str"/>
      <x:c r="C14" s="137" t="str"/>
      <x:c r="D14" s="177" t="str"/>
      <x:c r="E14" s="137" t="str"/>
      <x:c r="F14" s="177" t="str"/>
      <x:c r="G14" s="137" t="str"/>
      <x:c r="H14" s="177" t="str"/>
      <x:c r="I14" s="137" t="str"/>
      <x:c r="J14" s="177" t="str"/>
      <x:c r="K14" s="177" t="str"/>
      <x:c r="L14" s="177" t="str"/>
      <x:c r="M14" s="177" t="str"/>
      <x:c r="N14" s="137" t="str"/>
      <x:c r="O14" s="137" t="str"/>
      <x:c r="P14" s="138" t="str"/>
      <x:c r="Q14" s="137" t="str"/>
      <x:c r="R14" s="137" t="str"/>
      <x:c r="S14" s="137" t="str"/>
    </x:row>
    <x:row r="15">
      <x:c r="A15" s="137" t="str"/>
      <x:c r="B15" s="137" t="str"/>
      <x:c r="C15" s="137" t="str"/>
      <x:c r="D15" s="177" t="str"/>
      <x:c r="E15" s="137" t="str"/>
      <x:c r="F15" s="177" t="str"/>
      <x:c r="G15" s="137" t="str"/>
      <x:c r="H15" s="177" t="str"/>
      <x:c r="I15" s="137" t="str"/>
      <x:c r="J15" s="177" t="str"/>
      <x:c r="K15" s="177" t="str"/>
      <x:c r="L15" s="177" t="str"/>
      <x:c r="M15" s="177" t="str"/>
      <x:c r="N15" s="137" t="str"/>
      <x:c r="O15" s="137" t="str"/>
      <x:c r="P15" s="138" t="str"/>
      <x:c r="Q15" s="137" t="str"/>
      <x:c r="R15" s="137" t="str"/>
      <x:c r="S15" s="137" t="str"/>
    </x:row>
    <x:row r="16">
      <x:c r="A16" s="137" t="str"/>
      <x:c r="B16" s="137" t="str"/>
      <x:c r="C16" s="137" t="str"/>
      <x:c r="D16" s="177" t="str"/>
      <x:c r="E16" s="137" t="str"/>
      <x:c r="F16" s="177" t="str"/>
      <x:c r="G16" s="137" t="str"/>
      <x:c r="H16" s="177" t="str"/>
      <x:c r="I16" s="137" t="str"/>
      <x:c r="J16" s="177" t="str"/>
      <x:c r="K16" s="177" t="str"/>
      <x:c r="L16" s="177" t="str"/>
      <x:c r="M16" s="177" t="str"/>
      <x:c r="N16" s="137" t="str"/>
      <x:c r="O16" s="137" t="str"/>
      <x:c r="P16" s="138" t="str"/>
      <x:c r="Q16" s="137" t="str"/>
      <x:c r="R16" s="137" t="str"/>
      <x:c r="S16" s="137" t="str"/>
    </x:row>
    <x:row r="17">
      <x:c r="A17" s="137" t="str"/>
      <x:c r="B17" s="137" t="str"/>
      <x:c r="C17" s="137" t="str"/>
      <x:c r="D17" s="177" t="str"/>
      <x:c r="E17" s="137" t="str"/>
      <x:c r="F17" s="177" t="str"/>
      <x:c r="G17" s="137" t="str"/>
      <x:c r="H17" s="177" t="str"/>
      <x:c r="I17" s="137" t="str"/>
      <x:c r="J17" s="177" t="str"/>
      <x:c r="K17" s="177" t="str"/>
      <x:c r="L17" s="177" t="str"/>
      <x:c r="M17" s="177" t="str"/>
      <x:c r="N17" s="137" t="str"/>
      <x:c r="O17" s="137" t="str"/>
      <x:c r="P17" s="138" t="str"/>
      <x:c r="Q17" s="137" t="str"/>
      <x:c r="R17" s="137" t="str"/>
      <x:c r="S17" s="137" t="str"/>
    </x:row>
    <x:row r="18">
      <x:c r="A18" s="137" t="str"/>
      <x:c r="B18" s="137" t="str"/>
      <x:c r="C18" s="137" t="str"/>
      <x:c r="D18" s="177" t="str"/>
      <x:c r="E18" s="137" t="str"/>
      <x:c r="F18" s="177" t="str"/>
      <x:c r="G18" s="137" t="str"/>
      <x:c r="H18" s="177" t="str"/>
      <x:c r="I18" s="137" t="str"/>
      <x:c r="J18" s="177" t="str"/>
      <x:c r="K18" s="177" t="str"/>
      <x:c r="L18" s="177" t="str"/>
      <x:c r="M18" s="177" t="str"/>
      <x:c r="N18" s="137" t="str"/>
      <x:c r="O18" s="137" t="str"/>
      <x:c r="P18" s="138" t="str"/>
      <x:c r="Q18" s="137" t="str"/>
      <x:c r="R18" s="137" t="str"/>
      <x:c r="S18" s="137" t="str"/>
    </x:row>
    <x:row r="19">
      <x:c r="A19" s="137" t="str"/>
      <x:c r="B19" s="137" t="str"/>
      <x:c r="C19" s="137" t="str"/>
      <x:c r="D19" s="177" t="str"/>
      <x:c r="E19" s="137" t="str"/>
      <x:c r="F19" s="177" t="str"/>
      <x:c r="G19" s="137" t="str"/>
      <x:c r="H19" s="177" t="str"/>
      <x:c r="I19" s="137" t="str"/>
      <x:c r="J19" s="177" t="str"/>
      <x:c r="K19" s="177" t="str"/>
      <x:c r="L19" s="177" t="str"/>
      <x:c r="M19" s="177" t="str"/>
      <x:c r="N19" s="137" t="str"/>
      <x:c r="O19" s="137" t="str"/>
      <x:c r="P19" s="138" t="str"/>
      <x:c r="Q19" s="137" t="str"/>
      <x:c r="R19" s="137" t="str"/>
      <x:c r="S19" s="137" t="str"/>
    </x:row>
    <x:row r="20">
      <x:c r="A20" s="137" t="str"/>
      <x:c r="B20" s="137" t="str"/>
      <x:c r="C20" s="137" t="str"/>
      <x:c r="D20" s="177" t="str"/>
      <x:c r="E20" s="137" t="str"/>
      <x:c r="F20" s="177" t="str"/>
      <x:c r="G20" s="137" t="str"/>
      <x:c r="H20" s="177" t="str"/>
      <x:c r="I20" s="137" t="str"/>
      <x:c r="J20" s="177" t="str"/>
      <x:c r="K20" s="177" t="str"/>
      <x:c r="L20" s="177" t="str"/>
      <x:c r="M20" s="177" t="str"/>
      <x:c r="N20" s="137" t="str"/>
      <x:c r="O20" s="137" t="str"/>
      <x:c r="P20" s="138" t="str"/>
      <x:c r="Q20" s="137" t="str"/>
      <x:c r="R20" s="137" t="str"/>
      <x:c r="S20" s="137" t="str"/>
    </x:row>
    <x:row r="21">
      <x:c r="A21" s="137" t="str"/>
      <x:c r="B21" s="137" t="str"/>
      <x:c r="C21" s="137" t="str"/>
      <x:c r="D21" s="177" t="str"/>
      <x:c r="E21" s="137" t="str"/>
      <x:c r="F21" s="177" t="str"/>
      <x:c r="G21" s="137" t="str"/>
      <x:c r="H21" s="177" t="str"/>
      <x:c r="I21" s="137" t="str"/>
      <x:c r="J21" s="177" t="str"/>
      <x:c r="K21" s="177" t="str"/>
      <x:c r="L21" s="177" t="str"/>
      <x:c r="M21" s="177" t="str"/>
      <x:c r="N21" s="137" t="str"/>
      <x:c r="O21" s="137" t="str"/>
      <x:c r="P21" s="138" t="str"/>
      <x:c r="Q21" s="137" t="str"/>
      <x:c r="R21" s="137" t="str"/>
      <x:c r="S21" s="137" t="str"/>
    </x:row>
    <x:row r="22">
      <x:c r="A22" s="137" t="str"/>
      <x:c r="B22" s="137" t="str"/>
      <x:c r="C22" s="137" t="str"/>
      <x:c r="D22" s="177" t="str"/>
      <x:c r="E22" s="137" t="str"/>
      <x:c r="F22" s="177" t="str"/>
      <x:c r="G22" s="137" t="str"/>
      <x:c r="H22" s="177" t="str"/>
      <x:c r="I22" s="137" t="str"/>
      <x:c r="J22" s="177" t="str"/>
      <x:c r="K22" s="177" t="str"/>
      <x:c r="L22" s="177" t="str"/>
      <x:c r="M22" s="177" t="str"/>
      <x:c r="N22" s="137" t="str"/>
      <x:c r="O22" s="137" t="str"/>
      <x:c r="P22" s="138" t="str"/>
      <x:c r="Q22" s="137" t="str"/>
      <x:c r="R22" s="137" t="str"/>
      <x:c r="S22" s="137" t="str"/>
    </x:row>
    <x:row r="23">
      <x:c r="A23" s="137" t="str"/>
      <x:c r="B23" s="137" t="str"/>
      <x:c r="C23" s="137" t="str"/>
      <x:c r="D23" s="177" t="str"/>
      <x:c r="E23" s="137" t="str"/>
      <x:c r="F23" s="177" t="str"/>
      <x:c r="G23" s="137" t="str"/>
      <x:c r="H23" s="177" t="str"/>
      <x:c r="I23" s="137" t="str"/>
      <x:c r="J23" s="177" t="str"/>
      <x:c r="K23" s="177" t="str"/>
      <x:c r="L23" s="177" t="str"/>
      <x:c r="M23" s="177" t="str"/>
      <x:c r="N23" s="137" t="str"/>
      <x:c r="O23" s="137" t="str"/>
      <x:c r="P23" s="138" t="str"/>
      <x:c r="Q23" s="137" t="str"/>
      <x:c r="R23" s="137" t="str"/>
      <x:c r="S23" s="137" t="str"/>
    </x:row>
    <x:row r="24">
      <x:c r="A24" s="137" t="str"/>
      <x:c r="B24" s="137" t="str"/>
      <x:c r="C24" s="137" t="str"/>
      <x:c r="D24" s="177" t="str"/>
      <x:c r="E24" s="137" t="str"/>
      <x:c r="F24" s="177" t="str"/>
      <x:c r="G24" s="137" t="str"/>
      <x:c r="H24" s="177" t="str"/>
      <x:c r="I24" s="137" t="str"/>
      <x:c r="J24" s="177" t="str"/>
      <x:c r="K24" s="177" t="str"/>
      <x:c r="L24" s="177" t="str"/>
      <x:c r="M24" s="177" t="str"/>
      <x:c r="N24" s="137" t="str"/>
      <x:c r="O24" s="137" t="str"/>
      <x:c r="P24" s="138" t="str"/>
      <x:c r="Q24" s="137" t="str"/>
      <x:c r="R24" s="137" t="str"/>
      <x:c r="S24" s="137" t="str"/>
    </x:row>
    <x:row r="25">
      <x:c r="A25" s="137" t="str"/>
      <x:c r="B25" s="137" t="str"/>
      <x:c r="C25" s="137" t="str"/>
      <x:c r="D25" s="177" t="str"/>
      <x:c r="E25" s="137" t="str"/>
      <x:c r="F25" s="177" t="str"/>
      <x:c r="G25" s="137" t="str"/>
      <x:c r="H25" s="177" t="str"/>
      <x:c r="I25" s="137" t="str"/>
      <x:c r="J25" s="177" t="str"/>
      <x:c r="K25" s="177" t="str"/>
      <x:c r="L25" s="177" t="str"/>
      <x:c r="M25" s="177" t="str"/>
      <x:c r="N25" s="137" t="str"/>
      <x:c r="O25" s="137" t="str"/>
      <x:c r="P25" s="138" t="str"/>
      <x:c r="Q25" s="137" t="str"/>
      <x:c r="R25" s="137" t="str"/>
      <x:c r="S25" s="137" t="str"/>
    </x:row>
    <x:row r="26">
      <x:c r="A26" s="137" t="str"/>
      <x:c r="B26" s="137" t="str"/>
      <x:c r="C26" s="137" t="str"/>
      <x:c r="D26" s="177" t="str"/>
      <x:c r="E26" s="137" t="str"/>
      <x:c r="F26" s="177" t="str"/>
      <x:c r="G26" s="137" t="str"/>
      <x:c r="H26" s="177" t="str"/>
      <x:c r="I26" s="137" t="str"/>
      <x:c r="J26" s="177" t="str"/>
      <x:c r="K26" s="177" t="str"/>
      <x:c r="L26" s="177" t="str"/>
      <x:c r="M26" s="177" t="str"/>
      <x:c r="N26" s="137" t="str"/>
      <x:c r="O26" s="137" t="str"/>
      <x:c r="P26" s="138" t="str"/>
      <x:c r="Q26" s="137" t="str"/>
      <x:c r="R26" s="137" t="str"/>
      <x:c r="S26" s="137" t="str"/>
    </x:row>
    <x:row r="27">
      <x:c r="A27" s="137" t="str"/>
      <x:c r="B27" s="137" t="str"/>
      <x:c r="C27" s="137" t="str"/>
      <x:c r="D27" s="177" t="str"/>
      <x:c r="E27" s="137" t="str"/>
      <x:c r="F27" s="177" t="str"/>
      <x:c r="G27" s="137" t="str"/>
      <x:c r="H27" s="177" t="str"/>
      <x:c r="I27" s="137" t="str"/>
      <x:c r="J27" s="177" t="str"/>
      <x:c r="K27" s="177" t="str"/>
      <x:c r="L27" s="177" t="str"/>
      <x:c r="M27" s="177" t="str"/>
      <x:c r="N27" s="137" t="str"/>
      <x:c r="O27" s="137" t="str"/>
      <x:c r="P27" s="138" t="str"/>
      <x:c r="Q27" s="137" t="str"/>
      <x:c r="R27" s="137" t="str"/>
      <x:c r="S27" s="137" t="str"/>
    </x:row>
    <x:row r="28">
      <x:c r="A28" s="137" t="str"/>
      <x:c r="B28" s="137" t="str"/>
      <x:c r="C28" s="137" t="str"/>
      <x:c r="D28" s="177" t="str"/>
      <x:c r="E28" s="137" t="str"/>
      <x:c r="F28" s="177" t="str"/>
      <x:c r="G28" s="137" t="str"/>
      <x:c r="H28" s="177" t="str"/>
      <x:c r="I28" s="137" t="str"/>
      <x:c r="J28" s="177" t="str"/>
      <x:c r="K28" s="177" t="str"/>
      <x:c r="L28" s="177" t="str"/>
      <x:c r="M28" s="177" t="str"/>
      <x:c r="N28" s="137" t="str"/>
      <x:c r="O28" s="137" t="str"/>
      <x:c r="P28" s="138" t="str"/>
      <x:c r="Q28" s="137" t="str"/>
      <x:c r="R28" s="137" t="str"/>
      <x:c r="S28" s="137" t="str"/>
    </x:row>
    <x:row r="29">
      <x:c r="A29" s="137" t="str"/>
      <x:c r="B29" s="137" t="str"/>
      <x:c r="C29" s="137" t="str"/>
      <x:c r="D29" s="177" t="str"/>
      <x:c r="E29" s="137" t="str"/>
      <x:c r="F29" s="177" t="str"/>
      <x:c r="G29" s="137" t="str"/>
      <x:c r="H29" s="177" t="str"/>
      <x:c r="I29" s="137" t="str"/>
      <x:c r="J29" s="177" t="str"/>
      <x:c r="K29" s="177" t="str"/>
      <x:c r="L29" s="177" t="str"/>
      <x:c r="M29" s="177" t="str"/>
      <x:c r="N29" s="137" t="str"/>
      <x:c r="O29" s="137" t="str"/>
      <x:c r="P29" s="138" t="str"/>
      <x:c r="Q29" s="137" t="str"/>
      <x:c r="R29" s="137" t="str"/>
      <x:c r="S29" s="137" t="str"/>
    </x:row>
    <x:row r="30">
      <x:c r="A30" s="137" t="str"/>
      <x:c r="B30" s="137" t="str"/>
      <x:c r="C30" s="137" t="str"/>
      <x:c r="D30" s="177" t="str"/>
      <x:c r="E30" s="137" t="str"/>
      <x:c r="F30" s="177" t="str"/>
      <x:c r="G30" s="137" t="str"/>
      <x:c r="H30" s="177" t="str"/>
      <x:c r="I30" s="137" t="str"/>
      <x:c r="J30" s="177" t="str"/>
      <x:c r="K30" s="177" t="str"/>
      <x:c r="L30" s="177" t="str"/>
      <x:c r="M30" s="177" t="str"/>
      <x:c r="N30" s="137" t="str"/>
      <x:c r="O30" s="137" t="str"/>
      <x:c r="P30" s="138" t="str"/>
      <x:c r="Q30" s="137" t="str"/>
      <x:c r="R30" s="137" t="str"/>
      <x:c r="S30" s="137" t="str"/>
    </x:row>
    <x:row r="31">
      <x:c r="A31" s="137" t="str"/>
      <x:c r="B31" s="137" t="str"/>
      <x:c r="C31" s="137" t="str"/>
      <x:c r="D31" s="177" t="str"/>
      <x:c r="E31" s="137" t="str"/>
      <x:c r="F31" s="177" t="str"/>
      <x:c r="G31" s="137" t="str"/>
      <x:c r="H31" s="177" t="str"/>
      <x:c r="I31" s="137" t="str"/>
      <x:c r="J31" s="177" t="str"/>
      <x:c r="K31" s="177" t="str"/>
      <x:c r="L31" s="177" t="str"/>
      <x:c r="M31" s="177" t="str"/>
      <x:c r="N31" s="137" t="str"/>
      <x:c r="O31" s="137" t="str"/>
      <x:c r="P31" s="138" t="str"/>
      <x:c r="Q31" s="137" t="str"/>
      <x:c r="R31" s="137" t="str"/>
      <x:c r="S31" s="137" t="str"/>
    </x:row>
    <x:row r="32">
      <x:c r="A32" s="137" t="str"/>
      <x:c r="B32" s="137" t="str"/>
      <x:c r="C32" s="137" t="str"/>
      <x:c r="D32" s="177" t="str"/>
      <x:c r="E32" s="137" t="str"/>
      <x:c r="F32" s="177" t="str"/>
      <x:c r="G32" s="137" t="str"/>
      <x:c r="H32" s="177" t="str"/>
      <x:c r="I32" s="137" t="str"/>
      <x:c r="J32" s="177" t="str"/>
      <x:c r="K32" s="177" t="str"/>
      <x:c r="L32" s="177" t="str"/>
      <x:c r="M32" s="177" t="str"/>
      <x:c r="N32" s="137" t="str"/>
      <x:c r="O32" s="137" t="str"/>
      <x:c r="P32" s="138" t="str"/>
      <x:c r="Q32" s="137" t="str"/>
      <x:c r="R32" s="137" t="str"/>
      <x:c r="S32" s="137" t="str"/>
    </x:row>
    <x:row r="33">
      <x:c r="A33" s="137" t="str"/>
      <x:c r="B33" s="137" t="str"/>
      <x:c r="C33" s="137" t="str"/>
      <x:c r="D33" s="177" t="str"/>
      <x:c r="E33" s="137" t="str"/>
      <x:c r="F33" s="177" t="str"/>
      <x:c r="G33" s="137" t="str"/>
      <x:c r="H33" s="177" t="str"/>
      <x:c r="I33" s="137" t="str"/>
      <x:c r="J33" s="177" t="str"/>
      <x:c r="K33" s="177" t="str"/>
      <x:c r="L33" s="177" t="str"/>
      <x:c r="M33" s="177" t="str"/>
      <x:c r="N33" s="137" t="str"/>
      <x:c r="O33" s="137" t="str"/>
      <x:c r="P33" s="138" t="str"/>
      <x:c r="Q33" s="137" t="str"/>
      <x:c r="R33" s="137" t="str"/>
      <x:c r="S33" s="137" t="str"/>
    </x:row>
    <x:row r="34">
      <x:c r="A34" s="137" t="str"/>
      <x:c r="B34" s="137" t="str"/>
      <x:c r="C34" s="137" t="str"/>
      <x:c r="D34" s="177" t="str"/>
      <x:c r="E34" s="137" t="str"/>
      <x:c r="F34" s="177" t="str"/>
      <x:c r="G34" s="137" t="str"/>
      <x:c r="H34" s="177" t="str"/>
      <x:c r="I34" s="137" t="str"/>
      <x:c r="J34" s="177" t="str"/>
      <x:c r="K34" s="177" t="str"/>
      <x:c r="L34" s="177" t="str"/>
      <x:c r="M34" s="177" t="str"/>
      <x:c r="N34" s="137" t="str"/>
      <x:c r="O34" s="137" t="str"/>
      <x:c r="P34" s="138" t="str"/>
      <x:c r="Q34" s="137" t="str"/>
      <x:c r="R34" s="137" t="str"/>
      <x:c r="S34" s="137" t="str"/>
    </x:row>
    <x:row r="35">
      <x:c r="A35" s="137" t="str"/>
      <x:c r="B35" s="137" t="str"/>
      <x:c r="C35" s="137" t="str"/>
      <x:c r="D35" s="177" t="str"/>
      <x:c r="E35" s="137" t="str"/>
      <x:c r="F35" s="177" t="str"/>
      <x:c r="G35" s="137" t="str"/>
      <x:c r="H35" s="177" t="str"/>
      <x:c r="I35" s="137" t="str"/>
      <x:c r="J35" s="177" t="str"/>
      <x:c r="K35" s="177" t="str"/>
      <x:c r="L35" s="177" t="str"/>
      <x:c r="M35" s="177" t="str"/>
      <x:c r="N35" s="137" t="str"/>
      <x:c r="O35" s="137" t="str"/>
      <x:c r="P35" s="138" t="str"/>
      <x:c r="Q35" s="137" t="str"/>
      <x:c r="R35" s="137" t="str"/>
      <x:c r="S35" s="137" t="str"/>
    </x:row>
    <x:row r="36">
      <x:c r="A36" s="137" t="str"/>
      <x:c r="B36" s="137" t="str"/>
      <x:c r="C36" s="137" t="str"/>
      <x:c r="D36" s="177" t="str"/>
      <x:c r="E36" s="137" t="str"/>
      <x:c r="F36" s="177" t="str"/>
      <x:c r="G36" s="137" t="str"/>
      <x:c r="H36" s="177" t="str"/>
      <x:c r="I36" s="137" t="str"/>
      <x:c r="J36" s="177" t="str"/>
      <x:c r="K36" s="177" t="str"/>
      <x:c r="L36" s="177" t="str"/>
      <x:c r="M36" s="177" t="str"/>
      <x:c r="N36" s="137" t="str"/>
      <x:c r="O36" s="137" t="str"/>
      <x:c r="P36" s="138" t="str"/>
      <x:c r="Q36" s="137" t="str"/>
      <x:c r="R36" s="137" t="str"/>
      <x:c r="S36" s="137" t="str"/>
    </x:row>
    <x:row r="37">
      <x:c r="A37" s="137" t="str"/>
      <x:c r="B37" s="137" t="str"/>
      <x:c r="C37" s="137" t="str"/>
      <x:c r="D37" s="177" t="str"/>
      <x:c r="E37" s="137" t="str"/>
      <x:c r="F37" s="177" t="str"/>
      <x:c r="G37" s="137" t="str"/>
      <x:c r="H37" s="177" t="str"/>
      <x:c r="I37" s="137" t="str"/>
      <x:c r="J37" s="177" t="str"/>
      <x:c r="K37" s="177" t="str"/>
      <x:c r="L37" s="177" t="str"/>
      <x:c r="M37" s="177" t="str"/>
      <x:c r="N37" s="137" t="str"/>
      <x:c r="O37" s="137" t="str"/>
      <x:c r="P37" s="138" t="str"/>
      <x:c r="Q37" s="137" t="str"/>
      <x:c r="R37" s="137" t="str"/>
      <x:c r="S37" s="137" t="str"/>
    </x:row>
    <x:row r="38">
      <x:c r="A38" s="137" t="str"/>
      <x:c r="B38" s="137" t="str"/>
      <x:c r="C38" s="137" t="str"/>
      <x:c r="D38" s="177" t="str"/>
      <x:c r="E38" s="137" t="str"/>
      <x:c r="F38" s="177" t="str"/>
      <x:c r="G38" s="137" t="str"/>
      <x:c r="H38" s="177" t="str"/>
      <x:c r="I38" s="137" t="str"/>
      <x:c r="J38" s="177" t="str"/>
      <x:c r="K38" s="177" t="str"/>
      <x:c r="L38" s="177" t="str"/>
      <x:c r="M38" s="177" t="str"/>
      <x:c r="N38" s="137" t="str"/>
      <x:c r="O38" s="137" t="str"/>
      <x:c r="P38" s="138" t="str"/>
      <x:c r="Q38" s="137" t="str"/>
      <x:c r="R38" s="137" t="str"/>
      <x:c r="S38" s="137" t="str"/>
    </x:row>
    <x:row r="39">
      <x:c r="A39" s="137" t="str"/>
      <x:c r="B39" s="137" t="str"/>
      <x:c r="C39" s="137" t="str"/>
      <x:c r="D39" s="177" t="str"/>
      <x:c r="E39" s="137" t="str"/>
      <x:c r="F39" s="177" t="str"/>
      <x:c r="G39" s="137" t="str"/>
      <x:c r="H39" s="177" t="str"/>
      <x:c r="I39" s="137" t="str"/>
      <x:c r="J39" s="177" t="str"/>
      <x:c r="K39" s="177" t="str"/>
      <x:c r="L39" s="177" t="str"/>
      <x:c r="M39" s="177" t="str"/>
      <x:c r="N39" s="137" t="str"/>
      <x:c r="O39" s="137" t="str"/>
      <x:c r="P39" s="138" t="str"/>
      <x:c r="Q39" s="137" t="str"/>
      <x:c r="R39" s="137" t="str"/>
      <x:c r="S39" s="137" t="str"/>
    </x:row>
    <x:row r="40">
      <x:c r="A40" s="137" t="str"/>
      <x:c r="B40" s="137" t="str"/>
      <x:c r="C40" s="137" t="str"/>
      <x:c r="D40" s="177" t="str"/>
      <x:c r="E40" s="137" t="str"/>
      <x:c r="F40" s="177" t="str"/>
      <x:c r="G40" s="137" t="str"/>
      <x:c r="H40" s="177" t="str"/>
      <x:c r="I40" s="137" t="str"/>
      <x:c r="J40" s="177" t="str"/>
      <x:c r="K40" s="177" t="str"/>
      <x:c r="L40" s="177" t="str"/>
      <x:c r="M40" s="177" t="str"/>
      <x:c r="N40" s="137" t="str"/>
      <x:c r="O40" s="137" t="str"/>
      <x:c r="P40" s="138" t="str"/>
      <x:c r="Q40" s="137" t="str"/>
      <x:c r="R40" s="137" t="str"/>
      <x:c r="S40" s="137" t="str"/>
    </x:row>
    <x:row r="41">
      <x:c r="A41" s="137" t="str"/>
      <x:c r="B41" s="137" t="str"/>
      <x:c r="C41" s="137" t="str"/>
      <x:c r="D41" s="177" t="str"/>
      <x:c r="E41" s="137" t="str"/>
      <x:c r="F41" s="177" t="str"/>
      <x:c r="G41" s="137" t="str"/>
      <x:c r="H41" s="177" t="str"/>
      <x:c r="I41" s="137" t="str"/>
      <x:c r="J41" s="177" t="str"/>
      <x:c r="K41" s="177" t="str"/>
      <x:c r="L41" s="177" t="str"/>
      <x:c r="M41" s="177" t="str"/>
      <x:c r="N41" s="137" t="str"/>
      <x:c r="O41" s="137" t="str"/>
      <x:c r="P41" s="138" t="str"/>
      <x:c r="Q41" s="137" t="str"/>
      <x:c r="R41" s="137" t="str"/>
      <x:c r="S41" s="137" t="str"/>
    </x:row>
    <x:row r="42">
      <x:c r="A42" s="137" t="str"/>
      <x:c r="B42" s="137" t="str"/>
      <x:c r="C42" s="137" t="str"/>
      <x:c r="D42" s="177" t="str"/>
      <x:c r="E42" s="137" t="str"/>
      <x:c r="F42" s="177" t="str"/>
      <x:c r="G42" s="137" t="str"/>
      <x:c r="H42" s="177" t="str"/>
      <x:c r="I42" s="137" t="str"/>
      <x:c r="J42" s="177" t="str"/>
      <x:c r="K42" s="177" t="str"/>
      <x:c r="L42" s="177" t="str"/>
      <x:c r="M42" s="177" t="str"/>
      <x:c r="N42" s="137" t="str"/>
      <x:c r="O42" s="137" t="str"/>
      <x:c r="P42" s="138" t="str"/>
      <x:c r="Q42" s="137" t="str"/>
      <x:c r="R42" s="137" t="str"/>
      <x:c r="S42" s="137" t="str"/>
    </x:row>
    <x:row r="43">
      <x:c r="A43" s="137" t="str"/>
      <x:c r="B43" s="137" t="str"/>
      <x:c r="C43" s="137" t="str"/>
      <x:c r="D43" s="177" t="str"/>
      <x:c r="E43" s="137" t="str"/>
      <x:c r="F43" s="177" t="str"/>
      <x:c r="G43" s="137" t="str"/>
      <x:c r="H43" s="177" t="str"/>
      <x:c r="I43" s="137" t="str"/>
      <x:c r="J43" s="177" t="str"/>
      <x:c r="K43" s="177" t="str"/>
      <x:c r="L43" s="177" t="str"/>
      <x:c r="M43" s="177" t="str"/>
      <x:c r="N43" s="137" t="str"/>
      <x:c r="O43" s="137" t="str"/>
      <x:c r="P43" s="138" t="str"/>
      <x:c r="Q43" s="137" t="str"/>
      <x:c r="R43" s="137" t="str"/>
      <x:c r="S43" s="137" t="str"/>
    </x:row>
    <x:row r="44">
      <x:c r="A44" s="137" t="str"/>
      <x:c r="B44" s="137" t="str"/>
      <x:c r="C44" s="137" t="str"/>
      <x:c r="D44" s="177" t="str"/>
      <x:c r="E44" s="137" t="str"/>
      <x:c r="F44" s="177" t="str"/>
      <x:c r="G44" s="137" t="str"/>
      <x:c r="H44" s="177" t="str"/>
      <x:c r="I44" s="137" t="str"/>
      <x:c r="J44" s="177" t="str"/>
      <x:c r="K44" s="177" t="str"/>
      <x:c r="L44" s="177" t="str"/>
      <x:c r="M44" s="177" t="str"/>
      <x:c r="N44" s="137" t="str"/>
      <x:c r="O44" s="137" t="str"/>
      <x:c r="P44" s="138" t="str"/>
      <x:c r="Q44" s="137" t="str"/>
      <x:c r="R44" s="137" t="str"/>
      <x:c r="S44" s="137" t="str"/>
    </x:row>
    <x:row r="45">
      <x:c r="A45" s="137" t="str"/>
      <x:c r="B45" s="137" t="str"/>
      <x:c r="C45" s="137" t="str"/>
      <x:c r="D45" s="177" t="str"/>
      <x:c r="E45" s="137" t="str"/>
      <x:c r="F45" s="177" t="str"/>
      <x:c r="G45" s="137" t="str"/>
      <x:c r="H45" s="177" t="str"/>
      <x:c r="I45" s="137" t="str"/>
      <x:c r="J45" s="177" t="str"/>
      <x:c r="K45" s="177" t="str"/>
      <x:c r="L45" s="177" t="str"/>
      <x:c r="M45" s="177" t="str"/>
      <x:c r="N45" s="137" t="str"/>
      <x:c r="O45" s="137" t="str"/>
      <x:c r="P45" s="138" t="str"/>
      <x:c r="Q45" s="137" t="str"/>
      <x:c r="R45" s="137" t="str"/>
      <x:c r="S45" s="137" t="str"/>
    </x:row>
    <x:row r="46">
      <x:c r="A46" s="137" t="str"/>
      <x:c r="B46" s="137" t="str"/>
      <x:c r="C46" s="137" t="str"/>
      <x:c r="D46" s="177" t="str"/>
      <x:c r="E46" s="137" t="str"/>
      <x:c r="F46" s="177" t="str"/>
      <x:c r="G46" s="137" t="str"/>
      <x:c r="H46" s="177" t="str"/>
      <x:c r="I46" s="137" t="str"/>
      <x:c r="J46" s="177" t="str"/>
      <x:c r="K46" s="177" t="str"/>
      <x:c r="L46" s="177" t="str"/>
      <x:c r="M46" s="177" t="str"/>
      <x:c r="N46" s="137" t="str"/>
      <x:c r="O46" s="137" t="str"/>
      <x:c r="P46" s="138" t="str"/>
      <x:c r="Q46" s="137" t="str"/>
      <x:c r="R46" s="137" t="str"/>
      <x:c r="S46" s="137" t="str"/>
    </x:row>
    <x:row r="47">
      <x:c r="A47" s="137" t="str"/>
      <x:c r="B47" s="137" t="str"/>
      <x:c r="C47" s="137" t="str"/>
      <x:c r="D47" s="177" t="str"/>
      <x:c r="E47" s="137" t="str"/>
      <x:c r="F47" s="177" t="str"/>
      <x:c r="G47" s="137" t="str"/>
      <x:c r="H47" s="177" t="str"/>
      <x:c r="I47" s="137" t="str"/>
      <x:c r="J47" s="177" t="str"/>
      <x:c r="K47" s="177" t="str"/>
      <x:c r="L47" s="177" t="str"/>
      <x:c r="M47" s="177" t="str"/>
      <x:c r="N47" s="137" t="str"/>
      <x:c r="O47" s="137" t="str"/>
      <x:c r="P47" s="138" t="str"/>
      <x:c r="Q47" s="137" t="str"/>
      <x:c r="R47" s="137" t="str"/>
      <x:c r="S47" s="137" t="str"/>
    </x:row>
    <x:row r="48">
      <x:c r="A48" s="137" t="str"/>
      <x:c r="B48" s="137" t="str"/>
      <x:c r="C48" s="137" t="str"/>
      <x:c r="D48" s="177" t="str"/>
      <x:c r="E48" s="137" t="str"/>
      <x:c r="F48" s="177" t="str"/>
      <x:c r="G48" s="137" t="str"/>
      <x:c r="H48" s="177" t="str"/>
      <x:c r="I48" s="137" t="str"/>
      <x:c r="J48" s="177" t="str"/>
      <x:c r="K48" s="177" t="str"/>
      <x:c r="L48" s="177" t="str"/>
      <x:c r="M48" s="177" t="str"/>
      <x:c r="N48" s="137" t="str"/>
      <x:c r="O48" s="137" t="str"/>
      <x:c r="P48" s="138" t="str"/>
      <x:c r="Q48" s="137" t="str"/>
      <x:c r="R48" s="137" t="str"/>
      <x:c r="S48" s="137" t="str"/>
    </x:row>
    <x:row r="49">
      <x:c r="A49" s="137" t="str"/>
      <x:c r="B49" s="137" t="str"/>
      <x:c r="C49" s="137" t="str"/>
      <x:c r="D49" s="177" t="str"/>
      <x:c r="E49" s="137" t="str"/>
      <x:c r="F49" s="177" t="str"/>
      <x:c r="G49" s="137" t="str"/>
      <x:c r="H49" s="177" t="str"/>
      <x:c r="I49" s="137" t="str"/>
      <x:c r="J49" s="177" t="str"/>
      <x:c r="K49" s="177" t="str"/>
      <x:c r="L49" s="177" t="str"/>
      <x:c r="M49" s="177" t="str"/>
      <x:c r="N49" s="137" t="str"/>
      <x:c r="O49" s="137" t="str"/>
      <x:c r="P49" s="138" t="str"/>
      <x:c r="Q49" s="137" t="str"/>
      <x:c r="R49" s="137" t="str"/>
      <x:c r="S49" s="137" t="str"/>
    </x:row>
    <x:row r="50">
      <x:c r="A50" s="137" t="str"/>
      <x:c r="B50" s="137" t="str"/>
      <x:c r="C50" s="137" t="str"/>
      <x:c r="D50" s="177" t="str"/>
      <x:c r="E50" s="137" t="str"/>
      <x:c r="F50" s="177" t="str"/>
      <x:c r="G50" s="137" t="str"/>
      <x:c r="H50" s="177" t="str"/>
      <x:c r="I50" s="137" t="str"/>
      <x:c r="J50" s="177" t="str"/>
      <x:c r="K50" s="177" t="str"/>
      <x:c r="L50" s="177" t="str"/>
      <x:c r="M50" s="177" t="str"/>
      <x:c r="N50" s="137" t="str"/>
      <x:c r="O50" s="137" t="str"/>
      <x:c r="P50" s="138" t="str"/>
      <x:c r="Q50" s="137" t="str"/>
      <x:c r="R50" s="137" t="str"/>
      <x:c r="S50" s="137" t="str"/>
    </x:row>
    <x:row r="51">
      <x:c r="A51" s="137" t="str"/>
      <x:c r="B51" s="137" t="str"/>
      <x:c r="C51" s="137" t="str"/>
      <x:c r="D51" s="177" t="str"/>
      <x:c r="E51" s="137" t="str"/>
      <x:c r="F51" s="177" t="str"/>
      <x:c r="G51" s="137" t="str"/>
      <x:c r="H51" s="177" t="str"/>
      <x:c r="I51" s="137" t="str"/>
      <x:c r="J51" s="177" t="str"/>
      <x:c r="K51" s="177" t="str"/>
      <x:c r="L51" s="177" t="str"/>
      <x:c r="M51" s="177" t="str"/>
      <x:c r="N51" s="137" t="str"/>
      <x:c r="O51" s="137" t="str"/>
      <x:c r="P51" s="138" t="str"/>
      <x:c r="Q51" s="137" t="str"/>
      <x:c r="R51" s="137" t="str"/>
      <x:c r="S51" s="137" t="str"/>
    </x:row>
    <x:row r="52">
      <x:c r="A52" s="137" t="str"/>
      <x:c r="B52" s="137" t="str"/>
      <x:c r="C52" s="137" t="str"/>
      <x:c r="D52" s="177" t="str"/>
      <x:c r="E52" s="137" t="str"/>
      <x:c r="F52" s="177" t="str"/>
      <x:c r="G52" s="137" t="str"/>
      <x:c r="H52" s="177" t="str"/>
      <x:c r="I52" s="137" t="str"/>
      <x:c r="J52" s="177" t="str"/>
      <x:c r="K52" s="177" t="str"/>
      <x:c r="L52" s="177" t="str"/>
      <x:c r="M52" s="177" t="str"/>
      <x:c r="N52" s="137" t="str"/>
      <x:c r="O52" s="137" t="str"/>
      <x:c r="P52" s="138" t="str"/>
      <x:c r="Q52" s="137" t="str"/>
      <x:c r="R52" s="137" t="str"/>
      <x:c r="S52" s="137" t="str"/>
    </x:row>
    <x:row r="53">
      <x:c r="A53" s="137" t="str"/>
      <x:c r="B53" s="137" t="str"/>
      <x:c r="C53" s="137" t="str"/>
      <x:c r="D53" s="177" t="str"/>
      <x:c r="E53" s="137" t="str"/>
      <x:c r="F53" s="177" t="str"/>
      <x:c r="G53" s="137" t="str"/>
      <x:c r="H53" s="177" t="str"/>
      <x:c r="I53" s="137" t="str"/>
      <x:c r="J53" s="177" t="str"/>
      <x:c r="K53" s="177" t="str"/>
      <x:c r="L53" s="177" t="str"/>
      <x:c r="M53" s="177" t="str"/>
      <x:c r="N53" s="137" t="str"/>
      <x:c r="O53" s="137" t="str"/>
      <x:c r="P53" s="138" t="str"/>
      <x:c r="Q53" s="137" t="str"/>
      <x:c r="R53" s="137" t="str"/>
      <x:c r="S53" s="137" t="str"/>
    </x:row>
    <x:row r="54">
      <x:c r="A54" s="137" t="str"/>
      <x:c r="B54" s="137" t="str"/>
      <x:c r="C54" s="137" t="str"/>
      <x:c r="D54" s="177" t="str"/>
      <x:c r="E54" s="137" t="str"/>
      <x:c r="F54" s="177" t="str"/>
      <x:c r="G54" s="137" t="str"/>
      <x:c r="H54" s="177" t="str"/>
      <x:c r="I54" s="137" t="str"/>
      <x:c r="J54" s="177" t="str"/>
      <x:c r="K54" s="177" t="str"/>
      <x:c r="L54" s="177" t="str"/>
      <x:c r="M54" s="177" t="str"/>
      <x:c r="N54" s="137" t="str"/>
      <x:c r="O54" s="137" t="str"/>
      <x:c r="P54" s="138" t="str"/>
      <x:c r="Q54" s="137" t="str"/>
      <x:c r="R54" s="137" t="str"/>
      <x:c r="S54" s="137" t="str"/>
    </x:row>
    <x:row r="55">
      <x:c r="A55" s="137" t="str"/>
      <x:c r="B55" s="137" t="str"/>
      <x:c r="C55" s="137" t="str"/>
      <x:c r="D55" s="177" t="str"/>
      <x:c r="E55" s="137" t="str"/>
      <x:c r="F55" s="177" t="str"/>
      <x:c r="G55" s="137" t="str"/>
      <x:c r="H55" s="177" t="str"/>
      <x:c r="I55" s="137" t="str"/>
      <x:c r="J55" s="177" t="str"/>
      <x:c r="K55" s="177" t="str"/>
      <x:c r="L55" s="177" t="str"/>
      <x:c r="M55" s="177" t="str"/>
      <x:c r="N55" s="137" t="str"/>
      <x:c r="O55" s="137" t="str"/>
      <x:c r="P55" s="138" t="str"/>
      <x:c r="Q55" s="137" t="str"/>
      <x:c r="R55" s="137" t="str"/>
      <x:c r="S55" s="137" t="str"/>
    </x:row>
    <x:row r="56">
      <x:c r="A56" s="137" t="str"/>
      <x:c r="B56" s="137" t="str"/>
      <x:c r="C56" s="137" t="str"/>
      <x:c r="D56" s="177" t="str"/>
      <x:c r="E56" s="137" t="str"/>
      <x:c r="F56" s="177" t="str"/>
      <x:c r="G56" s="137" t="str"/>
      <x:c r="H56" s="177" t="str"/>
      <x:c r="I56" s="137" t="str"/>
      <x:c r="J56" s="177" t="str"/>
      <x:c r="K56" s="177" t="str"/>
      <x:c r="L56" s="177" t="str"/>
      <x:c r="M56" s="177" t="str"/>
      <x:c r="N56" s="137" t="str"/>
      <x:c r="O56" s="137" t="str"/>
      <x:c r="P56" s="138" t="str"/>
      <x:c r="Q56" s="137" t="str"/>
      <x:c r="R56" s="137" t="str"/>
      <x:c r="S56" s="137" t="str"/>
    </x:row>
    <x:row r="57">
      <x:c r="A57" s="137" t="str"/>
      <x:c r="B57" s="137" t="str"/>
      <x:c r="C57" s="137" t="str"/>
      <x:c r="D57" s="177" t="str"/>
      <x:c r="E57" s="137" t="str"/>
      <x:c r="F57" s="177" t="str"/>
      <x:c r="G57" s="137" t="str"/>
      <x:c r="H57" s="177" t="str"/>
      <x:c r="I57" s="137" t="str"/>
      <x:c r="J57" s="177" t="str"/>
      <x:c r="K57" s="177" t="str"/>
      <x:c r="L57" s="177" t="str"/>
      <x:c r="M57" s="177" t="str"/>
      <x:c r="N57" s="137" t="str"/>
      <x:c r="O57" s="137" t="str"/>
      <x:c r="P57" s="138" t="str"/>
      <x:c r="Q57" s="137" t="str"/>
      <x:c r="R57" s="137" t="str"/>
      <x:c r="S57" s="137" t="str"/>
    </x:row>
    <x:row r="58">
      <x:c r="A58" s="137" t="str"/>
      <x:c r="B58" s="137" t="str"/>
      <x:c r="C58" s="137" t="str"/>
      <x:c r="D58" s="177" t="str"/>
      <x:c r="E58" s="137" t="str"/>
      <x:c r="F58" s="177" t="str"/>
      <x:c r="G58" s="137" t="str"/>
      <x:c r="H58" s="177" t="str"/>
      <x:c r="I58" s="137" t="str"/>
      <x:c r="J58" s="177" t="str"/>
      <x:c r="K58" s="177" t="str"/>
      <x:c r="L58" s="177" t="str"/>
      <x:c r="M58" s="177" t="str"/>
      <x:c r="N58" s="137" t="str"/>
      <x:c r="O58" s="137" t="str"/>
      <x:c r="P58" s="138" t="str"/>
      <x:c r="Q58" s="137" t="str"/>
      <x:c r="R58" s="137" t="str"/>
      <x:c r="S58" s="137" t="str"/>
    </x:row>
    <x:row r="59">
      <x:c r="A59" s="137" t="str"/>
      <x:c r="B59" s="137" t="str"/>
      <x:c r="C59" s="137" t="str"/>
      <x:c r="D59" s="177" t="str"/>
      <x:c r="E59" s="137" t="str"/>
      <x:c r="F59" s="177" t="str"/>
      <x:c r="G59" s="137" t="str"/>
      <x:c r="H59" s="177" t="str"/>
      <x:c r="I59" s="137" t="str"/>
      <x:c r="J59" s="177" t="str"/>
      <x:c r="K59" s="177" t="str"/>
      <x:c r="L59" s="177" t="str"/>
      <x:c r="M59" s="177" t="str"/>
      <x:c r="N59" s="137" t="str"/>
      <x:c r="O59" s="137" t="str"/>
      <x:c r="P59" s="138" t="str"/>
      <x:c r="Q59" s="137" t="str"/>
      <x:c r="R59" s="137" t="str"/>
      <x:c r="S59" s="137" t="str"/>
    </x:row>
    <x:row r="60">
      <x:c r="A60" s="137" t="str"/>
      <x:c r="B60" s="137" t="str"/>
      <x:c r="C60" s="137" t="str"/>
      <x:c r="D60" s="177" t="str"/>
      <x:c r="E60" s="137" t="str"/>
      <x:c r="F60" s="177" t="str"/>
      <x:c r="G60" s="137" t="str"/>
      <x:c r="H60" s="177" t="str"/>
      <x:c r="I60" s="137" t="str"/>
      <x:c r="J60" s="177" t="str"/>
      <x:c r="K60" s="177" t="str"/>
      <x:c r="L60" s="177" t="str"/>
      <x:c r="M60" s="177" t="str"/>
      <x:c r="N60" s="137" t="str"/>
      <x:c r="O60" s="137" t="str"/>
      <x:c r="P60" s="138" t="str"/>
      <x:c r="Q60" s="137" t="str"/>
      <x:c r="R60" s="137" t="str"/>
      <x:c r="S60" s="137" t="str"/>
    </x:row>
    <x:row r="61">
      <x:c r="A61" s="137" t="str"/>
      <x:c r="B61" s="137" t="str"/>
      <x:c r="C61" s="137" t="str"/>
      <x:c r="D61" s="177" t="str"/>
      <x:c r="E61" s="137" t="str"/>
      <x:c r="F61" s="177" t="str"/>
      <x:c r="G61" s="137" t="str"/>
      <x:c r="H61" s="177" t="str"/>
      <x:c r="I61" s="137" t="str"/>
      <x:c r="J61" s="177" t="str"/>
      <x:c r="K61" s="177" t="str"/>
      <x:c r="L61" s="177" t="str"/>
      <x:c r="M61" s="177" t="str"/>
      <x:c r="N61" s="137" t="str"/>
      <x:c r="O61" s="137" t="str"/>
      <x:c r="P61" s="138" t="str"/>
      <x:c r="Q61" s="137" t="str"/>
      <x:c r="R61" s="137" t="str"/>
      <x:c r="S61" s="137" t="str"/>
    </x:row>
    <x:row r="62">
      <x:c r="A62" s="137" t="str"/>
      <x:c r="B62" s="137" t="str"/>
      <x:c r="C62" s="137" t="str"/>
      <x:c r="D62" s="177" t="str"/>
      <x:c r="E62" s="137" t="str"/>
      <x:c r="F62" s="177" t="str"/>
      <x:c r="G62" s="137" t="str"/>
      <x:c r="H62" s="177" t="str"/>
      <x:c r="I62" s="137" t="str"/>
      <x:c r="J62" s="177" t="str"/>
      <x:c r="K62" s="177" t="str"/>
      <x:c r="L62" s="177" t="str"/>
      <x:c r="M62" s="177" t="str"/>
      <x:c r="N62" s="137" t="str"/>
      <x:c r="O62" s="137" t="str"/>
      <x:c r="P62" s="138" t="str"/>
      <x:c r="Q62" s="137" t="str"/>
      <x:c r="R62" s="137" t="str"/>
      <x:c r="S62" s="137" t="str"/>
    </x:row>
    <x:row r="63">
      <x:c r="A63" s="137" t="str"/>
      <x:c r="B63" s="137" t="str"/>
      <x:c r="C63" s="137" t="str"/>
      <x:c r="D63" s="177" t="str"/>
      <x:c r="E63" s="137" t="str"/>
      <x:c r="F63" s="177" t="str"/>
      <x:c r="G63" s="137" t="str"/>
      <x:c r="H63" s="177" t="str"/>
      <x:c r="I63" s="137" t="str"/>
      <x:c r="J63" s="177" t="str"/>
      <x:c r="K63" s="177" t="str"/>
      <x:c r="L63" s="177" t="str"/>
      <x:c r="M63" s="177" t="str"/>
      <x:c r="N63" s="137" t="str"/>
      <x:c r="O63" s="137" t="str"/>
      <x:c r="P63" s="138" t="str"/>
      <x:c r="Q63" s="137" t="str"/>
      <x:c r="R63" s="137" t="str"/>
      <x:c r="S63" s="137" t="str"/>
    </x:row>
    <x:row r="64">
      <x:c r="A64" s="137" t="str"/>
      <x:c r="B64" s="137" t="str"/>
      <x:c r="C64" s="137" t="str"/>
      <x:c r="D64" s="177" t="str"/>
      <x:c r="E64" s="137" t="str"/>
      <x:c r="F64" s="177" t="str"/>
      <x:c r="G64" s="137" t="str"/>
      <x:c r="H64" s="177" t="str"/>
      <x:c r="I64" s="137" t="str"/>
      <x:c r="J64" s="177" t="str"/>
      <x:c r="K64" s="177" t="str"/>
      <x:c r="L64" s="177" t="str"/>
      <x:c r="M64" s="177" t="str"/>
      <x:c r="N64" s="137" t="str"/>
      <x:c r="O64" s="137" t="str"/>
      <x:c r="P64" s="138" t="str"/>
      <x:c r="Q64" s="137" t="str"/>
      <x:c r="R64" s="137" t="str"/>
      <x:c r="S64" s="137" t="str"/>
    </x:row>
    <x:row r="65">
      <x:c r="A65" s="137" t="str"/>
      <x:c r="B65" s="137" t="str"/>
      <x:c r="C65" s="137" t="str"/>
      <x:c r="D65" s="177" t="str"/>
      <x:c r="E65" s="137" t="str"/>
      <x:c r="F65" s="177" t="str"/>
      <x:c r="G65" s="137" t="str"/>
      <x:c r="H65" s="177" t="str"/>
      <x:c r="I65" s="137" t="str"/>
      <x:c r="J65" s="177" t="str"/>
      <x:c r="K65" s="177" t="str"/>
      <x:c r="L65" s="177" t="str"/>
      <x:c r="M65" s="177" t="str"/>
      <x:c r="N65" s="137" t="str"/>
      <x:c r="O65" s="137" t="str"/>
      <x:c r="P65" s="138" t="str"/>
      <x:c r="Q65" s="137" t="str"/>
      <x:c r="R65" s="137" t="str"/>
      <x:c r="S65" s="137" t="str"/>
    </x:row>
    <x:row r="66">
      <x:c r="A66" s="137" t="str"/>
      <x:c r="B66" s="137" t="str"/>
      <x:c r="C66" s="137" t="str"/>
      <x:c r="D66" s="177" t="str"/>
      <x:c r="E66" s="137" t="str"/>
      <x:c r="F66" s="177" t="str"/>
      <x:c r="G66" s="137" t="str"/>
      <x:c r="H66" s="177" t="str"/>
      <x:c r="I66" s="137" t="str"/>
      <x:c r="J66" s="177" t="str"/>
      <x:c r="K66" s="177" t="str"/>
      <x:c r="L66" s="177" t="str"/>
      <x:c r="M66" s="177" t="str"/>
      <x:c r="N66" s="137" t="str"/>
      <x:c r="O66" s="137" t="str"/>
      <x:c r="P66" s="138" t="str"/>
      <x:c r="Q66" s="137" t="str"/>
      <x:c r="R66" s="137" t="str"/>
      <x:c r="S66" s="137" t="str"/>
    </x:row>
    <x:row r="67">
      <x:c r="A67" s="137" t="str"/>
      <x:c r="B67" s="137" t="str"/>
      <x:c r="C67" s="137" t="str"/>
      <x:c r="D67" s="177" t="str"/>
      <x:c r="E67" s="137" t="str"/>
      <x:c r="F67" s="177" t="str"/>
      <x:c r="G67" s="137" t="str"/>
      <x:c r="H67" s="177" t="str"/>
      <x:c r="I67" s="137" t="str"/>
      <x:c r="J67" s="177" t="str"/>
      <x:c r="K67" s="177" t="str"/>
      <x:c r="L67" s="177" t="str"/>
      <x:c r="M67" s="177" t="str"/>
      <x:c r="N67" s="137" t="str"/>
      <x:c r="O67" s="137" t="str"/>
      <x:c r="P67" s="138" t="str"/>
      <x:c r="Q67" s="137" t="str"/>
      <x:c r="R67" s="137" t="str"/>
      <x:c r="S67" s="137" t="str"/>
    </x:row>
    <x:row r="68">
      <x:c r="A68" s="137" t="str"/>
      <x:c r="B68" s="137" t="str"/>
      <x:c r="C68" s="137" t="str"/>
      <x:c r="D68" s="177" t="str"/>
      <x:c r="E68" s="137" t="str"/>
      <x:c r="F68" s="177" t="str"/>
      <x:c r="G68" s="137" t="str"/>
      <x:c r="H68" s="177" t="str"/>
      <x:c r="I68" s="137" t="str"/>
      <x:c r="J68" s="177" t="str"/>
      <x:c r="K68" s="177" t="str"/>
      <x:c r="L68" s="177" t="str"/>
      <x:c r="M68" s="177" t="str"/>
      <x:c r="N68" s="137" t="str"/>
      <x:c r="O68" s="137" t="str"/>
      <x:c r="P68" s="138" t="str"/>
      <x:c r="Q68" s="137" t="str"/>
      <x:c r="R68" s="137" t="str"/>
      <x:c r="S68" s="137" t="str"/>
    </x:row>
    <x:row r="69">
      <x:c r="A69" s="137" t="str"/>
      <x:c r="B69" s="137" t="str"/>
      <x:c r="C69" s="137" t="str"/>
      <x:c r="D69" s="177" t="str"/>
      <x:c r="E69" s="137" t="str"/>
      <x:c r="F69" s="177" t="str"/>
      <x:c r="G69" s="137" t="str"/>
      <x:c r="H69" s="177" t="str"/>
      <x:c r="I69" s="137" t="str"/>
      <x:c r="J69" s="177" t="str"/>
      <x:c r="K69" s="177" t="str"/>
      <x:c r="L69" s="177" t="str"/>
      <x:c r="M69" s="177" t="str"/>
      <x:c r="N69" s="137" t="str"/>
      <x:c r="O69" s="137" t="str"/>
      <x:c r="P69" s="138" t="str"/>
      <x:c r="Q69" s="137" t="str"/>
      <x:c r="R69" s="137" t="str"/>
      <x:c r="S69" s="137" t="str"/>
    </x:row>
    <x:row r="70">
      <x:c r="A70" s="137" t="str"/>
      <x:c r="B70" s="137" t="str"/>
      <x:c r="C70" s="137" t="str"/>
      <x:c r="D70" s="177" t="str"/>
      <x:c r="E70" s="137" t="str"/>
      <x:c r="F70" s="177" t="str"/>
      <x:c r="G70" s="137" t="str"/>
      <x:c r="H70" s="177" t="str"/>
      <x:c r="I70" s="137" t="str"/>
      <x:c r="J70" s="177" t="str"/>
      <x:c r="K70" s="177" t="str"/>
      <x:c r="L70" s="177" t="str"/>
      <x:c r="M70" s="177" t="str"/>
      <x:c r="N70" s="137" t="str"/>
      <x:c r="O70" s="137" t="str"/>
      <x:c r="P70" s="138" t="str"/>
      <x:c r="Q70" s="137" t="str"/>
      <x:c r="R70" s="137" t="str"/>
      <x:c r="S70" s="137" t="str"/>
    </x:row>
    <x:row r="71">
      <x:c r="A71" s="137" t="str"/>
      <x:c r="B71" s="137" t="str"/>
      <x:c r="C71" s="137" t="str"/>
      <x:c r="D71" s="177" t="str"/>
      <x:c r="E71" s="137" t="str"/>
      <x:c r="F71" s="177" t="str"/>
      <x:c r="G71" s="137" t="str"/>
      <x:c r="H71" s="177" t="str"/>
      <x:c r="I71" s="137" t="str"/>
      <x:c r="J71" s="177" t="str"/>
      <x:c r="K71" s="177" t="str"/>
      <x:c r="L71" s="177" t="str"/>
      <x:c r="M71" s="177" t="str"/>
      <x:c r="N71" s="137" t="str"/>
      <x:c r="O71" s="137" t="str"/>
      <x:c r="P71" s="138" t="str"/>
      <x:c r="Q71" s="137" t="str"/>
      <x:c r="R71" s="137" t="str"/>
      <x:c r="S71" s="137" t="str"/>
    </x:row>
    <x:row r="72">
      <x:c r="A72" s="137" t="str"/>
      <x:c r="B72" s="137" t="str"/>
      <x:c r="C72" s="137" t="str"/>
      <x:c r="D72" s="177" t="str"/>
      <x:c r="E72" s="137" t="str"/>
      <x:c r="F72" s="177" t="str"/>
      <x:c r="G72" s="137" t="str"/>
      <x:c r="H72" s="177" t="str"/>
      <x:c r="I72" s="137" t="str"/>
      <x:c r="J72" s="177" t="str"/>
      <x:c r="K72" s="177" t="str"/>
      <x:c r="L72" s="177" t="str"/>
      <x:c r="M72" s="177" t="str"/>
      <x:c r="N72" s="137" t="str"/>
      <x:c r="O72" s="137" t="str"/>
      <x:c r="P72" s="138" t="str"/>
      <x:c r="Q72" s="137" t="str"/>
      <x:c r="R72" s="137" t="str"/>
      <x:c r="S72" s="137" t="str"/>
    </x:row>
    <x:row r="73">
      <x:c r="A73" s="137" t="str"/>
      <x:c r="B73" s="137" t="str"/>
      <x:c r="C73" s="137" t="str"/>
      <x:c r="D73" s="177" t="str"/>
      <x:c r="E73" s="137" t="str"/>
      <x:c r="F73" s="177" t="str"/>
      <x:c r="G73" s="137" t="str"/>
      <x:c r="H73" s="177" t="str"/>
      <x:c r="I73" s="137" t="str"/>
      <x:c r="J73" s="177" t="str"/>
      <x:c r="K73" s="177" t="str"/>
      <x:c r="L73" s="177" t="str"/>
      <x:c r="M73" s="177" t="str"/>
      <x:c r="N73" s="137" t="str"/>
      <x:c r="O73" s="137" t="str"/>
      <x:c r="P73" s="138" t="str"/>
      <x:c r="Q73" s="137" t="str"/>
      <x:c r="R73" s="137" t="str"/>
      <x:c r="S73" s="137" t="str"/>
    </x:row>
    <x:row r="74">
      <x:c r="A74" s="137" t="str"/>
      <x:c r="B74" s="137" t="str"/>
      <x:c r="C74" s="137" t="str"/>
      <x:c r="D74" s="177" t="str"/>
      <x:c r="E74" s="137" t="str"/>
      <x:c r="F74" s="177" t="str"/>
      <x:c r="G74" s="137" t="str"/>
      <x:c r="H74" s="177" t="str"/>
      <x:c r="I74" s="137" t="str"/>
      <x:c r="J74" s="177" t="str"/>
      <x:c r="K74" s="177" t="str"/>
      <x:c r="L74" s="177" t="str"/>
      <x:c r="M74" s="177" t="str"/>
      <x:c r="N74" s="137" t="str"/>
      <x:c r="O74" s="137" t="str"/>
      <x:c r="P74" s="138" t="str"/>
      <x:c r="Q74" s="137" t="str"/>
      <x:c r="R74" s="137" t="str"/>
      <x:c r="S74" s="137" t="str"/>
    </x:row>
    <x:row r="75">
      <x:c r="A75" s="137" t="str"/>
      <x:c r="B75" s="137" t="str"/>
      <x:c r="C75" s="137" t="str"/>
      <x:c r="D75" s="177" t="str"/>
      <x:c r="E75" s="137" t="str"/>
      <x:c r="F75" s="177" t="str"/>
      <x:c r="G75" s="137" t="str"/>
      <x:c r="H75" s="177" t="str"/>
      <x:c r="I75" s="137" t="str"/>
      <x:c r="J75" s="177" t="str"/>
      <x:c r="K75" s="177" t="str"/>
      <x:c r="L75" s="177" t="str"/>
      <x:c r="M75" s="177" t="str"/>
      <x:c r="N75" s="137" t="str"/>
      <x:c r="O75" s="137" t="str"/>
      <x:c r="P75" s="138" t="str"/>
      <x:c r="Q75" s="137" t="str"/>
      <x:c r="R75" s="137" t="str"/>
      <x:c r="S75" s="137" t="str"/>
    </x:row>
    <x:row r="76">
      <x:c r="A76" s="137" t="str"/>
      <x:c r="B76" s="137" t="str"/>
      <x:c r="C76" s="137" t="str"/>
      <x:c r="D76" s="177" t="str"/>
      <x:c r="E76" s="137" t="str"/>
      <x:c r="F76" s="177" t="str"/>
      <x:c r="G76" s="137" t="str"/>
      <x:c r="H76" s="177" t="str"/>
      <x:c r="I76" s="137" t="str"/>
      <x:c r="J76" s="177" t="str"/>
      <x:c r="K76" s="177" t="str"/>
      <x:c r="L76" s="177" t="str"/>
      <x:c r="M76" s="177" t="str"/>
      <x:c r="N76" s="137" t="str"/>
      <x:c r="O76" s="137" t="str"/>
      <x:c r="P76" s="138" t="str"/>
      <x:c r="Q76" s="137" t="str"/>
      <x:c r="R76" s="137" t="str"/>
      <x:c r="S76" s="137" t="str"/>
    </x:row>
    <x:row r="77">
      <x:c r="A77" s="137" t="str"/>
      <x:c r="B77" s="137" t="str"/>
      <x:c r="C77" s="137" t="str"/>
      <x:c r="D77" s="177" t="str"/>
      <x:c r="E77" s="137" t="str"/>
      <x:c r="F77" s="177" t="str"/>
      <x:c r="G77" s="137" t="str"/>
      <x:c r="H77" s="177" t="str"/>
      <x:c r="I77" s="137" t="str"/>
      <x:c r="J77" s="177" t="str"/>
      <x:c r="K77" s="177" t="str"/>
      <x:c r="L77" s="177" t="str"/>
      <x:c r="M77" s="177" t="str"/>
      <x:c r="N77" s="137" t="str"/>
      <x:c r="O77" s="137" t="str"/>
      <x:c r="P77" s="138" t="str"/>
      <x:c r="Q77" s="137" t="str"/>
      <x:c r="R77" s="137" t="str"/>
      <x:c r="S77" s="137" t="str"/>
    </x:row>
    <x:row r="78">
      <x:c r="A78" s="137" t="str"/>
      <x:c r="B78" s="137" t="str"/>
      <x:c r="C78" s="137" t="str"/>
      <x:c r="D78" s="177" t="str"/>
      <x:c r="E78" s="137" t="str"/>
      <x:c r="F78" s="177" t="str"/>
      <x:c r="G78" s="137" t="str"/>
      <x:c r="H78" s="177" t="str"/>
      <x:c r="I78" s="137" t="str"/>
      <x:c r="J78" s="177" t="str"/>
      <x:c r="K78" s="177" t="str"/>
      <x:c r="L78" s="177" t="str"/>
      <x:c r="M78" s="177" t="str"/>
      <x:c r="N78" s="137" t="str"/>
      <x:c r="O78" s="137" t="str"/>
      <x:c r="P78" s="138" t="str"/>
      <x:c r="Q78" s="137" t="str"/>
      <x:c r="R78" s="137" t="str"/>
      <x:c r="S78" s="137" t="str"/>
    </x:row>
    <x:row r="79">
      <x:c r="A79" s="137" t="str"/>
      <x:c r="B79" s="137" t="str"/>
      <x:c r="C79" s="137" t="str"/>
      <x:c r="D79" s="177" t="str"/>
      <x:c r="E79" s="137" t="str"/>
      <x:c r="F79" s="177" t="str"/>
      <x:c r="G79" s="137" t="str"/>
      <x:c r="H79" s="177" t="str"/>
      <x:c r="I79" s="137" t="str"/>
      <x:c r="J79" s="177" t="str"/>
      <x:c r="K79" s="177" t="str"/>
      <x:c r="L79" s="177" t="str"/>
      <x:c r="M79" s="177" t="str"/>
      <x:c r="N79" s="137" t="str"/>
      <x:c r="O79" s="137" t="str"/>
      <x:c r="P79" s="138" t="str"/>
      <x:c r="Q79" s="137" t="str"/>
      <x:c r="R79" s="137" t="str"/>
      <x:c r="S79" s="137" t="str"/>
    </x:row>
    <x:row r="80">
      <x:c r="A80" s="137" t="str"/>
      <x:c r="B80" s="137" t="str"/>
      <x:c r="C80" s="137" t="str"/>
      <x:c r="D80" s="177" t="str"/>
      <x:c r="E80" s="137" t="str"/>
      <x:c r="F80" s="177" t="str"/>
      <x:c r="G80" s="137" t="str"/>
      <x:c r="H80" s="177" t="str"/>
      <x:c r="I80" s="137" t="str"/>
      <x:c r="J80" s="177" t="str"/>
      <x:c r="K80" s="177" t="str"/>
      <x:c r="L80" s="177" t="str"/>
      <x:c r="M80" s="177" t="str"/>
      <x:c r="N80" s="137" t="str"/>
      <x:c r="O80" s="137" t="str"/>
      <x:c r="P80" s="138" t="str"/>
      <x:c r="Q80" s="137" t="str"/>
      <x:c r="R80" s="137" t="str"/>
      <x:c r="S80" s="137" t="str"/>
    </x:row>
    <x:row r="81">
      <x:c r="A81" s="137" t="str"/>
      <x:c r="B81" s="137" t="str"/>
      <x:c r="C81" s="137" t="str"/>
      <x:c r="D81" s="177" t="str"/>
      <x:c r="E81" s="137" t="str"/>
      <x:c r="F81" s="177" t="str"/>
      <x:c r="G81" s="137" t="str"/>
      <x:c r="H81" s="177" t="str"/>
      <x:c r="I81" s="137" t="str"/>
      <x:c r="J81" s="177" t="str"/>
      <x:c r="K81" s="177" t="str"/>
      <x:c r="L81" s="177" t="str"/>
      <x:c r="M81" s="177" t="str"/>
      <x:c r="N81" s="137" t="str"/>
      <x:c r="O81" s="137" t="str"/>
      <x:c r="P81" s="138" t="str"/>
      <x:c r="Q81" s="137" t="str"/>
      <x:c r="R81" s="137" t="str"/>
      <x:c r="S81" s="137" t="str"/>
    </x:row>
    <x:row r="82">
      <x:c r="A82" s="137" t="str"/>
      <x:c r="B82" s="137" t="str"/>
      <x:c r="C82" s="137" t="str"/>
      <x:c r="D82" s="177" t="str"/>
      <x:c r="E82" s="137" t="str"/>
      <x:c r="F82" s="177" t="str"/>
      <x:c r="G82" s="137" t="str"/>
      <x:c r="H82" s="177" t="str"/>
      <x:c r="I82" s="137" t="str"/>
      <x:c r="J82" s="177" t="str"/>
      <x:c r="K82" s="177" t="str"/>
      <x:c r="L82" s="177" t="str"/>
      <x:c r="M82" s="177" t="str"/>
      <x:c r="N82" s="137" t="str"/>
      <x:c r="O82" s="137" t="str"/>
      <x:c r="P82" s="138" t="str"/>
      <x:c r="Q82" s="137" t="str"/>
      <x:c r="R82" s="137" t="str"/>
      <x:c r="S82" s="137" t="str"/>
    </x:row>
    <x:row r="83">
      <x:c r="A83" s="137" t="str"/>
      <x:c r="B83" s="137" t="str"/>
      <x:c r="C83" s="137" t="str"/>
      <x:c r="D83" s="177" t="str"/>
      <x:c r="E83" s="137" t="str"/>
      <x:c r="F83" s="177" t="str"/>
      <x:c r="G83" s="137" t="str"/>
      <x:c r="H83" s="177" t="str"/>
      <x:c r="I83" s="137" t="str"/>
      <x:c r="J83" s="177" t="str"/>
      <x:c r="K83" s="177" t="str"/>
      <x:c r="L83" s="177" t="str"/>
      <x:c r="M83" s="177" t="str"/>
      <x:c r="N83" s="137" t="str"/>
      <x:c r="O83" s="137" t="str"/>
      <x:c r="P83" s="138" t="str"/>
      <x:c r="Q83" s="137" t="str"/>
      <x:c r="R83" s="137" t="str"/>
      <x:c r="S83" s="137" t="str"/>
    </x:row>
    <x:row r="84">
      <x:c r="A84" s="137" t="str"/>
      <x:c r="B84" s="137" t="str"/>
      <x:c r="C84" s="137" t="str"/>
      <x:c r="D84" s="177" t="str"/>
      <x:c r="E84" s="137" t="str"/>
      <x:c r="F84" s="177" t="str"/>
      <x:c r="G84" s="137" t="str"/>
      <x:c r="H84" s="177" t="str"/>
      <x:c r="I84" s="137" t="str"/>
      <x:c r="J84" s="177" t="str"/>
      <x:c r="K84" s="177" t="str"/>
      <x:c r="L84" s="177" t="str"/>
      <x:c r="M84" s="177" t="str"/>
      <x:c r="N84" s="137" t="str"/>
      <x:c r="O84" s="137" t="str"/>
      <x:c r="P84" s="138" t="str"/>
      <x:c r="Q84" s="137" t="str"/>
      <x:c r="R84" s="137" t="str"/>
      <x:c r="S84" s="137" t="str"/>
    </x:row>
    <x:row r="85">
      <x:c r="A85" s="137" t="str"/>
      <x:c r="B85" s="137" t="str"/>
      <x:c r="C85" s="137" t="str"/>
      <x:c r="D85" s="177" t="str"/>
      <x:c r="E85" s="137" t="str"/>
      <x:c r="F85" s="177" t="str"/>
      <x:c r="G85" s="137" t="str"/>
      <x:c r="H85" s="177" t="str"/>
      <x:c r="I85" s="137" t="str"/>
      <x:c r="J85" s="177" t="str"/>
      <x:c r="K85" s="177" t="str"/>
      <x:c r="L85" s="177" t="str"/>
      <x:c r="M85" s="177" t="str"/>
      <x:c r="N85" s="137" t="str"/>
      <x:c r="O85" s="137" t="str"/>
      <x:c r="P85" s="138" t="str"/>
      <x:c r="Q85" s="137" t="str"/>
      <x:c r="R85" s="137" t="str"/>
      <x:c r="S85" s="137" t="str"/>
    </x:row>
    <x:row r="86">
      <x:c r="A86" s="137" t="str"/>
      <x:c r="B86" s="137" t="str"/>
      <x:c r="C86" s="137" t="str"/>
      <x:c r="D86" s="177" t="str"/>
      <x:c r="E86" s="137" t="str"/>
      <x:c r="F86" s="177" t="str"/>
      <x:c r="G86" s="137" t="str"/>
      <x:c r="H86" s="177" t="str"/>
      <x:c r="I86" s="137" t="str"/>
      <x:c r="J86" s="177" t="str"/>
      <x:c r="K86" s="177" t="str"/>
      <x:c r="L86" s="177" t="str"/>
      <x:c r="M86" s="177" t="str"/>
      <x:c r="N86" s="137" t="str"/>
      <x:c r="O86" s="137" t="str"/>
      <x:c r="P86" s="138" t="str"/>
      <x:c r="Q86" s="137" t="str"/>
      <x:c r="R86" s="137" t="str"/>
      <x:c r="S86" s="137" t="str"/>
    </x:row>
    <x:row r="87">
      <x:c r="A87" s="137" t="str"/>
      <x:c r="B87" s="137" t="str"/>
      <x:c r="C87" s="137" t="str"/>
      <x:c r="D87" s="177" t="str"/>
      <x:c r="E87" s="137" t="str"/>
      <x:c r="F87" s="177" t="str"/>
      <x:c r="G87" s="137" t="str"/>
      <x:c r="H87" s="177" t="str"/>
      <x:c r="I87" s="137" t="str"/>
      <x:c r="J87" s="177" t="str"/>
      <x:c r="K87" s="177" t="str"/>
      <x:c r="L87" s="177" t="str"/>
      <x:c r="M87" s="177" t="str"/>
      <x:c r="N87" s="137" t="str"/>
      <x:c r="O87" s="137" t="str"/>
      <x:c r="P87" s="138" t="str"/>
      <x:c r="Q87" s="137" t="str"/>
      <x:c r="R87" s="137" t="str"/>
      <x:c r="S87" s="137" t="str"/>
    </x:row>
    <x:row r="88">
      <x:c r="A88" s="137" t="str"/>
      <x:c r="B88" s="137" t="str"/>
      <x:c r="C88" s="137" t="str"/>
      <x:c r="D88" s="177" t="str"/>
      <x:c r="E88" s="137" t="str"/>
      <x:c r="F88" s="177" t="str"/>
      <x:c r="G88" s="137" t="str"/>
      <x:c r="H88" s="177" t="str"/>
      <x:c r="I88" s="137" t="str"/>
      <x:c r="J88" s="177" t="str"/>
      <x:c r="K88" s="177" t="str"/>
      <x:c r="L88" s="177" t="str"/>
      <x:c r="M88" s="177" t="str"/>
      <x:c r="N88" s="137" t="str"/>
      <x:c r="O88" s="137" t="str"/>
      <x:c r="P88" s="138" t="str"/>
      <x:c r="Q88" s="137" t="str"/>
      <x:c r="R88" s="137" t="str"/>
      <x:c r="S88" s="137" t="str"/>
    </x:row>
    <x:row r="89">
      <x:c r="A89" s="137" t="str"/>
      <x:c r="B89" s="137" t="str"/>
      <x:c r="C89" s="137" t="str"/>
      <x:c r="D89" s="177" t="str"/>
      <x:c r="E89" s="137" t="str"/>
      <x:c r="F89" s="177" t="str"/>
      <x:c r="G89" s="137" t="str"/>
      <x:c r="H89" s="177" t="str"/>
      <x:c r="I89" s="137" t="str"/>
      <x:c r="J89" s="177" t="str"/>
      <x:c r="K89" s="177" t="str"/>
      <x:c r="L89" s="177" t="str"/>
      <x:c r="M89" s="177" t="str"/>
      <x:c r="N89" s="137" t="str"/>
      <x:c r="O89" s="137" t="str"/>
      <x:c r="P89" s="138" t="str"/>
      <x:c r="Q89" s="137" t="str"/>
      <x:c r="R89" s="137" t="str"/>
      <x:c r="S89" s="137" t="str"/>
    </x:row>
    <x:row r="90">
      <x:c r="A90" s="137" t="str"/>
      <x:c r="B90" s="137" t="str"/>
      <x:c r="C90" s="137" t="str"/>
      <x:c r="D90" s="177" t="str"/>
      <x:c r="E90" s="137" t="str"/>
      <x:c r="F90" s="177" t="str"/>
      <x:c r="G90" s="137" t="str"/>
      <x:c r="H90" s="177" t="str"/>
      <x:c r="I90" s="137" t="str"/>
      <x:c r="J90" s="177" t="str"/>
      <x:c r="K90" s="177" t="str"/>
      <x:c r="L90" s="177" t="str"/>
      <x:c r="M90" s="177" t="str"/>
      <x:c r="N90" s="137" t="str"/>
      <x:c r="O90" s="137" t="str"/>
      <x:c r="P90" s="138" t="str"/>
      <x:c r="Q90" s="137" t="str"/>
      <x:c r="R90" s="137" t="str"/>
      <x:c r="S90" s="137" t="str"/>
    </x:row>
    <x:row r="91">
      <x:c r="A91" s="137" t="str"/>
      <x:c r="B91" s="137" t="str"/>
      <x:c r="C91" s="137" t="str"/>
      <x:c r="D91" s="177" t="str"/>
      <x:c r="E91" s="137" t="str"/>
      <x:c r="F91" s="177" t="str"/>
      <x:c r="G91" s="137" t="str"/>
      <x:c r="H91" s="177" t="str"/>
      <x:c r="I91" s="137" t="str"/>
      <x:c r="J91" s="177" t="str"/>
      <x:c r="K91" s="177" t="str"/>
      <x:c r="L91" s="177" t="str"/>
      <x:c r="M91" s="177" t="str"/>
      <x:c r="N91" s="137" t="str"/>
      <x:c r="O91" s="137" t="str"/>
      <x:c r="P91" s="138" t="str"/>
      <x:c r="Q91" s="137" t="str"/>
      <x:c r="R91" s="137" t="str"/>
      <x:c r="S91" s="137" t="str"/>
    </x:row>
    <x:row r="92">
      <x:c r="A92" s="137" t="str"/>
      <x:c r="B92" s="137" t="str"/>
      <x:c r="C92" s="137" t="str"/>
      <x:c r="D92" s="177" t="str"/>
      <x:c r="E92" s="137" t="str"/>
      <x:c r="F92" s="177" t="str"/>
      <x:c r="G92" s="137" t="str"/>
      <x:c r="H92" s="177" t="str"/>
      <x:c r="I92" s="137" t="str"/>
      <x:c r="J92" s="177" t="str"/>
      <x:c r="K92" s="177" t="str"/>
      <x:c r="L92" s="177" t="str"/>
      <x:c r="M92" s="177" t="str"/>
      <x:c r="N92" s="137" t="str"/>
      <x:c r="O92" s="137" t="str"/>
      <x:c r="P92" s="138" t="str"/>
      <x:c r="Q92" s="137" t="str"/>
      <x:c r="R92" s="137" t="str"/>
      <x:c r="S92" s="137" t="str"/>
    </x:row>
    <x:row r="93">
      <x:c r="A93" s="137" t="str"/>
      <x:c r="B93" s="137" t="str"/>
      <x:c r="C93" s="137" t="str"/>
      <x:c r="D93" s="177" t="str"/>
      <x:c r="E93" s="137" t="str"/>
      <x:c r="F93" s="177" t="str"/>
      <x:c r="G93" s="137" t="str"/>
      <x:c r="H93" s="177" t="str"/>
      <x:c r="I93" s="137" t="str"/>
      <x:c r="J93" s="177" t="str"/>
      <x:c r="K93" s="177" t="str"/>
      <x:c r="L93" s="177" t="str"/>
      <x:c r="M93" s="177" t="str"/>
      <x:c r="N93" s="137" t="str"/>
      <x:c r="O93" s="137" t="str"/>
      <x:c r="P93" s="138" t="str"/>
      <x:c r="Q93" s="137" t="str"/>
      <x:c r="R93" s="137" t="str"/>
      <x:c r="S93" s="137" t="str"/>
    </x:row>
    <x:row r="94">
      <x:c r="A94" s="137" t="str"/>
      <x:c r="B94" s="137" t="str"/>
      <x:c r="C94" s="137" t="str"/>
      <x:c r="D94" s="177" t="str"/>
      <x:c r="E94" s="137" t="str"/>
      <x:c r="F94" s="177" t="str"/>
      <x:c r="G94" s="137" t="str"/>
      <x:c r="H94" s="177" t="str"/>
      <x:c r="I94" s="137" t="str"/>
      <x:c r="J94" s="177" t="str"/>
      <x:c r="K94" s="177" t="str"/>
      <x:c r="L94" s="177" t="str"/>
      <x:c r="M94" s="177" t="str"/>
      <x:c r="N94" s="137" t="str"/>
      <x:c r="O94" s="137" t="str"/>
      <x:c r="P94" s="138" t="str"/>
      <x:c r="Q94" s="137" t="str"/>
      <x:c r="R94" s="137" t="str"/>
      <x:c r="S94" s="137" t="str"/>
    </x:row>
    <x:row r="95">
      <x:c r="A95" s="137" t="str"/>
      <x:c r="B95" s="137" t="str"/>
      <x:c r="C95" s="137" t="str"/>
      <x:c r="D95" s="177" t="str"/>
      <x:c r="E95" s="137" t="str"/>
      <x:c r="F95" s="177" t="str"/>
      <x:c r="G95" s="137" t="str"/>
      <x:c r="H95" s="177" t="str"/>
      <x:c r="I95" s="137" t="str"/>
      <x:c r="J95" s="177" t="str"/>
      <x:c r="K95" s="177" t="str"/>
      <x:c r="L95" s="177" t="str"/>
      <x:c r="M95" s="177" t="str"/>
      <x:c r="N95" s="137" t="str"/>
      <x:c r="O95" s="137" t="str"/>
      <x:c r="P95" s="138" t="str"/>
      <x:c r="Q95" s="137" t="str"/>
      <x:c r="R95" s="137" t="str"/>
      <x:c r="S95" s="137" t="str"/>
    </x:row>
    <x:row r="96">
      <x:c r="A96" s="137" t="str"/>
      <x:c r="B96" s="137" t="str"/>
      <x:c r="C96" s="137" t="str"/>
      <x:c r="D96" s="177" t="str"/>
      <x:c r="E96" s="137" t="str"/>
      <x:c r="F96" s="177" t="str"/>
      <x:c r="G96" s="137" t="str"/>
      <x:c r="H96" s="177" t="str"/>
      <x:c r="I96" s="137" t="str"/>
      <x:c r="J96" s="177" t="str"/>
      <x:c r="K96" s="177" t="str"/>
      <x:c r="L96" s="177" t="str"/>
      <x:c r="M96" s="177" t="str"/>
      <x:c r="N96" s="137" t="str"/>
      <x:c r="O96" s="137" t="str"/>
      <x:c r="P96" s="138" t="str"/>
      <x:c r="Q96" s="137" t="str"/>
      <x:c r="R96" s="137" t="str"/>
      <x:c r="S96" s="137" t="str"/>
    </x:row>
    <x:row r="97">
      <x:c r="A97" s="137" t="str"/>
      <x:c r="B97" s="137" t="str"/>
      <x:c r="C97" s="137" t="str"/>
      <x:c r="D97" s="177" t="str"/>
      <x:c r="E97" s="137" t="str"/>
      <x:c r="F97" s="177" t="str"/>
      <x:c r="G97" s="137" t="str"/>
      <x:c r="H97" s="177" t="str"/>
      <x:c r="I97" s="137" t="str"/>
      <x:c r="J97" s="177" t="str"/>
      <x:c r="K97" s="177" t="str"/>
      <x:c r="L97" s="177" t="str"/>
      <x:c r="M97" s="177" t="str"/>
      <x:c r="N97" s="137" t="str"/>
      <x:c r="O97" s="137" t="str"/>
      <x:c r="P97" s="138" t="str"/>
      <x:c r="Q97" s="137" t="str"/>
      <x:c r="R97" s="137" t="str"/>
      <x:c r="S97" s="137" t="str"/>
    </x:row>
    <x:row r="98">
      <x:c r="A98" s="137" t="str"/>
      <x:c r="B98" s="137" t="str"/>
      <x:c r="C98" s="137" t="str"/>
      <x:c r="D98" s="177" t="str"/>
      <x:c r="E98" s="137" t="str"/>
      <x:c r="F98" s="177" t="str"/>
      <x:c r="G98" s="137" t="str"/>
      <x:c r="H98" s="177" t="str"/>
      <x:c r="I98" s="137" t="str"/>
      <x:c r="J98" s="177" t="str"/>
      <x:c r="K98" s="177" t="str"/>
      <x:c r="L98" s="177" t="str"/>
      <x:c r="M98" s="177" t="str"/>
      <x:c r="N98" s="137" t="str"/>
      <x:c r="O98" s="137" t="str"/>
      <x:c r="P98" s="138" t="str"/>
      <x:c r="Q98" s="137" t="str"/>
      <x:c r="R98" s="137" t="str"/>
      <x:c r="S98" s="137" t="str"/>
    </x:row>
    <x:row r="99">
      <x:c r="A99" s="137" t="str"/>
      <x:c r="B99" s="137" t="str"/>
      <x:c r="C99" s="137" t="str"/>
      <x:c r="D99" s="177" t="str"/>
      <x:c r="E99" s="137" t="str"/>
      <x:c r="F99" s="177" t="str"/>
      <x:c r="G99" s="137" t="str"/>
      <x:c r="H99" s="177" t="str"/>
      <x:c r="I99" s="137" t="str"/>
      <x:c r="J99" s="177" t="str"/>
      <x:c r="K99" s="177" t="str"/>
      <x:c r="L99" s="177" t="str"/>
      <x:c r="M99" s="177" t="str"/>
      <x:c r="N99" s="137" t="str"/>
      <x:c r="O99" s="137" t="str"/>
      <x:c r="P99" s="138" t="str"/>
      <x:c r="Q99" s="137" t="str"/>
      <x:c r="R99" s="137" t="str"/>
      <x:c r="S99" s="137" t="str"/>
    </x:row>
    <x:row r="100">
      <x:c r="A100" s="137" t="str"/>
      <x:c r="B100" s="137" t="str"/>
      <x:c r="C100" s="137" t="str"/>
      <x:c r="D100" s="177" t="str"/>
      <x:c r="E100" s="137" t="str"/>
      <x:c r="F100" s="177" t="str"/>
      <x:c r="G100" s="137" t="str"/>
      <x:c r="H100" s="177" t="str"/>
      <x:c r="I100" s="137" t="str"/>
      <x:c r="J100" s="177" t="str"/>
      <x:c r="K100" s="177" t="str"/>
      <x:c r="L100" s="177" t="str"/>
      <x:c r="M100" s="177" t="str"/>
      <x:c r="N100" s="137" t="str"/>
      <x:c r="O100" s="137" t="str"/>
      <x:c r="P100" s="138" t="str"/>
      <x:c r="Q100" s="137" t="str"/>
      <x:c r="R100" s="137" t="str"/>
      <x:c r="S100" s="137" t="str"/>
    </x:row>
    <x:row r="101">
      <x:c r="A101" s="137" t="str"/>
      <x:c r="B101" s="137" t="str"/>
      <x:c r="C101" s="137" t="str"/>
      <x:c r="D101" s="177" t="str"/>
      <x:c r="E101" s="137" t="str"/>
      <x:c r="F101" s="177" t="str"/>
      <x:c r="G101" s="137" t="str"/>
      <x:c r="H101" s="177" t="str"/>
      <x:c r="I101" s="137" t="str"/>
      <x:c r="J101" s="177" t="str"/>
      <x:c r="K101" s="177" t="str"/>
      <x:c r="L101" s="177" t="str"/>
      <x:c r="M101" s="177" t="str"/>
      <x:c r="N101" s="137" t="str"/>
      <x:c r="O101" s="137" t="str"/>
      <x:c r="P101" s="138" t="str"/>
      <x:c r="Q101" s="137" t="str"/>
      <x:c r="R101" s="137" t="str"/>
      <x:c r="S101" s="137" t="str"/>
    </x:row>
    <x:row r="102">
      <x:c r="A102" s="137" t="str"/>
      <x:c r="B102" s="137" t="str"/>
      <x:c r="C102" s="137" t="str"/>
      <x:c r="D102" s="177" t="str"/>
      <x:c r="E102" s="137" t="str"/>
      <x:c r="F102" s="177" t="str"/>
      <x:c r="G102" s="137" t="str"/>
      <x:c r="H102" s="177" t="str"/>
      <x:c r="I102" s="137" t="str"/>
      <x:c r="J102" s="177" t="str"/>
      <x:c r="K102" s="177" t="str"/>
      <x:c r="L102" s="177" t="str"/>
      <x:c r="M102" s="177" t="str"/>
      <x:c r="N102" s="137" t="str"/>
      <x:c r="O102" s="137" t="str"/>
      <x:c r="P102" s="138" t="str"/>
      <x:c r="Q102" s="137" t="str"/>
      <x:c r="R102" s="137" t="str"/>
      <x:c r="S102" s="137" t="str"/>
    </x:row>
    <x:row r="103">
      <x:c r="A103" s="137" t="str"/>
      <x:c r="B103" s="137" t="str"/>
      <x:c r="C103" s="137" t="str"/>
      <x:c r="D103" s="177" t="str"/>
      <x:c r="E103" s="137" t="str"/>
      <x:c r="F103" s="177" t="str"/>
      <x:c r="G103" s="137" t="str"/>
      <x:c r="H103" s="177" t="str"/>
      <x:c r="I103" s="137" t="str"/>
      <x:c r="J103" s="177" t="str"/>
      <x:c r="K103" s="177" t="str"/>
      <x:c r="L103" s="177" t="str"/>
      <x:c r="M103" s="177" t="str"/>
      <x:c r="N103" s="137" t="str"/>
      <x:c r="O103" s="137" t="str"/>
      <x:c r="P103" s="138" t="str"/>
      <x:c r="Q103" s="137" t="str"/>
      <x:c r="R103" s="137" t="str"/>
      <x:c r="S103" s="137" t="str"/>
    </x:row>
    <x:row r="104">
      <x:c r="A104" s="139" t="str"/>
      <x:c r="B104" s="139" t="str"/>
      <x:c r="C104" s="139" t="str"/>
      <x:c r="D104" s="181" t="str"/>
      <x:c r="E104" s="139" t="str"/>
      <x:c r="F104" s="181" t="str"/>
      <x:c r="G104" s="139" t="str"/>
      <x:c r="H104" s="181" t="str"/>
      <x:c r="I104" s="139" t="str"/>
      <x:c r="J104" s="181" t="str"/>
      <x:c r="K104" s="181" t="str"/>
      <x:c r="L104" s="181" t="str"/>
      <x:c r="M104" s="181" t="str"/>
      <x:c r="N104" s="139" t="str"/>
      <x:c r="O104" s="139" t="str"/>
      <x:c r="P104" s="145" t="str"/>
      <x:c r="Q104" s="139" t="str"/>
      <x:c r="R104" s="139" t="str"/>
      <x:c r="S104" s="139" t="str"/>
    </x:row>
  </x:sheetData>
  <x:mergeCells>
    <x:mergeCell ref="A1:S1"/>
    <x:mergeCell ref="A2:S2"/>
    <x:mergeCell ref="A3:S3"/>
  </x:mergeCells>
  <x:conditionalFormatting sqref="R5:R104">
    <x:cfRule type="containsText" dxfId="54" priority="1" operator="containsText" text="Approved"/>
    <x:cfRule type="containsText" dxfId="55" priority="2" operator="containsText" text="Validated"/>
    <x:cfRule type="containsText" dxfId="56" priority="3" operator="containsText" text="Confirmed"/>
    <x:cfRule type="containsText" dxfId="57" priority="4" operator="containsText" text="To Confirm"/>
    <x:cfRule type="containsText" dxfId="58" priority="5" operator="containsText" text="Rejected"/>
    <x:cfRule type="containsText" dxfId="59" priority="6" operator="containsText" text="Blocked"/>
  </x:conditionalFormatting>
  <x:dataValidations count="2">
    <x:dataValidation type="list" sqref="C5:C104">
      <x:formula1>"Yes,No"</x:formula1>
    </x:dataValidation>
    <x:dataValidation type="list" sqref="R5:R104">
      <x:formula1>"To Confirm,Confirmed,Not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96429c8dab4c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6" hidden="0" customWidth="1"/>
    <x:col min="4" max="4" width="20" hidden="0" customWidth="1"/>
    <x:col min="5" max="5" width="14" hidden="0" customWidth="1"/>
    <x:col min="6" max="6" width="20" hidden="0" customWidth="1"/>
    <x:col min="7" max="7" width="14" hidden="0" customWidth="1"/>
    <x:col min="8" max="8" width="25" hidden="0" customWidth="1"/>
    <x:col min="9" max="9" width="18" hidden="0" customWidth="1"/>
    <x:col min="10" max="10" width="22" hidden="0" customWidth="1"/>
    <x:col min="11" max="11" width="18" hidden="0" customWidth="1"/>
    <x:col min="12" max="12" width="18" hidden="0" customWidth="1"/>
    <x:col min="13" max="13" width="2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2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16" hidden="0" customWidth="1"/>
    <x:col min="41" max="41" width="18" hidden="0" customWidth="1"/>
    <x:col min="42" max="42" width="16" hidden="0" customWidth="1"/>
    <x:col min="43" max="43" width="16" hidden="0" customWidth="1"/>
    <x:col min="44" max="44" width="18" hidden="0" customWidth="1"/>
    <x:col min="45" max="45" width="24" hidden="0" customWidth="1"/>
    <x:col min="46" max="46" width="24" hidden="0" customWidth="1"/>
    <x:col min="47" max="47" width="34" hidden="0" customWidth="1"/>
    <x:col min="48" max="48" width="20" hidden="0" customWidth="1"/>
    <x:col min="49" max="49" width="20" hidden="0" customWidth="1"/>
  </x:cols>
  <x:sheetData>
    <x:row r="1" ht="30" customHeight="1">
      <x:c r="A1" s="140" t="str">
        <x:v>Opening &amp; Live Order Book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  <x:c r="U1" s="122"/>
      <x:c r="V1" s="122"/>
      <x:c r="W1" s="122"/>
      <x:c r="X1" s="122"/>
      <x:c r="Y1" s="122"/>
      <x:c r="Z1" s="122"/>
      <x:c r="AA1" s="122"/>
      <x:c r="AB1" s="122"/>
      <x:c r="AC1" s="122"/>
      <x:c r="AD1" s="122"/>
      <x:c r="AE1" s="122"/>
      <x:c r="AF1" s="122"/>
      <x:c r="AG1" s="122"/>
      <x:c r="AH1" s="122"/>
      <x:c r="AI1" s="122"/>
      <x:c r="AJ1" s="122"/>
      <x:c r="AK1" s="122"/>
      <x:c r="AL1" s="122"/>
      <x:c r="AM1" s="122"/>
      <x:c r="AN1" s="122"/>
      <x:c r="AO1" s="122"/>
      <x:c r="AP1" s="122"/>
      <x:c r="AQ1" s="122"/>
      <x:c r="AR1" s="122"/>
      <x:c r="AS1" s="122"/>
      <x:c r="AT1" s="122"/>
      <x:c r="AU1" s="122"/>
      <x:c r="AV1" s="122"/>
      <x:c r="AW1" s="122"/>
    </x:row>
    <x:row r="2" ht="34" customHeight="1">
      <x:c r="A2" s="123" t="str">
        <x:v>One row per order/article. Enter every size across the same row; never split an article into separate rows simply because the size changes.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  <x:c r="W2" s="123"/>
      <x:c r="X2" s="123"/>
      <x:c r="Y2" s="123"/>
      <x:c r="Z2" s="123"/>
      <x:c r="AA2" s="123"/>
      <x:c r="AB2" s="123"/>
      <x:c r="AC2" s="123"/>
      <x:c r="AD2" s="123"/>
      <x:c r="AE2" s="123"/>
      <x:c r="AF2" s="123"/>
      <x:c r="AG2" s="123"/>
      <x:c r="AH2" s="123"/>
      <x:c r="AI2" s="123"/>
      <x:c r="AJ2" s="123"/>
      <x:c r="AK2" s="123"/>
      <x:c r="AL2" s="123"/>
      <x:c r="AM2" s="123"/>
      <x:c r="AN2" s="123"/>
      <x:c r="AO2" s="123"/>
      <x:c r="AP2" s="123"/>
      <x:c r="AQ2" s="123"/>
      <x:c r="AR2" s="123"/>
      <x:c r="AS2" s="123"/>
      <x:c r="AT2" s="123"/>
      <x:c r="AU2" s="123"/>
      <x:c r="AV2" s="123"/>
      <x:c r="AW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  <x:c r="T3" s="124"/>
      <x:c r="U3" s="124"/>
      <x:c r="V3" s="124"/>
      <x:c r="W3" s="124"/>
      <x:c r="X3" s="124"/>
      <x:c r="Y3" s="124"/>
      <x:c r="Z3" s="124"/>
      <x:c r="AA3" s="124"/>
      <x:c r="AB3" s="124"/>
      <x:c r="AC3" s="124"/>
      <x:c r="AD3" s="124"/>
      <x:c r="AE3" s="124"/>
      <x:c r="AF3" s="124"/>
      <x:c r="AG3" s="124"/>
      <x:c r="AH3" s="124"/>
      <x:c r="AI3" s="124"/>
      <x:c r="AJ3" s="124"/>
      <x:c r="AK3" s="124"/>
      <x:c r="AL3" s="124"/>
      <x:c r="AM3" s="124"/>
      <x:c r="AN3" s="124"/>
      <x:c r="AO3" s="124"/>
      <x:c r="AP3" s="124"/>
      <x:c r="AQ3" s="124"/>
      <x:c r="AR3" s="124"/>
      <x:c r="AS3" s="124"/>
      <x:c r="AT3" s="124"/>
      <x:c r="AU3" s="124"/>
      <x:c r="AV3" s="124"/>
      <x:c r="AW3" s="124"/>
    </x:row>
    <x:row r="4" ht="34" customHeight="1">
      <x:c r="A4" s="141" t="str">
        <x:v>Order ID</x:v>
      </x:c>
      <x:c r="B4" s="142" t="str">
        <x:v>PI No</x:v>
      </x:c>
      <x:c r="C4" s="142" t="str">
        <x:v>Customer</x:v>
      </x:c>
      <x:c r="D4" s="142" t="str">
        <x:v>City</x:v>
      </x:c>
      <x:c r="E4" s="142" t="str">
        <x:v>Order Date</x:v>
      </x:c>
      <x:c r="F4" s="142" t="str">
        <x:v>Requested Dispatch Date</x:v>
      </x:c>
      <x:c r="G4" s="142" t="str">
        <x:v>Priority</x:v>
      </x:c>
      <x:c r="H4" s="142" t="str">
        <x:v>Article Code</x:v>
      </x:c>
      <x:c r="I4" s="142" t="str">
        <x:v>Article Type</x:v>
      </x:c>
      <x:c r="J4" s="142" t="str">
        <x:v>Order Nature</x:v>
      </x:c>
      <x:c r="K4" s="142" t="str">
        <x:v>Stitching Source</x:v>
      </x:c>
      <x:c r="L4" s="142" t="str">
        <x:v>Printing Required?</x:v>
      </x:c>
      <x:c r="M4" s="142" t="str">
        <x:v>Upper Colour / Material</x:v>
      </x:c>
      <x:c r="N4" s="142" t="str">
        <x:v>Sole Colour</x:v>
      </x:c>
      <x:c r="O4" s="142" t="str">
        <x:v>Lace Colour</x:v>
      </x:c>
      <x:c r="P4" s="142" t="str">
        <x:v>Velcro Colour</x:v>
      </x:c>
      <x:c r="Q4" s="142" t="str">
        <x:v>Current Stage</x:v>
      </x:c>
      <x:c r="R4" s="142" t="str">
        <x:v>Order Status</x:v>
      </x:c>
      <x:c r="S4" s="142" t="str">
        <x:v>6s</x:v>
      </x:c>
      <x:c r="T4" s="142" t="str">
        <x:v>7s</x:v>
      </x:c>
      <x:c r="U4" s="142" t="str">
        <x:v>8s</x:v>
      </x:c>
      <x:c r="V4" s="142" t="str">
        <x:v>9s</x:v>
      </x:c>
      <x:c r="W4" s="142" t="str">
        <x:v>10s</x:v>
      </x:c>
      <x:c r="X4" s="142" t="str">
        <x:v>11s</x:v>
      </x:c>
      <x:c r="Y4" s="142" t="str">
        <x:v>12s</x:v>
      </x:c>
      <x:c r="Z4" s="142" t="str">
        <x:v>13s</x:v>
      </x:c>
      <x:c r="AA4" s="142" t="str">
        <x:v>1</x:v>
      </x:c>
      <x:c r="AB4" s="142" t="str">
        <x:v>2</x:v>
      </x:c>
      <x:c r="AC4" s="142" t="str">
        <x:v>3</x:v>
      </x:c>
      <x:c r="AD4" s="142" t="str">
        <x:v>4</x:v>
      </x:c>
      <x:c r="AE4" s="142" t="str">
        <x:v>5</x:v>
      </x:c>
      <x:c r="AF4" s="142" t="str">
        <x:v>6</x:v>
      </x:c>
      <x:c r="AG4" s="142" t="str">
        <x:v>7</x:v>
      </x:c>
      <x:c r="AH4" s="142" t="str">
        <x:v>8</x:v>
      </x:c>
      <x:c r="AI4" s="142" t="str">
        <x:v>9</x:v>
      </x:c>
      <x:c r="AJ4" s="142" t="str">
        <x:v>10</x:v>
      </x:c>
      <x:c r="AK4" s="142" t="str">
        <x:v>11</x:v>
      </x:c>
      <x:c r="AL4" s="142" t="str">
        <x:v>12</x:v>
      </x:c>
      <x:c r="AM4" s="142" t="str">
        <x:v>13</x:v>
      </x:c>
      <x:c r="AN4" s="142" t="str">
        <x:v>Size Total Pairs</x:v>
      </x:c>
      <x:c r="AO4" s="142" t="str">
        <x:v>Order Entered As</x:v>
      </x:c>
      <x:c r="AP4" s="142" t="str">
        <x:v>Entered Cartons</x:v>
      </x:c>
      <x:c r="AQ4" s="142" t="str">
        <x:v>Pairs / Carton</x:v>
      </x:c>
      <x:c r="AR4" s="142" t="str">
        <x:v>Declared Total Pairs</x:v>
      </x:c>
      <x:c r="AS4" s="142" t="str">
        <x:v>Quantity Check</x:v>
      </x:c>
      <x:c r="AT4" s="142" t="str">
        <x:v>Customer PO / Ref</x:v>
      </x:c>
      <x:c r="AU4" s="142" t="str">
        <x:v>Remarks</x:v>
      </x:c>
      <x:c r="AV4" s="142" t="str">
        <x:v>Updated By</x:v>
      </x:c>
      <x:c r="AW4" s="143" t="str">
        <x:v>Updated Timestamp</x:v>
      </x:c>
    </x:row>
    <x:row r="5">
      <x:c r="A5" s="136" t="str"/>
      <x:c r="B5" s="136" t="str"/>
      <x:c r="C5" s="136" t="str"/>
      <x:c r="D5" s="136" t="str"/>
      <x:c r="E5" s="144" t="str"/>
      <x:c r="F5" s="144" t="str"/>
      <x:c r="G5" s="136" t="str"/>
      <x:c r="H5" s="136" t="str"/>
      <x:c r="I5" s="136" t="str"/>
      <x:c r="J5" s="136" t="str"/>
      <x:c r="K5" s="136" t="str"/>
      <x:c r="L5" s="136" t="str"/>
      <x:c r="M5" s="136" t="str"/>
      <x:c r="N5" s="136" t="str"/>
      <x:c r="O5" s="136" t="str"/>
      <x:c r="P5" s="136" t="str"/>
      <x:c r="Q5" s="136" t="str"/>
      <x:c r="R5" s="136" t="str"/>
      <x:c r="S5" s="147" t="str"/>
      <x:c r="T5" s="147" t="str"/>
      <x:c r="U5" s="147" t="str"/>
      <x:c r="V5" s="147" t="str"/>
      <x:c r="W5" s="147" t="str"/>
      <x:c r="X5" s="147" t="str"/>
      <x:c r="Y5" s="147" t="str"/>
      <x:c r="Z5" s="147" t="str"/>
      <x:c r="AA5" s="147" t="str"/>
      <x:c r="AB5" s="147" t="str"/>
      <x:c r="AC5" s="147" t="str"/>
      <x:c r="AD5" s="147" t="str"/>
      <x:c r="AE5" s="147" t="str"/>
      <x:c r="AF5" s="147" t="str"/>
      <x:c r="AG5" s="147" t="str"/>
      <x:c r="AH5" s="147" t="str"/>
      <x:c r="AI5" s="147" t="str"/>
      <x:c r="AJ5" s="147" t="str"/>
      <x:c r="AK5" s="147" t="str"/>
      <x:c r="AL5" s="147" t="str"/>
      <x:c r="AM5" s="147" t="str"/>
      <x:c r="AN5" s="148" t="n">
        <x:f>IF(COUNTA(S5:AM5)=0,"",SUM(S5:AM5))</x:f>
        <x:v>0</x:v>
      </x:c>
      <x:c r="AO5" s="147" t="str"/>
      <x:c r="AP5" s="147" t="str"/>
      <x:c r="AQ5" s="147" t="str"/>
      <x:c r="AR5" s="147" t="str"/>
      <x:c r="AS5" s="195" t="str">
        <x:f>IF(AN5="","",IF(AO5="Cartons",IF(AP5*AQ5=AN5,"OK","CHECK CARTONS / SIZES"),IF(AR5=AN5,"OK","CHECK TOTAL / SIZES")))</x:f>
      </x:c>
      <x:c r="AT5" s="136" t="str"/>
      <x:c r="AU5" s="136" t="str"/>
      <x:c r="AV5" s="136" t="str"/>
      <x:c r="AW5" s="136" t="str"/>
    </x:row>
    <x:row r="6">
      <x:c r="A6" s="137" t="str"/>
      <x:c r="B6" s="137" t="str"/>
      <x:c r="C6" s="137" t="str"/>
      <x:c r="D6" s="137" t="str"/>
      <x:c r="E6" s="138" t="str"/>
      <x:c r="F6" s="138" t="str"/>
      <x:c r="G6" s="137" t="str"/>
      <x:c r="H6" s="137" t="str"/>
      <x:c r="I6" s="137" t="str"/>
      <x:c r="J6" s="137" t="str"/>
      <x:c r="K6" s="137" t="str"/>
      <x:c r="L6" s="137" t="str"/>
      <x:c r="M6" s="137" t="str"/>
      <x:c r="N6" s="137" t="str"/>
      <x:c r="O6" s="137" t="str"/>
      <x:c r="P6" s="137" t="str"/>
      <x:c r="Q6" s="137" t="str"/>
      <x:c r="R6" s="137" t="str"/>
      <x:c r="S6" s="151" t="str"/>
      <x:c r="T6" s="151" t="str"/>
      <x:c r="U6" s="151" t="str"/>
      <x:c r="V6" s="151" t="str"/>
      <x:c r="W6" s="151" t="str"/>
      <x:c r="X6" s="151" t="str"/>
      <x:c r="Y6" s="151" t="str"/>
      <x:c r="Z6" s="151" t="str"/>
      <x:c r="AA6" s="151" t="str"/>
      <x:c r="AB6" s="151" t="str"/>
      <x:c r="AC6" s="151" t="str"/>
      <x:c r="AD6" s="151" t="str"/>
      <x:c r="AE6" s="151" t="str"/>
      <x:c r="AF6" s="151" t="str"/>
      <x:c r="AG6" s="151" t="str"/>
      <x:c r="AH6" s="151" t="str"/>
      <x:c r="AI6" s="151" t="str"/>
      <x:c r="AJ6" s="151" t="str"/>
      <x:c r="AK6" s="151" t="str"/>
      <x:c r="AL6" s="151" t="str"/>
      <x:c r="AM6" s="151" t="str"/>
      <x:c r="AN6" s="152" t="n">
        <x:f>IF(COUNTA(S6:AM6)=0,"",SUM(S6:AM6))</x:f>
        <x:v>0</x:v>
      </x:c>
      <x:c r="AO6" s="151" t="str"/>
      <x:c r="AP6" s="151" t="str"/>
      <x:c r="AQ6" s="151" t="str"/>
      <x:c r="AR6" s="151" t="str"/>
      <x:c r="AS6" s="196" t="str">
        <x:f>IF(AN6="","",IF(AO6="Cartons",IF(AP6*AQ6=AN6,"OK","CHECK CARTONS / SIZES"),IF(AR6=AN6,"OK","CHECK TOTAL / SIZES")))</x:f>
      </x:c>
      <x:c r="AT6" s="137" t="str"/>
      <x:c r="AU6" s="137" t="str"/>
      <x:c r="AV6" s="137" t="str"/>
      <x:c r="AW6" s="137" t="str"/>
    </x:row>
    <x:row r="7">
      <x:c r="A7" s="137" t="str"/>
      <x:c r="B7" s="137" t="str"/>
      <x:c r="C7" s="137" t="str"/>
      <x:c r="D7" s="137" t="str"/>
      <x:c r="E7" s="138" t="str"/>
      <x:c r="F7" s="138" t="str"/>
      <x:c r="G7" s="137" t="str"/>
      <x:c r="H7" s="137" t="str"/>
      <x:c r="I7" s="137" t="str"/>
      <x:c r="J7" s="137" t="str"/>
      <x:c r="K7" s="137" t="str"/>
      <x:c r="L7" s="137" t="str"/>
      <x:c r="M7" s="137" t="str"/>
      <x:c r="N7" s="137" t="str"/>
      <x:c r="O7" s="137" t="str"/>
      <x:c r="P7" s="137" t="str"/>
      <x:c r="Q7" s="137" t="str"/>
      <x:c r="R7" s="137" t="str"/>
      <x:c r="S7" s="151" t="str"/>
      <x:c r="T7" s="151" t="str"/>
      <x:c r="U7" s="151" t="str"/>
      <x:c r="V7" s="151" t="str"/>
      <x:c r="W7" s="151" t="str"/>
      <x:c r="X7" s="151" t="str"/>
      <x:c r="Y7" s="151" t="str"/>
      <x:c r="Z7" s="151" t="str"/>
      <x:c r="AA7" s="151" t="str"/>
      <x:c r="AB7" s="151" t="str"/>
      <x:c r="AC7" s="151" t="str"/>
      <x:c r="AD7" s="151" t="str"/>
      <x:c r="AE7" s="151" t="str"/>
      <x:c r="AF7" s="151" t="str"/>
      <x:c r="AG7" s="151" t="str"/>
      <x:c r="AH7" s="151" t="str"/>
      <x:c r="AI7" s="151" t="str"/>
      <x:c r="AJ7" s="151" t="str"/>
      <x:c r="AK7" s="151" t="str"/>
      <x:c r="AL7" s="151" t="str"/>
      <x:c r="AM7" s="151" t="str"/>
      <x:c r="AN7" s="152" t="n">
        <x:f>IF(COUNTA(S7:AM7)=0,"",SUM(S7:AM7))</x:f>
        <x:v>0</x:v>
      </x:c>
      <x:c r="AO7" s="151" t="str"/>
      <x:c r="AP7" s="151" t="str"/>
      <x:c r="AQ7" s="151" t="str"/>
      <x:c r="AR7" s="151" t="str"/>
      <x:c r="AS7" s="196" t="str">
        <x:f>IF(AN7="","",IF(AO7="Cartons",IF(AP7*AQ7=AN7,"OK","CHECK CARTONS / SIZES"),IF(AR7=AN7,"OK","CHECK TOTAL / SIZES")))</x:f>
      </x:c>
      <x:c r="AT7" s="137" t="str"/>
      <x:c r="AU7" s="137" t="str"/>
      <x:c r="AV7" s="137" t="str"/>
      <x:c r="AW7" s="137" t="str"/>
    </x:row>
    <x:row r="8">
      <x:c r="A8" s="137" t="str"/>
      <x:c r="B8" s="137" t="str"/>
      <x:c r="C8" s="137" t="str"/>
      <x:c r="D8" s="137" t="str"/>
      <x:c r="E8" s="138" t="str"/>
      <x:c r="F8" s="138" t="str"/>
      <x:c r="G8" s="137" t="str"/>
      <x:c r="H8" s="137" t="str"/>
      <x:c r="I8" s="137" t="str"/>
      <x:c r="J8" s="137" t="str"/>
      <x:c r="K8" s="137" t="str"/>
      <x:c r="L8" s="137" t="str"/>
      <x:c r="M8" s="137" t="str"/>
      <x:c r="N8" s="137" t="str"/>
      <x:c r="O8" s="137" t="str"/>
      <x:c r="P8" s="137" t="str"/>
      <x:c r="Q8" s="137" t="str"/>
      <x:c r="R8" s="137" t="str"/>
      <x:c r="S8" s="151" t="str"/>
      <x:c r="T8" s="151" t="str"/>
      <x:c r="U8" s="151" t="str"/>
      <x:c r="V8" s="151" t="str"/>
      <x:c r="W8" s="151" t="str"/>
      <x:c r="X8" s="151" t="str"/>
      <x:c r="Y8" s="151" t="str"/>
      <x:c r="Z8" s="151" t="str"/>
      <x:c r="AA8" s="151" t="str"/>
      <x:c r="AB8" s="151" t="str"/>
      <x:c r="AC8" s="151" t="str"/>
      <x:c r="AD8" s="151" t="str"/>
      <x:c r="AE8" s="151" t="str"/>
      <x:c r="AF8" s="151" t="str"/>
      <x:c r="AG8" s="151" t="str"/>
      <x:c r="AH8" s="151" t="str"/>
      <x:c r="AI8" s="151" t="str"/>
      <x:c r="AJ8" s="151" t="str"/>
      <x:c r="AK8" s="151" t="str"/>
      <x:c r="AL8" s="151" t="str"/>
      <x:c r="AM8" s="151" t="str"/>
      <x:c r="AN8" s="152" t="n">
        <x:f>IF(COUNTA(S8:AM8)=0,"",SUM(S8:AM8))</x:f>
        <x:v>0</x:v>
      </x:c>
      <x:c r="AO8" s="151" t="str"/>
      <x:c r="AP8" s="151" t="str"/>
      <x:c r="AQ8" s="151" t="str"/>
      <x:c r="AR8" s="151" t="str"/>
      <x:c r="AS8" s="196" t="str">
        <x:f>IF(AN8="","",IF(AO8="Cartons",IF(AP8*AQ8=AN8,"OK","CHECK CARTONS / SIZES"),IF(AR8=AN8,"OK","CHECK TOTAL / SIZES")))</x:f>
      </x:c>
      <x:c r="AT8" s="137" t="str"/>
      <x:c r="AU8" s="137" t="str"/>
      <x:c r="AV8" s="137" t="str"/>
      <x:c r="AW8" s="137" t="str"/>
    </x:row>
    <x:row r="9">
      <x:c r="A9" s="137" t="str"/>
      <x:c r="B9" s="137" t="str"/>
      <x:c r="C9" s="137" t="str"/>
      <x:c r="D9" s="137" t="str"/>
      <x:c r="E9" s="138" t="str"/>
      <x:c r="F9" s="138" t="str"/>
      <x:c r="G9" s="137" t="str"/>
      <x:c r="H9" s="137" t="str"/>
      <x:c r="I9" s="137" t="str"/>
      <x:c r="J9" s="137" t="str"/>
      <x:c r="K9" s="137" t="str"/>
      <x:c r="L9" s="137" t="str"/>
      <x:c r="M9" s="137" t="str"/>
      <x:c r="N9" s="137" t="str"/>
      <x:c r="O9" s="137" t="str"/>
      <x:c r="P9" s="137" t="str"/>
      <x:c r="Q9" s="137" t="str"/>
      <x:c r="R9" s="137" t="str"/>
      <x:c r="S9" s="151" t="str"/>
      <x:c r="T9" s="151" t="str"/>
      <x:c r="U9" s="151" t="str"/>
      <x:c r="V9" s="151" t="str"/>
      <x:c r="W9" s="151" t="str"/>
      <x:c r="X9" s="151" t="str"/>
      <x:c r="Y9" s="151" t="str"/>
      <x:c r="Z9" s="151" t="str"/>
      <x:c r="AA9" s="151" t="str"/>
      <x:c r="AB9" s="151" t="str"/>
      <x:c r="AC9" s="151" t="str"/>
      <x:c r="AD9" s="151" t="str"/>
      <x:c r="AE9" s="151" t="str"/>
      <x:c r="AF9" s="151" t="str"/>
      <x:c r="AG9" s="151" t="str"/>
      <x:c r="AH9" s="151" t="str"/>
      <x:c r="AI9" s="151" t="str"/>
      <x:c r="AJ9" s="151" t="str"/>
      <x:c r="AK9" s="151" t="str"/>
      <x:c r="AL9" s="151" t="str"/>
      <x:c r="AM9" s="151" t="str"/>
      <x:c r="AN9" s="152" t="n">
        <x:f>IF(COUNTA(S9:AM9)=0,"",SUM(S9:AM9))</x:f>
        <x:v>0</x:v>
      </x:c>
      <x:c r="AO9" s="151" t="str"/>
      <x:c r="AP9" s="151" t="str"/>
      <x:c r="AQ9" s="151" t="str"/>
      <x:c r="AR9" s="151" t="str"/>
      <x:c r="AS9" s="196" t="str">
        <x:f>IF(AN9="","",IF(AO9="Cartons",IF(AP9*AQ9=AN9,"OK","CHECK CARTONS / SIZES"),IF(AR9=AN9,"OK","CHECK TOTAL / SIZES")))</x:f>
      </x:c>
      <x:c r="AT9" s="137" t="str"/>
      <x:c r="AU9" s="137" t="str"/>
      <x:c r="AV9" s="137" t="str"/>
      <x:c r="AW9" s="137" t="str"/>
    </x:row>
    <x:row r="10">
      <x:c r="A10" s="137" t="str"/>
      <x:c r="B10" s="137" t="str"/>
      <x:c r="C10" s="137" t="str"/>
      <x:c r="D10" s="137" t="str"/>
      <x:c r="E10" s="138" t="str"/>
      <x:c r="F10" s="138" t="str"/>
      <x:c r="G10" s="137" t="str"/>
      <x:c r="H10" s="137" t="str"/>
      <x:c r="I10" s="137" t="str"/>
      <x:c r="J10" s="137" t="str"/>
      <x:c r="K10" s="137" t="str"/>
      <x:c r="L10" s="137" t="str"/>
      <x:c r="M10" s="137" t="str"/>
      <x:c r="N10" s="137" t="str"/>
      <x:c r="O10" s="137" t="str"/>
      <x:c r="P10" s="137" t="str"/>
      <x:c r="Q10" s="137" t="str"/>
      <x:c r="R10" s="137" t="str"/>
      <x:c r="S10" s="151" t="str"/>
      <x:c r="T10" s="151" t="str"/>
      <x:c r="U10" s="151" t="str"/>
      <x:c r="V10" s="151" t="str"/>
      <x:c r="W10" s="151" t="str"/>
      <x:c r="X10" s="151" t="str"/>
      <x:c r="Y10" s="151" t="str"/>
      <x:c r="Z10" s="151" t="str"/>
      <x:c r="AA10" s="151" t="str"/>
      <x:c r="AB10" s="151" t="str"/>
      <x:c r="AC10" s="151" t="str"/>
      <x:c r="AD10" s="151" t="str"/>
      <x:c r="AE10" s="151" t="str"/>
      <x:c r="AF10" s="151" t="str"/>
      <x:c r="AG10" s="151" t="str"/>
      <x:c r="AH10" s="151" t="str"/>
      <x:c r="AI10" s="151" t="str"/>
      <x:c r="AJ10" s="151" t="str"/>
      <x:c r="AK10" s="151" t="str"/>
      <x:c r="AL10" s="151" t="str"/>
      <x:c r="AM10" s="151" t="str"/>
      <x:c r="AN10" s="152" t="n">
        <x:f>IF(COUNTA(S10:AM10)=0,"",SUM(S10:AM10))</x:f>
        <x:v>0</x:v>
      </x:c>
      <x:c r="AO10" s="151" t="str"/>
      <x:c r="AP10" s="151" t="str"/>
      <x:c r="AQ10" s="151" t="str"/>
      <x:c r="AR10" s="151" t="str"/>
      <x:c r="AS10" s="196" t="str">
        <x:f>IF(AN10="","",IF(AO10="Cartons",IF(AP10*AQ10=AN10,"OK","CHECK CARTONS / SIZES"),IF(AR10=AN10,"OK","CHECK TOTAL / SIZES")))</x:f>
      </x:c>
      <x:c r="AT10" s="137" t="str"/>
      <x:c r="AU10" s="137" t="str"/>
      <x:c r="AV10" s="137" t="str"/>
      <x:c r="AW10" s="137" t="str"/>
    </x:row>
    <x:row r="11">
      <x:c r="A11" s="137" t="str"/>
      <x:c r="B11" s="137" t="str"/>
      <x:c r="C11" s="137" t="str"/>
      <x:c r="D11" s="137" t="str"/>
      <x:c r="E11" s="138" t="str"/>
      <x:c r="F11" s="138" t="str"/>
      <x:c r="G11" s="137" t="str"/>
      <x:c r="H11" s="137" t="str"/>
      <x:c r="I11" s="137" t="str"/>
      <x:c r="J11" s="137" t="str"/>
      <x:c r="K11" s="137" t="str"/>
      <x:c r="L11" s="137" t="str"/>
      <x:c r="M11" s="137" t="str"/>
      <x:c r="N11" s="137" t="str"/>
      <x:c r="O11" s="137" t="str"/>
      <x:c r="P11" s="137" t="str"/>
      <x:c r="Q11" s="137" t="str"/>
      <x:c r="R11" s="137" t="str"/>
      <x:c r="S11" s="151" t="str"/>
      <x:c r="T11" s="151" t="str"/>
      <x:c r="U11" s="151" t="str"/>
      <x:c r="V11" s="151" t="str"/>
      <x:c r="W11" s="151" t="str"/>
      <x:c r="X11" s="151" t="str"/>
      <x:c r="Y11" s="151" t="str"/>
      <x:c r="Z11" s="151" t="str"/>
      <x:c r="AA11" s="151" t="str"/>
      <x:c r="AB11" s="151" t="str"/>
      <x:c r="AC11" s="151" t="str"/>
      <x:c r="AD11" s="151" t="str"/>
      <x:c r="AE11" s="151" t="str"/>
      <x:c r="AF11" s="151" t="str"/>
      <x:c r="AG11" s="151" t="str"/>
      <x:c r="AH11" s="151" t="str"/>
      <x:c r="AI11" s="151" t="str"/>
      <x:c r="AJ11" s="151" t="str"/>
      <x:c r="AK11" s="151" t="str"/>
      <x:c r="AL11" s="151" t="str"/>
      <x:c r="AM11" s="151" t="str"/>
      <x:c r="AN11" s="152" t="n">
        <x:f>IF(COUNTA(S11:AM11)=0,"",SUM(S11:AM11))</x:f>
        <x:v>0</x:v>
      </x:c>
      <x:c r="AO11" s="151" t="str"/>
      <x:c r="AP11" s="151" t="str"/>
      <x:c r="AQ11" s="151" t="str"/>
      <x:c r="AR11" s="151" t="str"/>
      <x:c r="AS11" s="196" t="str">
        <x:f>IF(AN11="","",IF(AO11="Cartons",IF(AP11*AQ11=AN11,"OK","CHECK CARTONS / SIZES"),IF(AR11=AN11,"OK","CHECK TOTAL / SIZES")))</x:f>
      </x:c>
      <x:c r="AT11" s="137" t="str"/>
      <x:c r="AU11" s="137" t="str"/>
      <x:c r="AV11" s="137" t="str"/>
      <x:c r="AW11" s="137" t="str"/>
    </x:row>
    <x:row r="12">
      <x:c r="A12" s="137" t="str"/>
      <x:c r="B12" s="137" t="str"/>
      <x:c r="C12" s="137" t="str"/>
      <x:c r="D12" s="137" t="str"/>
      <x:c r="E12" s="138" t="str"/>
      <x:c r="F12" s="138" t="str"/>
      <x:c r="G12" s="137" t="str"/>
      <x:c r="H12" s="137" t="str"/>
      <x:c r="I12" s="137" t="str"/>
      <x:c r="J12" s="137" t="str"/>
      <x:c r="K12" s="137" t="str"/>
      <x:c r="L12" s="137" t="str"/>
      <x:c r="M12" s="137" t="str"/>
      <x:c r="N12" s="137" t="str"/>
      <x:c r="O12" s="137" t="str"/>
      <x:c r="P12" s="137" t="str"/>
      <x:c r="Q12" s="137" t="str"/>
      <x:c r="R12" s="137" t="str"/>
      <x:c r="S12" s="151" t="str"/>
      <x:c r="T12" s="151" t="str"/>
      <x:c r="U12" s="151" t="str"/>
      <x:c r="V12" s="151" t="str"/>
      <x:c r="W12" s="151" t="str"/>
      <x:c r="X12" s="151" t="str"/>
      <x:c r="Y12" s="151" t="str"/>
      <x:c r="Z12" s="151" t="str"/>
      <x:c r="AA12" s="151" t="str"/>
      <x:c r="AB12" s="151" t="str"/>
      <x:c r="AC12" s="151" t="str"/>
      <x:c r="AD12" s="151" t="str"/>
      <x:c r="AE12" s="151" t="str"/>
      <x:c r="AF12" s="151" t="str"/>
      <x:c r="AG12" s="151" t="str"/>
      <x:c r="AH12" s="151" t="str"/>
      <x:c r="AI12" s="151" t="str"/>
      <x:c r="AJ12" s="151" t="str"/>
      <x:c r="AK12" s="151" t="str"/>
      <x:c r="AL12" s="151" t="str"/>
      <x:c r="AM12" s="151" t="str"/>
      <x:c r="AN12" s="152" t="n">
        <x:f>IF(COUNTA(S12:AM12)=0,"",SUM(S12:AM12))</x:f>
        <x:v>0</x:v>
      </x:c>
      <x:c r="AO12" s="151" t="str"/>
      <x:c r="AP12" s="151" t="str"/>
      <x:c r="AQ12" s="151" t="str"/>
      <x:c r="AR12" s="151" t="str"/>
      <x:c r="AS12" s="196" t="str">
        <x:f>IF(AN12="","",IF(AO12="Cartons",IF(AP12*AQ12=AN12,"OK","CHECK CARTONS / SIZES"),IF(AR12=AN12,"OK","CHECK TOTAL / SIZES")))</x:f>
      </x:c>
      <x:c r="AT12" s="137" t="str"/>
      <x:c r="AU12" s="137" t="str"/>
      <x:c r="AV12" s="137" t="str"/>
      <x:c r="AW12" s="137" t="str"/>
    </x:row>
    <x:row r="13">
      <x:c r="A13" s="137" t="str"/>
      <x:c r="B13" s="137" t="str"/>
      <x:c r="C13" s="137" t="str"/>
      <x:c r="D13" s="137" t="str"/>
      <x:c r="E13" s="138" t="str"/>
      <x:c r="F13" s="138" t="str"/>
      <x:c r="G13" s="137" t="str"/>
      <x:c r="H13" s="137" t="str"/>
      <x:c r="I13" s="137" t="str"/>
      <x:c r="J13" s="137" t="str"/>
      <x:c r="K13" s="137" t="str"/>
      <x:c r="L13" s="137" t="str"/>
      <x:c r="M13" s="137" t="str"/>
      <x:c r="N13" s="137" t="str"/>
      <x:c r="O13" s="137" t="str"/>
      <x:c r="P13" s="137" t="str"/>
      <x:c r="Q13" s="137" t="str"/>
      <x:c r="R13" s="137" t="str"/>
      <x:c r="S13" s="151" t="str"/>
      <x:c r="T13" s="151" t="str"/>
      <x:c r="U13" s="151" t="str"/>
      <x:c r="V13" s="151" t="str"/>
      <x:c r="W13" s="151" t="str"/>
      <x:c r="X13" s="151" t="str"/>
      <x:c r="Y13" s="151" t="str"/>
      <x:c r="Z13" s="151" t="str"/>
      <x:c r="AA13" s="151" t="str"/>
      <x:c r="AB13" s="151" t="str"/>
      <x:c r="AC13" s="151" t="str"/>
      <x:c r="AD13" s="151" t="str"/>
      <x:c r="AE13" s="151" t="str"/>
      <x:c r="AF13" s="151" t="str"/>
      <x:c r="AG13" s="151" t="str"/>
      <x:c r="AH13" s="151" t="str"/>
      <x:c r="AI13" s="151" t="str"/>
      <x:c r="AJ13" s="151" t="str"/>
      <x:c r="AK13" s="151" t="str"/>
      <x:c r="AL13" s="151" t="str"/>
      <x:c r="AM13" s="151" t="str"/>
      <x:c r="AN13" s="152" t="n">
        <x:f>IF(COUNTA(S13:AM13)=0,"",SUM(S13:AM13))</x:f>
        <x:v>0</x:v>
      </x:c>
      <x:c r="AO13" s="151" t="str"/>
      <x:c r="AP13" s="151" t="str"/>
      <x:c r="AQ13" s="151" t="str"/>
      <x:c r="AR13" s="151" t="str"/>
      <x:c r="AS13" s="196" t="str">
        <x:f>IF(AN13="","",IF(AO13="Cartons",IF(AP13*AQ13=AN13,"OK","CHECK CARTONS / SIZES"),IF(AR13=AN13,"OK","CHECK TOTAL / SIZES")))</x:f>
      </x:c>
      <x:c r="AT13" s="137" t="str"/>
      <x:c r="AU13" s="137" t="str"/>
      <x:c r="AV13" s="137" t="str"/>
      <x:c r="AW13" s="137" t="str"/>
    </x:row>
    <x:row r="14">
      <x:c r="A14" s="137" t="str"/>
      <x:c r="B14" s="137" t="str"/>
      <x:c r="C14" s="137" t="str"/>
      <x:c r="D14" s="137" t="str"/>
      <x:c r="E14" s="138" t="str"/>
      <x:c r="F14" s="138" t="str"/>
      <x:c r="G14" s="137" t="str"/>
      <x:c r="H14" s="137" t="str"/>
      <x:c r="I14" s="137" t="str"/>
      <x:c r="J14" s="137" t="str"/>
      <x:c r="K14" s="137" t="str"/>
      <x:c r="L14" s="137" t="str"/>
      <x:c r="M14" s="137" t="str"/>
      <x:c r="N14" s="137" t="str"/>
      <x:c r="O14" s="137" t="str"/>
      <x:c r="P14" s="137" t="str"/>
      <x:c r="Q14" s="137" t="str"/>
      <x:c r="R14" s="137" t="str"/>
      <x:c r="S14" s="151" t="str"/>
      <x:c r="T14" s="151" t="str"/>
      <x:c r="U14" s="151" t="str"/>
      <x:c r="V14" s="151" t="str"/>
      <x:c r="W14" s="151" t="str"/>
      <x:c r="X14" s="151" t="str"/>
      <x:c r="Y14" s="151" t="str"/>
      <x:c r="Z14" s="151" t="str"/>
      <x:c r="AA14" s="151" t="str"/>
      <x:c r="AB14" s="151" t="str"/>
      <x:c r="AC14" s="151" t="str"/>
      <x:c r="AD14" s="151" t="str"/>
      <x:c r="AE14" s="151" t="str"/>
      <x:c r="AF14" s="151" t="str"/>
      <x:c r="AG14" s="151" t="str"/>
      <x:c r="AH14" s="151" t="str"/>
      <x:c r="AI14" s="151" t="str"/>
      <x:c r="AJ14" s="151" t="str"/>
      <x:c r="AK14" s="151" t="str"/>
      <x:c r="AL14" s="151" t="str"/>
      <x:c r="AM14" s="151" t="str"/>
      <x:c r="AN14" s="152" t="n">
        <x:f>IF(COUNTA(S14:AM14)=0,"",SUM(S14:AM14))</x:f>
        <x:v>0</x:v>
      </x:c>
      <x:c r="AO14" s="151" t="str"/>
      <x:c r="AP14" s="151" t="str"/>
      <x:c r="AQ14" s="151" t="str"/>
      <x:c r="AR14" s="151" t="str"/>
      <x:c r="AS14" s="196" t="str">
        <x:f>IF(AN14="","",IF(AO14="Cartons",IF(AP14*AQ14=AN14,"OK","CHECK CARTONS / SIZES"),IF(AR14=AN14,"OK","CHECK TOTAL / SIZES")))</x:f>
      </x:c>
      <x:c r="AT14" s="137" t="str"/>
      <x:c r="AU14" s="137" t="str"/>
      <x:c r="AV14" s="137" t="str"/>
      <x:c r="AW14" s="137" t="str"/>
    </x:row>
    <x:row r="15">
      <x:c r="A15" s="137" t="str"/>
      <x:c r="B15" s="137" t="str"/>
      <x:c r="C15" s="137" t="str"/>
      <x:c r="D15" s="137" t="str"/>
      <x:c r="E15" s="138" t="str"/>
      <x:c r="F15" s="138" t="str"/>
      <x:c r="G15" s="137" t="str"/>
      <x:c r="H15" s="137" t="str"/>
      <x:c r="I15" s="137" t="str"/>
      <x:c r="J15" s="137" t="str"/>
      <x:c r="K15" s="137" t="str"/>
      <x:c r="L15" s="137" t="str"/>
      <x:c r="M15" s="137" t="str"/>
      <x:c r="N15" s="137" t="str"/>
      <x:c r="O15" s="137" t="str"/>
      <x:c r="P15" s="137" t="str"/>
      <x:c r="Q15" s="137" t="str"/>
      <x:c r="R15" s="137" t="str"/>
      <x:c r="S15" s="151" t="str"/>
      <x:c r="T15" s="151" t="str"/>
      <x:c r="U15" s="151" t="str"/>
      <x:c r="V15" s="151" t="str"/>
      <x:c r="W15" s="151" t="str"/>
      <x:c r="X15" s="151" t="str"/>
      <x:c r="Y15" s="151" t="str"/>
      <x:c r="Z15" s="151" t="str"/>
      <x:c r="AA15" s="151" t="str"/>
      <x:c r="AB15" s="151" t="str"/>
      <x:c r="AC15" s="151" t="str"/>
      <x:c r="AD15" s="151" t="str"/>
      <x:c r="AE15" s="151" t="str"/>
      <x:c r="AF15" s="151" t="str"/>
      <x:c r="AG15" s="151" t="str"/>
      <x:c r="AH15" s="151" t="str"/>
      <x:c r="AI15" s="151" t="str"/>
      <x:c r="AJ15" s="151" t="str"/>
      <x:c r="AK15" s="151" t="str"/>
      <x:c r="AL15" s="151" t="str"/>
      <x:c r="AM15" s="151" t="str"/>
      <x:c r="AN15" s="152" t="n">
        <x:f>IF(COUNTA(S15:AM15)=0,"",SUM(S15:AM15))</x:f>
        <x:v>0</x:v>
      </x:c>
      <x:c r="AO15" s="151" t="str"/>
      <x:c r="AP15" s="151" t="str"/>
      <x:c r="AQ15" s="151" t="str"/>
      <x:c r="AR15" s="151" t="str"/>
      <x:c r="AS15" s="196" t="str">
        <x:f>IF(AN15="","",IF(AO15="Cartons",IF(AP15*AQ15=AN15,"OK","CHECK CARTONS / SIZES"),IF(AR15=AN15,"OK","CHECK TOTAL / SIZES")))</x:f>
      </x:c>
      <x:c r="AT15" s="137" t="str"/>
      <x:c r="AU15" s="137" t="str"/>
      <x:c r="AV15" s="137" t="str"/>
      <x:c r="AW15" s="137" t="str"/>
    </x:row>
    <x:row r="16">
      <x:c r="A16" s="137" t="str"/>
      <x:c r="B16" s="137" t="str"/>
      <x:c r="C16" s="137" t="str"/>
      <x:c r="D16" s="137" t="str"/>
      <x:c r="E16" s="138" t="str"/>
      <x:c r="F16" s="138" t="str"/>
      <x:c r="G16" s="137" t="str"/>
      <x:c r="H16" s="137" t="str"/>
      <x:c r="I16" s="137" t="str"/>
      <x:c r="J16" s="137" t="str"/>
      <x:c r="K16" s="137" t="str"/>
      <x:c r="L16" s="137" t="str"/>
      <x:c r="M16" s="137" t="str"/>
      <x:c r="N16" s="137" t="str"/>
      <x:c r="O16" s="137" t="str"/>
      <x:c r="P16" s="137" t="str"/>
      <x:c r="Q16" s="137" t="str"/>
      <x:c r="R16" s="137" t="str"/>
      <x:c r="S16" s="151" t="str"/>
      <x:c r="T16" s="151" t="str"/>
      <x:c r="U16" s="151" t="str"/>
      <x:c r="V16" s="151" t="str"/>
      <x:c r="W16" s="151" t="str"/>
      <x:c r="X16" s="151" t="str"/>
      <x:c r="Y16" s="151" t="str"/>
      <x:c r="Z16" s="151" t="str"/>
      <x:c r="AA16" s="151" t="str"/>
      <x:c r="AB16" s="151" t="str"/>
      <x:c r="AC16" s="151" t="str"/>
      <x:c r="AD16" s="151" t="str"/>
      <x:c r="AE16" s="151" t="str"/>
      <x:c r="AF16" s="151" t="str"/>
      <x:c r="AG16" s="151" t="str"/>
      <x:c r="AH16" s="151" t="str"/>
      <x:c r="AI16" s="151" t="str"/>
      <x:c r="AJ16" s="151" t="str"/>
      <x:c r="AK16" s="151" t="str"/>
      <x:c r="AL16" s="151" t="str"/>
      <x:c r="AM16" s="151" t="str"/>
      <x:c r="AN16" s="152" t="n">
        <x:f>IF(COUNTA(S16:AM16)=0,"",SUM(S16:AM16))</x:f>
        <x:v>0</x:v>
      </x:c>
      <x:c r="AO16" s="151" t="str"/>
      <x:c r="AP16" s="151" t="str"/>
      <x:c r="AQ16" s="151" t="str"/>
      <x:c r="AR16" s="151" t="str"/>
      <x:c r="AS16" s="196" t="str">
        <x:f>IF(AN16="","",IF(AO16="Cartons",IF(AP16*AQ16=AN16,"OK","CHECK CARTONS / SIZES"),IF(AR16=AN16,"OK","CHECK TOTAL / SIZES")))</x:f>
      </x:c>
      <x:c r="AT16" s="137" t="str"/>
      <x:c r="AU16" s="137" t="str"/>
      <x:c r="AV16" s="137" t="str"/>
      <x:c r="AW16" s="137" t="str"/>
    </x:row>
    <x:row r="17">
      <x:c r="A17" s="137" t="str"/>
      <x:c r="B17" s="137" t="str"/>
      <x:c r="C17" s="137" t="str"/>
      <x:c r="D17" s="137" t="str"/>
      <x:c r="E17" s="138" t="str"/>
      <x:c r="F17" s="138" t="str"/>
      <x:c r="G17" s="137" t="str"/>
      <x:c r="H17" s="137" t="str"/>
      <x:c r="I17" s="137" t="str"/>
      <x:c r="J17" s="137" t="str"/>
      <x:c r="K17" s="137" t="str"/>
      <x:c r="L17" s="137" t="str"/>
      <x:c r="M17" s="137" t="str"/>
      <x:c r="N17" s="137" t="str"/>
      <x:c r="O17" s="137" t="str"/>
      <x:c r="P17" s="137" t="str"/>
      <x:c r="Q17" s="137" t="str"/>
      <x:c r="R17" s="137" t="str"/>
      <x:c r="S17" s="151" t="str"/>
      <x:c r="T17" s="151" t="str"/>
      <x:c r="U17" s="151" t="str"/>
      <x:c r="V17" s="151" t="str"/>
      <x:c r="W17" s="151" t="str"/>
      <x:c r="X17" s="151" t="str"/>
      <x:c r="Y17" s="151" t="str"/>
      <x:c r="Z17" s="151" t="str"/>
      <x:c r="AA17" s="151" t="str"/>
      <x:c r="AB17" s="151" t="str"/>
      <x:c r="AC17" s="151" t="str"/>
      <x:c r="AD17" s="151" t="str"/>
      <x:c r="AE17" s="151" t="str"/>
      <x:c r="AF17" s="151" t="str"/>
      <x:c r="AG17" s="151" t="str"/>
      <x:c r="AH17" s="151" t="str"/>
      <x:c r="AI17" s="151" t="str"/>
      <x:c r="AJ17" s="151" t="str"/>
      <x:c r="AK17" s="151" t="str"/>
      <x:c r="AL17" s="151" t="str"/>
      <x:c r="AM17" s="151" t="str"/>
      <x:c r="AN17" s="152" t="n">
        <x:f>IF(COUNTA(S17:AM17)=0,"",SUM(S17:AM17))</x:f>
        <x:v>0</x:v>
      </x:c>
      <x:c r="AO17" s="151" t="str"/>
      <x:c r="AP17" s="151" t="str"/>
      <x:c r="AQ17" s="151" t="str"/>
      <x:c r="AR17" s="151" t="str"/>
      <x:c r="AS17" s="196" t="str">
        <x:f>IF(AN17="","",IF(AO17="Cartons",IF(AP17*AQ17=AN17,"OK","CHECK CARTONS / SIZES"),IF(AR17=AN17,"OK","CHECK TOTAL / SIZES")))</x:f>
      </x:c>
      <x:c r="AT17" s="137" t="str"/>
      <x:c r="AU17" s="137" t="str"/>
      <x:c r="AV17" s="137" t="str"/>
      <x:c r="AW17" s="137" t="str"/>
    </x:row>
    <x:row r="18">
      <x:c r="A18" s="137" t="str"/>
      <x:c r="B18" s="137" t="str"/>
      <x:c r="C18" s="137" t="str"/>
      <x:c r="D18" s="137" t="str"/>
      <x:c r="E18" s="138" t="str"/>
      <x:c r="F18" s="138" t="str"/>
      <x:c r="G18" s="137" t="str"/>
      <x:c r="H18" s="137" t="str"/>
      <x:c r="I18" s="137" t="str"/>
      <x:c r="J18" s="137" t="str"/>
      <x:c r="K18" s="137" t="str"/>
      <x:c r="L18" s="137" t="str"/>
      <x:c r="M18" s="137" t="str"/>
      <x:c r="N18" s="137" t="str"/>
      <x:c r="O18" s="137" t="str"/>
      <x:c r="P18" s="137" t="str"/>
      <x:c r="Q18" s="137" t="str"/>
      <x:c r="R18" s="137" t="str"/>
      <x:c r="S18" s="151" t="str"/>
      <x:c r="T18" s="151" t="str"/>
      <x:c r="U18" s="151" t="str"/>
      <x:c r="V18" s="151" t="str"/>
      <x:c r="W18" s="151" t="str"/>
      <x:c r="X18" s="151" t="str"/>
      <x:c r="Y18" s="151" t="str"/>
      <x:c r="Z18" s="151" t="str"/>
      <x:c r="AA18" s="151" t="str"/>
      <x:c r="AB18" s="151" t="str"/>
      <x:c r="AC18" s="151" t="str"/>
      <x:c r="AD18" s="151" t="str"/>
      <x:c r="AE18" s="151" t="str"/>
      <x:c r="AF18" s="151" t="str"/>
      <x:c r="AG18" s="151" t="str"/>
      <x:c r="AH18" s="151" t="str"/>
      <x:c r="AI18" s="151" t="str"/>
      <x:c r="AJ18" s="151" t="str"/>
      <x:c r="AK18" s="151" t="str"/>
      <x:c r="AL18" s="151" t="str"/>
      <x:c r="AM18" s="151" t="str"/>
      <x:c r="AN18" s="152" t="n">
        <x:f>IF(COUNTA(S18:AM18)=0,"",SUM(S18:AM18))</x:f>
        <x:v>0</x:v>
      </x:c>
      <x:c r="AO18" s="151" t="str"/>
      <x:c r="AP18" s="151" t="str"/>
      <x:c r="AQ18" s="151" t="str"/>
      <x:c r="AR18" s="151" t="str"/>
      <x:c r="AS18" s="196" t="str">
        <x:f>IF(AN18="","",IF(AO18="Cartons",IF(AP18*AQ18=AN18,"OK","CHECK CARTONS / SIZES"),IF(AR18=AN18,"OK","CHECK TOTAL / SIZES")))</x:f>
      </x:c>
      <x:c r="AT18" s="137" t="str"/>
      <x:c r="AU18" s="137" t="str"/>
      <x:c r="AV18" s="137" t="str"/>
      <x:c r="AW18" s="137" t="str"/>
    </x:row>
    <x:row r="19">
      <x:c r="A19" s="137" t="str"/>
      <x:c r="B19" s="137" t="str"/>
      <x:c r="C19" s="137" t="str"/>
      <x:c r="D19" s="137" t="str"/>
      <x:c r="E19" s="138" t="str"/>
      <x:c r="F19" s="138" t="str"/>
      <x:c r="G19" s="137" t="str"/>
      <x:c r="H19" s="137" t="str"/>
      <x:c r="I19" s="137" t="str"/>
      <x:c r="J19" s="137" t="str"/>
      <x:c r="K19" s="137" t="str"/>
      <x:c r="L19" s="137" t="str"/>
      <x:c r="M19" s="137" t="str"/>
      <x:c r="N19" s="137" t="str"/>
      <x:c r="O19" s="137" t="str"/>
      <x:c r="P19" s="137" t="str"/>
      <x:c r="Q19" s="137" t="str"/>
      <x:c r="R19" s="137" t="str"/>
      <x:c r="S19" s="151" t="str"/>
      <x:c r="T19" s="151" t="str"/>
      <x:c r="U19" s="151" t="str"/>
      <x:c r="V19" s="151" t="str"/>
      <x:c r="W19" s="151" t="str"/>
      <x:c r="X19" s="151" t="str"/>
      <x:c r="Y19" s="151" t="str"/>
      <x:c r="Z19" s="151" t="str"/>
      <x:c r="AA19" s="151" t="str"/>
      <x:c r="AB19" s="151" t="str"/>
      <x:c r="AC19" s="151" t="str"/>
      <x:c r="AD19" s="151" t="str"/>
      <x:c r="AE19" s="151" t="str"/>
      <x:c r="AF19" s="151" t="str"/>
      <x:c r="AG19" s="151" t="str"/>
      <x:c r="AH19" s="151" t="str"/>
      <x:c r="AI19" s="151" t="str"/>
      <x:c r="AJ19" s="151" t="str"/>
      <x:c r="AK19" s="151" t="str"/>
      <x:c r="AL19" s="151" t="str"/>
      <x:c r="AM19" s="151" t="str"/>
      <x:c r="AN19" s="152" t="n">
        <x:f>IF(COUNTA(S19:AM19)=0,"",SUM(S19:AM19))</x:f>
        <x:v>0</x:v>
      </x:c>
      <x:c r="AO19" s="151" t="str"/>
      <x:c r="AP19" s="151" t="str"/>
      <x:c r="AQ19" s="151" t="str"/>
      <x:c r="AR19" s="151" t="str"/>
      <x:c r="AS19" s="196" t="str">
        <x:f>IF(AN19="","",IF(AO19="Cartons",IF(AP19*AQ19=AN19,"OK","CHECK CARTONS / SIZES"),IF(AR19=AN19,"OK","CHECK TOTAL / SIZES")))</x:f>
      </x:c>
      <x:c r="AT19" s="137" t="str"/>
      <x:c r="AU19" s="137" t="str"/>
      <x:c r="AV19" s="137" t="str"/>
      <x:c r="AW19" s="137" t="str"/>
    </x:row>
    <x:row r="20">
      <x:c r="A20" s="137" t="str"/>
      <x:c r="B20" s="137" t="str"/>
      <x:c r="C20" s="137" t="str"/>
      <x:c r="D20" s="137" t="str"/>
      <x:c r="E20" s="138" t="str"/>
      <x:c r="F20" s="138" t="str"/>
      <x:c r="G20" s="137" t="str"/>
      <x:c r="H20" s="137" t="str"/>
      <x:c r="I20" s="137" t="str"/>
      <x:c r="J20" s="137" t="str"/>
      <x:c r="K20" s="137" t="str"/>
      <x:c r="L20" s="137" t="str"/>
      <x:c r="M20" s="137" t="str"/>
      <x:c r="N20" s="137" t="str"/>
      <x:c r="O20" s="137" t="str"/>
      <x:c r="P20" s="137" t="str"/>
      <x:c r="Q20" s="137" t="str"/>
      <x:c r="R20" s="137" t="str"/>
      <x:c r="S20" s="151" t="str"/>
      <x:c r="T20" s="151" t="str"/>
      <x:c r="U20" s="151" t="str"/>
      <x:c r="V20" s="151" t="str"/>
      <x:c r="W20" s="151" t="str"/>
      <x:c r="X20" s="151" t="str"/>
      <x:c r="Y20" s="151" t="str"/>
      <x:c r="Z20" s="151" t="str"/>
      <x:c r="AA20" s="151" t="str"/>
      <x:c r="AB20" s="151" t="str"/>
      <x:c r="AC20" s="151" t="str"/>
      <x:c r="AD20" s="151" t="str"/>
      <x:c r="AE20" s="151" t="str"/>
      <x:c r="AF20" s="151" t="str"/>
      <x:c r="AG20" s="151" t="str"/>
      <x:c r="AH20" s="151" t="str"/>
      <x:c r="AI20" s="151" t="str"/>
      <x:c r="AJ20" s="151" t="str"/>
      <x:c r="AK20" s="151" t="str"/>
      <x:c r="AL20" s="151" t="str"/>
      <x:c r="AM20" s="151" t="str"/>
      <x:c r="AN20" s="152" t="n">
        <x:f>IF(COUNTA(S20:AM20)=0,"",SUM(S20:AM20))</x:f>
        <x:v>0</x:v>
      </x:c>
      <x:c r="AO20" s="151" t="str"/>
      <x:c r="AP20" s="151" t="str"/>
      <x:c r="AQ20" s="151" t="str"/>
      <x:c r="AR20" s="151" t="str"/>
      <x:c r="AS20" s="196" t="str">
        <x:f>IF(AN20="","",IF(AO20="Cartons",IF(AP20*AQ20=AN20,"OK","CHECK CARTONS / SIZES"),IF(AR20=AN20,"OK","CHECK TOTAL / SIZES")))</x:f>
      </x:c>
      <x:c r="AT20" s="137" t="str"/>
      <x:c r="AU20" s="137" t="str"/>
      <x:c r="AV20" s="137" t="str"/>
      <x:c r="AW20" s="137" t="str"/>
    </x:row>
    <x:row r="21">
      <x:c r="A21" s="137" t="str"/>
      <x:c r="B21" s="137" t="str"/>
      <x:c r="C21" s="137" t="str"/>
      <x:c r="D21" s="137" t="str"/>
      <x:c r="E21" s="138" t="str"/>
      <x:c r="F21" s="138" t="str"/>
      <x:c r="G21" s="137" t="str"/>
      <x:c r="H21" s="137" t="str"/>
      <x:c r="I21" s="137" t="str"/>
      <x:c r="J21" s="137" t="str"/>
      <x:c r="K21" s="137" t="str"/>
      <x:c r="L21" s="137" t="str"/>
      <x:c r="M21" s="137" t="str"/>
      <x:c r="N21" s="137" t="str"/>
      <x:c r="O21" s="137" t="str"/>
      <x:c r="P21" s="137" t="str"/>
      <x:c r="Q21" s="137" t="str"/>
      <x:c r="R21" s="137" t="str"/>
      <x:c r="S21" s="151" t="str"/>
      <x:c r="T21" s="151" t="str"/>
      <x:c r="U21" s="151" t="str"/>
      <x:c r="V21" s="151" t="str"/>
      <x:c r="W21" s="151" t="str"/>
      <x:c r="X21" s="151" t="str"/>
      <x:c r="Y21" s="151" t="str"/>
      <x:c r="Z21" s="151" t="str"/>
      <x:c r="AA21" s="151" t="str"/>
      <x:c r="AB21" s="151" t="str"/>
      <x:c r="AC21" s="151" t="str"/>
      <x:c r="AD21" s="151" t="str"/>
      <x:c r="AE21" s="151" t="str"/>
      <x:c r="AF21" s="151" t="str"/>
      <x:c r="AG21" s="151" t="str"/>
      <x:c r="AH21" s="151" t="str"/>
      <x:c r="AI21" s="151" t="str"/>
      <x:c r="AJ21" s="151" t="str"/>
      <x:c r="AK21" s="151" t="str"/>
      <x:c r="AL21" s="151" t="str"/>
      <x:c r="AM21" s="151" t="str"/>
      <x:c r="AN21" s="152" t="n">
        <x:f>IF(COUNTA(S21:AM21)=0,"",SUM(S21:AM21))</x:f>
        <x:v>0</x:v>
      </x:c>
      <x:c r="AO21" s="151" t="str"/>
      <x:c r="AP21" s="151" t="str"/>
      <x:c r="AQ21" s="151" t="str"/>
      <x:c r="AR21" s="151" t="str"/>
      <x:c r="AS21" s="196" t="str">
        <x:f>IF(AN21="","",IF(AO21="Cartons",IF(AP21*AQ21=AN21,"OK","CHECK CARTONS / SIZES"),IF(AR21=AN21,"OK","CHECK TOTAL / SIZES")))</x:f>
      </x:c>
      <x:c r="AT21" s="137" t="str"/>
      <x:c r="AU21" s="137" t="str"/>
      <x:c r="AV21" s="137" t="str"/>
      <x:c r="AW21" s="137" t="str"/>
    </x:row>
    <x:row r="22">
      <x:c r="A22" s="137" t="str"/>
      <x:c r="B22" s="137" t="str"/>
      <x:c r="C22" s="137" t="str"/>
      <x:c r="D22" s="137" t="str"/>
      <x:c r="E22" s="138" t="str"/>
      <x:c r="F22" s="138" t="str"/>
      <x:c r="G22" s="137" t="str"/>
      <x:c r="H22" s="137" t="str"/>
      <x:c r="I22" s="137" t="str"/>
      <x:c r="J22" s="137" t="str"/>
      <x:c r="K22" s="137" t="str"/>
      <x:c r="L22" s="137" t="str"/>
      <x:c r="M22" s="137" t="str"/>
      <x:c r="N22" s="137" t="str"/>
      <x:c r="O22" s="137" t="str"/>
      <x:c r="P22" s="137" t="str"/>
      <x:c r="Q22" s="137" t="str"/>
      <x:c r="R22" s="137" t="str"/>
      <x:c r="S22" s="151" t="str"/>
      <x:c r="T22" s="151" t="str"/>
      <x:c r="U22" s="151" t="str"/>
      <x:c r="V22" s="151" t="str"/>
      <x:c r="W22" s="151" t="str"/>
      <x:c r="X22" s="151" t="str"/>
      <x:c r="Y22" s="151" t="str"/>
      <x:c r="Z22" s="151" t="str"/>
      <x:c r="AA22" s="151" t="str"/>
      <x:c r="AB22" s="151" t="str"/>
      <x:c r="AC22" s="151" t="str"/>
      <x:c r="AD22" s="151" t="str"/>
      <x:c r="AE22" s="151" t="str"/>
      <x:c r="AF22" s="151" t="str"/>
      <x:c r="AG22" s="151" t="str"/>
      <x:c r="AH22" s="151" t="str"/>
      <x:c r="AI22" s="151" t="str"/>
      <x:c r="AJ22" s="151" t="str"/>
      <x:c r="AK22" s="151" t="str"/>
      <x:c r="AL22" s="151" t="str"/>
      <x:c r="AM22" s="151" t="str"/>
      <x:c r="AN22" s="152" t="n">
        <x:f>IF(COUNTA(S22:AM22)=0,"",SUM(S22:AM22))</x:f>
        <x:v>0</x:v>
      </x:c>
      <x:c r="AO22" s="151" t="str"/>
      <x:c r="AP22" s="151" t="str"/>
      <x:c r="AQ22" s="151" t="str"/>
      <x:c r="AR22" s="151" t="str"/>
      <x:c r="AS22" s="196" t="str">
        <x:f>IF(AN22="","",IF(AO22="Cartons",IF(AP22*AQ22=AN22,"OK","CHECK CARTONS / SIZES"),IF(AR22=AN22,"OK","CHECK TOTAL / SIZES")))</x:f>
      </x:c>
      <x:c r="AT22" s="137" t="str"/>
      <x:c r="AU22" s="137" t="str"/>
      <x:c r="AV22" s="137" t="str"/>
      <x:c r="AW22" s="137" t="str"/>
    </x:row>
    <x:row r="23">
      <x:c r="A23" s="137" t="str"/>
      <x:c r="B23" s="137" t="str"/>
      <x:c r="C23" s="137" t="str"/>
      <x:c r="D23" s="137" t="str"/>
      <x:c r="E23" s="138" t="str"/>
      <x:c r="F23" s="138" t="str"/>
      <x:c r="G23" s="137" t="str"/>
      <x:c r="H23" s="137" t="str"/>
      <x:c r="I23" s="137" t="str"/>
      <x:c r="J23" s="137" t="str"/>
      <x:c r="K23" s="137" t="str"/>
      <x:c r="L23" s="137" t="str"/>
      <x:c r="M23" s="137" t="str"/>
      <x:c r="N23" s="137" t="str"/>
      <x:c r="O23" s="137" t="str"/>
      <x:c r="P23" s="137" t="str"/>
      <x:c r="Q23" s="137" t="str"/>
      <x:c r="R23" s="137" t="str"/>
      <x:c r="S23" s="151" t="str"/>
      <x:c r="T23" s="151" t="str"/>
      <x:c r="U23" s="151" t="str"/>
      <x:c r="V23" s="151" t="str"/>
      <x:c r="W23" s="151" t="str"/>
      <x:c r="X23" s="151" t="str"/>
      <x:c r="Y23" s="151" t="str"/>
      <x:c r="Z23" s="151" t="str"/>
      <x:c r="AA23" s="151" t="str"/>
      <x:c r="AB23" s="151" t="str"/>
      <x:c r="AC23" s="151" t="str"/>
      <x:c r="AD23" s="151" t="str"/>
      <x:c r="AE23" s="151" t="str"/>
      <x:c r="AF23" s="151" t="str"/>
      <x:c r="AG23" s="151" t="str"/>
      <x:c r="AH23" s="151" t="str"/>
      <x:c r="AI23" s="151" t="str"/>
      <x:c r="AJ23" s="151" t="str"/>
      <x:c r="AK23" s="151" t="str"/>
      <x:c r="AL23" s="151" t="str"/>
      <x:c r="AM23" s="151" t="str"/>
      <x:c r="AN23" s="152" t="n">
        <x:f>IF(COUNTA(S23:AM23)=0,"",SUM(S23:AM23))</x:f>
        <x:v>0</x:v>
      </x:c>
      <x:c r="AO23" s="151" t="str"/>
      <x:c r="AP23" s="151" t="str"/>
      <x:c r="AQ23" s="151" t="str"/>
      <x:c r="AR23" s="151" t="str"/>
      <x:c r="AS23" s="196" t="str">
        <x:f>IF(AN23="","",IF(AO23="Cartons",IF(AP23*AQ23=AN23,"OK","CHECK CARTONS / SIZES"),IF(AR23=AN23,"OK","CHECK TOTAL / SIZES")))</x:f>
      </x:c>
      <x:c r="AT23" s="137" t="str"/>
      <x:c r="AU23" s="137" t="str"/>
      <x:c r="AV23" s="137" t="str"/>
      <x:c r="AW23" s="137" t="str"/>
    </x:row>
    <x:row r="24">
      <x:c r="A24" s="137" t="str"/>
      <x:c r="B24" s="137" t="str"/>
      <x:c r="C24" s="137" t="str"/>
      <x:c r="D24" s="137" t="str"/>
      <x:c r="E24" s="138" t="str"/>
      <x:c r="F24" s="138" t="str"/>
      <x:c r="G24" s="137" t="str"/>
      <x:c r="H24" s="137" t="str"/>
      <x:c r="I24" s="137" t="str"/>
      <x:c r="J24" s="137" t="str"/>
      <x:c r="K24" s="137" t="str"/>
      <x:c r="L24" s="137" t="str"/>
      <x:c r="M24" s="137" t="str"/>
      <x:c r="N24" s="137" t="str"/>
      <x:c r="O24" s="137" t="str"/>
      <x:c r="P24" s="137" t="str"/>
      <x:c r="Q24" s="137" t="str"/>
      <x:c r="R24" s="137" t="str"/>
      <x:c r="S24" s="151" t="str"/>
      <x:c r="T24" s="151" t="str"/>
      <x:c r="U24" s="151" t="str"/>
      <x:c r="V24" s="151" t="str"/>
      <x:c r="W24" s="151" t="str"/>
      <x:c r="X24" s="151" t="str"/>
      <x:c r="Y24" s="151" t="str"/>
      <x:c r="Z24" s="151" t="str"/>
      <x:c r="AA24" s="151" t="str"/>
      <x:c r="AB24" s="151" t="str"/>
      <x:c r="AC24" s="151" t="str"/>
      <x:c r="AD24" s="151" t="str"/>
      <x:c r="AE24" s="151" t="str"/>
      <x:c r="AF24" s="151" t="str"/>
      <x:c r="AG24" s="151" t="str"/>
      <x:c r="AH24" s="151" t="str"/>
      <x:c r="AI24" s="151" t="str"/>
      <x:c r="AJ24" s="151" t="str"/>
      <x:c r="AK24" s="151" t="str"/>
      <x:c r="AL24" s="151" t="str"/>
      <x:c r="AM24" s="151" t="str"/>
      <x:c r="AN24" s="152" t="n">
        <x:f>IF(COUNTA(S24:AM24)=0,"",SUM(S24:AM24))</x:f>
        <x:v>0</x:v>
      </x:c>
      <x:c r="AO24" s="151" t="str"/>
      <x:c r="AP24" s="151" t="str"/>
      <x:c r="AQ24" s="151" t="str"/>
      <x:c r="AR24" s="151" t="str"/>
      <x:c r="AS24" s="196" t="str">
        <x:f>IF(AN24="","",IF(AO24="Cartons",IF(AP24*AQ24=AN24,"OK","CHECK CARTONS / SIZES"),IF(AR24=AN24,"OK","CHECK TOTAL / SIZES")))</x:f>
      </x:c>
      <x:c r="AT24" s="137" t="str"/>
      <x:c r="AU24" s="137" t="str"/>
      <x:c r="AV24" s="137" t="str"/>
      <x:c r="AW24" s="137" t="str"/>
    </x:row>
    <x:row r="25">
      <x:c r="A25" s="137" t="str"/>
      <x:c r="B25" s="137" t="str"/>
      <x:c r="C25" s="137" t="str"/>
      <x:c r="D25" s="137" t="str"/>
      <x:c r="E25" s="138" t="str"/>
      <x:c r="F25" s="138" t="str"/>
      <x:c r="G25" s="137" t="str"/>
      <x:c r="H25" s="137" t="str"/>
      <x:c r="I25" s="137" t="str"/>
      <x:c r="J25" s="137" t="str"/>
      <x:c r="K25" s="137" t="str"/>
      <x:c r="L25" s="137" t="str"/>
      <x:c r="M25" s="137" t="str"/>
      <x:c r="N25" s="137" t="str"/>
      <x:c r="O25" s="137" t="str"/>
      <x:c r="P25" s="137" t="str"/>
      <x:c r="Q25" s="137" t="str"/>
      <x:c r="R25" s="137" t="str"/>
      <x:c r="S25" s="151" t="str"/>
      <x:c r="T25" s="151" t="str"/>
      <x:c r="U25" s="151" t="str"/>
      <x:c r="V25" s="151" t="str"/>
      <x:c r="W25" s="151" t="str"/>
      <x:c r="X25" s="151" t="str"/>
      <x:c r="Y25" s="151" t="str"/>
      <x:c r="Z25" s="151" t="str"/>
      <x:c r="AA25" s="151" t="str"/>
      <x:c r="AB25" s="151" t="str"/>
      <x:c r="AC25" s="151" t="str"/>
      <x:c r="AD25" s="151" t="str"/>
      <x:c r="AE25" s="151" t="str"/>
      <x:c r="AF25" s="151" t="str"/>
      <x:c r="AG25" s="151" t="str"/>
      <x:c r="AH25" s="151" t="str"/>
      <x:c r="AI25" s="151" t="str"/>
      <x:c r="AJ25" s="151" t="str"/>
      <x:c r="AK25" s="151" t="str"/>
      <x:c r="AL25" s="151" t="str"/>
      <x:c r="AM25" s="151" t="str"/>
      <x:c r="AN25" s="152" t="n">
        <x:f>IF(COUNTA(S25:AM25)=0,"",SUM(S25:AM25))</x:f>
        <x:v>0</x:v>
      </x:c>
      <x:c r="AO25" s="151" t="str"/>
      <x:c r="AP25" s="151" t="str"/>
      <x:c r="AQ25" s="151" t="str"/>
      <x:c r="AR25" s="151" t="str"/>
      <x:c r="AS25" s="196" t="str">
        <x:f>IF(AN25="","",IF(AO25="Cartons",IF(AP25*AQ25=AN25,"OK","CHECK CARTONS / SIZES"),IF(AR25=AN25,"OK","CHECK TOTAL / SIZES")))</x:f>
      </x:c>
      <x:c r="AT25" s="137" t="str"/>
      <x:c r="AU25" s="137" t="str"/>
      <x:c r="AV25" s="137" t="str"/>
      <x:c r="AW25" s="137" t="str"/>
    </x:row>
    <x:row r="26">
      <x:c r="A26" s="137" t="str"/>
      <x:c r="B26" s="137" t="str"/>
      <x:c r="C26" s="137" t="str"/>
      <x:c r="D26" s="137" t="str"/>
      <x:c r="E26" s="138" t="str"/>
      <x:c r="F26" s="138" t="str"/>
      <x:c r="G26" s="137" t="str"/>
      <x:c r="H26" s="137" t="str"/>
      <x:c r="I26" s="137" t="str"/>
      <x:c r="J26" s="137" t="str"/>
      <x:c r="K26" s="137" t="str"/>
      <x:c r="L26" s="137" t="str"/>
      <x:c r="M26" s="137" t="str"/>
      <x:c r="N26" s="137" t="str"/>
      <x:c r="O26" s="137" t="str"/>
      <x:c r="P26" s="137" t="str"/>
      <x:c r="Q26" s="137" t="str"/>
      <x:c r="R26" s="137" t="str"/>
      <x:c r="S26" s="151" t="str"/>
      <x:c r="T26" s="151" t="str"/>
      <x:c r="U26" s="151" t="str"/>
      <x:c r="V26" s="151" t="str"/>
      <x:c r="W26" s="151" t="str"/>
      <x:c r="X26" s="151" t="str"/>
      <x:c r="Y26" s="151" t="str"/>
      <x:c r="Z26" s="151" t="str"/>
      <x:c r="AA26" s="151" t="str"/>
      <x:c r="AB26" s="151" t="str"/>
      <x:c r="AC26" s="151" t="str"/>
      <x:c r="AD26" s="151" t="str"/>
      <x:c r="AE26" s="151" t="str"/>
      <x:c r="AF26" s="151" t="str"/>
      <x:c r="AG26" s="151" t="str"/>
      <x:c r="AH26" s="151" t="str"/>
      <x:c r="AI26" s="151" t="str"/>
      <x:c r="AJ26" s="151" t="str"/>
      <x:c r="AK26" s="151" t="str"/>
      <x:c r="AL26" s="151" t="str"/>
      <x:c r="AM26" s="151" t="str"/>
      <x:c r="AN26" s="152" t="n">
        <x:f>IF(COUNTA(S26:AM26)=0,"",SUM(S26:AM26))</x:f>
        <x:v>0</x:v>
      </x:c>
      <x:c r="AO26" s="151" t="str"/>
      <x:c r="AP26" s="151" t="str"/>
      <x:c r="AQ26" s="151" t="str"/>
      <x:c r="AR26" s="151" t="str"/>
      <x:c r="AS26" s="196" t="str">
        <x:f>IF(AN26="","",IF(AO26="Cartons",IF(AP26*AQ26=AN26,"OK","CHECK CARTONS / SIZES"),IF(AR26=AN26,"OK","CHECK TOTAL / SIZES")))</x:f>
      </x:c>
      <x:c r="AT26" s="137" t="str"/>
      <x:c r="AU26" s="137" t="str"/>
      <x:c r="AV26" s="137" t="str"/>
      <x:c r="AW26" s="137" t="str"/>
    </x:row>
    <x:row r="27">
      <x:c r="A27" s="137" t="str"/>
      <x:c r="B27" s="137" t="str"/>
      <x:c r="C27" s="137" t="str"/>
      <x:c r="D27" s="137" t="str"/>
      <x:c r="E27" s="138" t="str"/>
      <x:c r="F27" s="138" t="str"/>
      <x:c r="G27" s="137" t="str"/>
      <x:c r="H27" s="137" t="str"/>
      <x:c r="I27" s="137" t="str"/>
      <x:c r="J27" s="137" t="str"/>
      <x:c r="K27" s="137" t="str"/>
      <x:c r="L27" s="137" t="str"/>
      <x:c r="M27" s="137" t="str"/>
      <x:c r="N27" s="137" t="str"/>
      <x:c r="O27" s="137" t="str"/>
      <x:c r="P27" s="137" t="str"/>
      <x:c r="Q27" s="137" t="str"/>
      <x:c r="R27" s="137" t="str"/>
      <x:c r="S27" s="151" t="str"/>
      <x:c r="T27" s="151" t="str"/>
      <x:c r="U27" s="151" t="str"/>
      <x:c r="V27" s="151" t="str"/>
      <x:c r="W27" s="151" t="str"/>
      <x:c r="X27" s="151" t="str"/>
      <x:c r="Y27" s="151" t="str"/>
      <x:c r="Z27" s="151" t="str"/>
      <x:c r="AA27" s="151" t="str"/>
      <x:c r="AB27" s="151" t="str"/>
      <x:c r="AC27" s="151" t="str"/>
      <x:c r="AD27" s="151" t="str"/>
      <x:c r="AE27" s="151" t="str"/>
      <x:c r="AF27" s="151" t="str"/>
      <x:c r="AG27" s="151" t="str"/>
      <x:c r="AH27" s="151" t="str"/>
      <x:c r="AI27" s="151" t="str"/>
      <x:c r="AJ27" s="151" t="str"/>
      <x:c r="AK27" s="151" t="str"/>
      <x:c r="AL27" s="151" t="str"/>
      <x:c r="AM27" s="151" t="str"/>
      <x:c r="AN27" s="152" t="n">
        <x:f>IF(COUNTA(S27:AM27)=0,"",SUM(S27:AM27))</x:f>
        <x:v>0</x:v>
      </x:c>
      <x:c r="AO27" s="151" t="str"/>
      <x:c r="AP27" s="151" t="str"/>
      <x:c r="AQ27" s="151" t="str"/>
      <x:c r="AR27" s="151" t="str"/>
      <x:c r="AS27" s="196" t="str">
        <x:f>IF(AN27="","",IF(AO27="Cartons",IF(AP27*AQ27=AN27,"OK","CHECK CARTONS / SIZES"),IF(AR27=AN27,"OK","CHECK TOTAL / SIZES")))</x:f>
      </x:c>
      <x:c r="AT27" s="137" t="str"/>
      <x:c r="AU27" s="137" t="str"/>
      <x:c r="AV27" s="137" t="str"/>
      <x:c r="AW27" s="137" t="str"/>
    </x:row>
    <x:row r="28">
      <x:c r="A28" s="137" t="str"/>
      <x:c r="B28" s="137" t="str"/>
      <x:c r="C28" s="137" t="str"/>
      <x:c r="D28" s="137" t="str"/>
      <x:c r="E28" s="138" t="str"/>
      <x:c r="F28" s="138" t="str"/>
      <x:c r="G28" s="137" t="str"/>
      <x:c r="H28" s="137" t="str"/>
      <x:c r="I28" s="137" t="str"/>
      <x:c r="J28" s="137" t="str"/>
      <x:c r="K28" s="137" t="str"/>
      <x:c r="L28" s="137" t="str"/>
      <x:c r="M28" s="137" t="str"/>
      <x:c r="N28" s="137" t="str"/>
      <x:c r="O28" s="137" t="str"/>
      <x:c r="P28" s="137" t="str"/>
      <x:c r="Q28" s="137" t="str"/>
      <x:c r="R28" s="137" t="str"/>
      <x:c r="S28" s="151" t="str"/>
      <x:c r="T28" s="151" t="str"/>
      <x:c r="U28" s="151" t="str"/>
      <x:c r="V28" s="151" t="str"/>
      <x:c r="W28" s="151" t="str"/>
      <x:c r="X28" s="151" t="str"/>
      <x:c r="Y28" s="151" t="str"/>
      <x:c r="Z28" s="151" t="str"/>
      <x:c r="AA28" s="151" t="str"/>
      <x:c r="AB28" s="151" t="str"/>
      <x:c r="AC28" s="151" t="str"/>
      <x:c r="AD28" s="151" t="str"/>
      <x:c r="AE28" s="151" t="str"/>
      <x:c r="AF28" s="151" t="str"/>
      <x:c r="AG28" s="151" t="str"/>
      <x:c r="AH28" s="151" t="str"/>
      <x:c r="AI28" s="151" t="str"/>
      <x:c r="AJ28" s="151" t="str"/>
      <x:c r="AK28" s="151" t="str"/>
      <x:c r="AL28" s="151" t="str"/>
      <x:c r="AM28" s="151" t="str"/>
      <x:c r="AN28" s="152" t="n">
        <x:f>IF(COUNTA(S28:AM28)=0,"",SUM(S28:AM28))</x:f>
        <x:v>0</x:v>
      </x:c>
      <x:c r="AO28" s="151" t="str"/>
      <x:c r="AP28" s="151" t="str"/>
      <x:c r="AQ28" s="151" t="str"/>
      <x:c r="AR28" s="151" t="str"/>
      <x:c r="AS28" s="196" t="str">
        <x:f>IF(AN28="","",IF(AO28="Cartons",IF(AP28*AQ28=AN28,"OK","CHECK CARTONS / SIZES"),IF(AR28=AN28,"OK","CHECK TOTAL / SIZES")))</x:f>
      </x:c>
      <x:c r="AT28" s="137" t="str"/>
      <x:c r="AU28" s="137" t="str"/>
      <x:c r="AV28" s="137" t="str"/>
      <x:c r="AW28" s="137" t="str"/>
    </x:row>
    <x:row r="29">
      <x:c r="A29" s="137" t="str"/>
      <x:c r="B29" s="137" t="str"/>
      <x:c r="C29" s="137" t="str"/>
      <x:c r="D29" s="137" t="str"/>
      <x:c r="E29" s="138" t="str"/>
      <x:c r="F29" s="138" t="str"/>
      <x:c r="G29" s="137" t="str"/>
      <x:c r="H29" s="137" t="str"/>
      <x:c r="I29" s="137" t="str"/>
      <x:c r="J29" s="137" t="str"/>
      <x:c r="K29" s="137" t="str"/>
      <x:c r="L29" s="137" t="str"/>
      <x:c r="M29" s="137" t="str"/>
      <x:c r="N29" s="137" t="str"/>
      <x:c r="O29" s="137" t="str"/>
      <x:c r="P29" s="137" t="str"/>
      <x:c r="Q29" s="137" t="str"/>
      <x:c r="R29" s="137" t="str"/>
      <x:c r="S29" s="151" t="str"/>
      <x:c r="T29" s="151" t="str"/>
      <x:c r="U29" s="151" t="str"/>
      <x:c r="V29" s="151" t="str"/>
      <x:c r="W29" s="151" t="str"/>
      <x:c r="X29" s="151" t="str"/>
      <x:c r="Y29" s="151" t="str"/>
      <x:c r="Z29" s="151" t="str"/>
      <x:c r="AA29" s="151" t="str"/>
      <x:c r="AB29" s="151" t="str"/>
      <x:c r="AC29" s="151" t="str"/>
      <x:c r="AD29" s="151" t="str"/>
      <x:c r="AE29" s="151" t="str"/>
      <x:c r="AF29" s="151" t="str"/>
      <x:c r="AG29" s="151" t="str"/>
      <x:c r="AH29" s="151" t="str"/>
      <x:c r="AI29" s="151" t="str"/>
      <x:c r="AJ29" s="151" t="str"/>
      <x:c r="AK29" s="151" t="str"/>
      <x:c r="AL29" s="151" t="str"/>
      <x:c r="AM29" s="151" t="str"/>
      <x:c r="AN29" s="152" t="n">
        <x:f>IF(COUNTA(S29:AM29)=0,"",SUM(S29:AM29))</x:f>
        <x:v>0</x:v>
      </x:c>
      <x:c r="AO29" s="151" t="str"/>
      <x:c r="AP29" s="151" t="str"/>
      <x:c r="AQ29" s="151" t="str"/>
      <x:c r="AR29" s="151" t="str"/>
      <x:c r="AS29" s="196" t="str">
        <x:f>IF(AN29="","",IF(AO29="Cartons",IF(AP29*AQ29=AN29,"OK","CHECK CARTONS / SIZES"),IF(AR29=AN29,"OK","CHECK TOTAL / SIZES")))</x:f>
      </x:c>
      <x:c r="AT29" s="137" t="str"/>
      <x:c r="AU29" s="137" t="str"/>
      <x:c r="AV29" s="137" t="str"/>
      <x:c r="AW29" s="137" t="str"/>
    </x:row>
    <x:row r="30">
      <x:c r="A30" s="137" t="str"/>
      <x:c r="B30" s="137" t="str"/>
      <x:c r="C30" s="137" t="str"/>
      <x:c r="D30" s="137" t="str"/>
      <x:c r="E30" s="138" t="str"/>
      <x:c r="F30" s="138" t="str"/>
      <x:c r="G30" s="137" t="str"/>
      <x:c r="H30" s="137" t="str"/>
      <x:c r="I30" s="137" t="str"/>
      <x:c r="J30" s="137" t="str"/>
      <x:c r="K30" s="137" t="str"/>
      <x:c r="L30" s="137" t="str"/>
      <x:c r="M30" s="137" t="str"/>
      <x:c r="N30" s="137" t="str"/>
      <x:c r="O30" s="137" t="str"/>
      <x:c r="P30" s="137" t="str"/>
      <x:c r="Q30" s="137" t="str"/>
      <x:c r="R30" s="137" t="str"/>
      <x:c r="S30" s="151" t="str"/>
      <x:c r="T30" s="151" t="str"/>
      <x:c r="U30" s="151" t="str"/>
      <x:c r="V30" s="151" t="str"/>
      <x:c r="W30" s="151" t="str"/>
      <x:c r="X30" s="151" t="str"/>
      <x:c r="Y30" s="151" t="str"/>
      <x:c r="Z30" s="151" t="str"/>
      <x:c r="AA30" s="151" t="str"/>
      <x:c r="AB30" s="151" t="str"/>
      <x:c r="AC30" s="151" t="str"/>
      <x:c r="AD30" s="151" t="str"/>
      <x:c r="AE30" s="151" t="str"/>
      <x:c r="AF30" s="151" t="str"/>
      <x:c r="AG30" s="151" t="str"/>
      <x:c r="AH30" s="151" t="str"/>
      <x:c r="AI30" s="151" t="str"/>
      <x:c r="AJ30" s="151" t="str"/>
      <x:c r="AK30" s="151" t="str"/>
      <x:c r="AL30" s="151" t="str"/>
      <x:c r="AM30" s="151" t="str"/>
      <x:c r="AN30" s="152" t="n">
        <x:f>IF(COUNTA(S30:AM30)=0,"",SUM(S30:AM30))</x:f>
        <x:v>0</x:v>
      </x:c>
      <x:c r="AO30" s="151" t="str"/>
      <x:c r="AP30" s="151" t="str"/>
      <x:c r="AQ30" s="151" t="str"/>
      <x:c r="AR30" s="151" t="str"/>
      <x:c r="AS30" s="196" t="str">
        <x:f>IF(AN30="","",IF(AO30="Cartons",IF(AP30*AQ30=AN30,"OK","CHECK CARTONS / SIZES"),IF(AR30=AN30,"OK","CHECK TOTAL / SIZES")))</x:f>
      </x:c>
      <x:c r="AT30" s="137" t="str"/>
      <x:c r="AU30" s="137" t="str"/>
      <x:c r="AV30" s="137" t="str"/>
      <x:c r="AW30" s="137" t="str"/>
    </x:row>
    <x:row r="31">
      <x:c r="A31" s="137" t="str"/>
      <x:c r="B31" s="137" t="str"/>
      <x:c r="C31" s="137" t="str"/>
      <x:c r="D31" s="137" t="str"/>
      <x:c r="E31" s="138" t="str"/>
      <x:c r="F31" s="138" t="str"/>
      <x:c r="G31" s="137" t="str"/>
      <x:c r="H31" s="137" t="str"/>
      <x:c r="I31" s="137" t="str"/>
      <x:c r="J31" s="137" t="str"/>
      <x:c r="K31" s="137" t="str"/>
      <x:c r="L31" s="137" t="str"/>
      <x:c r="M31" s="137" t="str"/>
      <x:c r="N31" s="137" t="str"/>
      <x:c r="O31" s="137" t="str"/>
      <x:c r="P31" s="137" t="str"/>
      <x:c r="Q31" s="137" t="str"/>
      <x:c r="R31" s="137" t="str"/>
      <x:c r="S31" s="151" t="str"/>
      <x:c r="T31" s="151" t="str"/>
      <x:c r="U31" s="151" t="str"/>
      <x:c r="V31" s="151" t="str"/>
      <x:c r="W31" s="151" t="str"/>
      <x:c r="X31" s="151" t="str"/>
      <x:c r="Y31" s="151" t="str"/>
      <x:c r="Z31" s="151" t="str"/>
      <x:c r="AA31" s="151" t="str"/>
      <x:c r="AB31" s="151" t="str"/>
      <x:c r="AC31" s="151" t="str"/>
      <x:c r="AD31" s="151" t="str"/>
      <x:c r="AE31" s="151" t="str"/>
      <x:c r="AF31" s="151" t="str"/>
      <x:c r="AG31" s="151" t="str"/>
      <x:c r="AH31" s="151" t="str"/>
      <x:c r="AI31" s="151" t="str"/>
      <x:c r="AJ31" s="151" t="str"/>
      <x:c r="AK31" s="151" t="str"/>
      <x:c r="AL31" s="151" t="str"/>
      <x:c r="AM31" s="151" t="str"/>
      <x:c r="AN31" s="152" t="n">
        <x:f>IF(COUNTA(S31:AM31)=0,"",SUM(S31:AM31))</x:f>
        <x:v>0</x:v>
      </x:c>
      <x:c r="AO31" s="151" t="str"/>
      <x:c r="AP31" s="151" t="str"/>
      <x:c r="AQ31" s="151" t="str"/>
      <x:c r="AR31" s="151" t="str"/>
      <x:c r="AS31" s="196" t="str">
        <x:f>IF(AN31="","",IF(AO31="Cartons",IF(AP31*AQ31=AN31,"OK","CHECK CARTONS / SIZES"),IF(AR31=AN31,"OK","CHECK TOTAL / SIZES")))</x:f>
      </x:c>
      <x:c r="AT31" s="137" t="str"/>
      <x:c r="AU31" s="137" t="str"/>
      <x:c r="AV31" s="137" t="str"/>
      <x:c r="AW31" s="137" t="str"/>
    </x:row>
    <x:row r="32">
      <x:c r="A32" s="137" t="str"/>
      <x:c r="B32" s="137" t="str"/>
      <x:c r="C32" s="137" t="str"/>
      <x:c r="D32" s="137" t="str"/>
      <x:c r="E32" s="138" t="str"/>
      <x:c r="F32" s="138" t="str"/>
      <x:c r="G32" s="137" t="str"/>
      <x:c r="H32" s="137" t="str"/>
      <x:c r="I32" s="137" t="str"/>
      <x:c r="J32" s="137" t="str"/>
      <x:c r="K32" s="137" t="str"/>
      <x:c r="L32" s="137" t="str"/>
      <x:c r="M32" s="137" t="str"/>
      <x:c r="N32" s="137" t="str"/>
      <x:c r="O32" s="137" t="str"/>
      <x:c r="P32" s="137" t="str"/>
      <x:c r="Q32" s="137" t="str"/>
      <x:c r="R32" s="137" t="str"/>
      <x:c r="S32" s="151" t="str"/>
      <x:c r="T32" s="151" t="str"/>
      <x:c r="U32" s="151" t="str"/>
      <x:c r="V32" s="151" t="str"/>
      <x:c r="W32" s="151" t="str"/>
      <x:c r="X32" s="151" t="str"/>
      <x:c r="Y32" s="151" t="str"/>
      <x:c r="Z32" s="151" t="str"/>
      <x:c r="AA32" s="151" t="str"/>
      <x:c r="AB32" s="151" t="str"/>
      <x:c r="AC32" s="151" t="str"/>
      <x:c r="AD32" s="151" t="str"/>
      <x:c r="AE32" s="151" t="str"/>
      <x:c r="AF32" s="151" t="str"/>
      <x:c r="AG32" s="151" t="str"/>
      <x:c r="AH32" s="151" t="str"/>
      <x:c r="AI32" s="151" t="str"/>
      <x:c r="AJ32" s="151" t="str"/>
      <x:c r="AK32" s="151" t="str"/>
      <x:c r="AL32" s="151" t="str"/>
      <x:c r="AM32" s="151" t="str"/>
      <x:c r="AN32" s="152" t="n">
        <x:f>IF(COUNTA(S32:AM32)=0,"",SUM(S32:AM32))</x:f>
        <x:v>0</x:v>
      </x:c>
      <x:c r="AO32" s="151" t="str"/>
      <x:c r="AP32" s="151" t="str"/>
      <x:c r="AQ32" s="151" t="str"/>
      <x:c r="AR32" s="151" t="str"/>
      <x:c r="AS32" s="196" t="str">
        <x:f>IF(AN32="","",IF(AO32="Cartons",IF(AP32*AQ32=AN32,"OK","CHECK CARTONS / SIZES"),IF(AR32=AN32,"OK","CHECK TOTAL / SIZES")))</x:f>
      </x:c>
      <x:c r="AT32" s="137" t="str"/>
      <x:c r="AU32" s="137" t="str"/>
      <x:c r="AV32" s="137" t="str"/>
      <x:c r="AW32" s="137" t="str"/>
    </x:row>
    <x:row r="33">
      <x:c r="A33" s="137" t="str"/>
      <x:c r="B33" s="137" t="str"/>
      <x:c r="C33" s="137" t="str"/>
      <x:c r="D33" s="137" t="str"/>
      <x:c r="E33" s="138" t="str"/>
      <x:c r="F33" s="138" t="str"/>
      <x:c r="G33" s="137" t="str"/>
      <x:c r="H33" s="137" t="str"/>
      <x:c r="I33" s="137" t="str"/>
      <x:c r="J33" s="137" t="str"/>
      <x:c r="K33" s="137" t="str"/>
      <x:c r="L33" s="137" t="str"/>
      <x:c r="M33" s="137" t="str"/>
      <x:c r="N33" s="137" t="str"/>
      <x:c r="O33" s="137" t="str"/>
      <x:c r="P33" s="137" t="str"/>
      <x:c r="Q33" s="137" t="str"/>
      <x:c r="R33" s="137" t="str"/>
      <x:c r="S33" s="151" t="str"/>
      <x:c r="T33" s="151" t="str"/>
      <x:c r="U33" s="151" t="str"/>
      <x:c r="V33" s="151" t="str"/>
      <x:c r="W33" s="151" t="str"/>
      <x:c r="X33" s="151" t="str"/>
      <x:c r="Y33" s="151" t="str"/>
      <x:c r="Z33" s="151" t="str"/>
      <x:c r="AA33" s="151" t="str"/>
      <x:c r="AB33" s="151" t="str"/>
      <x:c r="AC33" s="151" t="str"/>
      <x:c r="AD33" s="151" t="str"/>
      <x:c r="AE33" s="151" t="str"/>
      <x:c r="AF33" s="151" t="str"/>
      <x:c r="AG33" s="151" t="str"/>
      <x:c r="AH33" s="151" t="str"/>
      <x:c r="AI33" s="151" t="str"/>
      <x:c r="AJ33" s="151" t="str"/>
      <x:c r="AK33" s="151" t="str"/>
      <x:c r="AL33" s="151" t="str"/>
      <x:c r="AM33" s="151" t="str"/>
      <x:c r="AN33" s="152" t="n">
        <x:f>IF(COUNTA(S33:AM33)=0,"",SUM(S33:AM33))</x:f>
        <x:v>0</x:v>
      </x:c>
      <x:c r="AO33" s="151" t="str"/>
      <x:c r="AP33" s="151" t="str"/>
      <x:c r="AQ33" s="151" t="str"/>
      <x:c r="AR33" s="151" t="str"/>
      <x:c r="AS33" s="196" t="str">
        <x:f>IF(AN33="","",IF(AO33="Cartons",IF(AP33*AQ33=AN33,"OK","CHECK CARTONS / SIZES"),IF(AR33=AN33,"OK","CHECK TOTAL / SIZES")))</x:f>
      </x:c>
      <x:c r="AT33" s="137" t="str"/>
      <x:c r="AU33" s="137" t="str"/>
      <x:c r="AV33" s="137" t="str"/>
      <x:c r="AW33" s="137" t="str"/>
    </x:row>
    <x:row r="34">
      <x:c r="A34" s="137" t="str"/>
      <x:c r="B34" s="137" t="str"/>
      <x:c r="C34" s="137" t="str"/>
      <x:c r="D34" s="137" t="str"/>
      <x:c r="E34" s="138" t="str"/>
      <x:c r="F34" s="138" t="str"/>
      <x:c r="G34" s="137" t="str"/>
      <x:c r="H34" s="137" t="str"/>
      <x:c r="I34" s="137" t="str"/>
      <x:c r="J34" s="137" t="str"/>
      <x:c r="K34" s="137" t="str"/>
      <x:c r="L34" s="137" t="str"/>
      <x:c r="M34" s="137" t="str"/>
      <x:c r="N34" s="137" t="str"/>
      <x:c r="O34" s="137" t="str"/>
      <x:c r="P34" s="137" t="str"/>
      <x:c r="Q34" s="137" t="str"/>
      <x:c r="R34" s="137" t="str"/>
      <x:c r="S34" s="151" t="str"/>
      <x:c r="T34" s="151" t="str"/>
      <x:c r="U34" s="151" t="str"/>
      <x:c r="V34" s="151" t="str"/>
      <x:c r="W34" s="151" t="str"/>
      <x:c r="X34" s="151" t="str"/>
      <x:c r="Y34" s="151" t="str"/>
      <x:c r="Z34" s="151" t="str"/>
      <x:c r="AA34" s="151" t="str"/>
      <x:c r="AB34" s="151" t="str"/>
      <x:c r="AC34" s="151" t="str"/>
      <x:c r="AD34" s="151" t="str"/>
      <x:c r="AE34" s="151" t="str"/>
      <x:c r="AF34" s="151" t="str"/>
      <x:c r="AG34" s="151" t="str"/>
      <x:c r="AH34" s="151" t="str"/>
      <x:c r="AI34" s="151" t="str"/>
      <x:c r="AJ34" s="151" t="str"/>
      <x:c r="AK34" s="151" t="str"/>
      <x:c r="AL34" s="151" t="str"/>
      <x:c r="AM34" s="151" t="str"/>
      <x:c r="AN34" s="152" t="n">
        <x:f>IF(COUNTA(S34:AM34)=0,"",SUM(S34:AM34))</x:f>
        <x:v>0</x:v>
      </x:c>
      <x:c r="AO34" s="151" t="str"/>
      <x:c r="AP34" s="151" t="str"/>
      <x:c r="AQ34" s="151" t="str"/>
      <x:c r="AR34" s="151" t="str"/>
      <x:c r="AS34" s="196" t="str">
        <x:f>IF(AN34="","",IF(AO34="Cartons",IF(AP34*AQ34=AN34,"OK","CHECK CARTONS / SIZES"),IF(AR34=AN34,"OK","CHECK TOTAL / SIZES")))</x:f>
      </x:c>
      <x:c r="AT34" s="137" t="str"/>
      <x:c r="AU34" s="137" t="str"/>
      <x:c r="AV34" s="137" t="str"/>
      <x:c r="AW34" s="137" t="str"/>
    </x:row>
    <x:row r="35">
      <x:c r="A35" s="137" t="str"/>
      <x:c r="B35" s="137" t="str"/>
      <x:c r="C35" s="137" t="str"/>
      <x:c r="D35" s="137" t="str"/>
      <x:c r="E35" s="138" t="str"/>
      <x:c r="F35" s="138" t="str"/>
      <x:c r="G35" s="137" t="str"/>
      <x:c r="H35" s="137" t="str"/>
      <x:c r="I35" s="137" t="str"/>
      <x:c r="J35" s="137" t="str"/>
      <x:c r="K35" s="137" t="str"/>
      <x:c r="L35" s="137" t="str"/>
      <x:c r="M35" s="137" t="str"/>
      <x:c r="N35" s="137" t="str"/>
      <x:c r="O35" s="137" t="str"/>
      <x:c r="P35" s="137" t="str"/>
      <x:c r="Q35" s="137" t="str"/>
      <x:c r="R35" s="137" t="str"/>
      <x:c r="S35" s="151" t="str"/>
      <x:c r="T35" s="151" t="str"/>
      <x:c r="U35" s="151" t="str"/>
      <x:c r="V35" s="151" t="str"/>
      <x:c r="W35" s="151" t="str"/>
      <x:c r="X35" s="151" t="str"/>
      <x:c r="Y35" s="151" t="str"/>
      <x:c r="Z35" s="151" t="str"/>
      <x:c r="AA35" s="151" t="str"/>
      <x:c r="AB35" s="151" t="str"/>
      <x:c r="AC35" s="151" t="str"/>
      <x:c r="AD35" s="151" t="str"/>
      <x:c r="AE35" s="151" t="str"/>
      <x:c r="AF35" s="151" t="str"/>
      <x:c r="AG35" s="151" t="str"/>
      <x:c r="AH35" s="151" t="str"/>
      <x:c r="AI35" s="151" t="str"/>
      <x:c r="AJ35" s="151" t="str"/>
      <x:c r="AK35" s="151" t="str"/>
      <x:c r="AL35" s="151" t="str"/>
      <x:c r="AM35" s="151" t="str"/>
      <x:c r="AN35" s="152" t="n">
        <x:f>IF(COUNTA(S35:AM35)=0,"",SUM(S35:AM35))</x:f>
        <x:v>0</x:v>
      </x:c>
      <x:c r="AO35" s="151" t="str"/>
      <x:c r="AP35" s="151" t="str"/>
      <x:c r="AQ35" s="151" t="str"/>
      <x:c r="AR35" s="151" t="str"/>
      <x:c r="AS35" s="196" t="str">
        <x:f>IF(AN35="","",IF(AO35="Cartons",IF(AP35*AQ35=AN35,"OK","CHECK CARTONS / SIZES"),IF(AR35=AN35,"OK","CHECK TOTAL / SIZES")))</x:f>
      </x:c>
      <x:c r="AT35" s="137" t="str"/>
      <x:c r="AU35" s="137" t="str"/>
      <x:c r="AV35" s="137" t="str"/>
      <x:c r="AW35" s="137" t="str"/>
    </x:row>
    <x:row r="36">
      <x:c r="A36" s="137" t="str"/>
      <x:c r="B36" s="137" t="str"/>
      <x:c r="C36" s="137" t="str"/>
      <x:c r="D36" s="137" t="str"/>
      <x:c r="E36" s="138" t="str"/>
      <x:c r="F36" s="138" t="str"/>
      <x:c r="G36" s="137" t="str"/>
      <x:c r="H36" s="137" t="str"/>
      <x:c r="I36" s="137" t="str"/>
      <x:c r="J36" s="137" t="str"/>
      <x:c r="K36" s="137" t="str"/>
      <x:c r="L36" s="137" t="str"/>
      <x:c r="M36" s="137" t="str"/>
      <x:c r="N36" s="137" t="str"/>
      <x:c r="O36" s="137" t="str"/>
      <x:c r="P36" s="137" t="str"/>
      <x:c r="Q36" s="137" t="str"/>
      <x:c r="R36" s="137" t="str"/>
      <x:c r="S36" s="151" t="str"/>
      <x:c r="T36" s="151" t="str"/>
      <x:c r="U36" s="151" t="str"/>
      <x:c r="V36" s="151" t="str"/>
      <x:c r="W36" s="151" t="str"/>
      <x:c r="X36" s="151" t="str"/>
      <x:c r="Y36" s="151" t="str"/>
      <x:c r="Z36" s="151" t="str"/>
      <x:c r="AA36" s="151" t="str"/>
      <x:c r="AB36" s="151" t="str"/>
      <x:c r="AC36" s="151" t="str"/>
      <x:c r="AD36" s="151" t="str"/>
      <x:c r="AE36" s="151" t="str"/>
      <x:c r="AF36" s="151" t="str"/>
      <x:c r="AG36" s="151" t="str"/>
      <x:c r="AH36" s="151" t="str"/>
      <x:c r="AI36" s="151" t="str"/>
      <x:c r="AJ36" s="151" t="str"/>
      <x:c r="AK36" s="151" t="str"/>
      <x:c r="AL36" s="151" t="str"/>
      <x:c r="AM36" s="151" t="str"/>
      <x:c r="AN36" s="152" t="n">
        <x:f>IF(COUNTA(S36:AM36)=0,"",SUM(S36:AM36))</x:f>
        <x:v>0</x:v>
      </x:c>
      <x:c r="AO36" s="151" t="str"/>
      <x:c r="AP36" s="151" t="str"/>
      <x:c r="AQ36" s="151" t="str"/>
      <x:c r="AR36" s="151" t="str"/>
      <x:c r="AS36" s="196" t="str">
        <x:f>IF(AN36="","",IF(AO36="Cartons",IF(AP36*AQ36=AN36,"OK","CHECK CARTONS / SIZES"),IF(AR36=AN36,"OK","CHECK TOTAL / SIZES")))</x:f>
      </x:c>
      <x:c r="AT36" s="137" t="str"/>
      <x:c r="AU36" s="137" t="str"/>
      <x:c r="AV36" s="137" t="str"/>
      <x:c r="AW36" s="137" t="str"/>
    </x:row>
    <x:row r="37">
      <x:c r="A37" s="137" t="str"/>
      <x:c r="B37" s="137" t="str"/>
      <x:c r="C37" s="137" t="str"/>
      <x:c r="D37" s="137" t="str"/>
      <x:c r="E37" s="138" t="str"/>
      <x:c r="F37" s="138" t="str"/>
      <x:c r="G37" s="137" t="str"/>
      <x:c r="H37" s="137" t="str"/>
      <x:c r="I37" s="137" t="str"/>
      <x:c r="J37" s="137" t="str"/>
      <x:c r="K37" s="137" t="str"/>
      <x:c r="L37" s="137" t="str"/>
      <x:c r="M37" s="137" t="str"/>
      <x:c r="N37" s="137" t="str"/>
      <x:c r="O37" s="137" t="str"/>
      <x:c r="P37" s="137" t="str"/>
      <x:c r="Q37" s="137" t="str"/>
      <x:c r="R37" s="137" t="str"/>
      <x:c r="S37" s="151" t="str"/>
      <x:c r="T37" s="151" t="str"/>
      <x:c r="U37" s="151" t="str"/>
      <x:c r="V37" s="151" t="str"/>
      <x:c r="W37" s="151" t="str"/>
      <x:c r="X37" s="151" t="str"/>
      <x:c r="Y37" s="151" t="str"/>
      <x:c r="Z37" s="151" t="str"/>
      <x:c r="AA37" s="151" t="str"/>
      <x:c r="AB37" s="151" t="str"/>
      <x:c r="AC37" s="151" t="str"/>
      <x:c r="AD37" s="151" t="str"/>
      <x:c r="AE37" s="151" t="str"/>
      <x:c r="AF37" s="151" t="str"/>
      <x:c r="AG37" s="151" t="str"/>
      <x:c r="AH37" s="151" t="str"/>
      <x:c r="AI37" s="151" t="str"/>
      <x:c r="AJ37" s="151" t="str"/>
      <x:c r="AK37" s="151" t="str"/>
      <x:c r="AL37" s="151" t="str"/>
      <x:c r="AM37" s="151" t="str"/>
      <x:c r="AN37" s="152" t="n">
        <x:f>IF(COUNTA(S37:AM37)=0,"",SUM(S37:AM37))</x:f>
        <x:v>0</x:v>
      </x:c>
      <x:c r="AO37" s="151" t="str"/>
      <x:c r="AP37" s="151" t="str"/>
      <x:c r="AQ37" s="151" t="str"/>
      <x:c r="AR37" s="151" t="str"/>
      <x:c r="AS37" s="196" t="str">
        <x:f>IF(AN37="","",IF(AO37="Cartons",IF(AP37*AQ37=AN37,"OK","CHECK CARTONS / SIZES"),IF(AR37=AN37,"OK","CHECK TOTAL / SIZES")))</x:f>
      </x:c>
      <x:c r="AT37" s="137" t="str"/>
      <x:c r="AU37" s="137" t="str"/>
      <x:c r="AV37" s="137" t="str"/>
      <x:c r="AW37" s="137" t="str"/>
    </x:row>
    <x:row r="38">
      <x:c r="A38" s="137" t="str"/>
      <x:c r="B38" s="137" t="str"/>
      <x:c r="C38" s="137" t="str"/>
      <x:c r="D38" s="137" t="str"/>
      <x:c r="E38" s="138" t="str"/>
      <x:c r="F38" s="138" t="str"/>
      <x:c r="G38" s="137" t="str"/>
      <x:c r="H38" s="137" t="str"/>
      <x:c r="I38" s="137" t="str"/>
      <x:c r="J38" s="137" t="str"/>
      <x:c r="K38" s="137" t="str"/>
      <x:c r="L38" s="137" t="str"/>
      <x:c r="M38" s="137" t="str"/>
      <x:c r="N38" s="137" t="str"/>
      <x:c r="O38" s="137" t="str"/>
      <x:c r="P38" s="137" t="str"/>
      <x:c r="Q38" s="137" t="str"/>
      <x:c r="R38" s="137" t="str"/>
      <x:c r="S38" s="151" t="str"/>
      <x:c r="T38" s="151" t="str"/>
      <x:c r="U38" s="151" t="str"/>
      <x:c r="V38" s="151" t="str"/>
      <x:c r="W38" s="151" t="str"/>
      <x:c r="X38" s="151" t="str"/>
      <x:c r="Y38" s="151" t="str"/>
      <x:c r="Z38" s="151" t="str"/>
      <x:c r="AA38" s="151" t="str"/>
      <x:c r="AB38" s="151" t="str"/>
      <x:c r="AC38" s="151" t="str"/>
      <x:c r="AD38" s="151" t="str"/>
      <x:c r="AE38" s="151" t="str"/>
      <x:c r="AF38" s="151" t="str"/>
      <x:c r="AG38" s="151" t="str"/>
      <x:c r="AH38" s="151" t="str"/>
      <x:c r="AI38" s="151" t="str"/>
      <x:c r="AJ38" s="151" t="str"/>
      <x:c r="AK38" s="151" t="str"/>
      <x:c r="AL38" s="151" t="str"/>
      <x:c r="AM38" s="151" t="str"/>
      <x:c r="AN38" s="152" t="n">
        <x:f>IF(COUNTA(S38:AM38)=0,"",SUM(S38:AM38))</x:f>
        <x:v>0</x:v>
      </x:c>
      <x:c r="AO38" s="151" t="str"/>
      <x:c r="AP38" s="151" t="str"/>
      <x:c r="AQ38" s="151" t="str"/>
      <x:c r="AR38" s="151" t="str"/>
      <x:c r="AS38" s="196" t="str">
        <x:f>IF(AN38="","",IF(AO38="Cartons",IF(AP38*AQ38=AN38,"OK","CHECK CARTONS / SIZES"),IF(AR38=AN38,"OK","CHECK TOTAL / SIZES")))</x:f>
      </x:c>
      <x:c r="AT38" s="137" t="str"/>
      <x:c r="AU38" s="137" t="str"/>
      <x:c r="AV38" s="137" t="str"/>
      <x:c r="AW38" s="137" t="str"/>
    </x:row>
    <x:row r="39">
      <x:c r="A39" s="137" t="str"/>
      <x:c r="B39" s="137" t="str"/>
      <x:c r="C39" s="137" t="str"/>
      <x:c r="D39" s="137" t="str"/>
      <x:c r="E39" s="138" t="str"/>
      <x:c r="F39" s="138" t="str"/>
      <x:c r="G39" s="137" t="str"/>
      <x:c r="H39" s="137" t="str"/>
      <x:c r="I39" s="137" t="str"/>
      <x:c r="J39" s="137" t="str"/>
      <x:c r="K39" s="137" t="str"/>
      <x:c r="L39" s="137" t="str"/>
      <x:c r="M39" s="137" t="str"/>
      <x:c r="N39" s="137" t="str"/>
      <x:c r="O39" s="137" t="str"/>
      <x:c r="P39" s="137" t="str"/>
      <x:c r="Q39" s="137" t="str"/>
      <x:c r="R39" s="137" t="str"/>
      <x:c r="S39" s="151" t="str"/>
      <x:c r="T39" s="151" t="str"/>
      <x:c r="U39" s="151" t="str"/>
      <x:c r="V39" s="151" t="str"/>
      <x:c r="W39" s="151" t="str"/>
      <x:c r="X39" s="151" t="str"/>
      <x:c r="Y39" s="151" t="str"/>
      <x:c r="Z39" s="151" t="str"/>
      <x:c r="AA39" s="151" t="str"/>
      <x:c r="AB39" s="151" t="str"/>
      <x:c r="AC39" s="151" t="str"/>
      <x:c r="AD39" s="151" t="str"/>
      <x:c r="AE39" s="151" t="str"/>
      <x:c r="AF39" s="151" t="str"/>
      <x:c r="AG39" s="151" t="str"/>
      <x:c r="AH39" s="151" t="str"/>
      <x:c r="AI39" s="151" t="str"/>
      <x:c r="AJ39" s="151" t="str"/>
      <x:c r="AK39" s="151" t="str"/>
      <x:c r="AL39" s="151" t="str"/>
      <x:c r="AM39" s="151" t="str"/>
      <x:c r="AN39" s="152" t="n">
        <x:f>IF(COUNTA(S39:AM39)=0,"",SUM(S39:AM39))</x:f>
        <x:v>0</x:v>
      </x:c>
      <x:c r="AO39" s="151" t="str"/>
      <x:c r="AP39" s="151" t="str"/>
      <x:c r="AQ39" s="151" t="str"/>
      <x:c r="AR39" s="151" t="str"/>
      <x:c r="AS39" s="196" t="str">
        <x:f>IF(AN39="","",IF(AO39="Cartons",IF(AP39*AQ39=AN39,"OK","CHECK CARTONS / SIZES"),IF(AR39=AN39,"OK","CHECK TOTAL / SIZES")))</x:f>
      </x:c>
      <x:c r="AT39" s="137" t="str"/>
      <x:c r="AU39" s="137" t="str"/>
      <x:c r="AV39" s="137" t="str"/>
      <x:c r="AW39" s="137" t="str"/>
    </x:row>
    <x:row r="40">
      <x:c r="A40" s="137" t="str"/>
      <x:c r="B40" s="137" t="str"/>
      <x:c r="C40" s="137" t="str"/>
      <x:c r="D40" s="137" t="str"/>
      <x:c r="E40" s="138" t="str"/>
      <x:c r="F40" s="138" t="str"/>
      <x:c r="G40" s="137" t="str"/>
      <x:c r="H40" s="137" t="str"/>
      <x:c r="I40" s="137" t="str"/>
      <x:c r="J40" s="137" t="str"/>
      <x:c r="K40" s="137" t="str"/>
      <x:c r="L40" s="137" t="str"/>
      <x:c r="M40" s="137" t="str"/>
      <x:c r="N40" s="137" t="str"/>
      <x:c r="O40" s="137" t="str"/>
      <x:c r="P40" s="137" t="str"/>
      <x:c r="Q40" s="137" t="str"/>
      <x:c r="R40" s="137" t="str"/>
      <x:c r="S40" s="151" t="str"/>
      <x:c r="T40" s="151" t="str"/>
      <x:c r="U40" s="151" t="str"/>
      <x:c r="V40" s="151" t="str"/>
      <x:c r="W40" s="151" t="str"/>
      <x:c r="X40" s="151" t="str"/>
      <x:c r="Y40" s="151" t="str"/>
      <x:c r="Z40" s="151" t="str"/>
      <x:c r="AA40" s="151" t="str"/>
      <x:c r="AB40" s="151" t="str"/>
      <x:c r="AC40" s="151" t="str"/>
      <x:c r="AD40" s="151" t="str"/>
      <x:c r="AE40" s="151" t="str"/>
      <x:c r="AF40" s="151" t="str"/>
      <x:c r="AG40" s="151" t="str"/>
      <x:c r="AH40" s="151" t="str"/>
      <x:c r="AI40" s="151" t="str"/>
      <x:c r="AJ40" s="151" t="str"/>
      <x:c r="AK40" s="151" t="str"/>
      <x:c r="AL40" s="151" t="str"/>
      <x:c r="AM40" s="151" t="str"/>
      <x:c r="AN40" s="152" t="n">
        <x:f>IF(COUNTA(S40:AM40)=0,"",SUM(S40:AM40))</x:f>
        <x:v>0</x:v>
      </x:c>
      <x:c r="AO40" s="151" t="str"/>
      <x:c r="AP40" s="151" t="str"/>
      <x:c r="AQ40" s="151" t="str"/>
      <x:c r="AR40" s="151" t="str"/>
      <x:c r="AS40" s="196" t="str">
        <x:f>IF(AN40="","",IF(AO40="Cartons",IF(AP40*AQ40=AN40,"OK","CHECK CARTONS / SIZES"),IF(AR40=AN40,"OK","CHECK TOTAL / SIZES")))</x:f>
      </x:c>
      <x:c r="AT40" s="137" t="str"/>
      <x:c r="AU40" s="137" t="str"/>
      <x:c r="AV40" s="137" t="str"/>
      <x:c r="AW40" s="137" t="str"/>
    </x:row>
    <x:row r="41">
      <x:c r="A41" s="137" t="str"/>
      <x:c r="B41" s="137" t="str"/>
      <x:c r="C41" s="137" t="str"/>
      <x:c r="D41" s="137" t="str"/>
      <x:c r="E41" s="138" t="str"/>
      <x:c r="F41" s="138" t="str"/>
      <x:c r="G41" s="137" t="str"/>
      <x:c r="H41" s="137" t="str"/>
      <x:c r="I41" s="137" t="str"/>
      <x:c r="J41" s="137" t="str"/>
      <x:c r="K41" s="137" t="str"/>
      <x:c r="L41" s="137" t="str"/>
      <x:c r="M41" s="137" t="str"/>
      <x:c r="N41" s="137" t="str"/>
      <x:c r="O41" s="137" t="str"/>
      <x:c r="P41" s="137" t="str"/>
      <x:c r="Q41" s="137" t="str"/>
      <x:c r="R41" s="137" t="str"/>
      <x:c r="S41" s="151" t="str"/>
      <x:c r="T41" s="151" t="str"/>
      <x:c r="U41" s="151" t="str"/>
      <x:c r="V41" s="151" t="str"/>
      <x:c r="W41" s="151" t="str"/>
      <x:c r="X41" s="151" t="str"/>
      <x:c r="Y41" s="151" t="str"/>
      <x:c r="Z41" s="151" t="str"/>
      <x:c r="AA41" s="151" t="str"/>
      <x:c r="AB41" s="151" t="str"/>
      <x:c r="AC41" s="151" t="str"/>
      <x:c r="AD41" s="151" t="str"/>
      <x:c r="AE41" s="151" t="str"/>
      <x:c r="AF41" s="151" t="str"/>
      <x:c r="AG41" s="151" t="str"/>
      <x:c r="AH41" s="151" t="str"/>
      <x:c r="AI41" s="151" t="str"/>
      <x:c r="AJ41" s="151" t="str"/>
      <x:c r="AK41" s="151" t="str"/>
      <x:c r="AL41" s="151" t="str"/>
      <x:c r="AM41" s="151" t="str"/>
      <x:c r="AN41" s="152" t="n">
        <x:f>IF(COUNTA(S41:AM41)=0,"",SUM(S41:AM41))</x:f>
        <x:v>0</x:v>
      </x:c>
      <x:c r="AO41" s="151" t="str"/>
      <x:c r="AP41" s="151" t="str"/>
      <x:c r="AQ41" s="151" t="str"/>
      <x:c r="AR41" s="151" t="str"/>
      <x:c r="AS41" s="196" t="str">
        <x:f>IF(AN41="","",IF(AO41="Cartons",IF(AP41*AQ41=AN41,"OK","CHECK CARTONS / SIZES"),IF(AR41=AN41,"OK","CHECK TOTAL / SIZES")))</x:f>
      </x:c>
      <x:c r="AT41" s="137" t="str"/>
      <x:c r="AU41" s="137" t="str"/>
      <x:c r="AV41" s="137" t="str"/>
      <x:c r="AW41" s="137" t="str"/>
    </x:row>
    <x:row r="42">
      <x:c r="A42" s="137" t="str"/>
      <x:c r="B42" s="137" t="str"/>
      <x:c r="C42" s="137" t="str"/>
      <x:c r="D42" s="137" t="str"/>
      <x:c r="E42" s="138" t="str"/>
      <x:c r="F42" s="138" t="str"/>
      <x:c r="G42" s="137" t="str"/>
      <x:c r="H42" s="137" t="str"/>
      <x:c r="I42" s="137" t="str"/>
      <x:c r="J42" s="137" t="str"/>
      <x:c r="K42" s="137" t="str"/>
      <x:c r="L42" s="137" t="str"/>
      <x:c r="M42" s="137" t="str"/>
      <x:c r="N42" s="137" t="str"/>
      <x:c r="O42" s="137" t="str"/>
      <x:c r="P42" s="137" t="str"/>
      <x:c r="Q42" s="137" t="str"/>
      <x:c r="R42" s="137" t="str"/>
      <x:c r="S42" s="151" t="str"/>
      <x:c r="T42" s="151" t="str"/>
      <x:c r="U42" s="151" t="str"/>
      <x:c r="V42" s="151" t="str"/>
      <x:c r="W42" s="151" t="str"/>
      <x:c r="X42" s="151" t="str"/>
      <x:c r="Y42" s="151" t="str"/>
      <x:c r="Z42" s="151" t="str"/>
      <x:c r="AA42" s="151" t="str"/>
      <x:c r="AB42" s="151" t="str"/>
      <x:c r="AC42" s="151" t="str"/>
      <x:c r="AD42" s="151" t="str"/>
      <x:c r="AE42" s="151" t="str"/>
      <x:c r="AF42" s="151" t="str"/>
      <x:c r="AG42" s="151" t="str"/>
      <x:c r="AH42" s="151" t="str"/>
      <x:c r="AI42" s="151" t="str"/>
      <x:c r="AJ42" s="151" t="str"/>
      <x:c r="AK42" s="151" t="str"/>
      <x:c r="AL42" s="151" t="str"/>
      <x:c r="AM42" s="151" t="str"/>
      <x:c r="AN42" s="152" t="n">
        <x:f>IF(COUNTA(S42:AM42)=0,"",SUM(S42:AM42))</x:f>
        <x:v>0</x:v>
      </x:c>
      <x:c r="AO42" s="151" t="str"/>
      <x:c r="AP42" s="151" t="str"/>
      <x:c r="AQ42" s="151" t="str"/>
      <x:c r="AR42" s="151" t="str"/>
      <x:c r="AS42" s="196" t="str">
        <x:f>IF(AN42="","",IF(AO42="Cartons",IF(AP42*AQ42=AN42,"OK","CHECK CARTONS / SIZES"),IF(AR42=AN42,"OK","CHECK TOTAL / SIZES")))</x:f>
      </x:c>
      <x:c r="AT42" s="137" t="str"/>
      <x:c r="AU42" s="137" t="str"/>
      <x:c r="AV42" s="137" t="str"/>
      <x:c r="AW42" s="137" t="str"/>
    </x:row>
    <x:row r="43">
      <x:c r="A43" s="137" t="str"/>
      <x:c r="B43" s="137" t="str"/>
      <x:c r="C43" s="137" t="str"/>
      <x:c r="D43" s="137" t="str"/>
      <x:c r="E43" s="138" t="str"/>
      <x:c r="F43" s="138" t="str"/>
      <x:c r="G43" s="137" t="str"/>
      <x:c r="H43" s="137" t="str"/>
      <x:c r="I43" s="137" t="str"/>
      <x:c r="J43" s="137" t="str"/>
      <x:c r="K43" s="137" t="str"/>
      <x:c r="L43" s="137" t="str"/>
      <x:c r="M43" s="137" t="str"/>
      <x:c r="N43" s="137" t="str"/>
      <x:c r="O43" s="137" t="str"/>
      <x:c r="P43" s="137" t="str"/>
      <x:c r="Q43" s="137" t="str"/>
      <x:c r="R43" s="137" t="str"/>
      <x:c r="S43" s="151" t="str"/>
      <x:c r="T43" s="151" t="str"/>
      <x:c r="U43" s="151" t="str"/>
      <x:c r="V43" s="151" t="str"/>
      <x:c r="W43" s="151" t="str"/>
      <x:c r="X43" s="151" t="str"/>
      <x:c r="Y43" s="151" t="str"/>
      <x:c r="Z43" s="151" t="str"/>
      <x:c r="AA43" s="151" t="str"/>
      <x:c r="AB43" s="151" t="str"/>
      <x:c r="AC43" s="151" t="str"/>
      <x:c r="AD43" s="151" t="str"/>
      <x:c r="AE43" s="151" t="str"/>
      <x:c r="AF43" s="151" t="str"/>
      <x:c r="AG43" s="151" t="str"/>
      <x:c r="AH43" s="151" t="str"/>
      <x:c r="AI43" s="151" t="str"/>
      <x:c r="AJ43" s="151" t="str"/>
      <x:c r="AK43" s="151" t="str"/>
      <x:c r="AL43" s="151" t="str"/>
      <x:c r="AM43" s="151" t="str"/>
      <x:c r="AN43" s="152" t="n">
        <x:f>IF(COUNTA(S43:AM43)=0,"",SUM(S43:AM43))</x:f>
        <x:v>0</x:v>
      </x:c>
      <x:c r="AO43" s="151" t="str"/>
      <x:c r="AP43" s="151" t="str"/>
      <x:c r="AQ43" s="151" t="str"/>
      <x:c r="AR43" s="151" t="str"/>
      <x:c r="AS43" s="196" t="str">
        <x:f>IF(AN43="","",IF(AO43="Cartons",IF(AP43*AQ43=AN43,"OK","CHECK CARTONS / SIZES"),IF(AR43=AN43,"OK","CHECK TOTAL / SIZES")))</x:f>
      </x:c>
      <x:c r="AT43" s="137" t="str"/>
      <x:c r="AU43" s="137" t="str"/>
      <x:c r="AV43" s="137" t="str"/>
      <x:c r="AW43" s="137" t="str"/>
    </x:row>
    <x:row r="44">
      <x:c r="A44" s="137" t="str"/>
      <x:c r="B44" s="137" t="str"/>
      <x:c r="C44" s="137" t="str"/>
      <x:c r="D44" s="137" t="str"/>
      <x:c r="E44" s="138" t="str"/>
      <x:c r="F44" s="138" t="str"/>
      <x:c r="G44" s="137" t="str"/>
      <x:c r="H44" s="137" t="str"/>
      <x:c r="I44" s="137" t="str"/>
      <x:c r="J44" s="137" t="str"/>
      <x:c r="K44" s="137" t="str"/>
      <x:c r="L44" s="137" t="str"/>
      <x:c r="M44" s="137" t="str"/>
      <x:c r="N44" s="137" t="str"/>
      <x:c r="O44" s="137" t="str"/>
      <x:c r="P44" s="137" t="str"/>
      <x:c r="Q44" s="137" t="str"/>
      <x:c r="R44" s="137" t="str"/>
      <x:c r="S44" s="151" t="str"/>
      <x:c r="T44" s="151" t="str"/>
      <x:c r="U44" s="151" t="str"/>
      <x:c r="V44" s="151" t="str"/>
      <x:c r="W44" s="151" t="str"/>
      <x:c r="X44" s="151" t="str"/>
      <x:c r="Y44" s="151" t="str"/>
      <x:c r="Z44" s="151" t="str"/>
      <x:c r="AA44" s="151" t="str"/>
      <x:c r="AB44" s="151" t="str"/>
      <x:c r="AC44" s="151" t="str"/>
      <x:c r="AD44" s="151" t="str"/>
      <x:c r="AE44" s="151" t="str"/>
      <x:c r="AF44" s="151" t="str"/>
      <x:c r="AG44" s="151" t="str"/>
      <x:c r="AH44" s="151" t="str"/>
      <x:c r="AI44" s="151" t="str"/>
      <x:c r="AJ44" s="151" t="str"/>
      <x:c r="AK44" s="151" t="str"/>
      <x:c r="AL44" s="151" t="str"/>
      <x:c r="AM44" s="151" t="str"/>
      <x:c r="AN44" s="152" t="n">
        <x:f>IF(COUNTA(S44:AM44)=0,"",SUM(S44:AM44))</x:f>
        <x:v>0</x:v>
      </x:c>
      <x:c r="AO44" s="151" t="str"/>
      <x:c r="AP44" s="151" t="str"/>
      <x:c r="AQ44" s="151" t="str"/>
      <x:c r="AR44" s="151" t="str"/>
      <x:c r="AS44" s="196" t="str">
        <x:f>IF(AN44="","",IF(AO44="Cartons",IF(AP44*AQ44=AN44,"OK","CHECK CARTONS / SIZES"),IF(AR44=AN44,"OK","CHECK TOTAL / SIZES")))</x:f>
      </x:c>
      <x:c r="AT44" s="137" t="str"/>
      <x:c r="AU44" s="137" t="str"/>
      <x:c r="AV44" s="137" t="str"/>
      <x:c r="AW44" s="137" t="str"/>
    </x:row>
    <x:row r="45">
      <x:c r="A45" s="137" t="str"/>
      <x:c r="B45" s="137" t="str"/>
      <x:c r="C45" s="137" t="str"/>
      <x:c r="D45" s="137" t="str"/>
      <x:c r="E45" s="138" t="str"/>
      <x:c r="F45" s="138" t="str"/>
      <x:c r="G45" s="137" t="str"/>
      <x:c r="H45" s="137" t="str"/>
      <x:c r="I45" s="137" t="str"/>
      <x:c r="J45" s="137" t="str"/>
      <x:c r="K45" s="137" t="str"/>
      <x:c r="L45" s="137" t="str"/>
      <x:c r="M45" s="137" t="str"/>
      <x:c r="N45" s="137" t="str"/>
      <x:c r="O45" s="137" t="str"/>
      <x:c r="P45" s="137" t="str"/>
      <x:c r="Q45" s="137" t="str"/>
      <x:c r="R45" s="137" t="str"/>
      <x:c r="S45" s="151" t="str"/>
      <x:c r="T45" s="151" t="str"/>
      <x:c r="U45" s="151" t="str"/>
      <x:c r="V45" s="151" t="str"/>
      <x:c r="W45" s="151" t="str"/>
      <x:c r="X45" s="151" t="str"/>
      <x:c r="Y45" s="151" t="str"/>
      <x:c r="Z45" s="151" t="str"/>
      <x:c r="AA45" s="151" t="str"/>
      <x:c r="AB45" s="151" t="str"/>
      <x:c r="AC45" s="151" t="str"/>
      <x:c r="AD45" s="151" t="str"/>
      <x:c r="AE45" s="151" t="str"/>
      <x:c r="AF45" s="151" t="str"/>
      <x:c r="AG45" s="151" t="str"/>
      <x:c r="AH45" s="151" t="str"/>
      <x:c r="AI45" s="151" t="str"/>
      <x:c r="AJ45" s="151" t="str"/>
      <x:c r="AK45" s="151" t="str"/>
      <x:c r="AL45" s="151" t="str"/>
      <x:c r="AM45" s="151" t="str"/>
      <x:c r="AN45" s="152" t="n">
        <x:f>IF(COUNTA(S45:AM45)=0,"",SUM(S45:AM45))</x:f>
        <x:v>0</x:v>
      </x:c>
      <x:c r="AO45" s="151" t="str"/>
      <x:c r="AP45" s="151" t="str"/>
      <x:c r="AQ45" s="151" t="str"/>
      <x:c r="AR45" s="151" t="str"/>
      <x:c r="AS45" s="196" t="str">
        <x:f>IF(AN45="","",IF(AO45="Cartons",IF(AP45*AQ45=AN45,"OK","CHECK CARTONS / SIZES"),IF(AR45=AN45,"OK","CHECK TOTAL / SIZES")))</x:f>
      </x:c>
      <x:c r="AT45" s="137" t="str"/>
      <x:c r="AU45" s="137" t="str"/>
      <x:c r="AV45" s="137" t="str"/>
      <x:c r="AW45" s="137" t="str"/>
    </x:row>
    <x:row r="46">
      <x:c r="A46" s="137" t="str"/>
      <x:c r="B46" s="137" t="str"/>
      <x:c r="C46" s="137" t="str"/>
      <x:c r="D46" s="137" t="str"/>
      <x:c r="E46" s="138" t="str"/>
      <x:c r="F46" s="138" t="str"/>
      <x:c r="G46" s="137" t="str"/>
      <x:c r="H46" s="137" t="str"/>
      <x:c r="I46" s="137" t="str"/>
      <x:c r="J46" s="137" t="str"/>
      <x:c r="K46" s="137" t="str"/>
      <x:c r="L46" s="137" t="str"/>
      <x:c r="M46" s="137" t="str"/>
      <x:c r="N46" s="137" t="str"/>
      <x:c r="O46" s="137" t="str"/>
      <x:c r="P46" s="137" t="str"/>
      <x:c r="Q46" s="137" t="str"/>
      <x:c r="R46" s="137" t="str"/>
      <x:c r="S46" s="151" t="str"/>
      <x:c r="T46" s="151" t="str"/>
      <x:c r="U46" s="151" t="str"/>
      <x:c r="V46" s="151" t="str"/>
      <x:c r="W46" s="151" t="str"/>
      <x:c r="X46" s="151" t="str"/>
      <x:c r="Y46" s="151" t="str"/>
      <x:c r="Z46" s="151" t="str"/>
      <x:c r="AA46" s="151" t="str"/>
      <x:c r="AB46" s="151" t="str"/>
      <x:c r="AC46" s="151" t="str"/>
      <x:c r="AD46" s="151" t="str"/>
      <x:c r="AE46" s="151" t="str"/>
      <x:c r="AF46" s="151" t="str"/>
      <x:c r="AG46" s="151" t="str"/>
      <x:c r="AH46" s="151" t="str"/>
      <x:c r="AI46" s="151" t="str"/>
      <x:c r="AJ46" s="151" t="str"/>
      <x:c r="AK46" s="151" t="str"/>
      <x:c r="AL46" s="151" t="str"/>
      <x:c r="AM46" s="151" t="str"/>
      <x:c r="AN46" s="152" t="n">
        <x:f>IF(COUNTA(S46:AM46)=0,"",SUM(S46:AM46))</x:f>
        <x:v>0</x:v>
      </x:c>
      <x:c r="AO46" s="151" t="str"/>
      <x:c r="AP46" s="151" t="str"/>
      <x:c r="AQ46" s="151" t="str"/>
      <x:c r="AR46" s="151" t="str"/>
      <x:c r="AS46" s="196" t="str">
        <x:f>IF(AN46="","",IF(AO46="Cartons",IF(AP46*AQ46=AN46,"OK","CHECK CARTONS / SIZES"),IF(AR46=AN46,"OK","CHECK TOTAL / SIZES")))</x:f>
      </x:c>
      <x:c r="AT46" s="137" t="str"/>
      <x:c r="AU46" s="137" t="str"/>
      <x:c r="AV46" s="137" t="str"/>
      <x:c r="AW46" s="137" t="str"/>
    </x:row>
    <x:row r="47">
      <x:c r="A47" s="137" t="str"/>
      <x:c r="B47" s="137" t="str"/>
      <x:c r="C47" s="137" t="str"/>
      <x:c r="D47" s="137" t="str"/>
      <x:c r="E47" s="138" t="str"/>
      <x:c r="F47" s="138" t="str"/>
      <x:c r="G47" s="137" t="str"/>
      <x:c r="H47" s="137" t="str"/>
      <x:c r="I47" s="137" t="str"/>
      <x:c r="J47" s="137" t="str"/>
      <x:c r="K47" s="137" t="str"/>
      <x:c r="L47" s="137" t="str"/>
      <x:c r="M47" s="137" t="str"/>
      <x:c r="N47" s="137" t="str"/>
      <x:c r="O47" s="137" t="str"/>
      <x:c r="P47" s="137" t="str"/>
      <x:c r="Q47" s="137" t="str"/>
      <x:c r="R47" s="137" t="str"/>
      <x:c r="S47" s="151" t="str"/>
      <x:c r="T47" s="151" t="str"/>
      <x:c r="U47" s="151" t="str"/>
      <x:c r="V47" s="151" t="str"/>
      <x:c r="W47" s="151" t="str"/>
      <x:c r="X47" s="151" t="str"/>
      <x:c r="Y47" s="151" t="str"/>
      <x:c r="Z47" s="151" t="str"/>
      <x:c r="AA47" s="151" t="str"/>
      <x:c r="AB47" s="151" t="str"/>
      <x:c r="AC47" s="151" t="str"/>
      <x:c r="AD47" s="151" t="str"/>
      <x:c r="AE47" s="151" t="str"/>
      <x:c r="AF47" s="151" t="str"/>
      <x:c r="AG47" s="151" t="str"/>
      <x:c r="AH47" s="151" t="str"/>
      <x:c r="AI47" s="151" t="str"/>
      <x:c r="AJ47" s="151" t="str"/>
      <x:c r="AK47" s="151" t="str"/>
      <x:c r="AL47" s="151" t="str"/>
      <x:c r="AM47" s="151" t="str"/>
      <x:c r="AN47" s="152" t="n">
        <x:f>IF(COUNTA(S47:AM47)=0,"",SUM(S47:AM47))</x:f>
        <x:v>0</x:v>
      </x:c>
      <x:c r="AO47" s="151" t="str"/>
      <x:c r="AP47" s="151" t="str"/>
      <x:c r="AQ47" s="151" t="str"/>
      <x:c r="AR47" s="151" t="str"/>
      <x:c r="AS47" s="196" t="str">
        <x:f>IF(AN47="","",IF(AO47="Cartons",IF(AP47*AQ47=AN47,"OK","CHECK CARTONS / SIZES"),IF(AR47=AN47,"OK","CHECK TOTAL / SIZES")))</x:f>
      </x:c>
      <x:c r="AT47" s="137" t="str"/>
      <x:c r="AU47" s="137" t="str"/>
      <x:c r="AV47" s="137" t="str"/>
      <x:c r="AW47" s="137" t="str"/>
    </x:row>
    <x:row r="48">
      <x:c r="A48" s="137" t="str"/>
      <x:c r="B48" s="137" t="str"/>
      <x:c r="C48" s="137" t="str"/>
      <x:c r="D48" s="137" t="str"/>
      <x:c r="E48" s="138" t="str"/>
      <x:c r="F48" s="138" t="str"/>
      <x:c r="G48" s="137" t="str"/>
      <x:c r="H48" s="137" t="str"/>
      <x:c r="I48" s="137" t="str"/>
      <x:c r="J48" s="137" t="str"/>
      <x:c r="K48" s="137" t="str"/>
      <x:c r="L48" s="137" t="str"/>
      <x:c r="M48" s="137" t="str"/>
      <x:c r="N48" s="137" t="str"/>
      <x:c r="O48" s="137" t="str"/>
      <x:c r="P48" s="137" t="str"/>
      <x:c r="Q48" s="137" t="str"/>
      <x:c r="R48" s="137" t="str"/>
      <x:c r="S48" s="151" t="str"/>
      <x:c r="T48" s="151" t="str"/>
      <x:c r="U48" s="151" t="str"/>
      <x:c r="V48" s="151" t="str"/>
      <x:c r="W48" s="151" t="str"/>
      <x:c r="X48" s="151" t="str"/>
      <x:c r="Y48" s="151" t="str"/>
      <x:c r="Z48" s="151" t="str"/>
      <x:c r="AA48" s="151" t="str"/>
      <x:c r="AB48" s="151" t="str"/>
      <x:c r="AC48" s="151" t="str"/>
      <x:c r="AD48" s="151" t="str"/>
      <x:c r="AE48" s="151" t="str"/>
      <x:c r="AF48" s="151" t="str"/>
      <x:c r="AG48" s="151" t="str"/>
      <x:c r="AH48" s="151" t="str"/>
      <x:c r="AI48" s="151" t="str"/>
      <x:c r="AJ48" s="151" t="str"/>
      <x:c r="AK48" s="151" t="str"/>
      <x:c r="AL48" s="151" t="str"/>
      <x:c r="AM48" s="151" t="str"/>
      <x:c r="AN48" s="152" t="n">
        <x:f>IF(COUNTA(S48:AM48)=0,"",SUM(S48:AM48))</x:f>
        <x:v>0</x:v>
      </x:c>
      <x:c r="AO48" s="151" t="str"/>
      <x:c r="AP48" s="151" t="str"/>
      <x:c r="AQ48" s="151" t="str"/>
      <x:c r="AR48" s="151" t="str"/>
      <x:c r="AS48" s="196" t="str">
        <x:f>IF(AN48="","",IF(AO48="Cartons",IF(AP48*AQ48=AN48,"OK","CHECK CARTONS / SIZES"),IF(AR48=AN48,"OK","CHECK TOTAL / SIZES")))</x:f>
      </x:c>
      <x:c r="AT48" s="137" t="str"/>
      <x:c r="AU48" s="137" t="str"/>
      <x:c r="AV48" s="137" t="str"/>
      <x:c r="AW48" s="137" t="str"/>
    </x:row>
    <x:row r="49">
      <x:c r="A49" s="137" t="str"/>
      <x:c r="B49" s="137" t="str"/>
      <x:c r="C49" s="137" t="str"/>
      <x:c r="D49" s="137" t="str"/>
      <x:c r="E49" s="138" t="str"/>
      <x:c r="F49" s="138" t="str"/>
      <x:c r="G49" s="137" t="str"/>
      <x:c r="H49" s="137" t="str"/>
      <x:c r="I49" s="137" t="str"/>
      <x:c r="J49" s="137" t="str"/>
      <x:c r="K49" s="137" t="str"/>
      <x:c r="L49" s="137" t="str"/>
      <x:c r="M49" s="137" t="str"/>
      <x:c r="N49" s="137" t="str"/>
      <x:c r="O49" s="137" t="str"/>
      <x:c r="P49" s="137" t="str"/>
      <x:c r="Q49" s="137" t="str"/>
      <x:c r="R49" s="137" t="str"/>
      <x:c r="S49" s="151" t="str"/>
      <x:c r="T49" s="151" t="str"/>
      <x:c r="U49" s="151" t="str"/>
      <x:c r="V49" s="151" t="str"/>
      <x:c r="W49" s="151" t="str"/>
      <x:c r="X49" s="151" t="str"/>
      <x:c r="Y49" s="151" t="str"/>
      <x:c r="Z49" s="151" t="str"/>
      <x:c r="AA49" s="151" t="str"/>
      <x:c r="AB49" s="151" t="str"/>
      <x:c r="AC49" s="151" t="str"/>
      <x:c r="AD49" s="151" t="str"/>
      <x:c r="AE49" s="151" t="str"/>
      <x:c r="AF49" s="151" t="str"/>
      <x:c r="AG49" s="151" t="str"/>
      <x:c r="AH49" s="151" t="str"/>
      <x:c r="AI49" s="151" t="str"/>
      <x:c r="AJ49" s="151" t="str"/>
      <x:c r="AK49" s="151" t="str"/>
      <x:c r="AL49" s="151" t="str"/>
      <x:c r="AM49" s="151" t="str"/>
      <x:c r="AN49" s="152" t="n">
        <x:f>IF(COUNTA(S49:AM49)=0,"",SUM(S49:AM49))</x:f>
        <x:v>0</x:v>
      </x:c>
      <x:c r="AO49" s="151" t="str"/>
      <x:c r="AP49" s="151" t="str"/>
      <x:c r="AQ49" s="151" t="str"/>
      <x:c r="AR49" s="151" t="str"/>
      <x:c r="AS49" s="196" t="str">
        <x:f>IF(AN49="","",IF(AO49="Cartons",IF(AP49*AQ49=AN49,"OK","CHECK CARTONS / SIZES"),IF(AR49=AN49,"OK","CHECK TOTAL / SIZES")))</x:f>
      </x:c>
      <x:c r="AT49" s="137" t="str"/>
      <x:c r="AU49" s="137" t="str"/>
      <x:c r="AV49" s="137" t="str"/>
      <x:c r="AW49" s="137" t="str"/>
    </x:row>
    <x:row r="50">
      <x:c r="A50" s="137" t="str"/>
      <x:c r="B50" s="137" t="str"/>
      <x:c r="C50" s="137" t="str"/>
      <x:c r="D50" s="137" t="str"/>
      <x:c r="E50" s="138" t="str"/>
      <x:c r="F50" s="138" t="str"/>
      <x:c r="G50" s="137" t="str"/>
      <x:c r="H50" s="137" t="str"/>
      <x:c r="I50" s="137" t="str"/>
      <x:c r="J50" s="137" t="str"/>
      <x:c r="K50" s="137" t="str"/>
      <x:c r="L50" s="137" t="str"/>
      <x:c r="M50" s="137" t="str"/>
      <x:c r="N50" s="137" t="str"/>
      <x:c r="O50" s="137" t="str"/>
      <x:c r="P50" s="137" t="str"/>
      <x:c r="Q50" s="137" t="str"/>
      <x:c r="R50" s="137" t="str"/>
      <x:c r="S50" s="151" t="str"/>
      <x:c r="T50" s="151" t="str"/>
      <x:c r="U50" s="151" t="str"/>
      <x:c r="V50" s="151" t="str"/>
      <x:c r="W50" s="151" t="str"/>
      <x:c r="X50" s="151" t="str"/>
      <x:c r="Y50" s="151" t="str"/>
      <x:c r="Z50" s="151" t="str"/>
      <x:c r="AA50" s="151" t="str"/>
      <x:c r="AB50" s="151" t="str"/>
      <x:c r="AC50" s="151" t="str"/>
      <x:c r="AD50" s="151" t="str"/>
      <x:c r="AE50" s="151" t="str"/>
      <x:c r="AF50" s="151" t="str"/>
      <x:c r="AG50" s="151" t="str"/>
      <x:c r="AH50" s="151" t="str"/>
      <x:c r="AI50" s="151" t="str"/>
      <x:c r="AJ50" s="151" t="str"/>
      <x:c r="AK50" s="151" t="str"/>
      <x:c r="AL50" s="151" t="str"/>
      <x:c r="AM50" s="151" t="str"/>
      <x:c r="AN50" s="152" t="n">
        <x:f>IF(COUNTA(S50:AM50)=0,"",SUM(S50:AM50))</x:f>
        <x:v>0</x:v>
      </x:c>
      <x:c r="AO50" s="151" t="str"/>
      <x:c r="AP50" s="151" t="str"/>
      <x:c r="AQ50" s="151" t="str"/>
      <x:c r="AR50" s="151" t="str"/>
      <x:c r="AS50" s="196" t="str">
        <x:f>IF(AN50="","",IF(AO50="Cartons",IF(AP50*AQ50=AN50,"OK","CHECK CARTONS / SIZES"),IF(AR50=AN50,"OK","CHECK TOTAL / SIZES")))</x:f>
      </x:c>
      <x:c r="AT50" s="137" t="str"/>
      <x:c r="AU50" s="137" t="str"/>
      <x:c r="AV50" s="137" t="str"/>
      <x:c r="AW50" s="137" t="str"/>
    </x:row>
    <x:row r="51">
      <x:c r="A51" s="137" t="str"/>
      <x:c r="B51" s="137" t="str"/>
      <x:c r="C51" s="137" t="str"/>
      <x:c r="D51" s="137" t="str"/>
      <x:c r="E51" s="138" t="str"/>
      <x:c r="F51" s="138" t="str"/>
      <x:c r="G51" s="137" t="str"/>
      <x:c r="H51" s="137" t="str"/>
      <x:c r="I51" s="137" t="str"/>
      <x:c r="J51" s="137" t="str"/>
      <x:c r="K51" s="137" t="str"/>
      <x:c r="L51" s="137" t="str"/>
      <x:c r="M51" s="137" t="str"/>
      <x:c r="N51" s="137" t="str"/>
      <x:c r="O51" s="137" t="str"/>
      <x:c r="P51" s="137" t="str"/>
      <x:c r="Q51" s="137" t="str"/>
      <x:c r="R51" s="137" t="str"/>
      <x:c r="S51" s="151" t="str"/>
      <x:c r="T51" s="151" t="str"/>
      <x:c r="U51" s="151" t="str"/>
      <x:c r="V51" s="151" t="str"/>
      <x:c r="W51" s="151" t="str"/>
      <x:c r="X51" s="151" t="str"/>
      <x:c r="Y51" s="151" t="str"/>
      <x:c r="Z51" s="151" t="str"/>
      <x:c r="AA51" s="151" t="str"/>
      <x:c r="AB51" s="151" t="str"/>
      <x:c r="AC51" s="151" t="str"/>
      <x:c r="AD51" s="151" t="str"/>
      <x:c r="AE51" s="151" t="str"/>
      <x:c r="AF51" s="151" t="str"/>
      <x:c r="AG51" s="151" t="str"/>
      <x:c r="AH51" s="151" t="str"/>
      <x:c r="AI51" s="151" t="str"/>
      <x:c r="AJ51" s="151" t="str"/>
      <x:c r="AK51" s="151" t="str"/>
      <x:c r="AL51" s="151" t="str"/>
      <x:c r="AM51" s="151" t="str"/>
      <x:c r="AN51" s="152" t="n">
        <x:f>IF(COUNTA(S51:AM51)=0,"",SUM(S51:AM51))</x:f>
        <x:v>0</x:v>
      </x:c>
      <x:c r="AO51" s="151" t="str"/>
      <x:c r="AP51" s="151" t="str"/>
      <x:c r="AQ51" s="151" t="str"/>
      <x:c r="AR51" s="151" t="str"/>
      <x:c r="AS51" s="196" t="str">
        <x:f>IF(AN51="","",IF(AO51="Cartons",IF(AP51*AQ51=AN51,"OK","CHECK CARTONS / SIZES"),IF(AR51=AN51,"OK","CHECK TOTAL / SIZES")))</x:f>
      </x:c>
      <x:c r="AT51" s="137" t="str"/>
      <x:c r="AU51" s="137" t="str"/>
      <x:c r="AV51" s="137" t="str"/>
      <x:c r="AW51" s="137" t="str"/>
    </x:row>
    <x:row r="52">
      <x:c r="A52" s="137" t="str"/>
      <x:c r="B52" s="137" t="str"/>
      <x:c r="C52" s="137" t="str"/>
      <x:c r="D52" s="137" t="str"/>
      <x:c r="E52" s="138" t="str"/>
      <x:c r="F52" s="138" t="str"/>
      <x:c r="G52" s="137" t="str"/>
      <x:c r="H52" s="137" t="str"/>
      <x:c r="I52" s="137" t="str"/>
      <x:c r="J52" s="137" t="str"/>
      <x:c r="K52" s="137" t="str"/>
      <x:c r="L52" s="137" t="str"/>
      <x:c r="M52" s="137" t="str"/>
      <x:c r="N52" s="137" t="str"/>
      <x:c r="O52" s="137" t="str"/>
      <x:c r="P52" s="137" t="str"/>
      <x:c r="Q52" s="137" t="str"/>
      <x:c r="R52" s="137" t="str"/>
      <x:c r="S52" s="151" t="str"/>
      <x:c r="T52" s="151" t="str"/>
      <x:c r="U52" s="151" t="str"/>
      <x:c r="V52" s="151" t="str"/>
      <x:c r="W52" s="151" t="str"/>
      <x:c r="X52" s="151" t="str"/>
      <x:c r="Y52" s="151" t="str"/>
      <x:c r="Z52" s="151" t="str"/>
      <x:c r="AA52" s="151" t="str"/>
      <x:c r="AB52" s="151" t="str"/>
      <x:c r="AC52" s="151" t="str"/>
      <x:c r="AD52" s="151" t="str"/>
      <x:c r="AE52" s="151" t="str"/>
      <x:c r="AF52" s="151" t="str"/>
      <x:c r="AG52" s="151" t="str"/>
      <x:c r="AH52" s="151" t="str"/>
      <x:c r="AI52" s="151" t="str"/>
      <x:c r="AJ52" s="151" t="str"/>
      <x:c r="AK52" s="151" t="str"/>
      <x:c r="AL52" s="151" t="str"/>
      <x:c r="AM52" s="151" t="str"/>
      <x:c r="AN52" s="152" t="n">
        <x:f>IF(COUNTA(S52:AM52)=0,"",SUM(S52:AM52))</x:f>
        <x:v>0</x:v>
      </x:c>
      <x:c r="AO52" s="151" t="str"/>
      <x:c r="AP52" s="151" t="str"/>
      <x:c r="AQ52" s="151" t="str"/>
      <x:c r="AR52" s="151" t="str"/>
      <x:c r="AS52" s="196" t="str">
        <x:f>IF(AN52="","",IF(AO52="Cartons",IF(AP52*AQ52=AN52,"OK","CHECK CARTONS / SIZES"),IF(AR52=AN52,"OK","CHECK TOTAL / SIZES")))</x:f>
      </x:c>
      <x:c r="AT52" s="137" t="str"/>
      <x:c r="AU52" s="137" t="str"/>
      <x:c r="AV52" s="137" t="str"/>
      <x:c r="AW52" s="137" t="str"/>
    </x:row>
    <x:row r="53">
      <x:c r="A53" s="137" t="str"/>
      <x:c r="B53" s="137" t="str"/>
      <x:c r="C53" s="137" t="str"/>
      <x:c r="D53" s="137" t="str"/>
      <x:c r="E53" s="138" t="str"/>
      <x:c r="F53" s="138" t="str"/>
      <x:c r="G53" s="137" t="str"/>
      <x:c r="H53" s="137" t="str"/>
      <x:c r="I53" s="137" t="str"/>
      <x:c r="J53" s="137" t="str"/>
      <x:c r="K53" s="137" t="str"/>
      <x:c r="L53" s="137" t="str"/>
      <x:c r="M53" s="137" t="str"/>
      <x:c r="N53" s="137" t="str"/>
      <x:c r="O53" s="137" t="str"/>
      <x:c r="P53" s="137" t="str"/>
      <x:c r="Q53" s="137" t="str"/>
      <x:c r="R53" s="137" t="str"/>
      <x:c r="S53" s="151" t="str"/>
      <x:c r="T53" s="151" t="str"/>
      <x:c r="U53" s="151" t="str"/>
      <x:c r="V53" s="151" t="str"/>
      <x:c r="W53" s="151" t="str"/>
      <x:c r="X53" s="151" t="str"/>
      <x:c r="Y53" s="151" t="str"/>
      <x:c r="Z53" s="151" t="str"/>
      <x:c r="AA53" s="151" t="str"/>
      <x:c r="AB53" s="151" t="str"/>
      <x:c r="AC53" s="151" t="str"/>
      <x:c r="AD53" s="151" t="str"/>
      <x:c r="AE53" s="151" t="str"/>
      <x:c r="AF53" s="151" t="str"/>
      <x:c r="AG53" s="151" t="str"/>
      <x:c r="AH53" s="151" t="str"/>
      <x:c r="AI53" s="151" t="str"/>
      <x:c r="AJ53" s="151" t="str"/>
      <x:c r="AK53" s="151" t="str"/>
      <x:c r="AL53" s="151" t="str"/>
      <x:c r="AM53" s="151" t="str"/>
      <x:c r="AN53" s="152" t="n">
        <x:f>IF(COUNTA(S53:AM53)=0,"",SUM(S53:AM53))</x:f>
        <x:v>0</x:v>
      </x:c>
      <x:c r="AO53" s="151" t="str"/>
      <x:c r="AP53" s="151" t="str"/>
      <x:c r="AQ53" s="151" t="str"/>
      <x:c r="AR53" s="151" t="str"/>
      <x:c r="AS53" s="196" t="str">
        <x:f>IF(AN53="","",IF(AO53="Cartons",IF(AP53*AQ53=AN53,"OK","CHECK CARTONS / SIZES"),IF(AR53=AN53,"OK","CHECK TOTAL / SIZES")))</x:f>
      </x:c>
      <x:c r="AT53" s="137" t="str"/>
      <x:c r="AU53" s="137" t="str"/>
      <x:c r="AV53" s="137" t="str"/>
      <x:c r="AW53" s="137" t="str"/>
    </x:row>
    <x:row r="54">
      <x:c r="A54" s="137" t="str"/>
      <x:c r="B54" s="137" t="str"/>
      <x:c r="C54" s="137" t="str"/>
      <x:c r="D54" s="137" t="str"/>
      <x:c r="E54" s="138" t="str"/>
      <x:c r="F54" s="138" t="str"/>
      <x:c r="G54" s="137" t="str"/>
      <x:c r="H54" s="137" t="str"/>
      <x:c r="I54" s="137" t="str"/>
      <x:c r="J54" s="137" t="str"/>
      <x:c r="K54" s="137" t="str"/>
      <x:c r="L54" s="137" t="str"/>
      <x:c r="M54" s="137" t="str"/>
      <x:c r="N54" s="137" t="str"/>
      <x:c r="O54" s="137" t="str"/>
      <x:c r="P54" s="137" t="str"/>
      <x:c r="Q54" s="137" t="str"/>
      <x:c r="R54" s="137" t="str"/>
      <x:c r="S54" s="151" t="str"/>
      <x:c r="T54" s="151" t="str"/>
      <x:c r="U54" s="151" t="str"/>
      <x:c r="V54" s="151" t="str"/>
      <x:c r="W54" s="151" t="str"/>
      <x:c r="X54" s="151" t="str"/>
      <x:c r="Y54" s="151" t="str"/>
      <x:c r="Z54" s="151" t="str"/>
      <x:c r="AA54" s="151" t="str"/>
      <x:c r="AB54" s="151" t="str"/>
      <x:c r="AC54" s="151" t="str"/>
      <x:c r="AD54" s="151" t="str"/>
      <x:c r="AE54" s="151" t="str"/>
      <x:c r="AF54" s="151" t="str"/>
      <x:c r="AG54" s="151" t="str"/>
      <x:c r="AH54" s="151" t="str"/>
      <x:c r="AI54" s="151" t="str"/>
      <x:c r="AJ54" s="151" t="str"/>
      <x:c r="AK54" s="151" t="str"/>
      <x:c r="AL54" s="151" t="str"/>
      <x:c r="AM54" s="151" t="str"/>
      <x:c r="AN54" s="152" t="n">
        <x:f>IF(COUNTA(S54:AM54)=0,"",SUM(S54:AM54))</x:f>
        <x:v>0</x:v>
      </x:c>
      <x:c r="AO54" s="151" t="str"/>
      <x:c r="AP54" s="151" t="str"/>
      <x:c r="AQ54" s="151" t="str"/>
      <x:c r="AR54" s="151" t="str"/>
      <x:c r="AS54" s="196" t="str">
        <x:f>IF(AN54="","",IF(AO54="Cartons",IF(AP54*AQ54=AN54,"OK","CHECK CARTONS / SIZES"),IF(AR54=AN54,"OK","CHECK TOTAL / SIZES")))</x:f>
      </x:c>
      <x:c r="AT54" s="137" t="str"/>
      <x:c r="AU54" s="137" t="str"/>
      <x:c r="AV54" s="137" t="str"/>
      <x:c r="AW54" s="137" t="str"/>
    </x:row>
    <x:row r="55">
      <x:c r="A55" s="137" t="str"/>
      <x:c r="B55" s="137" t="str"/>
      <x:c r="C55" s="137" t="str"/>
      <x:c r="D55" s="137" t="str"/>
      <x:c r="E55" s="138" t="str"/>
      <x:c r="F55" s="138" t="str"/>
      <x:c r="G55" s="137" t="str"/>
      <x:c r="H55" s="137" t="str"/>
      <x:c r="I55" s="137" t="str"/>
      <x:c r="J55" s="137" t="str"/>
      <x:c r="K55" s="137" t="str"/>
      <x:c r="L55" s="137" t="str"/>
      <x:c r="M55" s="137" t="str"/>
      <x:c r="N55" s="137" t="str"/>
      <x:c r="O55" s="137" t="str"/>
      <x:c r="P55" s="137" t="str"/>
      <x:c r="Q55" s="137" t="str"/>
      <x:c r="R55" s="137" t="str"/>
      <x:c r="S55" s="151" t="str"/>
      <x:c r="T55" s="151" t="str"/>
      <x:c r="U55" s="151" t="str"/>
      <x:c r="V55" s="151" t="str"/>
      <x:c r="W55" s="151" t="str"/>
      <x:c r="X55" s="151" t="str"/>
      <x:c r="Y55" s="151" t="str"/>
      <x:c r="Z55" s="151" t="str"/>
      <x:c r="AA55" s="151" t="str"/>
      <x:c r="AB55" s="151" t="str"/>
      <x:c r="AC55" s="151" t="str"/>
      <x:c r="AD55" s="151" t="str"/>
      <x:c r="AE55" s="151" t="str"/>
      <x:c r="AF55" s="151" t="str"/>
      <x:c r="AG55" s="151" t="str"/>
      <x:c r="AH55" s="151" t="str"/>
      <x:c r="AI55" s="151" t="str"/>
      <x:c r="AJ55" s="151" t="str"/>
      <x:c r="AK55" s="151" t="str"/>
      <x:c r="AL55" s="151" t="str"/>
      <x:c r="AM55" s="151" t="str"/>
      <x:c r="AN55" s="152" t="n">
        <x:f>IF(COUNTA(S55:AM55)=0,"",SUM(S55:AM55))</x:f>
        <x:v>0</x:v>
      </x:c>
      <x:c r="AO55" s="151" t="str"/>
      <x:c r="AP55" s="151" t="str"/>
      <x:c r="AQ55" s="151" t="str"/>
      <x:c r="AR55" s="151" t="str"/>
      <x:c r="AS55" s="196" t="str">
        <x:f>IF(AN55="","",IF(AO55="Cartons",IF(AP55*AQ55=AN55,"OK","CHECK CARTONS / SIZES"),IF(AR55=AN55,"OK","CHECK TOTAL / SIZES")))</x:f>
      </x:c>
      <x:c r="AT55" s="137" t="str"/>
      <x:c r="AU55" s="137" t="str"/>
      <x:c r="AV55" s="137" t="str"/>
      <x:c r="AW55" s="137" t="str"/>
    </x:row>
    <x:row r="56">
      <x:c r="A56" s="137" t="str"/>
      <x:c r="B56" s="137" t="str"/>
      <x:c r="C56" s="137" t="str"/>
      <x:c r="D56" s="137" t="str"/>
      <x:c r="E56" s="138" t="str"/>
      <x:c r="F56" s="138" t="str"/>
      <x:c r="G56" s="137" t="str"/>
      <x:c r="H56" s="137" t="str"/>
      <x:c r="I56" s="137" t="str"/>
      <x:c r="J56" s="137" t="str"/>
      <x:c r="K56" s="137" t="str"/>
      <x:c r="L56" s="137" t="str"/>
      <x:c r="M56" s="137" t="str"/>
      <x:c r="N56" s="137" t="str"/>
      <x:c r="O56" s="137" t="str"/>
      <x:c r="P56" s="137" t="str"/>
      <x:c r="Q56" s="137" t="str"/>
      <x:c r="R56" s="137" t="str"/>
      <x:c r="S56" s="151" t="str"/>
      <x:c r="T56" s="151" t="str"/>
      <x:c r="U56" s="151" t="str"/>
      <x:c r="V56" s="151" t="str"/>
      <x:c r="W56" s="151" t="str"/>
      <x:c r="X56" s="151" t="str"/>
      <x:c r="Y56" s="151" t="str"/>
      <x:c r="Z56" s="151" t="str"/>
      <x:c r="AA56" s="151" t="str"/>
      <x:c r="AB56" s="151" t="str"/>
      <x:c r="AC56" s="151" t="str"/>
      <x:c r="AD56" s="151" t="str"/>
      <x:c r="AE56" s="151" t="str"/>
      <x:c r="AF56" s="151" t="str"/>
      <x:c r="AG56" s="151" t="str"/>
      <x:c r="AH56" s="151" t="str"/>
      <x:c r="AI56" s="151" t="str"/>
      <x:c r="AJ56" s="151" t="str"/>
      <x:c r="AK56" s="151" t="str"/>
      <x:c r="AL56" s="151" t="str"/>
      <x:c r="AM56" s="151" t="str"/>
      <x:c r="AN56" s="152" t="n">
        <x:f>IF(COUNTA(S56:AM56)=0,"",SUM(S56:AM56))</x:f>
        <x:v>0</x:v>
      </x:c>
      <x:c r="AO56" s="151" t="str"/>
      <x:c r="AP56" s="151" t="str"/>
      <x:c r="AQ56" s="151" t="str"/>
      <x:c r="AR56" s="151" t="str"/>
      <x:c r="AS56" s="196" t="str">
        <x:f>IF(AN56="","",IF(AO56="Cartons",IF(AP56*AQ56=AN56,"OK","CHECK CARTONS / SIZES"),IF(AR56=AN56,"OK","CHECK TOTAL / SIZES")))</x:f>
      </x:c>
      <x:c r="AT56" s="137" t="str"/>
      <x:c r="AU56" s="137" t="str"/>
      <x:c r="AV56" s="137" t="str"/>
      <x:c r="AW56" s="137" t="str"/>
    </x:row>
    <x:row r="57">
      <x:c r="A57" s="137" t="str"/>
      <x:c r="B57" s="137" t="str"/>
      <x:c r="C57" s="137" t="str"/>
      <x:c r="D57" s="137" t="str"/>
      <x:c r="E57" s="138" t="str"/>
      <x:c r="F57" s="138" t="str"/>
      <x:c r="G57" s="137" t="str"/>
      <x:c r="H57" s="137" t="str"/>
      <x:c r="I57" s="137" t="str"/>
      <x:c r="J57" s="137" t="str"/>
      <x:c r="K57" s="137" t="str"/>
      <x:c r="L57" s="137" t="str"/>
      <x:c r="M57" s="137" t="str"/>
      <x:c r="N57" s="137" t="str"/>
      <x:c r="O57" s="137" t="str"/>
      <x:c r="P57" s="137" t="str"/>
      <x:c r="Q57" s="137" t="str"/>
      <x:c r="R57" s="137" t="str"/>
      <x:c r="S57" s="151" t="str"/>
      <x:c r="T57" s="151" t="str"/>
      <x:c r="U57" s="151" t="str"/>
      <x:c r="V57" s="151" t="str"/>
      <x:c r="W57" s="151" t="str"/>
      <x:c r="X57" s="151" t="str"/>
      <x:c r="Y57" s="151" t="str"/>
      <x:c r="Z57" s="151" t="str"/>
      <x:c r="AA57" s="151" t="str"/>
      <x:c r="AB57" s="151" t="str"/>
      <x:c r="AC57" s="151" t="str"/>
      <x:c r="AD57" s="151" t="str"/>
      <x:c r="AE57" s="151" t="str"/>
      <x:c r="AF57" s="151" t="str"/>
      <x:c r="AG57" s="151" t="str"/>
      <x:c r="AH57" s="151" t="str"/>
      <x:c r="AI57" s="151" t="str"/>
      <x:c r="AJ57" s="151" t="str"/>
      <x:c r="AK57" s="151" t="str"/>
      <x:c r="AL57" s="151" t="str"/>
      <x:c r="AM57" s="151" t="str"/>
      <x:c r="AN57" s="152" t="n">
        <x:f>IF(COUNTA(S57:AM57)=0,"",SUM(S57:AM57))</x:f>
        <x:v>0</x:v>
      </x:c>
      <x:c r="AO57" s="151" t="str"/>
      <x:c r="AP57" s="151" t="str"/>
      <x:c r="AQ57" s="151" t="str"/>
      <x:c r="AR57" s="151" t="str"/>
      <x:c r="AS57" s="196" t="str">
        <x:f>IF(AN57="","",IF(AO57="Cartons",IF(AP57*AQ57=AN57,"OK","CHECK CARTONS / SIZES"),IF(AR57=AN57,"OK","CHECK TOTAL / SIZES")))</x:f>
      </x:c>
      <x:c r="AT57" s="137" t="str"/>
      <x:c r="AU57" s="137" t="str"/>
      <x:c r="AV57" s="137" t="str"/>
      <x:c r="AW57" s="137" t="str"/>
    </x:row>
    <x:row r="58">
      <x:c r="A58" s="137" t="str"/>
      <x:c r="B58" s="137" t="str"/>
      <x:c r="C58" s="137" t="str"/>
      <x:c r="D58" s="137" t="str"/>
      <x:c r="E58" s="138" t="str"/>
      <x:c r="F58" s="138" t="str"/>
      <x:c r="G58" s="137" t="str"/>
      <x:c r="H58" s="137" t="str"/>
      <x:c r="I58" s="137" t="str"/>
      <x:c r="J58" s="137" t="str"/>
      <x:c r="K58" s="137" t="str"/>
      <x:c r="L58" s="137" t="str"/>
      <x:c r="M58" s="137" t="str"/>
      <x:c r="N58" s="137" t="str"/>
      <x:c r="O58" s="137" t="str"/>
      <x:c r="P58" s="137" t="str"/>
      <x:c r="Q58" s="137" t="str"/>
      <x:c r="R58" s="137" t="str"/>
      <x:c r="S58" s="151" t="str"/>
      <x:c r="T58" s="151" t="str"/>
      <x:c r="U58" s="151" t="str"/>
      <x:c r="V58" s="151" t="str"/>
      <x:c r="W58" s="151" t="str"/>
      <x:c r="X58" s="151" t="str"/>
      <x:c r="Y58" s="151" t="str"/>
      <x:c r="Z58" s="151" t="str"/>
      <x:c r="AA58" s="151" t="str"/>
      <x:c r="AB58" s="151" t="str"/>
      <x:c r="AC58" s="151" t="str"/>
      <x:c r="AD58" s="151" t="str"/>
      <x:c r="AE58" s="151" t="str"/>
      <x:c r="AF58" s="151" t="str"/>
      <x:c r="AG58" s="151" t="str"/>
      <x:c r="AH58" s="151" t="str"/>
      <x:c r="AI58" s="151" t="str"/>
      <x:c r="AJ58" s="151" t="str"/>
      <x:c r="AK58" s="151" t="str"/>
      <x:c r="AL58" s="151" t="str"/>
      <x:c r="AM58" s="151" t="str"/>
      <x:c r="AN58" s="152" t="n">
        <x:f>IF(COUNTA(S58:AM58)=0,"",SUM(S58:AM58))</x:f>
        <x:v>0</x:v>
      </x:c>
      <x:c r="AO58" s="151" t="str"/>
      <x:c r="AP58" s="151" t="str"/>
      <x:c r="AQ58" s="151" t="str"/>
      <x:c r="AR58" s="151" t="str"/>
      <x:c r="AS58" s="196" t="str">
        <x:f>IF(AN58="","",IF(AO58="Cartons",IF(AP58*AQ58=AN58,"OK","CHECK CARTONS / SIZES"),IF(AR58=AN58,"OK","CHECK TOTAL / SIZES")))</x:f>
      </x:c>
      <x:c r="AT58" s="137" t="str"/>
      <x:c r="AU58" s="137" t="str"/>
      <x:c r="AV58" s="137" t="str"/>
      <x:c r="AW58" s="137" t="str"/>
    </x:row>
    <x:row r="59">
      <x:c r="A59" s="137" t="str"/>
      <x:c r="B59" s="137" t="str"/>
      <x:c r="C59" s="137" t="str"/>
      <x:c r="D59" s="137" t="str"/>
      <x:c r="E59" s="138" t="str"/>
      <x:c r="F59" s="138" t="str"/>
      <x:c r="G59" s="137" t="str"/>
      <x:c r="H59" s="137" t="str"/>
      <x:c r="I59" s="137" t="str"/>
      <x:c r="J59" s="137" t="str"/>
      <x:c r="K59" s="137" t="str"/>
      <x:c r="L59" s="137" t="str"/>
      <x:c r="M59" s="137" t="str"/>
      <x:c r="N59" s="137" t="str"/>
      <x:c r="O59" s="137" t="str"/>
      <x:c r="P59" s="137" t="str"/>
      <x:c r="Q59" s="137" t="str"/>
      <x:c r="R59" s="137" t="str"/>
      <x:c r="S59" s="151" t="str"/>
      <x:c r="T59" s="151" t="str"/>
      <x:c r="U59" s="151" t="str"/>
      <x:c r="V59" s="151" t="str"/>
      <x:c r="W59" s="151" t="str"/>
      <x:c r="X59" s="151" t="str"/>
      <x:c r="Y59" s="151" t="str"/>
      <x:c r="Z59" s="151" t="str"/>
      <x:c r="AA59" s="151" t="str"/>
      <x:c r="AB59" s="151" t="str"/>
      <x:c r="AC59" s="151" t="str"/>
      <x:c r="AD59" s="151" t="str"/>
      <x:c r="AE59" s="151" t="str"/>
      <x:c r="AF59" s="151" t="str"/>
      <x:c r="AG59" s="151" t="str"/>
      <x:c r="AH59" s="151" t="str"/>
      <x:c r="AI59" s="151" t="str"/>
      <x:c r="AJ59" s="151" t="str"/>
      <x:c r="AK59" s="151" t="str"/>
      <x:c r="AL59" s="151" t="str"/>
      <x:c r="AM59" s="151" t="str"/>
      <x:c r="AN59" s="152" t="n">
        <x:f>IF(COUNTA(S59:AM59)=0,"",SUM(S59:AM59))</x:f>
        <x:v>0</x:v>
      </x:c>
      <x:c r="AO59" s="151" t="str"/>
      <x:c r="AP59" s="151" t="str"/>
      <x:c r="AQ59" s="151" t="str"/>
      <x:c r="AR59" s="151" t="str"/>
      <x:c r="AS59" s="196" t="str">
        <x:f>IF(AN59="","",IF(AO59="Cartons",IF(AP59*AQ59=AN59,"OK","CHECK CARTONS / SIZES"),IF(AR59=AN59,"OK","CHECK TOTAL / SIZES")))</x:f>
      </x:c>
      <x:c r="AT59" s="137" t="str"/>
      <x:c r="AU59" s="137" t="str"/>
      <x:c r="AV59" s="137" t="str"/>
      <x:c r="AW59" s="137" t="str"/>
    </x:row>
    <x:row r="60">
      <x:c r="A60" s="137" t="str"/>
      <x:c r="B60" s="137" t="str"/>
      <x:c r="C60" s="137" t="str"/>
      <x:c r="D60" s="137" t="str"/>
      <x:c r="E60" s="138" t="str"/>
      <x:c r="F60" s="138" t="str"/>
      <x:c r="G60" s="137" t="str"/>
      <x:c r="H60" s="137" t="str"/>
      <x:c r="I60" s="137" t="str"/>
      <x:c r="J60" s="137" t="str"/>
      <x:c r="K60" s="137" t="str"/>
      <x:c r="L60" s="137" t="str"/>
      <x:c r="M60" s="137" t="str"/>
      <x:c r="N60" s="137" t="str"/>
      <x:c r="O60" s="137" t="str"/>
      <x:c r="P60" s="137" t="str"/>
      <x:c r="Q60" s="137" t="str"/>
      <x:c r="R60" s="137" t="str"/>
      <x:c r="S60" s="151" t="str"/>
      <x:c r="T60" s="151" t="str"/>
      <x:c r="U60" s="151" t="str"/>
      <x:c r="V60" s="151" t="str"/>
      <x:c r="W60" s="151" t="str"/>
      <x:c r="X60" s="151" t="str"/>
      <x:c r="Y60" s="151" t="str"/>
      <x:c r="Z60" s="151" t="str"/>
      <x:c r="AA60" s="151" t="str"/>
      <x:c r="AB60" s="151" t="str"/>
      <x:c r="AC60" s="151" t="str"/>
      <x:c r="AD60" s="151" t="str"/>
      <x:c r="AE60" s="151" t="str"/>
      <x:c r="AF60" s="151" t="str"/>
      <x:c r="AG60" s="151" t="str"/>
      <x:c r="AH60" s="151" t="str"/>
      <x:c r="AI60" s="151" t="str"/>
      <x:c r="AJ60" s="151" t="str"/>
      <x:c r="AK60" s="151" t="str"/>
      <x:c r="AL60" s="151" t="str"/>
      <x:c r="AM60" s="151" t="str"/>
      <x:c r="AN60" s="152" t="n">
        <x:f>IF(COUNTA(S60:AM60)=0,"",SUM(S60:AM60))</x:f>
        <x:v>0</x:v>
      </x:c>
      <x:c r="AO60" s="151" t="str"/>
      <x:c r="AP60" s="151" t="str"/>
      <x:c r="AQ60" s="151" t="str"/>
      <x:c r="AR60" s="151" t="str"/>
      <x:c r="AS60" s="196" t="str">
        <x:f>IF(AN60="","",IF(AO60="Cartons",IF(AP60*AQ60=AN60,"OK","CHECK CARTONS / SIZES"),IF(AR60=AN60,"OK","CHECK TOTAL / SIZES")))</x:f>
      </x:c>
      <x:c r="AT60" s="137" t="str"/>
      <x:c r="AU60" s="137" t="str"/>
      <x:c r="AV60" s="137" t="str"/>
      <x:c r="AW60" s="137" t="str"/>
    </x:row>
    <x:row r="61">
      <x:c r="A61" s="137" t="str"/>
      <x:c r="B61" s="137" t="str"/>
      <x:c r="C61" s="137" t="str"/>
      <x:c r="D61" s="137" t="str"/>
      <x:c r="E61" s="138" t="str"/>
      <x:c r="F61" s="138" t="str"/>
      <x:c r="G61" s="137" t="str"/>
      <x:c r="H61" s="137" t="str"/>
      <x:c r="I61" s="137" t="str"/>
      <x:c r="J61" s="137" t="str"/>
      <x:c r="K61" s="137" t="str"/>
      <x:c r="L61" s="137" t="str"/>
      <x:c r="M61" s="137" t="str"/>
      <x:c r="N61" s="137" t="str"/>
      <x:c r="O61" s="137" t="str"/>
      <x:c r="P61" s="137" t="str"/>
      <x:c r="Q61" s="137" t="str"/>
      <x:c r="R61" s="137" t="str"/>
      <x:c r="S61" s="151" t="str"/>
      <x:c r="T61" s="151" t="str"/>
      <x:c r="U61" s="151" t="str"/>
      <x:c r="V61" s="151" t="str"/>
      <x:c r="W61" s="151" t="str"/>
      <x:c r="X61" s="151" t="str"/>
      <x:c r="Y61" s="151" t="str"/>
      <x:c r="Z61" s="151" t="str"/>
      <x:c r="AA61" s="151" t="str"/>
      <x:c r="AB61" s="151" t="str"/>
      <x:c r="AC61" s="151" t="str"/>
      <x:c r="AD61" s="151" t="str"/>
      <x:c r="AE61" s="151" t="str"/>
      <x:c r="AF61" s="151" t="str"/>
      <x:c r="AG61" s="151" t="str"/>
      <x:c r="AH61" s="151" t="str"/>
      <x:c r="AI61" s="151" t="str"/>
      <x:c r="AJ61" s="151" t="str"/>
      <x:c r="AK61" s="151" t="str"/>
      <x:c r="AL61" s="151" t="str"/>
      <x:c r="AM61" s="151" t="str"/>
      <x:c r="AN61" s="152" t="n">
        <x:f>IF(COUNTA(S61:AM61)=0,"",SUM(S61:AM61))</x:f>
        <x:v>0</x:v>
      </x:c>
      <x:c r="AO61" s="151" t="str"/>
      <x:c r="AP61" s="151" t="str"/>
      <x:c r="AQ61" s="151" t="str"/>
      <x:c r="AR61" s="151" t="str"/>
      <x:c r="AS61" s="196" t="str">
        <x:f>IF(AN61="","",IF(AO61="Cartons",IF(AP61*AQ61=AN61,"OK","CHECK CARTONS / SIZES"),IF(AR61=AN61,"OK","CHECK TOTAL / SIZES")))</x:f>
      </x:c>
      <x:c r="AT61" s="137" t="str"/>
      <x:c r="AU61" s="137" t="str"/>
      <x:c r="AV61" s="137" t="str"/>
      <x:c r="AW61" s="137" t="str"/>
    </x:row>
    <x:row r="62">
      <x:c r="A62" s="137" t="str"/>
      <x:c r="B62" s="137" t="str"/>
      <x:c r="C62" s="137" t="str"/>
      <x:c r="D62" s="137" t="str"/>
      <x:c r="E62" s="138" t="str"/>
      <x:c r="F62" s="138" t="str"/>
      <x:c r="G62" s="137" t="str"/>
      <x:c r="H62" s="137" t="str"/>
      <x:c r="I62" s="137" t="str"/>
      <x:c r="J62" s="137" t="str"/>
      <x:c r="K62" s="137" t="str"/>
      <x:c r="L62" s="137" t="str"/>
      <x:c r="M62" s="137" t="str"/>
      <x:c r="N62" s="137" t="str"/>
      <x:c r="O62" s="137" t="str"/>
      <x:c r="P62" s="137" t="str"/>
      <x:c r="Q62" s="137" t="str"/>
      <x:c r="R62" s="137" t="str"/>
      <x:c r="S62" s="151" t="str"/>
      <x:c r="T62" s="151" t="str"/>
      <x:c r="U62" s="151" t="str"/>
      <x:c r="V62" s="151" t="str"/>
      <x:c r="W62" s="151" t="str"/>
      <x:c r="X62" s="151" t="str"/>
      <x:c r="Y62" s="151" t="str"/>
      <x:c r="Z62" s="151" t="str"/>
      <x:c r="AA62" s="151" t="str"/>
      <x:c r="AB62" s="151" t="str"/>
      <x:c r="AC62" s="151" t="str"/>
      <x:c r="AD62" s="151" t="str"/>
      <x:c r="AE62" s="151" t="str"/>
      <x:c r="AF62" s="151" t="str"/>
      <x:c r="AG62" s="151" t="str"/>
      <x:c r="AH62" s="151" t="str"/>
      <x:c r="AI62" s="151" t="str"/>
      <x:c r="AJ62" s="151" t="str"/>
      <x:c r="AK62" s="151" t="str"/>
      <x:c r="AL62" s="151" t="str"/>
      <x:c r="AM62" s="151" t="str"/>
      <x:c r="AN62" s="152" t="n">
        <x:f>IF(COUNTA(S62:AM62)=0,"",SUM(S62:AM62))</x:f>
        <x:v>0</x:v>
      </x:c>
      <x:c r="AO62" s="151" t="str"/>
      <x:c r="AP62" s="151" t="str"/>
      <x:c r="AQ62" s="151" t="str"/>
      <x:c r="AR62" s="151" t="str"/>
      <x:c r="AS62" s="196" t="str">
        <x:f>IF(AN62="","",IF(AO62="Cartons",IF(AP62*AQ62=AN62,"OK","CHECK CARTONS / SIZES"),IF(AR62=AN62,"OK","CHECK TOTAL / SIZES")))</x:f>
      </x:c>
      <x:c r="AT62" s="137" t="str"/>
      <x:c r="AU62" s="137" t="str"/>
      <x:c r="AV62" s="137" t="str"/>
      <x:c r="AW62" s="137" t="str"/>
    </x:row>
    <x:row r="63">
      <x:c r="A63" s="137" t="str"/>
      <x:c r="B63" s="137" t="str"/>
      <x:c r="C63" s="137" t="str"/>
      <x:c r="D63" s="137" t="str"/>
      <x:c r="E63" s="138" t="str"/>
      <x:c r="F63" s="138" t="str"/>
      <x:c r="G63" s="137" t="str"/>
      <x:c r="H63" s="137" t="str"/>
      <x:c r="I63" s="137" t="str"/>
      <x:c r="J63" s="137" t="str"/>
      <x:c r="K63" s="137" t="str"/>
      <x:c r="L63" s="137" t="str"/>
      <x:c r="M63" s="137" t="str"/>
      <x:c r="N63" s="137" t="str"/>
      <x:c r="O63" s="137" t="str"/>
      <x:c r="P63" s="137" t="str"/>
      <x:c r="Q63" s="137" t="str"/>
      <x:c r="R63" s="137" t="str"/>
      <x:c r="S63" s="151" t="str"/>
      <x:c r="T63" s="151" t="str"/>
      <x:c r="U63" s="151" t="str"/>
      <x:c r="V63" s="151" t="str"/>
      <x:c r="W63" s="151" t="str"/>
      <x:c r="X63" s="151" t="str"/>
      <x:c r="Y63" s="151" t="str"/>
      <x:c r="Z63" s="151" t="str"/>
      <x:c r="AA63" s="151" t="str"/>
      <x:c r="AB63" s="151" t="str"/>
      <x:c r="AC63" s="151" t="str"/>
      <x:c r="AD63" s="151" t="str"/>
      <x:c r="AE63" s="151" t="str"/>
      <x:c r="AF63" s="151" t="str"/>
      <x:c r="AG63" s="151" t="str"/>
      <x:c r="AH63" s="151" t="str"/>
      <x:c r="AI63" s="151" t="str"/>
      <x:c r="AJ63" s="151" t="str"/>
      <x:c r="AK63" s="151" t="str"/>
      <x:c r="AL63" s="151" t="str"/>
      <x:c r="AM63" s="151" t="str"/>
      <x:c r="AN63" s="152" t="n">
        <x:f>IF(COUNTA(S63:AM63)=0,"",SUM(S63:AM63))</x:f>
        <x:v>0</x:v>
      </x:c>
      <x:c r="AO63" s="151" t="str"/>
      <x:c r="AP63" s="151" t="str"/>
      <x:c r="AQ63" s="151" t="str"/>
      <x:c r="AR63" s="151" t="str"/>
      <x:c r="AS63" s="196" t="str">
        <x:f>IF(AN63="","",IF(AO63="Cartons",IF(AP63*AQ63=AN63,"OK","CHECK CARTONS / SIZES"),IF(AR63=AN63,"OK","CHECK TOTAL / SIZES")))</x:f>
      </x:c>
      <x:c r="AT63" s="137" t="str"/>
      <x:c r="AU63" s="137" t="str"/>
      <x:c r="AV63" s="137" t="str"/>
      <x:c r="AW63" s="137" t="str"/>
    </x:row>
    <x:row r="64">
      <x:c r="A64" s="137" t="str"/>
      <x:c r="B64" s="137" t="str"/>
      <x:c r="C64" s="137" t="str"/>
      <x:c r="D64" s="137" t="str"/>
      <x:c r="E64" s="138" t="str"/>
      <x:c r="F64" s="138" t="str"/>
      <x:c r="G64" s="137" t="str"/>
      <x:c r="H64" s="137" t="str"/>
      <x:c r="I64" s="137" t="str"/>
      <x:c r="J64" s="137" t="str"/>
      <x:c r="K64" s="137" t="str"/>
      <x:c r="L64" s="137" t="str"/>
      <x:c r="M64" s="137" t="str"/>
      <x:c r="N64" s="137" t="str"/>
      <x:c r="O64" s="137" t="str"/>
      <x:c r="P64" s="137" t="str"/>
      <x:c r="Q64" s="137" t="str"/>
      <x:c r="R64" s="137" t="str"/>
      <x:c r="S64" s="151" t="str"/>
      <x:c r="T64" s="151" t="str"/>
      <x:c r="U64" s="151" t="str"/>
      <x:c r="V64" s="151" t="str"/>
      <x:c r="W64" s="151" t="str"/>
      <x:c r="X64" s="151" t="str"/>
      <x:c r="Y64" s="151" t="str"/>
      <x:c r="Z64" s="151" t="str"/>
      <x:c r="AA64" s="151" t="str"/>
      <x:c r="AB64" s="151" t="str"/>
      <x:c r="AC64" s="151" t="str"/>
      <x:c r="AD64" s="151" t="str"/>
      <x:c r="AE64" s="151" t="str"/>
      <x:c r="AF64" s="151" t="str"/>
      <x:c r="AG64" s="151" t="str"/>
      <x:c r="AH64" s="151" t="str"/>
      <x:c r="AI64" s="151" t="str"/>
      <x:c r="AJ64" s="151" t="str"/>
      <x:c r="AK64" s="151" t="str"/>
      <x:c r="AL64" s="151" t="str"/>
      <x:c r="AM64" s="151" t="str"/>
      <x:c r="AN64" s="152" t="n">
        <x:f>IF(COUNTA(S64:AM64)=0,"",SUM(S64:AM64))</x:f>
        <x:v>0</x:v>
      </x:c>
      <x:c r="AO64" s="151" t="str"/>
      <x:c r="AP64" s="151" t="str"/>
      <x:c r="AQ64" s="151" t="str"/>
      <x:c r="AR64" s="151" t="str"/>
      <x:c r="AS64" s="196" t="str">
        <x:f>IF(AN64="","",IF(AO64="Cartons",IF(AP64*AQ64=AN64,"OK","CHECK CARTONS / SIZES"),IF(AR64=AN64,"OK","CHECK TOTAL / SIZES")))</x:f>
      </x:c>
      <x:c r="AT64" s="137" t="str"/>
      <x:c r="AU64" s="137" t="str"/>
      <x:c r="AV64" s="137" t="str"/>
      <x:c r="AW64" s="137" t="str"/>
    </x:row>
    <x:row r="65">
      <x:c r="A65" s="137" t="str"/>
      <x:c r="B65" s="137" t="str"/>
      <x:c r="C65" s="137" t="str"/>
      <x:c r="D65" s="137" t="str"/>
      <x:c r="E65" s="138" t="str"/>
      <x:c r="F65" s="138" t="str"/>
      <x:c r="G65" s="137" t="str"/>
      <x:c r="H65" s="137" t="str"/>
      <x:c r="I65" s="137" t="str"/>
      <x:c r="J65" s="137" t="str"/>
      <x:c r="K65" s="137" t="str"/>
      <x:c r="L65" s="137" t="str"/>
      <x:c r="M65" s="137" t="str"/>
      <x:c r="N65" s="137" t="str"/>
      <x:c r="O65" s="137" t="str"/>
      <x:c r="P65" s="137" t="str"/>
      <x:c r="Q65" s="137" t="str"/>
      <x:c r="R65" s="137" t="str"/>
      <x:c r="S65" s="151" t="str"/>
      <x:c r="T65" s="151" t="str"/>
      <x:c r="U65" s="151" t="str"/>
      <x:c r="V65" s="151" t="str"/>
      <x:c r="W65" s="151" t="str"/>
      <x:c r="X65" s="151" t="str"/>
      <x:c r="Y65" s="151" t="str"/>
      <x:c r="Z65" s="151" t="str"/>
      <x:c r="AA65" s="151" t="str"/>
      <x:c r="AB65" s="151" t="str"/>
      <x:c r="AC65" s="151" t="str"/>
      <x:c r="AD65" s="151" t="str"/>
      <x:c r="AE65" s="151" t="str"/>
      <x:c r="AF65" s="151" t="str"/>
      <x:c r="AG65" s="151" t="str"/>
      <x:c r="AH65" s="151" t="str"/>
      <x:c r="AI65" s="151" t="str"/>
      <x:c r="AJ65" s="151" t="str"/>
      <x:c r="AK65" s="151" t="str"/>
      <x:c r="AL65" s="151" t="str"/>
      <x:c r="AM65" s="151" t="str"/>
      <x:c r="AN65" s="152" t="n">
        <x:f>IF(COUNTA(S65:AM65)=0,"",SUM(S65:AM65))</x:f>
        <x:v>0</x:v>
      </x:c>
      <x:c r="AO65" s="151" t="str"/>
      <x:c r="AP65" s="151" t="str"/>
      <x:c r="AQ65" s="151" t="str"/>
      <x:c r="AR65" s="151" t="str"/>
      <x:c r="AS65" s="196" t="str">
        <x:f>IF(AN65="","",IF(AO65="Cartons",IF(AP65*AQ65=AN65,"OK","CHECK CARTONS / SIZES"),IF(AR65=AN65,"OK","CHECK TOTAL / SIZES")))</x:f>
      </x:c>
      <x:c r="AT65" s="137" t="str"/>
      <x:c r="AU65" s="137" t="str"/>
      <x:c r="AV65" s="137" t="str"/>
      <x:c r="AW65" s="137" t="str"/>
    </x:row>
    <x:row r="66">
      <x:c r="A66" s="137" t="str"/>
      <x:c r="B66" s="137" t="str"/>
      <x:c r="C66" s="137" t="str"/>
      <x:c r="D66" s="137" t="str"/>
      <x:c r="E66" s="138" t="str"/>
      <x:c r="F66" s="138" t="str"/>
      <x:c r="G66" s="137" t="str"/>
      <x:c r="H66" s="137" t="str"/>
      <x:c r="I66" s="137" t="str"/>
      <x:c r="J66" s="137" t="str"/>
      <x:c r="K66" s="137" t="str"/>
      <x:c r="L66" s="137" t="str"/>
      <x:c r="M66" s="137" t="str"/>
      <x:c r="N66" s="137" t="str"/>
      <x:c r="O66" s="137" t="str"/>
      <x:c r="P66" s="137" t="str"/>
      <x:c r="Q66" s="137" t="str"/>
      <x:c r="R66" s="137" t="str"/>
      <x:c r="S66" s="151" t="str"/>
      <x:c r="T66" s="151" t="str"/>
      <x:c r="U66" s="151" t="str"/>
      <x:c r="V66" s="151" t="str"/>
      <x:c r="W66" s="151" t="str"/>
      <x:c r="X66" s="151" t="str"/>
      <x:c r="Y66" s="151" t="str"/>
      <x:c r="Z66" s="151" t="str"/>
      <x:c r="AA66" s="151" t="str"/>
      <x:c r="AB66" s="151" t="str"/>
      <x:c r="AC66" s="151" t="str"/>
      <x:c r="AD66" s="151" t="str"/>
      <x:c r="AE66" s="151" t="str"/>
      <x:c r="AF66" s="151" t="str"/>
      <x:c r="AG66" s="151" t="str"/>
      <x:c r="AH66" s="151" t="str"/>
      <x:c r="AI66" s="151" t="str"/>
      <x:c r="AJ66" s="151" t="str"/>
      <x:c r="AK66" s="151" t="str"/>
      <x:c r="AL66" s="151" t="str"/>
      <x:c r="AM66" s="151" t="str"/>
      <x:c r="AN66" s="152" t="n">
        <x:f>IF(COUNTA(S66:AM66)=0,"",SUM(S66:AM66))</x:f>
        <x:v>0</x:v>
      </x:c>
      <x:c r="AO66" s="151" t="str"/>
      <x:c r="AP66" s="151" t="str"/>
      <x:c r="AQ66" s="151" t="str"/>
      <x:c r="AR66" s="151" t="str"/>
      <x:c r="AS66" s="196" t="str">
        <x:f>IF(AN66="","",IF(AO66="Cartons",IF(AP66*AQ66=AN66,"OK","CHECK CARTONS / SIZES"),IF(AR66=AN66,"OK","CHECK TOTAL / SIZES")))</x:f>
      </x:c>
      <x:c r="AT66" s="137" t="str"/>
      <x:c r="AU66" s="137" t="str"/>
      <x:c r="AV66" s="137" t="str"/>
      <x:c r="AW66" s="137" t="str"/>
    </x:row>
    <x:row r="67">
      <x:c r="A67" s="137" t="str"/>
      <x:c r="B67" s="137" t="str"/>
      <x:c r="C67" s="137" t="str"/>
      <x:c r="D67" s="137" t="str"/>
      <x:c r="E67" s="138" t="str"/>
      <x:c r="F67" s="138" t="str"/>
      <x:c r="G67" s="137" t="str"/>
      <x:c r="H67" s="137" t="str"/>
      <x:c r="I67" s="137" t="str"/>
      <x:c r="J67" s="137" t="str"/>
      <x:c r="K67" s="137" t="str"/>
      <x:c r="L67" s="137" t="str"/>
      <x:c r="M67" s="137" t="str"/>
      <x:c r="N67" s="137" t="str"/>
      <x:c r="O67" s="137" t="str"/>
      <x:c r="P67" s="137" t="str"/>
      <x:c r="Q67" s="137" t="str"/>
      <x:c r="R67" s="137" t="str"/>
      <x:c r="S67" s="151" t="str"/>
      <x:c r="T67" s="151" t="str"/>
      <x:c r="U67" s="151" t="str"/>
      <x:c r="V67" s="151" t="str"/>
      <x:c r="W67" s="151" t="str"/>
      <x:c r="X67" s="151" t="str"/>
      <x:c r="Y67" s="151" t="str"/>
      <x:c r="Z67" s="151" t="str"/>
      <x:c r="AA67" s="151" t="str"/>
      <x:c r="AB67" s="151" t="str"/>
      <x:c r="AC67" s="151" t="str"/>
      <x:c r="AD67" s="151" t="str"/>
      <x:c r="AE67" s="151" t="str"/>
      <x:c r="AF67" s="151" t="str"/>
      <x:c r="AG67" s="151" t="str"/>
      <x:c r="AH67" s="151" t="str"/>
      <x:c r="AI67" s="151" t="str"/>
      <x:c r="AJ67" s="151" t="str"/>
      <x:c r="AK67" s="151" t="str"/>
      <x:c r="AL67" s="151" t="str"/>
      <x:c r="AM67" s="151" t="str"/>
      <x:c r="AN67" s="152" t="n">
        <x:f>IF(COUNTA(S67:AM67)=0,"",SUM(S67:AM67))</x:f>
        <x:v>0</x:v>
      </x:c>
      <x:c r="AO67" s="151" t="str"/>
      <x:c r="AP67" s="151" t="str"/>
      <x:c r="AQ67" s="151" t="str"/>
      <x:c r="AR67" s="151" t="str"/>
      <x:c r="AS67" s="196" t="str">
        <x:f>IF(AN67="","",IF(AO67="Cartons",IF(AP67*AQ67=AN67,"OK","CHECK CARTONS / SIZES"),IF(AR67=AN67,"OK","CHECK TOTAL / SIZES")))</x:f>
      </x:c>
      <x:c r="AT67" s="137" t="str"/>
      <x:c r="AU67" s="137" t="str"/>
      <x:c r="AV67" s="137" t="str"/>
      <x:c r="AW67" s="137" t="str"/>
    </x:row>
    <x:row r="68">
      <x:c r="A68" s="137" t="str"/>
      <x:c r="B68" s="137" t="str"/>
      <x:c r="C68" s="137" t="str"/>
      <x:c r="D68" s="137" t="str"/>
      <x:c r="E68" s="138" t="str"/>
      <x:c r="F68" s="138" t="str"/>
      <x:c r="G68" s="137" t="str"/>
      <x:c r="H68" s="137" t="str"/>
      <x:c r="I68" s="137" t="str"/>
      <x:c r="J68" s="137" t="str"/>
      <x:c r="K68" s="137" t="str"/>
      <x:c r="L68" s="137" t="str"/>
      <x:c r="M68" s="137" t="str"/>
      <x:c r="N68" s="137" t="str"/>
      <x:c r="O68" s="137" t="str"/>
      <x:c r="P68" s="137" t="str"/>
      <x:c r="Q68" s="137" t="str"/>
      <x:c r="R68" s="137" t="str"/>
      <x:c r="S68" s="151" t="str"/>
      <x:c r="T68" s="151" t="str"/>
      <x:c r="U68" s="151" t="str"/>
      <x:c r="V68" s="151" t="str"/>
      <x:c r="W68" s="151" t="str"/>
      <x:c r="X68" s="151" t="str"/>
      <x:c r="Y68" s="151" t="str"/>
      <x:c r="Z68" s="151" t="str"/>
      <x:c r="AA68" s="151" t="str"/>
      <x:c r="AB68" s="151" t="str"/>
      <x:c r="AC68" s="151" t="str"/>
      <x:c r="AD68" s="151" t="str"/>
      <x:c r="AE68" s="151" t="str"/>
      <x:c r="AF68" s="151" t="str"/>
      <x:c r="AG68" s="151" t="str"/>
      <x:c r="AH68" s="151" t="str"/>
      <x:c r="AI68" s="151" t="str"/>
      <x:c r="AJ68" s="151" t="str"/>
      <x:c r="AK68" s="151" t="str"/>
      <x:c r="AL68" s="151" t="str"/>
      <x:c r="AM68" s="151" t="str"/>
      <x:c r="AN68" s="152" t="n">
        <x:f>IF(COUNTA(S68:AM68)=0,"",SUM(S68:AM68))</x:f>
        <x:v>0</x:v>
      </x:c>
      <x:c r="AO68" s="151" t="str"/>
      <x:c r="AP68" s="151" t="str"/>
      <x:c r="AQ68" s="151" t="str"/>
      <x:c r="AR68" s="151" t="str"/>
      <x:c r="AS68" s="196" t="str">
        <x:f>IF(AN68="","",IF(AO68="Cartons",IF(AP68*AQ68=AN68,"OK","CHECK CARTONS / SIZES"),IF(AR68=AN68,"OK","CHECK TOTAL / SIZES")))</x:f>
      </x:c>
      <x:c r="AT68" s="137" t="str"/>
      <x:c r="AU68" s="137" t="str"/>
      <x:c r="AV68" s="137" t="str"/>
      <x:c r="AW68" s="137" t="str"/>
    </x:row>
    <x:row r="69">
      <x:c r="A69" s="137" t="str"/>
      <x:c r="B69" s="137" t="str"/>
      <x:c r="C69" s="137" t="str"/>
      <x:c r="D69" s="137" t="str"/>
      <x:c r="E69" s="138" t="str"/>
      <x:c r="F69" s="138" t="str"/>
      <x:c r="G69" s="137" t="str"/>
      <x:c r="H69" s="137" t="str"/>
      <x:c r="I69" s="137" t="str"/>
      <x:c r="J69" s="137" t="str"/>
      <x:c r="K69" s="137" t="str"/>
      <x:c r="L69" s="137" t="str"/>
      <x:c r="M69" s="137" t="str"/>
      <x:c r="N69" s="137" t="str"/>
      <x:c r="O69" s="137" t="str"/>
      <x:c r="P69" s="137" t="str"/>
      <x:c r="Q69" s="137" t="str"/>
      <x:c r="R69" s="137" t="str"/>
      <x:c r="S69" s="151" t="str"/>
      <x:c r="T69" s="151" t="str"/>
      <x:c r="U69" s="151" t="str"/>
      <x:c r="V69" s="151" t="str"/>
      <x:c r="W69" s="151" t="str"/>
      <x:c r="X69" s="151" t="str"/>
      <x:c r="Y69" s="151" t="str"/>
      <x:c r="Z69" s="151" t="str"/>
      <x:c r="AA69" s="151" t="str"/>
      <x:c r="AB69" s="151" t="str"/>
      <x:c r="AC69" s="151" t="str"/>
      <x:c r="AD69" s="151" t="str"/>
      <x:c r="AE69" s="151" t="str"/>
      <x:c r="AF69" s="151" t="str"/>
      <x:c r="AG69" s="151" t="str"/>
      <x:c r="AH69" s="151" t="str"/>
      <x:c r="AI69" s="151" t="str"/>
      <x:c r="AJ69" s="151" t="str"/>
      <x:c r="AK69" s="151" t="str"/>
      <x:c r="AL69" s="151" t="str"/>
      <x:c r="AM69" s="151" t="str"/>
      <x:c r="AN69" s="152" t="n">
        <x:f>IF(COUNTA(S69:AM69)=0,"",SUM(S69:AM69))</x:f>
        <x:v>0</x:v>
      </x:c>
      <x:c r="AO69" s="151" t="str"/>
      <x:c r="AP69" s="151" t="str"/>
      <x:c r="AQ69" s="151" t="str"/>
      <x:c r="AR69" s="151" t="str"/>
      <x:c r="AS69" s="196" t="str">
        <x:f>IF(AN69="","",IF(AO69="Cartons",IF(AP69*AQ69=AN69,"OK","CHECK CARTONS / SIZES"),IF(AR69=AN69,"OK","CHECK TOTAL / SIZES")))</x:f>
      </x:c>
      <x:c r="AT69" s="137" t="str"/>
      <x:c r="AU69" s="137" t="str"/>
      <x:c r="AV69" s="137" t="str"/>
      <x:c r="AW69" s="137" t="str"/>
    </x:row>
    <x:row r="70">
      <x:c r="A70" s="137" t="str"/>
      <x:c r="B70" s="137" t="str"/>
      <x:c r="C70" s="137" t="str"/>
      <x:c r="D70" s="137" t="str"/>
      <x:c r="E70" s="138" t="str"/>
      <x:c r="F70" s="138" t="str"/>
      <x:c r="G70" s="137" t="str"/>
      <x:c r="H70" s="137" t="str"/>
      <x:c r="I70" s="137" t="str"/>
      <x:c r="J70" s="137" t="str"/>
      <x:c r="K70" s="137" t="str"/>
      <x:c r="L70" s="137" t="str"/>
      <x:c r="M70" s="137" t="str"/>
      <x:c r="N70" s="137" t="str"/>
      <x:c r="O70" s="137" t="str"/>
      <x:c r="P70" s="137" t="str"/>
      <x:c r="Q70" s="137" t="str"/>
      <x:c r="R70" s="137" t="str"/>
      <x:c r="S70" s="151" t="str"/>
      <x:c r="T70" s="151" t="str"/>
      <x:c r="U70" s="151" t="str"/>
      <x:c r="V70" s="151" t="str"/>
      <x:c r="W70" s="151" t="str"/>
      <x:c r="X70" s="151" t="str"/>
      <x:c r="Y70" s="151" t="str"/>
      <x:c r="Z70" s="151" t="str"/>
      <x:c r="AA70" s="151" t="str"/>
      <x:c r="AB70" s="151" t="str"/>
      <x:c r="AC70" s="151" t="str"/>
      <x:c r="AD70" s="151" t="str"/>
      <x:c r="AE70" s="151" t="str"/>
      <x:c r="AF70" s="151" t="str"/>
      <x:c r="AG70" s="151" t="str"/>
      <x:c r="AH70" s="151" t="str"/>
      <x:c r="AI70" s="151" t="str"/>
      <x:c r="AJ70" s="151" t="str"/>
      <x:c r="AK70" s="151" t="str"/>
      <x:c r="AL70" s="151" t="str"/>
      <x:c r="AM70" s="151" t="str"/>
      <x:c r="AN70" s="152" t="n">
        <x:f>IF(COUNTA(S70:AM70)=0,"",SUM(S70:AM70))</x:f>
        <x:v>0</x:v>
      </x:c>
      <x:c r="AO70" s="151" t="str"/>
      <x:c r="AP70" s="151" t="str"/>
      <x:c r="AQ70" s="151" t="str"/>
      <x:c r="AR70" s="151" t="str"/>
      <x:c r="AS70" s="196" t="str">
        <x:f>IF(AN70="","",IF(AO70="Cartons",IF(AP70*AQ70=AN70,"OK","CHECK CARTONS / SIZES"),IF(AR70=AN70,"OK","CHECK TOTAL / SIZES")))</x:f>
      </x:c>
      <x:c r="AT70" s="137" t="str"/>
      <x:c r="AU70" s="137" t="str"/>
      <x:c r="AV70" s="137" t="str"/>
      <x:c r="AW70" s="137" t="str"/>
    </x:row>
    <x:row r="71">
      <x:c r="A71" s="137" t="str"/>
      <x:c r="B71" s="137" t="str"/>
      <x:c r="C71" s="137" t="str"/>
      <x:c r="D71" s="137" t="str"/>
      <x:c r="E71" s="138" t="str"/>
      <x:c r="F71" s="138" t="str"/>
      <x:c r="G71" s="137" t="str"/>
      <x:c r="H71" s="137" t="str"/>
      <x:c r="I71" s="137" t="str"/>
      <x:c r="J71" s="137" t="str"/>
      <x:c r="K71" s="137" t="str"/>
      <x:c r="L71" s="137" t="str"/>
      <x:c r="M71" s="137" t="str"/>
      <x:c r="N71" s="137" t="str"/>
      <x:c r="O71" s="137" t="str"/>
      <x:c r="P71" s="137" t="str"/>
      <x:c r="Q71" s="137" t="str"/>
      <x:c r="R71" s="137" t="str"/>
      <x:c r="S71" s="151" t="str"/>
      <x:c r="T71" s="151" t="str"/>
      <x:c r="U71" s="151" t="str"/>
      <x:c r="V71" s="151" t="str"/>
      <x:c r="W71" s="151" t="str"/>
      <x:c r="X71" s="151" t="str"/>
      <x:c r="Y71" s="151" t="str"/>
      <x:c r="Z71" s="151" t="str"/>
      <x:c r="AA71" s="151" t="str"/>
      <x:c r="AB71" s="151" t="str"/>
      <x:c r="AC71" s="151" t="str"/>
      <x:c r="AD71" s="151" t="str"/>
      <x:c r="AE71" s="151" t="str"/>
      <x:c r="AF71" s="151" t="str"/>
      <x:c r="AG71" s="151" t="str"/>
      <x:c r="AH71" s="151" t="str"/>
      <x:c r="AI71" s="151" t="str"/>
      <x:c r="AJ71" s="151" t="str"/>
      <x:c r="AK71" s="151" t="str"/>
      <x:c r="AL71" s="151" t="str"/>
      <x:c r="AM71" s="151" t="str"/>
      <x:c r="AN71" s="152" t="n">
        <x:f>IF(COUNTA(S71:AM71)=0,"",SUM(S71:AM71))</x:f>
        <x:v>0</x:v>
      </x:c>
      <x:c r="AO71" s="151" t="str"/>
      <x:c r="AP71" s="151" t="str"/>
      <x:c r="AQ71" s="151" t="str"/>
      <x:c r="AR71" s="151" t="str"/>
      <x:c r="AS71" s="196" t="str">
        <x:f>IF(AN71="","",IF(AO71="Cartons",IF(AP71*AQ71=AN71,"OK","CHECK CARTONS / SIZES"),IF(AR71=AN71,"OK","CHECK TOTAL / SIZES")))</x:f>
      </x:c>
      <x:c r="AT71" s="137" t="str"/>
      <x:c r="AU71" s="137" t="str"/>
      <x:c r="AV71" s="137" t="str"/>
      <x:c r="AW71" s="137" t="str"/>
    </x:row>
    <x:row r="72">
      <x:c r="A72" s="137" t="str"/>
      <x:c r="B72" s="137" t="str"/>
      <x:c r="C72" s="137" t="str"/>
      <x:c r="D72" s="137" t="str"/>
      <x:c r="E72" s="138" t="str"/>
      <x:c r="F72" s="138" t="str"/>
      <x:c r="G72" s="137" t="str"/>
      <x:c r="H72" s="137" t="str"/>
      <x:c r="I72" s="137" t="str"/>
      <x:c r="J72" s="137" t="str"/>
      <x:c r="K72" s="137" t="str"/>
      <x:c r="L72" s="137" t="str"/>
      <x:c r="M72" s="137" t="str"/>
      <x:c r="N72" s="137" t="str"/>
      <x:c r="O72" s="137" t="str"/>
      <x:c r="P72" s="137" t="str"/>
      <x:c r="Q72" s="137" t="str"/>
      <x:c r="R72" s="137" t="str"/>
      <x:c r="S72" s="151" t="str"/>
      <x:c r="T72" s="151" t="str"/>
      <x:c r="U72" s="151" t="str"/>
      <x:c r="V72" s="151" t="str"/>
      <x:c r="W72" s="151" t="str"/>
      <x:c r="X72" s="151" t="str"/>
      <x:c r="Y72" s="151" t="str"/>
      <x:c r="Z72" s="151" t="str"/>
      <x:c r="AA72" s="151" t="str"/>
      <x:c r="AB72" s="151" t="str"/>
      <x:c r="AC72" s="151" t="str"/>
      <x:c r="AD72" s="151" t="str"/>
      <x:c r="AE72" s="151" t="str"/>
      <x:c r="AF72" s="151" t="str"/>
      <x:c r="AG72" s="151" t="str"/>
      <x:c r="AH72" s="151" t="str"/>
      <x:c r="AI72" s="151" t="str"/>
      <x:c r="AJ72" s="151" t="str"/>
      <x:c r="AK72" s="151" t="str"/>
      <x:c r="AL72" s="151" t="str"/>
      <x:c r="AM72" s="151" t="str"/>
      <x:c r="AN72" s="152" t="n">
        <x:f>IF(COUNTA(S72:AM72)=0,"",SUM(S72:AM72))</x:f>
        <x:v>0</x:v>
      </x:c>
      <x:c r="AO72" s="151" t="str"/>
      <x:c r="AP72" s="151" t="str"/>
      <x:c r="AQ72" s="151" t="str"/>
      <x:c r="AR72" s="151" t="str"/>
      <x:c r="AS72" s="196" t="str">
        <x:f>IF(AN72="","",IF(AO72="Cartons",IF(AP72*AQ72=AN72,"OK","CHECK CARTONS / SIZES"),IF(AR72=AN72,"OK","CHECK TOTAL / SIZES")))</x:f>
      </x:c>
      <x:c r="AT72" s="137" t="str"/>
      <x:c r="AU72" s="137" t="str"/>
      <x:c r="AV72" s="137" t="str"/>
      <x:c r="AW72" s="137" t="str"/>
    </x:row>
    <x:row r="73">
      <x:c r="A73" s="137" t="str"/>
      <x:c r="B73" s="137" t="str"/>
      <x:c r="C73" s="137" t="str"/>
      <x:c r="D73" s="137" t="str"/>
      <x:c r="E73" s="138" t="str"/>
      <x:c r="F73" s="138" t="str"/>
      <x:c r="G73" s="137" t="str"/>
      <x:c r="H73" s="137" t="str"/>
      <x:c r="I73" s="137" t="str"/>
      <x:c r="J73" s="137" t="str"/>
      <x:c r="K73" s="137" t="str"/>
      <x:c r="L73" s="137" t="str"/>
      <x:c r="M73" s="137" t="str"/>
      <x:c r="N73" s="137" t="str"/>
      <x:c r="O73" s="137" t="str"/>
      <x:c r="P73" s="137" t="str"/>
      <x:c r="Q73" s="137" t="str"/>
      <x:c r="R73" s="137" t="str"/>
      <x:c r="S73" s="151" t="str"/>
      <x:c r="T73" s="151" t="str"/>
      <x:c r="U73" s="151" t="str"/>
      <x:c r="V73" s="151" t="str"/>
      <x:c r="W73" s="151" t="str"/>
      <x:c r="X73" s="151" t="str"/>
      <x:c r="Y73" s="151" t="str"/>
      <x:c r="Z73" s="151" t="str"/>
      <x:c r="AA73" s="151" t="str"/>
      <x:c r="AB73" s="151" t="str"/>
      <x:c r="AC73" s="151" t="str"/>
      <x:c r="AD73" s="151" t="str"/>
      <x:c r="AE73" s="151" t="str"/>
      <x:c r="AF73" s="151" t="str"/>
      <x:c r="AG73" s="151" t="str"/>
      <x:c r="AH73" s="151" t="str"/>
      <x:c r="AI73" s="151" t="str"/>
      <x:c r="AJ73" s="151" t="str"/>
      <x:c r="AK73" s="151" t="str"/>
      <x:c r="AL73" s="151" t="str"/>
      <x:c r="AM73" s="151" t="str"/>
      <x:c r="AN73" s="152" t="n">
        <x:f>IF(COUNTA(S73:AM73)=0,"",SUM(S73:AM73))</x:f>
        <x:v>0</x:v>
      </x:c>
      <x:c r="AO73" s="151" t="str"/>
      <x:c r="AP73" s="151" t="str"/>
      <x:c r="AQ73" s="151" t="str"/>
      <x:c r="AR73" s="151" t="str"/>
      <x:c r="AS73" s="196" t="str">
        <x:f>IF(AN73="","",IF(AO73="Cartons",IF(AP73*AQ73=AN73,"OK","CHECK CARTONS / SIZES"),IF(AR73=AN73,"OK","CHECK TOTAL / SIZES")))</x:f>
      </x:c>
      <x:c r="AT73" s="137" t="str"/>
      <x:c r="AU73" s="137" t="str"/>
      <x:c r="AV73" s="137" t="str"/>
      <x:c r="AW73" s="137" t="str"/>
    </x:row>
    <x:row r="74">
      <x:c r="A74" s="137" t="str"/>
      <x:c r="B74" s="137" t="str"/>
      <x:c r="C74" s="137" t="str"/>
      <x:c r="D74" s="137" t="str"/>
      <x:c r="E74" s="138" t="str"/>
      <x:c r="F74" s="138" t="str"/>
      <x:c r="G74" s="137" t="str"/>
      <x:c r="H74" s="137" t="str"/>
      <x:c r="I74" s="137" t="str"/>
      <x:c r="J74" s="137" t="str"/>
      <x:c r="K74" s="137" t="str"/>
      <x:c r="L74" s="137" t="str"/>
      <x:c r="M74" s="137" t="str"/>
      <x:c r="N74" s="137" t="str"/>
      <x:c r="O74" s="137" t="str"/>
      <x:c r="P74" s="137" t="str"/>
      <x:c r="Q74" s="137" t="str"/>
      <x:c r="R74" s="137" t="str"/>
      <x:c r="S74" s="151" t="str"/>
      <x:c r="T74" s="151" t="str"/>
      <x:c r="U74" s="151" t="str"/>
      <x:c r="V74" s="151" t="str"/>
      <x:c r="W74" s="151" t="str"/>
      <x:c r="X74" s="151" t="str"/>
      <x:c r="Y74" s="151" t="str"/>
      <x:c r="Z74" s="151" t="str"/>
      <x:c r="AA74" s="151" t="str"/>
      <x:c r="AB74" s="151" t="str"/>
      <x:c r="AC74" s="151" t="str"/>
      <x:c r="AD74" s="151" t="str"/>
      <x:c r="AE74" s="151" t="str"/>
      <x:c r="AF74" s="151" t="str"/>
      <x:c r="AG74" s="151" t="str"/>
      <x:c r="AH74" s="151" t="str"/>
      <x:c r="AI74" s="151" t="str"/>
      <x:c r="AJ74" s="151" t="str"/>
      <x:c r="AK74" s="151" t="str"/>
      <x:c r="AL74" s="151" t="str"/>
      <x:c r="AM74" s="151" t="str"/>
      <x:c r="AN74" s="152" t="n">
        <x:f>IF(COUNTA(S74:AM74)=0,"",SUM(S74:AM74))</x:f>
        <x:v>0</x:v>
      </x:c>
      <x:c r="AO74" s="151" t="str"/>
      <x:c r="AP74" s="151" t="str"/>
      <x:c r="AQ74" s="151" t="str"/>
      <x:c r="AR74" s="151" t="str"/>
      <x:c r="AS74" s="196" t="str">
        <x:f>IF(AN74="","",IF(AO74="Cartons",IF(AP74*AQ74=AN74,"OK","CHECK CARTONS / SIZES"),IF(AR74=AN74,"OK","CHECK TOTAL / SIZES")))</x:f>
      </x:c>
      <x:c r="AT74" s="137" t="str"/>
      <x:c r="AU74" s="137" t="str"/>
      <x:c r="AV74" s="137" t="str"/>
      <x:c r="AW74" s="137" t="str"/>
    </x:row>
    <x:row r="75">
      <x:c r="A75" s="137" t="str"/>
      <x:c r="B75" s="137" t="str"/>
      <x:c r="C75" s="137" t="str"/>
      <x:c r="D75" s="137" t="str"/>
      <x:c r="E75" s="138" t="str"/>
      <x:c r="F75" s="138" t="str"/>
      <x:c r="G75" s="137" t="str"/>
      <x:c r="H75" s="137" t="str"/>
      <x:c r="I75" s="137" t="str"/>
      <x:c r="J75" s="137" t="str"/>
      <x:c r="K75" s="137" t="str"/>
      <x:c r="L75" s="137" t="str"/>
      <x:c r="M75" s="137" t="str"/>
      <x:c r="N75" s="137" t="str"/>
      <x:c r="O75" s="137" t="str"/>
      <x:c r="P75" s="137" t="str"/>
      <x:c r="Q75" s="137" t="str"/>
      <x:c r="R75" s="137" t="str"/>
      <x:c r="S75" s="151" t="str"/>
      <x:c r="T75" s="151" t="str"/>
      <x:c r="U75" s="151" t="str"/>
      <x:c r="V75" s="151" t="str"/>
      <x:c r="W75" s="151" t="str"/>
      <x:c r="X75" s="151" t="str"/>
      <x:c r="Y75" s="151" t="str"/>
      <x:c r="Z75" s="151" t="str"/>
      <x:c r="AA75" s="151" t="str"/>
      <x:c r="AB75" s="151" t="str"/>
      <x:c r="AC75" s="151" t="str"/>
      <x:c r="AD75" s="151" t="str"/>
      <x:c r="AE75" s="151" t="str"/>
      <x:c r="AF75" s="151" t="str"/>
      <x:c r="AG75" s="151" t="str"/>
      <x:c r="AH75" s="151" t="str"/>
      <x:c r="AI75" s="151" t="str"/>
      <x:c r="AJ75" s="151" t="str"/>
      <x:c r="AK75" s="151" t="str"/>
      <x:c r="AL75" s="151" t="str"/>
      <x:c r="AM75" s="151" t="str"/>
      <x:c r="AN75" s="152" t="n">
        <x:f>IF(COUNTA(S75:AM75)=0,"",SUM(S75:AM75))</x:f>
        <x:v>0</x:v>
      </x:c>
      <x:c r="AO75" s="151" t="str"/>
      <x:c r="AP75" s="151" t="str"/>
      <x:c r="AQ75" s="151" t="str"/>
      <x:c r="AR75" s="151" t="str"/>
      <x:c r="AS75" s="196" t="str">
        <x:f>IF(AN75="","",IF(AO75="Cartons",IF(AP75*AQ75=AN75,"OK","CHECK CARTONS / SIZES"),IF(AR75=AN75,"OK","CHECK TOTAL / SIZES")))</x:f>
      </x:c>
      <x:c r="AT75" s="137" t="str"/>
      <x:c r="AU75" s="137" t="str"/>
      <x:c r="AV75" s="137" t="str"/>
      <x:c r="AW75" s="137" t="str"/>
    </x:row>
    <x:row r="76">
      <x:c r="A76" s="137" t="str"/>
      <x:c r="B76" s="137" t="str"/>
      <x:c r="C76" s="137" t="str"/>
      <x:c r="D76" s="137" t="str"/>
      <x:c r="E76" s="138" t="str"/>
      <x:c r="F76" s="138" t="str"/>
      <x:c r="G76" s="137" t="str"/>
      <x:c r="H76" s="137" t="str"/>
      <x:c r="I76" s="137" t="str"/>
      <x:c r="J76" s="137" t="str"/>
      <x:c r="K76" s="137" t="str"/>
      <x:c r="L76" s="137" t="str"/>
      <x:c r="M76" s="137" t="str"/>
      <x:c r="N76" s="137" t="str"/>
      <x:c r="O76" s="137" t="str"/>
      <x:c r="P76" s="137" t="str"/>
      <x:c r="Q76" s="137" t="str"/>
      <x:c r="R76" s="137" t="str"/>
      <x:c r="S76" s="151" t="str"/>
      <x:c r="T76" s="151" t="str"/>
      <x:c r="U76" s="151" t="str"/>
      <x:c r="V76" s="151" t="str"/>
      <x:c r="W76" s="151" t="str"/>
      <x:c r="X76" s="151" t="str"/>
      <x:c r="Y76" s="151" t="str"/>
      <x:c r="Z76" s="151" t="str"/>
      <x:c r="AA76" s="151" t="str"/>
      <x:c r="AB76" s="151" t="str"/>
      <x:c r="AC76" s="151" t="str"/>
      <x:c r="AD76" s="151" t="str"/>
      <x:c r="AE76" s="151" t="str"/>
      <x:c r="AF76" s="151" t="str"/>
      <x:c r="AG76" s="151" t="str"/>
      <x:c r="AH76" s="151" t="str"/>
      <x:c r="AI76" s="151" t="str"/>
      <x:c r="AJ76" s="151" t="str"/>
      <x:c r="AK76" s="151" t="str"/>
      <x:c r="AL76" s="151" t="str"/>
      <x:c r="AM76" s="151" t="str"/>
      <x:c r="AN76" s="152" t="n">
        <x:f>IF(COUNTA(S76:AM76)=0,"",SUM(S76:AM76))</x:f>
        <x:v>0</x:v>
      </x:c>
      <x:c r="AO76" s="151" t="str"/>
      <x:c r="AP76" s="151" t="str"/>
      <x:c r="AQ76" s="151" t="str"/>
      <x:c r="AR76" s="151" t="str"/>
      <x:c r="AS76" s="196" t="str">
        <x:f>IF(AN76="","",IF(AO76="Cartons",IF(AP76*AQ76=AN76,"OK","CHECK CARTONS / SIZES"),IF(AR76=AN76,"OK","CHECK TOTAL / SIZES")))</x:f>
      </x:c>
      <x:c r="AT76" s="137" t="str"/>
      <x:c r="AU76" s="137" t="str"/>
      <x:c r="AV76" s="137" t="str"/>
      <x:c r="AW76" s="137" t="str"/>
    </x:row>
    <x:row r="77">
      <x:c r="A77" s="137" t="str"/>
      <x:c r="B77" s="137" t="str"/>
      <x:c r="C77" s="137" t="str"/>
      <x:c r="D77" s="137" t="str"/>
      <x:c r="E77" s="138" t="str"/>
      <x:c r="F77" s="138" t="str"/>
      <x:c r="G77" s="137" t="str"/>
      <x:c r="H77" s="137" t="str"/>
      <x:c r="I77" s="137" t="str"/>
      <x:c r="J77" s="137" t="str"/>
      <x:c r="K77" s="137" t="str"/>
      <x:c r="L77" s="137" t="str"/>
      <x:c r="M77" s="137" t="str"/>
      <x:c r="N77" s="137" t="str"/>
      <x:c r="O77" s="137" t="str"/>
      <x:c r="P77" s="137" t="str"/>
      <x:c r="Q77" s="137" t="str"/>
      <x:c r="R77" s="137" t="str"/>
      <x:c r="S77" s="151" t="str"/>
      <x:c r="T77" s="151" t="str"/>
      <x:c r="U77" s="151" t="str"/>
      <x:c r="V77" s="151" t="str"/>
      <x:c r="W77" s="151" t="str"/>
      <x:c r="X77" s="151" t="str"/>
      <x:c r="Y77" s="151" t="str"/>
      <x:c r="Z77" s="151" t="str"/>
      <x:c r="AA77" s="151" t="str"/>
      <x:c r="AB77" s="151" t="str"/>
      <x:c r="AC77" s="151" t="str"/>
      <x:c r="AD77" s="151" t="str"/>
      <x:c r="AE77" s="151" t="str"/>
      <x:c r="AF77" s="151" t="str"/>
      <x:c r="AG77" s="151" t="str"/>
      <x:c r="AH77" s="151" t="str"/>
      <x:c r="AI77" s="151" t="str"/>
      <x:c r="AJ77" s="151" t="str"/>
      <x:c r="AK77" s="151" t="str"/>
      <x:c r="AL77" s="151" t="str"/>
      <x:c r="AM77" s="151" t="str"/>
      <x:c r="AN77" s="152" t="n">
        <x:f>IF(COUNTA(S77:AM77)=0,"",SUM(S77:AM77))</x:f>
        <x:v>0</x:v>
      </x:c>
      <x:c r="AO77" s="151" t="str"/>
      <x:c r="AP77" s="151" t="str"/>
      <x:c r="AQ77" s="151" t="str"/>
      <x:c r="AR77" s="151" t="str"/>
      <x:c r="AS77" s="196" t="str">
        <x:f>IF(AN77="","",IF(AO77="Cartons",IF(AP77*AQ77=AN77,"OK","CHECK CARTONS / SIZES"),IF(AR77=AN77,"OK","CHECK TOTAL / SIZES")))</x:f>
      </x:c>
      <x:c r="AT77" s="137" t="str"/>
      <x:c r="AU77" s="137" t="str"/>
      <x:c r="AV77" s="137" t="str"/>
      <x:c r="AW77" s="137" t="str"/>
    </x:row>
    <x:row r="78">
      <x:c r="A78" s="137" t="str"/>
      <x:c r="B78" s="137" t="str"/>
      <x:c r="C78" s="137" t="str"/>
      <x:c r="D78" s="137" t="str"/>
      <x:c r="E78" s="138" t="str"/>
      <x:c r="F78" s="138" t="str"/>
      <x:c r="G78" s="137" t="str"/>
      <x:c r="H78" s="137" t="str"/>
      <x:c r="I78" s="137" t="str"/>
      <x:c r="J78" s="137" t="str"/>
      <x:c r="K78" s="137" t="str"/>
      <x:c r="L78" s="137" t="str"/>
      <x:c r="M78" s="137" t="str"/>
      <x:c r="N78" s="137" t="str"/>
      <x:c r="O78" s="137" t="str"/>
      <x:c r="P78" s="137" t="str"/>
      <x:c r="Q78" s="137" t="str"/>
      <x:c r="R78" s="137" t="str"/>
      <x:c r="S78" s="151" t="str"/>
      <x:c r="T78" s="151" t="str"/>
      <x:c r="U78" s="151" t="str"/>
      <x:c r="V78" s="151" t="str"/>
      <x:c r="W78" s="151" t="str"/>
      <x:c r="X78" s="151" t="str"/>
      <x:c r="Y78" s="151" t="str"/>
      <x:c r="Z78" s="151" t="str"/>
      <x:c r="AA78" s="151" t="str"/>
      <x:c r="AB78" s="151" t="str"/>
      <x:c r="AC78" s="151" t="str"/>
      <x:c r="AD78" s="151" t="str"/>
      <x:c r="AE78" s="151" t="str"/>
      <x:c r="AF78" s="151" t="str"/>
      <x:c r="AG78" s="151" t="str"/>
      <x:c r="AH78" s="151" t="str"/>
      <x:c r="AI78" s="151" t="str"/>
      <x:c r="AJ78" s="151" t="str"/>
      <x:c r="AK78" s="151" t="str"/>
      <x:c r="AL78" s="151" t="str"/>
      <x:c r="AM78" s="151" t="str"/>
      <x:c r="AN78" s="152" t="n">
        <x:f>IF(COUNTA(S78:AM78)=0,"",SUM(S78:AM78))</x:f>
        <x:v>0</x:v>
      </x:c>
      <x:c r="AO78" s="151" t="str"/>
      <x:c r="AP78" s="151" t="str"/>
      <x:c r="AQ78" s="151" t="str"/>
      <x:c r="AR78" s="151" t="str"/>
      <x:c r="AS78" s="196" t="str">
        <x:f>IF(AN78="","",IF(AO78="Cartons",IF(AP78*AQ78=AN78,"OK","CHECK CARTONS / SIZES"),IF(AR78=AN78,"OK","CHECK TOTAL / SIZES")))</x:f>
      </x:c>
      <x:c r="AT78" s="137" t="str"/>
      <x:c r="AU78" s="137" t="str"/>
      <x:c r="AV78" s="137" t="str"/>
      <x:c r="AW78" s="137" t="str"/>
    </x:row>
    <x:row r="79">
      <x:c r="A79" s="137" t="str"/>
      <x:c r="B79" s="137" t="str"/>
      <x:c r="C79" s="137" t="str"/>
      <x:c r="D79" s="137" t="str"/>
      <x:c r="E79" s="138" t="str"/>
      <x:c r="F79" s="138" t="str"/>
      <x:c r="G79" s="137" t="str"/>
      <x:c r="H79" s="137" t="str"/>
      <x:c r="I79" s="137" t="str"/>
      <x:c r="J79" s="137" t="str"/>
      <x:c r="K79" s="137" t="str"/>
      <x:c r="L79" s="137" t="str"/>
      <x:c r="M79" s="137" t="str"/>
      <x:c r="N79" s="137" t="str"/>
      <x:c r="O79" s="137" t="str"/>
      <x:c r="P79" s="137" t="str"/>
      <x:c r="Q79" s="137" t="str"/>
      <x:c r="R79" s="137" t="str"/>
      <x:c r="S79" s="151" t="str"/>
      <x:c r="T79" s="151" t="str"/>
      <x:c r="U79" s="151" t="str"/>
      <x:c r="V79" s="151" t="str"/>
      <x:c r="W79" s="151" t="str"/>
      <x:c r="X79" s="151" t="str"/>
      <x:c r="Y79" s="151" t="str"/>
      <x:c r="Z79" s="151" t="str"/>
      <x:c r="AA79" s="151" t="str"/>
      <x:c r="AB79" s="151" t="str"/>
      <x:c r="AC79" s="151" t="str"/>
      <x:c r="AD79" s="151" t="str"/>
      <x:c r="AE79" s="151" t="str"/>
      <x:c r="AF79" s="151" t="str"/>
      <x:c r="AG79" s="151" t="str"/>
      <x:c r="AH79" s="151" t="str"/>
      <x:c r="AI79" s="151" t="str"/>
      <x:c r="AJ79" s="151" t="str"/>
      <x:c r="AK79" s="151" t="str"/>
      <x:c r="AL79" s="151" t="str"/>
      <x:c r="AM79" s="151" t="str"/>
      <x:c r="AN79" s="152" t="n">
        <x:f>IF(COUNTA(S79:AM79)=0,"",SUM(S79:AM79))</x:f>
        <x:v>0</x:v>
      </x:c>
      <x:c r="AO79" s="151" t="str"/>
      <x:c r="AP79" s="151" t="str"/>
      <x:c r="AQ79" s="151" t="str"/>
      <x:c r="AR79" s="151" t="str"/>
      <x:c r="AS79" s="196" t="str">
        <x:f>IF(AN79="","",IF(AO79="Cartons",IF(AP79*AQ79=AN79,"OK","CHECK CARTONS / SIZES"),IF(AR79=AN79,"OK","CHECK TOTAL / SIZES")))</x:f>
      </x:c>
      <x:c r="AT79" s="137" t="str"/>
      <x:c r="AU79" s="137" t="str"/>
      <x:c r="AV79" s="137" t="str"/>
      <x:c r="AW79" s="137" t="str"/>
    </x:row>
    <x:row r="80">
      <x:c r="A80" s="137" t="str"/>
      <x:c r="B80" s="137" t="str"/>
      <x:c r="C80" s="137" t="str"/>
      <x:c r="D80" s="137" t="str"/>
      <x:c r="E80" s="138" t="str"/>
      <x:c r="F80" s="138" t="str"/>
      <x:c r="G80" s="137" t="str"/>
      <x:c r="H80" s="137" t="str"/>
      <x:c r="I80" s="137" t="str"/>
      <x:c r="J80" s="137" t="str"/>
      <x:c r="K80" s="137" t="str"/>
      <x:c r="L80" s="137" t="str"/>
      <x:c r="M80" s="137" t="str"/>
      <x:c r="N80" s="137" t="str"/>
      <x:c r="O80" s="137" t="str"/>
      <x:c r="P80" s="137" t="str"/>
      <x:c r="Q80" s="137" t="str"/>
      <x:c r="R80" s="137" t="str"/>
      <x:c r="S80" s="151" t="str"/>
      <x:c r="T80" s="151" t="str"/>
      <x:c r="U80" s="151" t="str"/>
      <x:c r="V80" s="151" t="str"/>
      <x:c r="W80" s="151" t="str"/>
      <x:c r="X80" s="151" t="str"/>
      <x:c r="Y80" s="151" t="str"/>
      <x:c r="Z80" s="151" t="str"/>
      <x:c r="AA80" s="151" t="str"/>
      <x:c r="AB80" s="151" t="str"/>
      <x:c r="AC80" s="151" t="str"/>
      <x:c r="AD80" s="151" t="str"/>
      <x:c r="AE80" s="151" t="str"/>
      <x:c r="AF80" s="151" t="str"/>
      <x:c r="AG80" s="151" t="str"/>
      <x:c r="AH80" s="151" t="str"/>
      <x:c r="AI80" s="151" t="str"/>
      <x:c r="AJ80" s="151" t="str"/>
      <x:c r="AK80" s="151" t="str"/>
      <x:c r="AL80" s="151" t="str"/>
      <x:c r="AM80" s="151" t="str"/>
      <x:c r="AN80" s="152" t="n">
        <x:f>IF(COUNTA(S80:AM80)=0,"",SUM(S80:AM80))</x:f>
        <x:v>0</x:v>
      </x:c>
      <x:c r="AO80" s="151" t="str"/>
      <x:c r="AP80" s="151" t="str"/>
      <x:c r="AQ80" s="151" t="str"/>
      <x:c r="AR80" s="151" t="str"/>
      <x:c r="AS80" s="196" t="str">
        <x:f>IF(AN80="","",IF(AO80="Cartons",IF(AP80*AQ80=AN80,"OK","CHECK CARTONS / SIZES"),IF(AR80=AN80,"OK","CHECK TOTAL / SIZES")))</x:f>
      </x:c>
      <x:c r="AT80" s="137" t="str"/>
      <x:c r="AU80" s="137" t="str"/>
      <x:c r="AV80" s="137" t="str"/>
      <x:c r="AW80" s="137" t="str"/>
    </x:row>
    <x:row r="81">
      <x:c r="A81" s="137" t="str"/>
      <x:c r="B81" s="137" t="str"/>
      <x:c r="C81" s="137" t="str"/>
      <x:c r="D81" s="137" t="str"/>
      <x:c r="E81" s="138" t="str"/>
      <x:c r="F81" s="138" t="str"/>
      <x:c r="G81" s="137" t="str"/>
      <x:c r="H81" s="137" t="str"/>
      <x:c r="I81" s="137" t="str"/>
      <x:c r="J81" s="137" t="str"/>
      <x:c r="K81" s="137" t="str"/>
      <x:c r="L81" s="137" t="str"/>
      <x:c r="M81" s="137" t="str"/>
      <x:c r="N81" s="137" t="str"/>
      <x:c r="O81" s="137" t="str"/>
      <x:c r="P81" s="137" t="str"/>
      <x:c r="Q81" s="137" t="str"/>
      <x:c r="R81" s="137" t="str"/>
      <x:c r="S81" s="151" t="str"/>
      <x:c r="T81" s="151" t="str"/>
      <x:c r="U81" s="151" t="str"/>
      <x:c r="V81" s="151" t="str"/>
      <x:c r="W81" s="151" t="str"/>
      <x:c r="X81" s="151" t="str"/>
      <x:c r="Y81" s="151" t="str"/>
      <x:c r="Z81" s="151" t="str"/>
      <x:c r="AA81" s="151" t="str"/>
      <x:c r="AB81" s="151" t="str"/>
      <x:c r="AC81" s="151" t="str"/>
      <x:c r="AD81" s="151" t="str"/>
      <x:c r="AE81" s="151" t="str"/>
      <x:c r="AF81" s="151" t="str"/>
      <x:c r="AG81" s="151" t="str"/>
      <x:c r="AH81" s="151" t="str"/>
      <x:c r="AI81" s="151" t="str"/>
      <x:c r="AJ81" s="151" t="str"/>
      <x:c r="AK81" s="151" t="str"/>
      <x:c r="AL81" s="151" t="str"/>
      <x:c r="AM81" s="151" t="str"/>
      <x:c r="AN81" s="152" t="n">
        <x:f>IF(COUNTA(S81:AM81)=0,"",SUM(S81:AM81))</x:f>
        <x:v>0</x:v>
      </x:c>
      <x:c r="AO81" s="151" t="str"/>
      <x:c r="AP81" s="151" t="str"/>
      <x:c r="AQ81" s="151" t="str"/>
      <x:c r="AR81" s="151" t="str"/>
      <x:c r="AS81" s="196" t="str">
        <x:f>IF(AN81="","",IF(AO81="Cartons",IF(AP81*AQ81=AN81,"OK","CHECK CARTONS / SIZES"),IF(AR81=AN81,"OK","CHECK TOTAL / SIZES")))</x:f>
      </x:c>
      <x:c r="AT81" s="137" t="str"/>
      <x:c r="AU81" s="137" t="str"/>
      <x:c r="AV81" s="137" t="str"/>
      <x:c r="AW81" s="137" t="str"/>
    </x:row>
    <x:row r="82">
      <x:c r="A82" s="137" t="str"/>
      <x:c r="B82" s="137" t="str"/>
      <x:c r="C82" s="137" t="str"/>
      <x:c r="D82" s="137" t="str"/>
      <x:c r="E82" s="138" t="str"/>
      <x:c r="F82" s="138" t="str"/>
      <x:c r="G82" s="137" t="str"/>
      <x:c r="H82" s="137" t="str"/>
      <x:c r="I82" s="137" t="str"/>
      <x:c r="J82" s="137" t="str"/>
      <x:c r="K82" s="137" t="str"/>
      <x:c r="L82" s="137" t="str"/>
      <x:c r="M82" s="137" t="str"/>
      <x:c r="N82" s="137" t="str"/>
      <x:c r="O82" s="137" t="str"/>
      <x:c r="P82" s="137" t="str"/>
      <x:c r="Q82" s="137" t="str"/>
      <x:c r="R82" s="137" t="str"/>
      <x:c r="S82" s="151" t="str"/>
      <x:c r="T82" s="151" t="str"/>
      <x:c r="U82" s="151" t="str"/>
      <x:c r="V82" s="151" t="str"/>
      <x:c r="W82" s="151" t="str"/>
      <x:c r="X82" s="151" t="str"/>
      <x:c r="Y82" s="151" t="str"/>
      <x:c r="Z82" s="151" t="str"/>
      <x:c r="AA82" s="151" t="str"/>
      <x:c r="AB82" s="151" t="str"/>
      <x:c r="AC82" s="151" t="str"/>
      <x:c r="AD82" s="151" t="str"/>
      <x:c r="AE82" s="151" t="str"/>
      <x:c r="AF82" s="151" t="str"/>
      <x:c r="AG82" s="151" t="str"/>
      <x:c r="AH82" s="151" t="str"/>
      <x:c r="AI82" s="151" t="str"/>
      <x:c r="AJ82" s="151" t="str"/>
      <x:c r="AK82" s="151" t="str"/>
      <x:c r="AL82" s="151" t="str"/>
      <x:c r="AM82" s="151" t="str"/>
      <x:c r="AN82" s="152" t="n">
        <x:f>IF(COUNTA(S82:AM82)=0,"",SUM(S82:AM82))</x:f>
        <x:v>0</x:v>
      </x:c>
      <x:c r="AO82" s="151" t="str"/>
      <x:c r="AP82" s="151" t="str"/>
      <x:c r="AQ82" s="151" t="str"/>
      <x:c r="AR82" s="151" t="str"/>
      <x:c r="AS82" s="196" t="str">
        <x:f>IF(AN82="","",IF(AO82="Cartons",IF(AP82*AQ82=AN82,"OK","CHECK CARTONS / SIZES"),IF(AR82=AN82,"OK","CHECK TOTAL / SIZES")))</x:f>
      </x:c>
      <x:c r="AT82" s="137" t="str"/>
      <x:c r="AU82" s="137" t="str"/>
      <x:c r="AV82" s="137" t="str"/>
      <x:c r="AW82" s="137" t="str"/>
    </x:row>
    <x:row r="83">
      <x:c r="A83" s="137" t="str"/>
      <x:c r="B83" s="137" t="str"/>
      <x:c r="C83" s="137" t="str"/>
      <x:c r="D83" s="137" t="str"/>
      <x:c r="E83" s="138" t="str"/>
      <x:c r="F83" s="138" t="str"/>
      <x:c r="G83" s="137" t="str"/>
      <x:c r="H83" s="137" t="str"/>
      <x:c r="I83" s="137" t="str"/>
      <x:c r="J83" s="137" t="str"/>
      <x:c r="K83" s="137" t="str"/>
      <x:c r="L83" s="137" t="str"/>
      <x:c r="M83" s="137" t="str"/>
      <x:c r="N83" s="137" t="str"/>
      <x:c r="O83" s="137" t="str"/>
      <x:c r="P83" s="137" t="str"/>
      <x:c r="Q83" s="137" t="str"/>
      <x:c r="R83" s="137" t="str"/>
      <x:c r="S83" s="151" t="str"/>
      <x:c r="T83" s="151" t="str"/>
      <x:c r="U83" s="151" t="str"/>
      <x:c r="V83" s="151" t="str"/>
      <x:c r="W83" s="151" t="str"/>
      <x:c r="X83" s="151" t="str"/>
      <x:c r="Y83" s="151" t="str"/>
      <x:c r="Z83" s="151" t="str"/>
      <x:c r="AA83" s="151" t="str"/>
      <x:c r="AB83" s="151" t="str"/>
      <x:c r="AC83" s="151" t="str"/>
      <x:c r="AD83" s="151" t="str"/>
      <x:c r="AE83" s="151" t="str"/>
      <x:c r="AF83" s="151" t="str"/>
      <x:c r="AG83" s="151" t="str"/>
      <x:c r="AH83" s="151" t="str"/>
      <x:c r="AI83" s="151" t="str"/>
      <x:c r="AJ83" s="151" t="str"/>
      <x:c r="AK83" s="151" t="str"/>
      <x:c r="AL83" s="151" t="str"/>
      <x:c r="AM83" s="151" t="str"/>
      <x:c r="AN83" s="152" t="n">
        <x:f>IF(COUNTA(S83:AM83)=0,"",SUM(S83:AM83))</x:f>
        <x:v>0</x:v>
      </x:c>
      <x:c r="AO83" s="151" t="str"/>
      <x:c r="AP83" s="151" t="str"/>
      <x:c r="AQ83" s="151" t="str"/>
      <x:c r="AR83" s="151" t="str"/>
      <x:c r="AS83" s="196" t="str">
        <x:f>IF(AN83="","",IF(AO83="Cartons",IF(AP83*AQ83=AN83,"OK","CHECK CARTONS / SIZES"),IF(AR83=AN83,"OK","CHECK TOTAL / SIZES")))</x:f>
      </x:c>
      <x:c r="AT83" s="137" t="str"/>
      <x:c r="AU83" s="137" t="str"/>
      <x:c r="AV83" s="137" t="str"/>
      <x:c r="AW83" s="137" t="str"/>
    </x:row>
    <x:row r="84">
      <x:c r="A84" s="137" t="str"/>
      <x:c r="B84" s="137" t="str"/>
      <x:c r="C84" s="137" t="str"/>
      <x:c r="D84" s="137" t="str"/>
      <x:c r="E84" s="138" t="str"/>
      <x:c r="F84" s="138" t="str"/>
      <x:c r="G84" s="137" t="str"/>
      <x:c r="H84" s="137" t="str"/>
      <x:c r="I84" s="137" t="str"/>
      <x:c r="J84" s="137" t="str"/>
      <x:c r="K84" s="137" t="str"/>
      <x:c r="L84" s="137" t="str"/>
      <x:c r="M84" s="137" t="str"/>
      <x:c r="N84" s="137" t="str"/>
      <x:c r="O84" s="137" t="str"/>
      <x:c r="P84" s="137" t="str"/>
      <x:c r="Q84" s="137" t="str"/>
      <x:c r="R84" s="137" t="str"/>
      <x:c r="S84" s="151" t="str"/>
      <x:c r="T84" s="151" t="str"/>
      <x:c r="U84" s="151" t="str"/>
      <x:c r="V84" s="151" t="str"/>
      <x:c r="W84" s="151" t="str"/>
      <x:c r="X84" s="151" t="str"/>
      <x:c r="Y84" s="151" t="str"/>
      <x:c r="Z84" s="151" t="str"/>
      <x:c r="AA84" s="151" t="str"/>
      <x:c r="AB84" s="151" t="str"/>
      <x:c r="AC84" s="151" t="str"/>
      <x:c r="AD84" s="151" t="str"/>
      <x:c r="AE84" s="151" t="str"/>
      <x:c r="AF84" s="151" t="str"/>
      <x:c r="AG84" s="151" t="str"/>
      <x:c r="AH84" s="151" t="str"/>
      <x:c r="AI84" s="151" t="str"/>
      <x:c r="AJ84" s="151" t="str"/>
      <x:c r="AK84" s="151" t="str"/>
      <x:c r="AL84" s="151" t="str"/>
      <x:c r="AM84" s="151" t="str"/>
      <x:c r="AN84" s="152" t="n">
        <x:f>IF(COUNTA(S84:AM84)=0,"",SUM(S84:AM84))</x:f>
        <x:v>0</x:v>
      </x:c>
      <x:c r="AO84" s="151" t="str"/>
      <x:c r="AP84" s="151" t="str"/>
      <x:c r="AQ84" s="151" t="str"/>
      <x:c r="AR84" s="151" t="str"/>
      <x:c r="AS84" s="196" t="str">
        <x:f>IF(AN84="","",IF(AO84="Cartons",IF(AP84*AQ84=AN84,"OK","CHECK CARTONS / SIZES"),IF(AR84=AN84,"OK","CHECK TOTAL / SIZES")))</x:f>
      </x:c>
      <x:c r="AT84" s="137" t="str"/>
      <x:c r="AU84" s="137" t="str"/>
      <x:c r="AV84" s="137" t="str"/>
      <x:c r="AW84" s="137" t="str"/>
    </x:row>
    <x:row r="85">
      <x:c r="A85" s="137" t="str"/>
      <x:c r="B85" s="137" t="str"/>
      <x:c r="C85" s="137" t="str"/>
      <x:c r="D85" s="137" t="str"/>
      <x:c r="E85" s="138" t="str"/>
      <x:c r="F85" s="138" t="str"/>
      <x:c r="G85" s="137" t="str"/>
      <x:c r="H85" s="137" t="str"/>
      <x:c r="I85" s="137" t="str"/>
      <x:c r="J85" s="137" t="str"/>
      <x:c r="K85" s="137" t="str"/>
      <x:c r="L85" s="137" t="str"/>
      <x:c r="M85" s="137" t="str"/>
      <x:c r="N85" s="137" t="str"/>
      <x:c r="O85" s="137" t="str"/>
      <x:c r="P85" s="137" t="str"/>
      <x:c r="Q85" s="137" t="str"/>
      <x:c r="R85" s="137" t="str"/>
      <x:c r="S85" s="151" t="str"/>
      <x:c r="T85" s="151" t="str"/>
      <x:c r="U85" s="151" t="str"/>
      <x:c r="V85" s="151" t="str"/>
      <x:c r="W85" s="151" t="str"/>
      <x:c r="X85" s="151" t="str"/>
      <x:c r="Y85" s="151" t="str"/>
      <x:c r="Z85" s="151" t="str"/>
      <x:c r="AA85" s="151" t="str"/>
      <x:c r="AB85" s="151" t="str"/>
      <x:c r="AC85" s="151" t="str"/>
      <x:c r="AD85" s="151" t="str"/>
      <x:c r="AE85" s="151" t="str"/>
      <x:c r="AF85" s="151" t="str"/>
      <x:c r="AG85" s="151" t="str"/>
      <x:c r="AH85" s="151" t="str"/>
      <x:c r="AI85" s="151" t="str"/>
      <x:c r="AJ85" s="151" t="str"/>
      <x:c r="AK85" s="151" t="str"/>
      <x:c r="AL85" s="151" t="str"/>
      <x:c r="AM85" s="151" t="str"/>
      <x:c r="AN85" s="152" t="n">
        <x:f>IF(COUNTA(S85:AM85)=0,"",SUM(S85:AM85))</x:f>
        <x:v>0</x:v>
      </x:c>
      <x:c r="AO85" s="151" t="str"/>
      <x:c r="AP85" s="151" t="str"/>
      <x:c r="AQ85" s="151" t="str"/>
      <x:c r="AR85" s="151" t="str"/>
      <x:c r="AS85" s="196" t="str">
        <x:f>IF(AN85="","",IF(AO85="Cartons",IF(AP85*AQ85=AN85,"OK","CHECK CARTONS / SIZES"),IF(AR85=AN85,"OK","CHECK TOTAL / SIZES")))</x:f>
      </x:c>
      <x:c r="AT85" s="137" t="str"/>
      <x:c r="AU85" s="137" t="str"/>
      <x:c r="AV85" s="137" t="str"/>
      <x:c r="AW85" s="137" t="str"/>
    </x:row>
    <x:row r="86">
      <x:c r="A86" s="137" t="str"/>
      <x:c r="B86" s="137" t="str"/>
      <x:c r="C86" s="137" t="str"/>
      <x:c r="D86" s="137" t="str"/>
      <x:c r="E86" s="138" t="str"/>
      <x:c r="F86" s="138" t="str"/>
      <x:c r="G86" s="137" t="str"/>
      <x:c r="H86" s="137" t="str"/>
      <x:c r="I86" s="137" t="str"/>
      <x:c r="J86" s="137" t="str"/>
      <x:c r="K86" s="137" t="str"/>
      <x:c r="L86" s="137" t="str"/>
      <x:c r="M86" s="137" t="str"/>
      <x:c r="N86" s="137" t="str"/>
      <x:c r="O86" s="137" t="str"/>
      <x:c r="P86" s="137" t="str"/>
      <x:c r="Q86" s="137" t="str"/>
      <x:c r="R86" s="137" t="str"/>
      <x:c r="S86" s="151" t="str"/>
      <x:c r="T86" s="151" t="str"/>
      <x:c r="U86" s="151" t="str"/>
      <x:c r="V86" s="151" t="str"/>
      <x:c r="W86" s="151" t="str"/>
      <x:c r="X86" s="151" t="str"/>
      <x:c r="Y86" s="151" t="str"/>
      <x:c r="Z86" s="151" t="str"/>
      <x:c r="AA86" s="151" t="str"/>
      <x:c r="AB86" s="151" t="str"/>
      <x:c r="AC86" s="151" t="str"/>
      <x:c r="AD86" s="151" t="str"/>
      <x:c r="AE86" s="151" t="str"/>
      <x:c r="AF86" s="151" t="str"/>
      <x:c r="AG86" s="151" t="str"/>
      <x:c r="AH86" s="151" t="str"/>
      <x:c r="AI86" s="151" t="str"/>
      <x:c r="AJ86" s="151" t="str"/>
      <x:c r="AK86" s="151" t="str"/>
      <x:c r="AL86" s="151" t="str"/>
      <x:c r="AM86" s="151" t="str"/>
      <x:c r="AN86" s="152" t="n">
        <x:f>IF(COUNTA(S86:AM86)=0,"",SUM(S86:AM86))</x:f>
        <x:v>0</x:v>
      </x:c>
      <x:c r="AO86" s="151" t="str"/>
      <x:c r="AP86" s="151" t="str"/>
      <x:c r="AQ86" s="151" t="str"/>
      <x:c r="AR86" s="151" t="str"/>
      <x:c r="AS86" s="196" t="str">
        <x:f>IF(AN86="","",IF(AO86="Cartons",IF(AP86*AQ86=AN86,"OK","CHECK CARTONS / SIZES"),IF(AR86=AN86,"OK","CHECK TOTAL / SIZES")))</x:f>
      </x:c>
      <x:c r="AT86" s="137" t="str"/>
      <x:c r="AU86" s="137" t="str"/>
      <x:c r="AV86" s="137" t="str"/>
      <x:c r="AW86" s="137" t="str"/>
    </x:row>
    <x:row r="87">
      <x:c r="A87" s="137" t="str"/>
      <x:c r="B87" s="137" t="str"/>
      <x:c r="C87" s="137" t="str"/>
      <x:c r="D87" s="137" t="str"/>
      <x:c r="E87" s="138" t="str"/>
      <x:c r="F87" s="138" t="str"/>
      <x:c r="G87" s="137" t="str"/>
      <x:c r="H87" s="137" t="str"/>
      <x:c r="I87" s="137" t="str"/>
      <x:c r="J87" s="137" t="str"/>
      <x:c r="K87" s="137" t="str"/>
      <x:c r="L87" s="137" t="str"/>
      <x:c r="M87" s="137" t="str"/>
      <x:c r="N87" s="137" t="str"/>
      <x:c r="O87" s="137" t="str"/>
      <x:c r="P87" s="137" t="str"/>
      <x:c r="Q87" s="137" t="str"/>
      <x:c r="R87" s="137" t="str"/>
      <x:c r="S87" s="151" t="str"/>
      <x:c r="T87" s="151" t="str"/>
      <x:c r="U87" s="151" t="str"/>
      <x:c r="V87" s="151" t="str"/>
      <x:c r="W87" s="151" t="str"/>
      <x:c r="X87" s="151" t="str"/>
      <x:c r="Y87" s="151" t="str"/>
      <x:c r="Z87" s="151" t="str"/>
      <x:c r="AA87" s="151" t="str"/>
      <x:c r="AB87" s="151" t="str"/>
      <x:c r="AC87" s="151" t="str"/>
      <x:c r="AD87" s="151" t="str"/>
      <x:c r="AE87" s="151" t="str"/>
      <x:c r="AF87" s="151" t="str"/>
      <x:c r="AG87" s="151" t="str"/>
      <x:c r="AH87" s="151" t="str"/>
      <x:c r="AI87" s="151" t="str"/>
      <x:c r="AJ87" s="151" t="str"/>
      <x:c r="AK87" s="151" t="str"/>
      <x:c r="AL87" s="151" t="str"/>
      <x:c r="AM87" s="151" t="str"/>
      <x:c r="AN87" s="152" t="n">
        <x:f>IF(COUNTA(S87:AM87)=0,"",SUM(S87:AM87))</x:f>
        <x:v>0</x:v>
      </x:c>
      <x:c r="AO87" s="151" t="str"/>
      <x:c r="AP87" s="151" t="str"/>
      <x:c r="AQ87" s="151" t="str"/>
      <x:c r="AR87" s="151" t="str"/>
      <x:c r="AS87" s="196" t="str">
        <x:f>IF(AN87="","",IF(AO87="Cartons",IF(AP87*AQ87=AN87,"OK","CHECK CARTONS / SIZES"),IF(AR87=AN87,"OK","CHECK TOTAL / SIZES")))</x:f>
      </x:c>
      <x:c r="AT87" s="137" t="str"/>
      <x:c r="AU87" s="137" t="str"/>
      <x:c r="AV87" s="137" t="str"/>
      <x:c r="AW87" s="137" t="str"/>
    </x:row>
    <x:row r="88">
      <x:c r="A88" s="137" t="str"/>
      <x:c r="B88" s="137" t="str"/>
      <x:c r="C88" s="137" t="str"/>
      <x:c r="D88" s="137" t="str"/>
      <x:c r="E88" s="138" t="str"/>
      <x:c r="F88" s="138" t="str"/>
      <x:c r="G88" s="137" t="str"/>
      <x:c r="H88" s="137" t="str"/>
      <x:c r="I88" s="137" t="str"/>
      <x:c r="J88" s="137" t="str"/>
      <x:c r="K88" s="137" t="str"/>
      <x:c r="L88" s="137" t="str"/>
      <x:c r="M88" s="137" t="str"/>
      <x:c r="N88" s="137" t="str"/>
      <x:c r="O88" s="137" t="str"/>
      <x:c r="P88" s="137" t="str"/>
      <x:c r="Q88" s="137" t="str"/>
      <x:c r="R88" s="137" t="str"/>
      <x:c r="S88" s="151" t="str"/>
      <x:c r="T88" s="151" t="str"/>
      <x:c r="U88" s="151" t="str"/>
      <x:c r="V88" s="151" t="str"/>
      <x:c r="W88" s="151" t="str"/>
      <x:c r="X88" s="151" t="str"/>
      <x:c r="Y88" s="151" t="str"/>
      <x:c r="Z88" s="151" t="str"/>
      <x:c r="AA88" s="151" t="str"/>
      <x:c r="AB88" s="151" t="str"/>
      <x:c r="AC88" s="151" t="str"/>
      <x:c r="AD88" s="151" t="str"/>
      <x:c r="AE88" s="151" t="str"/>
      <x:c r="AF88" s="151" t="str"/>
      <x:c r="AG88" s="151" t="str"/>
      <x:c r="AH88" s="151" t="str"/>
      <x:c r="AI88" s="151" t="str"/>
      <x:c r="AJ88" s="151" t="str"/>
      <x:c r="AK88" s="151" t="str"/>
      <x:c r="AL88" s="151" t="str"/>
      <x:c r="AM88" s="151" t="str"/>
      <x:c r="AN88" s="152" t="n">
        <x:f>IF(COUNTA(S88:AM88)=0,"",SUM(S88:AM88))</x:f>
        <x:v>0</x:v>
      </x:c>
      <x:c r="AO88" s="151" t="str"/>
      <x:c r="AP88" s="151" t="str"/>
      <x:c r="AQ88" s="151" t="str"/>
      <x:c r="AR88" s="151" t="str"/>
      <x:c r="AS88" s="196" t="str">
        <x:f>IF(AN88="","",IF(AO88="Cartons",IF(AP88*AQ88=AN88,"OK","CHECK CARTONS / SIZES"),IF(AR88=AN88,"OK","CHECK TOTAL / SIZES")))</x:f>
      </x:c>
      <x:c r="AT88" s="137" t="str"/>
      <x:c r="AU88" s="137" t="str"/>
      <x:c r="AV88" s="137" t="str"/>
      <x:c r="AW88" s="137" t="str"/>
    </x:row>
    <x:row r="89">
      <x:c r="A89" s="137" t="str"/>
      <x:c r="B89" s="137" t="str"/>
      <x:c r="C89" s="137" t="str"/>
      <x:c r="D89" s="137" t="str"/>
      <x:c r="E89" s="138" t="str"/>
      <x:c r="F89" s="138" t="str"/>
      <x:c r="G89" s="137" t="str"/>
      <x:c r="H89" s="137" t="str"/>
      <x:c r="I89" s="137" t="str"/>
      <x:c r="J89" s="137" t="str"/>
      <x:c r="K89" s="137" t="str"/>
      <x:c r="L89" s="137" t="str"/>
      <x:c r="M89" s="137" t="str"/>
      <x:c r="N89" s="137" t="str"/>
      <x:c r="O89" s="137" t="str"/>
      <x:c r="P89" s="137" t="str"/>
      <x:c r="Q89" s="137" t="str"/>
      <x:c r="R89" s="137" t="str"/>
      <x:c r="S89" s="151" t="str"/>
      <x:c r="T89" s="151" t="str"/>
      <x:c r="U89" s="151" t="str"/>
      <x:c r="V89" s="151" t="str"/>
      <x:c r="W89" s="151" t="str"/>
      <x:c r="X89" s="151" t="str"/>
      <x:c r="Y89" s="151" t="str"/>
      <x:c r="Z89" s="151" t="str"/>
      <x:c r="AA89" s="151" t="str"/>
      <x:c r="AB89" s="151" t="str"/>
      <x:c r="AC89" s="151" t="str"/>
      <x:c r="AD89" s="151" t="str"/>
      <x:c r="AE89" s="151" t="str"/>
      <x:c r="AF89" s="151" t="str"/>
      <x:c r="AG89" s="151" t="str"/>
      <x:c r="AH89" s="151" t="str"/>
      <x:c r="AI89" s="151" t="str"/>
      <x:c r="AJ89" s="151" t="str"/>
      <x:c r="AK89" s="151" t="str"/>
      <x:c r="AL89" s="151" t="str"/>
      <x:c r="AM89" s="151" t="str"/>
      <x:c r="AN89" s="152" t="n">
        <x:f>IF(COUNTA(S89:AM89)=0,"",SUM(S89:AM89))</x:f>
        <x:v>0</x:v>
      </x:c>
      <x:c r="AO89" s="151" t="str"/>
      <x:c r="AP89" s="151" t="str"/>
      <x:c r="AQ89" s="151" t="str"/>
      <x:c r="AR89" s="151" t="str"/>
      <x:c r="AS89" s="196" t="str">
        <x:f>IF(AN89="","",IF(AO89="Cartons",IF(AP89*AQ89=AN89,"OK","CHECK CARTONS / SIZES"),IF(AR89=AN89,"OK","CHECK TOTAL / SIZES")))</x:f>
      </x:c>
      <x:c r="AT89" s="137" t="str"/>
      <x:c r="AU89" s="137" t="str"/>
      <x:c r="AV89" s="137" t="str"/>
      <x:c r="AW89" s="137" t="str"/>
    </x:row>
    <x:row r="90">
      <x:c r="A90" s="137" t="str"/>
      <x:c r="B90" s="137" t="str"/>
      <x:c r="C90" s="137" t="str"/>
      <x:c r="D90" s="137" t="str"/>
      <x:c r="E90" s="138" t="str"/>
      <x:c r="F90" s="138" t="str"/>
      <x:c r="G90" s="137" t="str"/>
      <x:c r="H90" s="137" t="str"/>
      <x:c r="I90" s="137" t="str"/>
      <x:c r="J90" s="137" t="str"/>
      <x:c r="K90" s="137" t="str"/>
      <x:c r="L90" s="137" t="str"/>
      <x:c r="M90" s="137" t="str"/>
      <x:c r="N90" s="137" t="str"/>
      <x:c r="O90" s="137" t="str"/>
      <x:c r="P90" s="137" t="str"/>
      <x:c r="Q90" s="137" t="str"/>
      <x:c r="R90" s="137" t="str"/>
      <x:c r="S90" s="151" t="str"/>
      <x:c r="T90" s="151" t="str"/>
      <x:c r="U90" s="151" t="str"/>
      <x:c r="V90" s="151" t="str"/>
      <x:c r="W90" s="151" t="str"/>
      <x:c r="X90" s="151" t="str"/>
      <x:c r="Y90" s="151" t="str"/>
      <x:c r="Z90" s="151" t="str"/>
      <x:c r="AA90" s="151" t="str"/>
      <x:c r="AB90" s="151" t="str"/>
      <x:c r="AC90" s="151" t="str"/>
      <x:c r="AD90" s="151" t="str"/>
      <x:c r="AE90" s="151" t="str"/>
      <x:c r="AF90" s="151" t="str"/>
      <x:c r="AG90" s="151" t="str"/>
      <x:c r="AH90" s="151" t="str"/>
      <x:c r="AI90" s="151" t="str"/>
      <x:c r="AJ90" s="151" t="str"/>
      <x:c r="AK90" s="151" t="str"/>
      <x:c r="AL90" s="151" t="str"/>
      <x:c r="AM90" s="151" t="str"/>
      <x:c r="AN90" s="152" t="n">
        <x:f>IF(COUNTA(S90:AM90)=0,"",SUM(S90:AM90))</x:f>
        <x:v>0</x:v>
      </x:c>
      <x:c r="AO90" s="151" t="str"/>
      <x:c r="AP90" s="151" t="str"/>
      <x:c r="AQ90" s="151" t="str"/>
      <x:c r="AR90" s="151" t="str"/>
      <x:c r="AS90" s="196" t="str">
        <x:f>IF(AN90="","",IF(AO90="Cartons",IF(AP90*AQ90=AN90,"OK","CHECK CARTONS / SIZES"),IF(AR90=AN90,"OK","CHECK TOTAL / SIZES")))</x:f>
      </x:c>
      <x:c r="AT90" s="137" t="str"/>
      <x:c r="AU90" s="137" t="str"/>
      <x:c r="AV90" s="137" t="str"/>
      <x:c r="AW90" s="137" t="str"/>
    </x:row>
    <x:row r="91">
      <x:c r="A91" s="137" t="str"/>
      <x:c r="B91" s="137" t="str"/>
      <x:c r="C91" s="137" t="str"/>
      <x:c r="D91" s="137" t="str"/>
      <x:c r="E91" s="138" t="str"/>
      <x:c r="F91" s="138" t="str"/>
      <x:c r="G91" s="137" t="str"/>
      <x:c r="H91" s="137" t="str"/>
      <x:c r="I91" s="137" t="str"/>
      <x:c r="J91" s="137" t="str"/>
      <x:c r="K91" s="137" t="str"/>
      <x:c r="L91" s="137" t="str"/>
      <x:c r="M91" s="137" t="str"/>
      <x:c r="N91" s="137" t="str"/>
      <x:c r="O91" s="137" t="str"/>
      <x:c r="P91" s="137" t="str"/>
      <x:c r="Q91" s="137" t="str"/>
      <x:c r="R91" s="137" t="str"/>
      <x:c r="S91" s="151" t="str"/>
      <x:c r="T91" s="151" t="str"/>
      <x:c r="U91" s="151" t="str"/>
      <x:c r="V91" s="151" t="str"/>
      <x:c r="W91" s="151" t="str"/>
      <x:c r="X91" s="151" t="str"/>
      <x:c r="Y91" s="151" t="str"/>
      <x:c r="Z91" s="151" t="str"/>
      <x:c r="AA91" s="151" t="str"/>
      <x:c r="AB91" s="151" t="str"/>
      <x:c r="AC91" s="151" t="str"/>
      <x:c r="AD91" s="151" t="str"/>
      <x:c r="AE91" s="151" t="str"/>
      <x:c r="AF91" s="151" t="str"/>
      <x:c r="AG91" s="151" t="str"/>
      <x:c r="AH91" s="151" t="str"/>
      <x:c r="AI91" s="151" t="str"/>
      <x:c r="AJ91" s="151" t="str"/>
      <x:c r="AK91" s="151" t="str"/>
      <x:c r="AL91" s="151" t="str"/>
      <x:c r="AM91" s="151" t="str"/>
      <x:c r="AN91" s="152" t="n">
        <x:f>IF(COUNTA(S91:AM91)=0,"",SUM(S91:AM91))</x:f>
        <x:v>0</x:v>
      </x:c>
      <x:c r="AO91" s="151" t="str"/>
      <x:c r="AP91" s="151" t="str"/>
      <x:c r="AQ91" s="151" t="str"/>
      <x:c r="AR91" s="151" t="str"/>
      <x:c r="AS91" s="196" t="str">
        <x:f>IF(AN91="","",IF(AO91="Cartons",IF(AP91*AQ91=AN91,"OK","CHECK CARTONS / SIZES"),IF(AR91=AN91,"OK","CHECK TOTAL / SIZES")))</x:f>
      </x:c>
      <x:c r="AT91" s="137" t="str"/>
      <x:c r="AU91" s="137" t="str"/>
      <x:c r="AV91" s="137" t="str"/>
      <x:c r="AW91" s="137" t="str"/>
    </x:row>
    <x:row r="92">
      <x:c r="A92" s="137" t="str"/>
      <x:c r="B92" s="137" t="str"/>
      <x:c r="C92" s="137" t="str"/>
      <x:c r="D92" s="137" t="str"/>
      <x:c r="E92" s="138" t="str"/>
      <x:c r="F92" s="138" t="str"/>
      <x:c r="G92" s="137" t="str"/>
      <x:c r="H92" s="137" t="str"/>
      <x:c r="I92" s="137" t="str"/>
      <x:c r="J92" s="137" t="str"/>
      <x:c r="K92" s="137" t="str"/>
      <x:c r="L92" s="137" t="str"/>
      <x:c r="M92" s="137" t="str"/>
      <x:c r="N92" s="137" t="str"/>
      <x:c r="O92" s="137" t="str"/>
      <x:c r="P92" s="137" t="str"/>
      <x:c r="Q92" s="137" t="str"/>
      <x:c r="R92" s="137" t="str"/>
      <x:c r="S92" s="151" t="str"/>
      <x:c r="T92" s="151" t="str"/>
      <x:c r="U92" s="151" t="str"/>
      <x:c r="V92" s="151" t="str"/>
      <x:c r="W92" s="151" t="str"/>
      <x:c r="X92" s="151" t="str"/>
      <x:c r="Y92" s="151" t="str"/>
      <x:c r="Z92" s="151" t="str"/>
      <x:c r="AA92" s="151" t="str"/>
      <x:c r="AB92" s="151" t="str"/>
      <x:c r="AC92" s="151" t="str"/>
      <x:c r="AD92" s="151" t="str"/>
      <x:c r="AE92" s="151" t="str"/>
      <x:c r="AF92" s="151" t="str"/>
      <x:c r="AG92" s="151" t="str"/>
      <x:c r="AH92" s="151" t="str"/>
      <x:c r="AI92" s="151" t="str"/>
      <x:c r="AJ92" s="151" t="str"/>
      <x:c r="AK92" s="151" t="str"/>
      <x:c r="AL92" s="151" t="str"/>
      <x:c r="AM92" s="151" t="str"/>
      <x:c r="AN92" s="152" t="n">
        <x:f>IF(COUNTA(S92:AM92)=0,"",SUM(S92:AM92))</x:f>
        <x:v>0</x:v>
      </x:c>
      <x:c r="AO92" s="151" t="str"/>
      <x:c r="AP92" s="151" t="str"/>
      <x:c r="AQ92" s="151" t="str"/>
      <x:c r="AR92" s="151" t="str"/>
      <x:c r="AS92" s="196" t="str">
        <x:f>IF(AN92="","",IF(AO92="Cartons",IF(AP92*AQ92=AN92,"OK","CHECK CARTONS / SIZES"),IF(AR92=AN92,"OK","CHECK TOTAL / SIZES")))</x:f>
      </x:c>
      <x:c r="AT92" s="137" t="str"/>
      <x:c r="AU92" s="137" t="str"/>
      <x:c r="AV92" s="137" t="str"/>
      <x:c r="AW92" s="137" t="str"/>
    </x:row>
    <x:row r="93">
      <x:c r="A93" s="137" t="str"/>
      <x:c r="B93" s="137" t="str"/>
      <x:c r="C93" s="137" t="str"/>
      <x:c r="D93" s="137" t="str"/>
      <x:c r="E93" s="138" t="str"/>
      <x:c r="F93" s="138" t="str"/>
      <x:c r="G93" s="137" t="str"/>
      <x:c r="H93" s="137" t="str"/>
      <x:c r="I93" s="137" t="str"/>
      <x:c r="J93" s="137" t="str"/>
      <x:c r="K93" s="137" t="str"/>
      <x:c r="L93" s="137" t="str"/>
      <x:c r="M93" s="137" t="str"/>
      <x:c r="N93" s="137" t="str"/>
      <x:c r="O93" s="137" t="str"/>
      <x:c r="P93" s="137" t="str"/>
      <x:c r="Q93" s="137" t="str"/>
      <x:c r="R93" s="137" t="str"/>
      <x:c r="S93" s="151" t="str"/>
      <x:c r="T93" s="151" t="str"/>
      <x:c r="U93" s="151" t="str"/>
      <x:c r="V93" s="151" t="str"/>
      <x:c r="W93" s="151" t="str"/>
      <x:c r="X93" s="151" t="str"/>
      <x:c r="Y93" s="151" t="str"/>
      <x:c r="Z93" s="151" t="str"/>
      <x:c r="AA93" s="151" t="str"/>
      <x:c r="AB93" s="151" t="str"/>
      <x:c r="AC93" s="151" t="str"/>
      <x:c r="AD93" s="151" t="str"/>
      <x:c r="AE93" s="151" t="str"/>
      <x:c r="AF93" s="151" t="str"/>
      <x:c r="AG93" s="151" t="str"/>
      <x:c r="AH93" s="151" t="str"/>
      <x:c r="AI93" s="151" t="str"/>
      <x:c r="AJ93" s="151" t="str"/>
      <x:c r="AK93" s="151" t="str"/>
      <x:c r="AL93" s="151" t="str"/>
      <x:c r="AM93" s="151" t="str"/>
      <x:c r="AN93" s="152" t="n">
        <x:f>IF(COUNTA(S93:AM93)=0,"",SUM(S93:AM93))</x:f>
        <x:v>0</x:v>
      </x:c>
      <x:c r="AO93" s="151" t="str"/>
      <x:c r="AP93" s="151" t="str"/>
      <x:c r="AQ93" s="151" t="str"/>
      <x:c r="AR93" s="151" t="str"/>
      <x:c r="AS93" s="196" t="str">
        <x:f>IF(AN93="","",IF(AO93="Cartons",IF(AP93*AQ93=AN93,"OK","CHECK CARTONS / SIZES"),IF(AR93=AN93,"OK","CHECK TOTAL / SIZES")))</x:f>
      </x:c>
      <x:c r="AT93" s="137" t="str"/>
      <x:c r="AU93" s="137" t="str"/>
      <x:c r="AV93" s="137" t="str"/>
      <x:c r="AW93" s="137" t="str"/>
    </x:row>
    <x:row r="94">
      <x:c r="A94" s="137" t="str"/>
      <x:c r="B94" s="137" t="str"/>
      <x:c r="C94" s="137" t="str"/>
      <x:c r="D94" s="137" t="str"/>
      <x:c r="E94" s="138" t="str"/>
      <x:c r="F94" s="138" t="str"/>
      <x:c r="G94" s="137" t="str"/>
      <x:c r="H94" s="137" t="str"/>
      <x:c r="I94" s="137" t="str"/>
      <x:c r="J94" s="137" t="str"/>
      <x:c r="K94" s="137" t="str"/>
      <x:c r="L94" s="137" t="str"/>
      <x:c r="M94" s="137" t="str"/>
      <x:c r="N94" s="137" t="str"/>
      <x:c r="O94" s="137" t="str"/>
      <x:c r="P94" s="137" t="str"/>
      <x:c r="Q94" s="137" t="str"/>
      <x:c r="R94" s="137" t="str"/>
      <x:c r="S94" s="151" t="str"/>
      <x:c r="T94" s="151" t="str"/>
      <x:c r="U94" s="151" t="str"/>
      <x:c r="V94" s="151" t="str"/>
      <x:c r="W94" s="151" t="str"/>
      <x:c r="X94" s="151" t="str"/>
      <x:c r="Y94" s="151" t="str"/>
      <x:c r="Z94" s="151" t="str"/>
      <x:c r="AA94" s="151" t="str"/>
      <x:c r="AB94" s="151" t="str"/>
      <x:c r="AC94" s="151" t="str"/>
      <x:c r="AD94" s="151" t="str"/>
      <x:c r="AE94" s="151" t="str"/>
      <x:c r="AF94" s="151" t="str"/>
      <x:c r="AG94" s="151" t="str"/>
      <x:c r="AH94" s="151" t="str"/>
      <x:c r="AI94" s="151" t="str"/>
      <x:c r="AJ94" s="151" t="str"/>
      <x:c r="AK94" s="151" t="str"/>
      <x:c r="AL94" s="151" t="str"/>
      <x:c r="AM94" s="151" t="str"/>
      <x:c r="AN94" s="152" t="n">
        <x:f>IF(COUNTA(S94:AM94)=0,"",SUM(S94:AM94))</x:f>
        <x:v>0</x:v>
      </x:c>
      <x:c r="AO94" s="151" t="str"/>
      <x:c r="AP94" s="151" t="str"/>
      <x:c r="AQ94" s="151" t="str"/>
      <x:c r="AR94" s="151" t="str"/>
      <x:c r="AS94" s="196" t="str">
        <x:f>IF(AN94="","",IF(AO94="Cartons",IF(AP94*AQ94=AN94,"OK","CHECK CARTONS / SIZES"),IF(AR94=AN94,"OK","CHECK TOTAL / SIZES")))</x:f>
      </x:c>
      <x:c r="AT94" s="137" t="str"/>
      <x:c r="AU94" s="137" t="str"/>
      <x:c r="AV94" s="137" t="str"/>
      <x:c r="AW94" s="137" t="str"/>
    </x:row>
    <x:row r="95">
      <x:c r="A95" s="137" t="str"/>
      <x:c r="B95" s="137" t="str"/>
      <x:c r="C95" s="137" t="str"/>
      <x:c r="D95" s="137" t="str"/>
      <x:c r="E95" s="138" t="str"/>
      <x:c r="F95" s="138" t="str"/>
      <x:c r="G95" s="137" t="str"/>
      <x:c r="H95" s="137" t="str"/>
      <x:c r="I95" s="137" t="str"/>
      <x:c r="J95" s="137" t="str"/>
      <x:c r="K95" s="137" t="str"/>
      <x:c r="L95" s="137" t="str"/>
      <x:c r="M95" s="137" t="str"/>
      <x:c r="N95" s="137" t="str"/>
      <x:c r="O95" s="137" t="str"/>
      <x:c r="P95" s="137" t="str"/>
      <x:c r="Q95" s="137" t="str"/>
      <x:c r="R95" s="137" t="str"/>
      <x:c r="S95" s="151" t="str"/>
      <x:c r="T95" s="151" t="str"/>
      <x:c r="U95" s="151" t="str"/>
      <x:c r="V95" s="151" t="str"/>
      <x:c r="W95" s="151" t="str"/>
      <x:c r="X95" s="151" t="str"/>
      <x:c r="Y95" s="151" t="str"/>
      <x:c r="Z95" s="151" t="str"/>
      <x:c r="AA95" s="151" t="str"/>
      <x:c r="AB95" s="151" t="str"/>
      <x:c r="AC95" s="151" t="str"/>
      <x:c r="AD95" s="151" t="str"/>
      <x:c r="AE95" s="151" t="str"/>
      <x:c r="AF95" s="151" t="str"/>
      <x:c r="AG95" s="151" t="str"/>
      <x:c r="AH95" s="151" t="str"/>
      <x:c r="AI95" s="151" t="str"/>
      <x:c r="AJ95" s="151" t="str"/>
      <x:c r="AK95" s="151" t="str"/>
      <x:c r="AL95" s="151" t="str"/>
      <x:c r="AM95" s="151" t="str"/>
      <x:c r="AN95" s="152" t="n">
        <x:f>IF(COUNTA(S95:AM95)=0,"",SUM(S95:AM95))</x:f>
        <x:v>0</x:v>
      </x:c>
      <x:c r="AO95" s="151" t="str"/>
      <x:c r="AP95" s="151" t="str"/>
      <x:c r="AQ95" s="151" t="str"/>
      <x:c r="AR95" s="151" t="str"/>
      <x:c r="AS95" s="196" t="str">
        <x:f>IF(AN95="","",IF(AO95="Cartons",IF(AP95*AQ95=AN95,"OK","CHECK CARTONS / SIZES"),IF(AR95=AN95,"OK","CHECK TOTAL / SIZES")))</x:f>
      </x:c>
      <x:c r="AT95" s="137" t="str"/>
      <x:c r="AU95" s="137" t="str"/>
      <x:c r="AV95" s="137" t="str"/>
      <x:c r="AW95" s="137" t="str"/>
    </x:row>
    <x:row r="96">
      <x:c r="A96" s="137" t="str"/>
      <x:c r="B96" s="137" t="str"/>
      <x:c r="C96" s="137" t="str"/>
      <x:c r="D96" s="137" t="str"/>
      <x:c r="E96" s="138" t="str"/>
      <x:c r="F96" s="138" t="str"/>
      <x:c r="G96" s="137" t="str"/>
      <x:c r="H96" s="137" t="str"/>
      <x:c r="I96" s="137" t="str"/>
      <x:c r="J96" s="137" t="str"/>
      <x:c r="K96" s="137" t="str"/>
      <x:c r="L96" s="137" t="str"/>
      <x:c r="M96" s="137" t="str"/>
      <x:c r="N96" s="137" t="str"/>
      <x:c r="O96" s="137" t="str"/>
      <x:c r="P96" s="137" t="str"/>
      <x:c r="Q96" s="137" t="str"/>
      <x:c r="R96" s="137" t="str"/>
      <x:c r="S96" s="151" t="str"/>
      <x:c r="T96" s="151" t="str"/>
      <x:c r="U96" s="151" t="str"/>
      <x:c r="V96" s="151" t="str"/>
      <x:c r="W96" s="151" t="str"/>
      <x:c r="X96" s="151" t="str"/>
      <x:c r="Y96" s="151" t="str"/>
      <x:c r="Z96" s="151" t="str"/>
      <x:c r="AA96" s="151" t="str"/>
      <x:c r="AB96" s="151" t="str"/>
      <x:c r="AC96" s="151" t="str"/>
      <x:c r="AD96" s="151" t="str"/>
      <x:c r="AE96" s="151" t="str"/>
      <x:c r="AF96" s="151" t="str"/>
      <x:c r="AG96" s="151" t="str"/>
      <x:c r="AH96" s="151" t="str"/>
      <x:c r="AI96" s="151" t="str"/>
      <x:c r="AJ96" s="151" t="str"/>
      <x:c r="AK96" s="151" t="str"/>
      <x:c r="AL96" s="151" t="str"/>
      <x:c r="AM96" s="151" t="str"/>
      <x:c r="AN96" s="152" t="n">
        <x:f>IF(COUNTA(S96:AM96)=0,"",SUM(S96:AM96))</x:f>
        <x:v>0</x:v>
      </x:c>
      <x:c r="AO96" s="151" t="str"/>
      <x:c r="AP96" s="151" t="str"/>
      <x:c r="AQ96" s="151" t="str"/>
      <x:c r="AR96" s="151" t="str"/>
      <x:c r="AS96" s="196" t="str">
        <x:f>IF(AN96="","",IF(AO96="Cartons",IF(AP96*AQ96=AN96,"OK","CHECK CARTONS / SIZES"),IF(AR96=AN96,"OK","CHECK TOTAL / SIZES")))</x:f>
      </x:c>
      <x:c r="AT96" s="137" t="str"/>
      <x:c r="AU96" s="137" t="str"/>
      <x:c r="AV96" s="137" t="str"/>
      <x:c r="AW96" s="137" t="str"/>
    </x:row>
    <x:row r="97">
      <x:c r="A97" s="137" t="str"/>
      <x:c r="B97" s="137" t="str"/>
      <x:c r="C97" s="137" t="str"/>
      <x:c r="D97" s="137" t="str"/>
      <x:c r="E97" s="138" t="str"/>
      <x:c r="F97" s="138" t="str"/>
      <x:c r="G97" s="137" t="str"/>
      <x:c r="H97" s="137" t="str"/>
      <x:c r="I97" s="137" t="str"/>
      <x:c r="J97" s="137" t="str"/>
      <x:c r="K97" s="137" t="str"/>
      <x:c r="L97" s="137" t="str"/>
      <x:c r="M97" s="137" t="str"/>
      <x:c r="N97" s="137" t="str"/>
      <x:c r="O97" s="137" t="str"/>
      <x:c r="P97" s="137" t="str"/>
      <x:c r="Q97" s="137" t="str"/>
      <x:c r="R97" s="137" t="str"/>
      <x:c r="S97" s="151" t="str"/>
      <x:c r="T97" s="151" t="str"/>
      <x:c r="U97" s="151" t="str"/>
      <x:c r="V97" s="151" t="str"/>
      <x:c r="W97" s="151" t="str"/>
      <x:c r="X97" s="151" t="str"/>
      <x:c r="Y97" s="151" t="str"/>
      <x:c r="Z97" s="151" t="str"/>
      <x:c r="AA97" s="151" t="str"/>
      <x:c r="AB97" s="151" t="str"/>
      <x:c r="AC97" s="151" t="str"/>
      <x:c r="AD97" s="151" t="str"/>
      <x:c r="AE97" s="151" t="str"/>
      <x:c r="AF97" s="151" t="str"/>
      <x:c r="AG97" s="151" t="str"/>
      <x:c r="AH97" s="151" t="str"/>
      <x:c r="AI97" s="151" t="str"/>
      <x:c r="AJ97" s="151" t="str"/>
      <x:c r="AK97" s="151" t="str"/>
      <x:c r="AL97" s="151" t="str"/>
      <x:c r="AM97" s="151" t="str"/>
      <x:c r="AN97" s="152" t="n">
        <x:f>IF(COUNTA(S97:AM97)=0,"",SUM(S97:AM97))</x:f>
        <x:v>0</x:v>
      </x:c>
      <x:c r="AO97" s="151" t="str"/>
      <x:c r="AP97" s="151" t="str"/>
      <x:c r="AQ97" s="151" t="str"/>
      <x:c r="AR97" s="151" t="str"/>
      <x:c r="AS97" s="196" t="str">
        <x:f>IF(AN97="","",IF(AO97="Cartons",IF(AP97*AQ97=AN97,"OK","CHECK CARTONS / SIZES"),IF(AR97=AN97,"OK","CHECK TOTAL / SIZES")))</x:f>
      </x:c>
      <x:c r="AT97" s="137" t="str"/>
      <x:c r="AU97" s="137" t="str"/>
      <x:c r="AV97" s="137" t="str"/>
      <x:c r="AW97" s="137" t="str"/>
    </x:row>
    <x:row r="98">
      <x:c r="A98" s="137" t="str"/>
      <x:c r="B98" s="137" t="str"/>
      <x:c r="C98" s="137" t="str"/>
      <x:c r="D98" s="137" t="str"/>
      <x:c r="E98" s="138" t="str"/>
      <x:c r="F98" s="138" t="str"/>
      <x:c r="G98" s="137" t="str"/>
      <x:c r="H98" s="137" t="str"/>
      <x:c r="I98" s="137" t="str"/>
      <x:c r="J98" s="137" t="str"/>
      <x:c r="K98" s="137" t="str"/>
      <x:c r="L98" s="137" t="str"/>
      <x:c r="M98" s="137" t="str"/>
      <x:c r="N98" s="137" t="str"/>
      <x:c r="O98" s="137" t="str"/>
      <x:c r="P98" s="137" t="str"/>
      <x:c r="Q98" s="137" t="str"/>
      <x:c r="R98" s="137" t="str"/>
      <x:c r="S98" s="151" t="str"/>
      <x:c r="T98" s="151" t="str"/>
      <x:c r="U98" s="151" t="str"/>
      <x:c r="V98" s="151" t="str"/>
      <x:c r="W98" s="151" t="str"/>
      <x:c r="X98" s="151" t="str"/>
      <x:c r="Y98" s="151" t="str"/>
      <x:c r="Z98" s="151" t="str"/>
      <x:c r="AA98" s="151" t="str"/>
      <x:c r="AB98" s="151" t="str"/>
      <x:c r="AC98" s="151" t="str"/>
      <x:c r="AD98" s="151" t="str"/>
      <x:c r="AE98" s="151" t="str"/>
      <x:c r="AF98" s="151" t="str"/>
      <x:c r="AG98" s="151" t="str"/>
      <x:c r="AH98" s="151" t="str"/>
      <x:c r="AI98" s="151" t="str"/>
      <x:c r="AJ98" s="151" t="str"/>
      <x:c r="AK98" s="151" t="str"/>
      <x:c r="AL98" s="151" t="str"/>
      <x:c r="AM98" s="151" t="str"/>
      <x:c r="AN98" s="152" t="n">
        <x:f>IF(COUNTA(S98:AM98)=0,"",SUM(S98:AM98))</x:f>
        <x:v>0</x:v>
      </x:c>
      <x:c r="AO98" s="151" t="str"/>
      <x:c r="AP98" s="151" t="str"/>
      <x:c r="AQ98" s="151" t="str"/>
      <x:c r="AR98" s="151" t="str"/>
      <x:c r="AS98" s="196" t="str">
        <x:f>IF(AN98="","",IF(AO98="Cartons",IF(AP98*AQ98=AN98,"OK","CHECK CARTONS / SIZES"),IF(AR98=AN98,"OK","CHECK TOTAL / SIZES")))</x:f>
      </x:c>
      <x:c r="AT98" s="137" t="str"/>
      <x:c r="AU98" s="137" t="str"/>
      <x:c r="AV98" s="137" t="str"/>
      <x:c r="AW98" s="137" t="str"/>
    </x:row>
    <x:row r="99">
      <x:c r="A99" s="137" t="str"/>
      <x:c r="B99" s="137" t="str"/>
      <x:c r="C99" s="137" t="str"/>
      <x:c r="D99" s="137" t="str"/>
      <x:c r="E99" s="138" t="str"/>
      <x:c r="F99" s="138" t="str"/>
      <x:c r="G99" s="137" t="str"/>
      <x:c r="H99" s="137" t="str"/>
      <x:c r="I99" s="137" t="str"/>
      <x:c r="J99" s="137" t="str"/>
      <x:c r="K99" s="137" t="str"/>
      <x:c r="L99" s="137" t="str"/>
      <x:c r="M99" s="137" t="str"/>
      <x:c r="N99" s="137" t="str"/>
      <x:c r="O99" s="137" t="str"/>
      <x:c r="P99" s="137" t="str"/>
      <x:c r="Q99" s="137" t="str"/>
      <x:c r="R99" s="137" t="str"/>
      <x:c r="S99" s="151" t="str"/>
      <x:c r="T99" s="151" t="str"/>
      <x:c r="U99" s="151" t="str"/>
      <x:c r="V99" s="151" t="str"/>
      <x:c r="W99" s="151" t="str"/>
      <x:c r="X99" s="151" t="str"/>
      <x:c r="Y99" s="151" t="str"/>
      <x:c r="Z99" s="151" t="str"/>
      <x:c r="AA99" s="151" t="str"/>
      <x:c r="AB99" s="151" t="str"/>
      <x:c r="AC99" s="151" t="str"/>
      <x:c r="AD99" s="151" t="str"/>
      <x:c r="AE99" s="151" t="str"/>
      <x:c r="AF99" s="151" t="str"/>
      <x:c r="AG99" s="151" t="str"/>
      <x:c r="AH99" s="151" t="str"/>
      <x:c r="AI99" s="151" t="str"/>
      <x:c r="AJ99" s="151" t="str"/>
      <x:c r="AK99" s="151" t="str"/>
      <x:c r="AL99" s="151" t="str"/>
      <x:c r="AM99" s="151" t="str"/>
      <x:c r="AN99" s="152" t="n">
        <x:f>IF(COUNTA(S99:AM99)=0,"",SUM(S99:AM99))</x:f>
        <x:v>0</x:v>
      </x:c>
      <x:c r="AO99" s="151" t="str"/>
      <x:c r="AP99" s="151" t="str"/>
      <x:c r="AQ99" s="151" t="str"/>
      <x:c r="AR99" s="151" t="str"/>
      <x:c r="AS99" s="196" t="str">
        <x:f>IF(AN99="","",IF(AO99="Cartons",IF(AP99*AQ99=AN99,"OK","CHECK CARTONS / SIZES"),IF(AR99=AN99,"OK","CHECK TOTAL / SIZES")))</x:f>
      </x:c>
      <x:c r="AT99" s="137" t="str"/>
      <x:c r="AU99" s="137" t="str"/>
      <x:c r="AV99" s="137" t="str"/>
      <x:c r="AW99" s="137" t="str"/>
    </x:row>
    <x:row r="100">
      <x:c r="A100" s="137" t="str"/>
      <x:c r="B100" s="137" t="str"/>
      <x:c r="C100" s="137" t="str"/>
      <x:c r="D100" s="137" t="str"/>
      <x:c r="E100" s="138" t="str"/>
      <x:c r="F100" s="138" t="str"/>
      <x:c r="G100" s="137" t="str"/>
      <x:c r="H100" s="137" t="str"/>
      <x:c r="I100" s="137" t="str"/>
      <x:c r="J100" s="137" t="str"/>
      <x:c r="K100" s="137" t="str"/>
      <x:c r="L100" s="137" t="str"/>
      <x:c r="M100" s="137" t="str"/>
      <x:c r="N100" s="137" t="str"/>
      <x:c r="O100" s="137" t="str"/>
      <x:c r="P100" s="137" t="str"/>
      <x:c r="Q100" s="137" t="str"/>
      <x:c r="R100" s="137" t="str"/>
      <x:c r="S100" s="151" t="str"/>
      <x:c r="T100" s="151" t="str"/>
      <x:c r="U100" s="151" t="str"/>
      <x:c r="V100" s="151" t="str"/>
      <x:c r="W100" s="151" t="str"/>
      <x:c r="X100" s="151" t="str"/>
      <x:c r="Y100" s="151" t="str"/>
      <x:c r="Z100" s="151" t="str"/>
      <x:c r="AA100" s="151" t="str"/>
      <x:c r="AB100" s="151" t="str"/>
      <x:c r="AC100" s="151" t="str"/>
      <x:c r="AD100" s="151" t="str"/>
      <x:c r="AE100" s="151" t="str"/>
      <x:c r="AF100" s="151" t="str"/>
      <x:c r="AG100" s="151" t="str"/>
      <x:c r="AH100" s="151" t="str"/>
      <x:c r="AI100" s="151" t="str"/>
      <x:c r="AJ100" s="151" t="str"/>
      <x:c r="AK100" s="151" t="str"/>
      <x:c r="AL100" s="151" t="str"/>
      <x:c r="AM100" s="151" t="str"/>
      <x:c r="AN100" s="152" t="n">
        <x:f>IF(COUNTA(S100:AM100)=0,"",SUM(S100:AM100))</x:f>
        <x:v>0</x:v>
      </x:c>
      <x:c r="AO100" s="151" t="str"/>
      <x:c r="AP100" s="151" t="str"/>
      <x:c r="AQ100" s="151" t="str"/>
      <x:c r="AR100" s="151" t="str"/>
      <x:c r="AS100" s="196" t="str">
        <x:f>IF(AN100="","",IF(AO100="Cartons",IF(AP100*AQ100=AN100,"OK","CHECK CARTONS / SIZES"),IF(AR100=AN100,"OK","CHECK TOTAL / SIZES")))</x:f>
      </x:c>
      <x:c r="AT100" s="137" t="str"/>
      <x:c r="AU100" s="137" t="str"/>
      <x:c r="AV100" s="137" t="str"/>
      <x:c r="AW100" s="137" t="str"/>
    </x:row>
    <x:row r="101">
      <x:c r="A101" s="137" t="str"/>
      <x:c r="B101" s="137" t="str"/>
      <x:c r="C101" s="137" t="str"/>
      <x:c r="D101" s="137" t="str"/>
      <x:c r="E101" s="138" t="str"/>
      <x:c r="F101" s="138" t="str"/>
      <x:c r="G101" s="137" t="str"/>
      <x:c r="H101" s="137" t="str"/>
      <x:c r="I101" s="137" t="str"/>
      <x:c r="J101" s="137" t="str"/>
      <x:c r="K101" s="137" t="str"/>
      <x:c r="L101" s="137" t="str"/>
      <x:c r="M101" s="137" t="str"/>
      <x:c r="N101" s="137" t="str"/>
      <x:c r="O101" s="137" t="str"/>
      <x:c r="P101" s="137" t="str"/>
      <x:c r="Q101" s="137" t="str"/>
      <x:c r="R101" s="137" t="str"/>
      <x:c r="S101" s="151" t="str"/>
      <x:c r="T101" s="151" t="str"/>
      <x:c r="U101" s="151" t="str"/>
      <x:c r="V101" s="151" t="str"/>
      <x:c r="W101" s="151" t="str"/>
      <x:c r="X101" s="151" t="str"/>
      <x:c r="Y101" s="151" t="str"/>
      <x:c r="Z101" s="151" t="str"/>
      <x:c r="AA101" s="151" t="str"/>
      <x:c r="AB101" s="151" t="str"/>
      <x:c r="AC101" s="151" t="str"/>
      <x:c r="AD101" s="151" t="str"/>
      <x:c r="AE101" s="151" t="str"/>
      <x:c r="AF101" s="151" t="str"/>
      <x:c r="AG101" s="151" t="str"/>
      <x:c r="AH101" s="151" t="str"/>
      <x:c r="AI101" s="151" t="str"/>
      <x:c r="AJ101" s="151" t="str"/>
      <x:c r="AK101" s="151" t="str"/>
      <x:c r="AL101" s="151" t="str"/>
      <x:c r="AM101" s="151" t="str"/>
      <x:c r="AN101" s="152" t="n">
        <x:f>IF(COUNTA(S101:AM101)=0,"",SUM(S101:AM101))</x:f>
        <x:v>0</x:v>
      </x:c>
      <x:c r="AO101" s="151" t="str"/>
      <x:c r="AP101" s="151" t="str"/>
      <x:c r="AQ101" s="151" t="str"/>
      <x:c r="AR101" s="151" t="str"/>
      <x:c r="AS101" s="196" t="str">
        <x:f>IF(AN101="","",IF(AO101="Cartons",IF(AP101*AQ101=AN101,"OK","CHECK CARTONS / SIZES"),IF(AR101=AN101,"OK","CHECK TOTAL / SIZES")))</x:f>
      </x:c>
      <x:c r="AT101" s="137" t="str"/>
      <x:c r="AU101" s="137" t="str"/>
      <x:c r="AV101" s="137" t="str"/>
      <x:c r="AW101" s="137" t="str"/>
    </x:row>
    <x:row r="102">
      <x:c r="A102" s="137" t="str"/>
      <x:c r="B102" s="137" t="str"/>
      <x:c r="C102" s="137" t="str"/>
      <x:c r="D102" s="137" t="str"/>
      <x:c r="E102" s="138" t="str"/>
      <x:c r="F102" s="138" t="str"/>
      <x:c r="G102" s="137" t="str"/>
      <x:c r="H102" s="137" t="str"/>
      <x:c r="I102" s="137" t="str"/>
      <x:c r="J102" s="137" t="str"/>
      <x:c r="K102" s="137" t="str"/>
      <x:c r="L102" s="137" t="str"/>
      <x:c r="M102" s="137" t="str"/>
      <x:c r="N102" s="137" t="str"/>
      <x:c r="O102" s="137" t="str"/>
      <x:c r="P102" s="137" t="str"/>
      <x:c r="Q102" s="137" t="str"/>
      <x:c r="R102" s="137" t="str"/>
      <x:c r="S102" s="151" t="str"/>
      <x:c r="T102" s="151" t="str"/>
      <x:c r="U102" s="151" t="str"/>
      <x:c r="V102" s="151" t="str"/>
      <x:c r="W102" s="151" t="str"/>
      <x:c r="X102" s="151" t="str"/>
      <x:c r="Y102" s="151" t="str"/>
      <x:c r="Z102" s="151" t="str"/>
      <x:c r="AA102" s="151" t="str"/>
      <x:c r="AB102" s="151" t="str"/>
      <x:c r="AC102" s="151" t="str"/>
      <x:c r="AD102" s="151" t="str"/>
      <x:c r="AE102" s="151" t="str"/>
      <x:c r="AF102" s="151" t="str"/>
      <x:c r="AG102" s="151" t="str"/>
      <x:c r="AH102" s="151" t="str"/>
      <x:c r="AI102" s="151" t="str"/>
      <x:c r="AJ102" s="151" t="str"/>
      <x:c r="AK102" s="151" t="str"/>
      <x:c r="AL102" s="151" t="str"/>
      <x:c r="AM102" s="151" t="str"/>
      <x:c r="AN102" s="152" t="n">
        <x:f>IF(COUNTA(S102:AM102)=0,"",SUM(S102:AM102))</x:f>
        <x:v>0</x:v>
      </x:c>
      <x:c r="AO102" s="151" t="str"/>
      <x:c r="AP102" s="151" t="str"/>
      <x:c r="AQ102" s="151" t="str"/>
      <x:c r="AR102" s="151" t="str"/>
      <x:c r="AS102" s="196" t="str">
        <x:f>IF(AN102="","",IF(AO102="Cartons",IF(AP102*AQ102=AN102,"OK","CHECK CARTONS / SIZES"),IF(AR102=AN102,"OK","CHECK TOTAL / SIZES")))</x:f>
      </x:c>
      <x:c r="AT102" s="137" t="str"/>
      <x:c r="AU102" s="137" t="str"/>
      <x:c r="AV102" s="137" t="str"/>
      <x:c r="AW102" s="137" t="str"/>
    </x:row>
    <x:row r="103">
      <x:c r="A103" s="137" t="str"/>
      <x:c r="B103" s="137" t="str"/>
      <x:c r="C103" s="137" t="str"/>
      <x:c r="D103" s="137" t="str"/>
      <x:c r="E103" s="138" t="str"/>
      <x:c r="F103" s="138" t="str"/>
      <x:c r="G103" s="137" t="str"/>
      <x:c r="H103" s="137" t="str"/>
      <x:c r="I103" s="137" t="str"/>
      <x:c r="J103" s="137" t="str"/>
      <x:c r="K103" s="137" t="str"/>
      <x:c r="L103" s="137" t="str"/>
      <x:c r="M103" s="137" t="str"/>
      <x:c r="N103" s="137" t="str"/>
      <x:c r="O103" s="137" t="str"/>
      <x:c r="P103" s="137" t="str"/>
      <x:c r="Q103" s="137" t="str"/>
      <x:c r="R103" s="137" t="str"/>
      <x:c r="S103" s="151" t="str"/>
      <x:c r="T103" s="151" t="str"/>
      <x:c r="U103" s="151" t="str"/>
      <x:c r="V103" s="151" t="str"/>
      <x:c r="W103" s="151" t="str"/>
      <x:c r="X103" s="151" t="str"/>
      <x:c r="Y103" s="151" t="str"/>
      <x:c r="Z103" s="151" t="str"/>
      <x:c r="AA103" s="151" t="str"/>
      <x:c r="AB103" s="151" t="str"/>
      <x:c r="AC103" s="151" t="str"/>
      <x:c r="AD103" s="151" t="str"/>
      <x:c r="AE103" s="151" t="str"/>
      <x:c r="AF103" s="151" t="str"/>
      <x:c r="AG103" s="151" t="str"/>
      <x:c r="AH103" s="151" t="str"/>
      <x:c r="AI103" s="151" t="str"/>
      <x:c r="AJ103" s="151" t="str"/>
      <x:c r="AK103" s="151" t="str"/>
      <x:c r="AL103" s="151" t="str"/>
      <x:c r="AM103" s="151" t="str"/>
      <x:c r="AN103" s="152" t="n">
        <x:f>IF(COUNTA(S103:AM103)=0,"",SUM(S103:AM103))</x:f>
        <x:v>0</x:v>
      </x:c>
      <x:c r="AO103" s="151" t="str"/>
      <x:c r="AP103" s="151" t="str"/>
      <x:c r="AQ103" s="151" t="str"/>
      <x:c r="AR103" s="151" t="str"/>
      <x:c r="AS103" s="196" t="str">
        <x:f>IF(AN103="","",IF(AO103="Cartons",IF(AP103*AQ103=AN103,"OK","CHECK CARTONS / SIZES"),IF(AR103=AN103,"OK","CHECK TOTAL / SIZES")))</x:f>
      </x:c>
      <x:c r="AT103" s="137" t="str"/>
      <x:c r="AU103" s="137" t="str"/>
      <x:c r="AV103" s="137" t="str"/>
      <x:c r="AW103" s="137" t="str"/>
    </x:row>
    <x:row r="104">
      <x:c r="A104" s="137" t="str"/>
      <x:c r="B104" s="137" t="str"/>
      <x:c r="C104" s="137" t="str"/>
      <x:c r="D104" s="137" t="str"/>
      <x:c r="E104" s="138" t="str"/>
      <x:c r="F104" s="138" t="str"/>
      <x:c r="G104" s="137" t="str"/>
      <x:c r="H104" s="137" t="str"/>
      <x:c r="I104" s="137" t="str"/>
      <x:c r="J104" s="137" t="str"/>
      <x:c r="K104" s="137" t="str"/>
      <x:c r="L104" s="137" t="str"/>
      <x:c r="M104" s="137" t="str"/>
      <x:c r="N104" s="137" t="str"/>
      <x:c r="O104" s="137" t="str"/>
      <x:c r="P104" s="137" t="str"/>
      <x:c r="Q104" s="137" t="str"/>
      <x:c r="R104" s="137" t="str"/>
      <x:c r="S104" s="151" t="str"/>
      <x:c r="T104" s="151" t="str"/>
      <x:c r="U104" s="151" t="str"/>
      <x:c r="V104" s="151" t="str"/>
      <x:c r="W104" s="151" t="str"/>
      <x:c r="X104" s="151" t="str"/>
      <x:c r="Y104" s="151" t="str"/>
      <x:c r="Z104" s="151" t="str"/>
      <x:c r="AA104" s="151" t="str"/>
      <x:c r="AB104" s="151" t="str"/>
      <x:c r="AC104" s="151" t="str"/>
      <x:c r="AD104" s="151" t="str"/>
      <x:c r="AE104" s="151" t="str"/>
      <x:c r="AF104" s="151" t="str"/>
      <x:c r="AG104" s="151" t="str"/>
      <x:c r="AH104" s="151" t="str"/>
      <x:c r="AI104" s="151" t="str"/>
      <x:c r="AJ104" s="151" t="str"/>
      <x:c r="AK104" s="151" t="str"/>
      <x:c r="AL104" s="151" t="str"/>
      <x:c r="AM104" s="151" t="str"/>
      <x:c r="AN104" s="152" t="n">
        <x:f>IF(COUNTA(S104:AM104)=0,"",SUM(S104:AM104))</x:f>
        <x:v>0</x:v>
      </x:c>
      <x:c r="AO104" s="151" t="str"/>
      <x:c r="AP104" s="151" t="str"/>
      <x:c r="AQ104" s="151" t="str"/>
      <x:c r="AR104" s="151" t="str"/>
      <x:c r="AS104" s="196" t="str">
        <x:f>IF(AN104="","",IF(AO104="Cartons",IF(AP104*AQ104=AN104,"OK","CHECK CARTONS / SIZES"),IF(AR104=AN104,"OK","CHECK TOTAL / SIZES")))</x:f>
      </x:c>
      <x:c r="AT104" s="137" t="str"/>
      <x:c r="AU104" s="137" t="str"/>
      <x:c r="AV104" s="137" t="str"/>
      <x:c r="AW104" s="137" t="str"/>
    </x:row>
    <x:row r="105">
      <x:c r="A105" s="137" t="str"/>
      <x:c r="B105" s="137" t="str"/>
      <x:c r="C105" s="137" t="str"/>
      <x:c r="D105" s="137" t="str"/>
      <x:c r="E105" s="138" t="str"/>
      <x:c r="F105" s="138" t="str"/>
      <x:c r="G105" s="137" t="str"/>
      <x:c r="H105" s="137" t="str"/>
      <x:c r="I105" s="137" t="str"/>
      <x:c r="J105" s="137" t="str"/>
      <x:c r="K105" s="137" t="str"/>
      <x:c r="L105" s="137" t="str"/>
      <x:c r="M105" s="137" t="str"/>
      <x:c r="N105" s="137" t="str"/>
      <x:c r="O105" s="137" t="str"/>
      <x:c r="P105" s="137" t="str"/>
      <x:c r="Q105" s="137" t="str"/>
      <x:c r="R105" s="137" t="str"/>
      <x:c r="S105" s="151" t="str"/>
      <x:c r="T105" s="151" t="str"/>
      <x:c r="U105" s="151" t="str"/>
      <x:c r="V105" s="151" t="str"/>
      <x:c r="W105" s="151" t="str"/>
      <x:c r="X105" s="151" t="str"/>
      <x:c r="Y105" s="151" t="str"/>
      <x:c r="Z105" s="151" t="str"/>
      <x:c r="AA105" s="151" t="str"/>
      <x:c r="AB105" s="151" t="str"/>
      <x:c r="AC105" s="151" t="str"/>
      <x:c r="AD105" s="151" t="str"/>
      <x:c r="AE105" s="151" t="str"/>
      <x:c r="AF105" s="151" t="str"/>
      <x:c r="AG105" s="151" t="str"/>
      <x:c r="AH105" s="151" t="str"/>
      <x:c r="AI105" s="151" t="str"/>
      <x:c r="AJ105" s="151" t="str"/>
      <x:c r="AK105" s="151" t="str"/>
      <x:c r="AL105" s="151" t="str"/>
      <x:c r="AM105" s="151" t="str"/>
      <x:c r="AN105" s="152" t="n">
        <x:f>IF(COUNTA(S105:AM105)=0,"",SUM(S105:AM105))</x:f>
        <x:v>0</x:v>
      </x:c>
      <x:c r="AO105" s="151" t="str"/>
      <x:c r="AP105" s="151" t="str"/>
      <x:c r="AQ105" s="151" t="str"/>
      <x:c r="AR105" s="151" t="str"/>
      <x:c r="AS105" s="196" t="str">
        <x:f>IF(AN105="","",IF(AO105="Cartons",IF(AP105*AQ105=AN105,"OK","CHECK CARTONS / SIZES"),IF(AR105=AN105,"OK","CHECK TOTAL / SIZES")))</x:f>
      </x:c>
      <x:c r="AT105" s="137" t="str"/>
      <x:c r="AU105" s="137" t="str"/>
      <x:c r="AV105" s="137" t="str"/>
      <x:c r="AW105" s="137" t="str"/>
    </x:row>
    <x:row r="106">
      <x:c r="A106" s="137" t="str"/>
      <x:c r="B106" s="137" t="str"/>
      <x:c r="C106" s="137" t="str"/>
      <x:c r="D106" s="137" t="str"/>
      <x:c r="E106" s="138" t="str"/>
      <x:c r="F106" s="138" t="str"/>
      <x:c r="G106" s="137" t="str"/>
      <x:c r="H106" s="137" t="str"/>
      <x:c r="I106" s="137" t="str"/>
      <x:c r="J106" s="137" t="str"/>
      <x:c r="K106" s="137" t="str"/>
      <x:c r="L106" s="137" t="str"/>
      <x:c r="M106" s="137" t="str"/>
      <x:c r="N106" s="137" t="str"/>
      <x:c r="O106" s="137" t="str"/>
      <x:c r="P106" s="137" t="str"/>
      <x:c r="Q106" s="137" t="str"/>
      <x:c r="R106" s="137" t="str"/>
      <x:c r="S106" s="151" t="str"/>
      <x:c r="T106" s="151" t="str"/>
      <x:c r="U106" s="151" t="str"/>
      <x:c r="V106" s="151" t="str"/>
      <x:c r="W106" s="151" t="str"/>
      <x:c r="X106" s="151" t="str"/>
      <x:c r="Y106" s="151" t="str"/>
      <x:c r="Z106" s="151" t="str"/>
      <x:c r="AA106" s="151" t="str"/>
      <x:c r="AB106" s="151" t="str"/>
      <x:c r="AC106" s="151" t="str"/>
      <x:c r="AD106" s="151" t="str"/>
      <x:c r="AE106" s="151" t="str"/>
      <x:c r="AF106" s="151" t="str"/>
      <x:c r="AG106" s="151" t="str"/>
      <x:c r="AH106" s="151" t="str"/>
      <x:c r="AI106" s="151" t="str"/>
      <x:c r="AJ106" s="151" t="str"/>
      <x:c r="AK106" s="151" t="str"/>
      <x:c r="AL106" s="151" t="str"/>
      <x:c r="AM106" s="151" t="str"/>
      <x:c r="AN106" s="152" t="n">
        <x:f>IF(COUNTA(S106:AM106)=0,"",SUM(S106:AM106))</x:f>
        <x:v>0</x:v>
      </x:c>
      <x:c r="AO106" s="151" t="str"/>
      <x:c r="AP106" s="151" t="str"/>
      <x:c r="AQ106" s="151" t="str"/>
      <x:c r="AR106" s="151" t="str"/>
      <x:c r="AS106" s="196" t="str">
        <x:f>IF(AN106="","",IF(AO106="Cartons",IF(AP106*AQ106=AN106,"OK","CHECK CARTONS / SIZES"),IF(AR106=AN106,"OK","CHECK TOTAL / SIZES")))</x:f>
      </x:c>
      <x:c r="AT106" s="137" t="str"/>
      <x:c r="AU106" s="137" t="str"/>
      <x:c r="AV106" s="137" t="str"/>
      <x:c r="AW106" s="137" t="str"/>
    </x:row>
    <x:row r="107">
      <x:c r="A107" s="137" t="str"/>
      <x:c r="B107" s="137" t="str"/>
      <x:c r="C107" s="137" t="str"/>
      <x:c r="D107" s="137" t="str"/>
      <x:c r="E107" s="138" t="str"/>
      <x:c r="F107" s="138" t="str"/>
      <x:c r="G107" s="137" t="str"/>
      <x:c r="H107" s="137" t="str"/>
      <x:c r="I107" s="137" t="str"/>
      <x:c r="J107" s="137" t="str"/>
      <x:c r="K107" s="137" t="str"/>
      <x:c r="L107" s="137" t="str"/>
      <x:c r="M107" s="137" t="str"/>
      <x:c r="N107" s="137" t="str"/>
      <x:c r="O107" s="137" t="str"/>
      <x:c r="P107" s="137" t="str"/>
      <x:c r="Q107" s="137" t="str"/>
      <x:c r="R107" s="137" t="str"/>
      <x:c r="S107" s="151" t="str"/>
      <x:c r="T107" s="151" t="str"/>
      <x:c r="U107" s="151" t="str"/>
      <x:c r="V107" s="151" t="str"/>
      <x:c r="W107" s="151" t="str"/>
      <x:c r="X107" s="151" t="str"/>
      <x:c r="Y107" s="151" t="str"/>
      <x:c r="Z107" s="151" t="str"/>
      <x:c r="AA107" s="151" t="str"/>
      <x:c r="AB107" s="151" t="str"/>
      <x:c r="AC107" s="151" t="str"/>
      <x:c r="AD107" s="151" t="str"/>
      <x:c r="AE107" s="151" t="str"/>
      <x:c r="AF107" s="151" t="str"/>
      <x:c r="AG107" s="151" t="str"/>
      <x:c r="AH107" s="151" t="str"/>
      <x:c r="AI107" s="151" t="str"/>
      <x:c r="AJ107" s="151" t="str"/>
      <x:c r="AK107" s="151" t="str"/>
      <x:c r="AL107" s="151" t="str"/>
      <x:c r="AM107" s="151" t="str"/>
      <x:c r="AN107" s="152" t="n">
        <x:f>IF(COUNTA(S107:AM107)=0,"",SUM(S107:AM107))</x:f>
        <x:v>0</x:v>
      </x:c>
      <x:c r="AO107" s="151" t="str"/>
      <x:c r="AP107" s="151" t="str"/>
      <x:c r="AQ107" s="151" t="str"/>
      <x:c r="AR107" s="151" t="str"/>
      <x:c r="AS107" s="196" t="str">
        <x:f>IF(AN107="","",IF(AO107="Cartons",IF(AP107*AQ107=AN107,"OK","CHECK CARTONS / SIZES"),IF(AR107=AN107,"OK","CHECK TOTAL / SIZES")))</x:f>
      </x:c>
      <x:c r="AT107" s="137" t="str"/>
      <x:c r="AU107" s="137" t="str"/>
      <x:c r="AV107" s="137" t="str"/>
      <x:c r="AW107" s="137" t="str"/>
    </x:row>
    <x:row r="108">
      <x:c r="A108" s="137" t="str"/>
      <x:c r="B108" s="137" t="str"/>
      <x:c r="C108" s="137" t="str"/>
      <x:c r="D108" s="137" t="str"/>
      <x:c r="E108" s="138" t="str"/>
      <x:c r="F108" s="138" t="str"/>
      <x:c r="G108" s="137" t="str"/>
      <x:c r="H108" s="137" t="str"/>
      <x:c r="I108" s="137" t="str"/>
      <x:c r="J108" s="137" t="str"/>
      <x:c r="K108" s="137" t="str"/>
      <x:c r="L108" s="137" t="str"/>
      <x:c r="M108" s="137" t="str"/>
      <x:c r="N108" s="137" t="str"/>
      <x:c r="O108" s="137" t="str"/>
      <x:c r="P108" s="137" t="str"/>
      <x:c r="Q108" s="137" t="str"/>
      <x:c r="R108" s="137" t="str"/>
      <x:c r="S108" s="151" t="str"/>
      <x:c r="T108" s="151" t="str"/>
      <x:c r="U108" s="151" t="str"/>
      <x:c r="V108" s="151" t="str"/>
      <x:c r="W108" s="151" t="str"/>
      <x:c r="X108" s="151" t="str"/>
      <x:c r="Y108" s="151" t="str"/>
      <x:c r="Z108" s="151" t="str"/>
      <x:c r="AA108" s="151" t="str"/>
      <x:c r="AB108" s="151" t="str"/>
      <x:c r="AC108" s="151" t="str"/>
      <x:c r="AD108" s="151" t="str"/>
      <x:c r="AE108" s="151" t="str"/>
      <x:c r="AF108" s="151" t="str"/>
      <x:c r="AG108" s="151" t="str"/>
      <x:c r="AH108" s="151" t="str"/>
      <x:c r="AI108" s="151" t="str"/>
      <x:c r="AJ108" s="151" t="str"/>
      <x:c r="AK108" s="151" t="str"/>
      <x:c r="AL108" s="151" t="str"/>
      <x:c r="AM108" s="151" t="str"/>
      <x:c r="AN108" s="152" t="n">
        <x:f>IF(COUNTA(S108:AM108)=0,"",SUM(S108:AM108))</x:f>
        <x:v>0</x:v>
      </x:c>
      <x:c r="AO108" s="151" t="str"/>
      <x:c r="AP108" s="151" t="str"/>
      <x:c r="AQ108" s="151" t="str"/>
      <x:c r="AR108" s="151" t="str"/>
      <x:c r="AS108" s="196" t="str">
        <x:f>IF(AN108="","",IF(AO108="Cartons",IF(AP108*AQ108=AN108,"OK","CHECK CARTONS / SIZES"),IF(AR108=AN108,"OK","CHECK TOTAL / SIZES")))</x:f>
      </x:c>
      <x:c r="AT108" s="137" t="str"/>
      <x:c r="AU108" s="137" t="str"/>
      <x:c r="AV108" s="137" t="str"/>
      <x:c r="AW108" s="137" t="str"/>
    </x:row>
    <x:row r="109">
      <x:c r="A109" s="137" t="str"/>
      <x:c r="B109" s="137" t="str"/>
      <x:c r="C109" s="137" t="str"/>
      <x:c r="D109" s="137" t="str"/>
      <x:c r="E109" s="138" t="str"/>
      <x:c r="F109" s="138" t="str"/>
      <x:c r="G109" s="137" t="str"/>
      <x:c r="H109" s="137" t="str"/>
      <x:c r="I109" s="137" t="str"/>
      <x:c r="J109" s="137" t="str"/>
      <x:c r="K109" s="137" t="str"/>
      <x:c r="L109" s="137" t="str"/>
      <x:c r="M109" s="137" t="str"/>
      <x:c r="N109" s="137" t="str"/>
      <x:c r="O109" s="137" t="str"/>
      <x:c r="P109" s="137" t="str"/>
      <x:c r="Q109" s="137" t="str"/>
      <x:c r="R109" s="137" t="str"/>
      <x:c r="S109" s="151" t="str"/>
      <x:c r="T109" s="151" t="str"/>
      <x:c r="U109" s="151" t="str"/>
      <x:c r="V109" s="151" t="str"/>
      <x:c r="W109" s="151" t="str"/>
      <x:c r="X109" s="151" t="str"/>
      <x:c r="Y109" s="151" t="str"/>
      <x:c r="Z109" s="151" t="str"/>
      <x:c r="AA109" s="151" t="str"/>
      <x:c r="AB109" s="151" t="str"/>
      <x:c r="AC109" s="151" t="str"/>
      <x:c r="AD109" s="151" t="str"/>
      <x:c r="AE109" s="151" t="str"/>
      <x:c r="AF109" s="151" t="str"/>
      <x:c r="AG109" s="151" t="str"/>
      <x:c r="AH109" s="151" t="str"/>
      <x:c r="AI109" s="151" t="str"/>
      <x:c r="AJ109" s="151" t="str"/>
      <x:c r="AK109" s="151" t="str"/>
      <x:c r="AL109" s="151" t="str"/>
      <x:c r="AM109" s="151" t="str"/>
      <x:c r="AN109" s="152" t="n">
        <x:f>IF(COUNTA(S109:AM109)=0,"",SUM(S109:AM109))</x:f>
        <x:v>0</x:v>
      </x:c>
      <x:c r="AO109" s="151" t="str"/>
      <x:c r="AP109" s="151" t="str"/>
      <x:c r="AQ109" s="151" t="str"/>
      <x:c r="AR109" s="151" t="str"/>
      <x:c r="AS109" s="196" t="str">
        <x:f>IF(AN109="","",IF(AO109="Cartons",IF(AP109*AQ109=AN109,"OK","CHECK CARTONS / SIZES"),IF(AR109=AN109,"OK","CHECK TOTAL / SIZES")))</x:f>
      </x:c>
      <x:c r="AT109" s="137" t="str"/>
      <x:c r="AU109" s="137" t="str"/>
      <x:c r="AV109" s="137" t="str"/>
      <x:c r="AW109" s="137" t="str"/>
    </x:row>
    <x:row r="110">
      <x:c r="A110" s="137" t="str"/>
      <x:c r="B110" s="137" t="str"/>
      <x:c r="C110" s="137" t="str"/>
      <x:c r="D110" s="137" t="str"/>
      <x:c r="E110" s="138" t="str"/>
      <x:c r="F110" s="138" t="str"/>
      <x:c r="G110" s="137" t="str"/>
      <x:c r="H110" s="137" t="str"/>
      <x:c r="I110" s="137" t="str"/>
      <x:c r="J110" s="137" t="str"/>
      <x:c r="K110" s="137" t="str"/>
      <x:c r="L110" s="137" t="str"/>
      <x:c r="M110" s="137" t="str"/>
      <x:c r="N110" s="137" t="str"/>
      <x:c r="O110" s="137" t="str"/>
      <x:c r="P110" s="137" t="str"/>
      <x:c r="Q110" s="137" t="str"/>
      <x:c r="R110" s="137" t="str"/>
      <x:c r="S110" s="151" t="str"/>
      <x:c r="T110" s="151" t="str"/>
      <x:c r="U110" s="151" t="str"/>
      <x:c r="V110" s="151" t="str"/>
      <x:c r="W110" s="151" t="str"/>
      <x:c r="X110" s="151" t="str"/>
      <x:c r="Y110" s="151" t="str"/>
      <x:c r="Z110" s="151" t="str"/>
      <x:c r="AA110" s="151" t="str"/>
      <x:c r="AB110" s="151" t="str"/>
      <x:c r="AC110" s="151" t="str"/>
      <x:c r="AD110" s="151" t="str"/>
      <x:c r="AE110" s="151" t="str"/>
      <x:c r="AF110" s="151" t="str"/>
      <x:c r="AG110" s="151" t="str"/>
      <x:c r="AH110" s="151" t="str"/>
      <x:c r="AI110" s="151" t="str"/>
      <x:c r="AJ110" s="151" t="str"/>
      <x:c r="AK110" s="151" t="str"/>
      <x:c r="AL110" s="151" t="str"/>
      <x:c r="AM110" s="151" t="str"/>
      <x:c r="AN110" s="152" t="n">
        <x:f>IF(COUNTA(S110:AM110)=0,"",SUM(S110:AM110))</x:f>
        <x:v>0</x:v>
      </x:c>
      <x:c r="AO110" s="151" t="str"/>
      <x:c r="AP110" s="151" t="str"/>
      <x:c r="AQ110" s="151" t="str"/>
      <x:c r="AR110" s="151" t="str"/>
      <x:c r="AS110" s="196" t="str">
        <x:f>IF(AN110="","",IF(AO110="Cartons",IF(AP110*AQ110=AN110,"OK","CHECK CARTONS / SIZES"),IF(AR110=AN110,"OK","CHECK TOTAL / SIZES")))</x:f>
      </x:c>
      <x:c r="AT110" s="137" t="str"/>
      <x:c r="AU110" s="137" t="str"/>
      <x:c r="AV110" s="137" t="str"/>
      <x:c r="AW110" s="137" t="str"/>
    </x:row>
    <x:row r="111">
      <x:c r="A111" s="137" t="str"/>
      <x:c r="B111" s="137" t="str"/>
      <x:c r="C111" s="137" t="str"/>
      <x:c r="D111" s="137" t="str"/>
      <x:c r="E111" s="138" t="str"/>
      <x:c r="F111" s="138" t="str"/>
      <x:c r="G111" s="137" t="str"/>
      <x:c r="H111" s="137" t="str"/>
      <x:c r="I111" s="137" t="str"/>
      <x:c r="J111" s="137" t="str"/>
      <x:c r="K111" s="137" t="str"/>
      <x:c r="L111" s="137" t="str"/>
      <x:c r="M111" s="137" t="str"/>
      <x:c r="N111" s="137" t="str"/>
      <x:c r="O111" s="137" t="str"/>
      <x:c r="P111" s="137" t="str"/>
      <x:c r="Q111" s="137" t="str"/>
      <x:c r="R111" s="137" t="str"/>
      <x:c r="S111" s="151" t="str"/>
      <x:c r="T111" s="151" t="str"/>
      <x:c r="U111" s="151" t="str"/>
      <x:c r="V111" s="151" t="str"/>
      <x:c r="W111" s="151" t="str"/>
      <x:c r="X111" s="151" t="str"/>
      <x:c r="Y111" s="151" t="str"/>
      <x:c r="Z111" s="151" t="str"/>
      <x:c r="AA111" s="151" t="str"/>
      <x:c r="AB111" s="151" t="str"/>
      <x:c r="AC111" s="151" t="str"/>
      <x:c r="AD111" s="151" t="str"/>
      <x:c r="AE111" s="151" t="str"/>
      <x:c r="AF111" s="151" t="str"/>
      <x:c r="AG111" s="151" t="str"/>
      <x:c r="AH111" s="151" t="str"/>
      <x:c r="AI111" s="151" t="str"/>
      <x:c r="AJ111" s="151" t="str"/>
      <x:c r="AK111" s="151" t="str"/>
      <x:c r="AL111" s="151" t="str"/>
      <x:c r="AM111" s="151" t="str"/>
      <x:c r="AN111" s="152" t="n">
        <x:f>IF(COUNTA(S111:AM111)=0,"",SUM(S111:AM111))</x:f>
        <x:v>0</x:v>
      </x:c>
      <x:c r="AO111" s="151" t="str"/>
      <x:c r="AP111" s="151" t="str"/>
      <x:c r="AQ111" s="151" t="str"/>
      <x:c r="AR111" s="151" t="str"/>
      <x:c r="AS111" s="196" t="str">
        <x:f>IF(AN111="","",IF(AO111="Cartons",IF(AP111*AQ111=AN111,"OK","CHECK CARTONS / SIZES"),IF(AR111=AN111,"OK","CHECK TOTAL / SIZES")))</x:f>
      </x:c>
      <x:c r="AT111" s="137" t="str"/>
      <x:c r="AU111" s="137" t="str"/>
      <x:c r="AV111" s="137" t="str"/>
      <x:c r="AW111" s="137" t="str"/>
    </x:row>
    <x:row r="112">
      <x:c r="A112" s="137" t="str"/>
      <x:c r="B112" s="137" t="str"/>
      <x:c r="C112" s="137" t="str"/>
      <x:c r="D112" s="137" t="str"/>
      <x:c r="E112" s="138" t="str"/>
      <x:c r="F112" s="138" t="str"/>
      <x:c r="G112" s="137" t="str"/>
      <x:c r="H112" s="137" t="str"/>
      <x:c r="I112" s="137" t="str"/>
      <x:c r="J112" s="137" t="str"/>
      <x:c r="K112" s="137" t="str"/>
      <x:c r="L112" s="137" t="str"/>
      <x:c r="M112" s="137" t="str"/>
      <x:c r="N112" s="137" t="str"/>
      <x:c r="O112" s="137" t="str"/>
      <x:c r="P112" s="137" t="str"/>
      <x:c r="Q112" s="137" t="str"/>
      <x:c r="R112" s="137" t="str"/>
      <x:c r="S112" s="151" t="str"/>
      <x:c r="T112" s="151" t="str"/>
      <x:c r="U112" s="151" t="str"/>
      <x:c r="V112" s="151" t="str"/>
      <x:c r="W112" s="151" t="str"/>
      <x:c r="X112" s="151" t="str"/>
      <x:c r="Y112" s="151" t="str"/>
      <x:c r="Z112" s="151" t="str"/>
      <x:c r="AA112" s="151" t="str"/>
      <x:c r="AB112" s="151" t="str"/>
      <x:c r="AC112" s="151" t="str"/>
      <x:c r="AD112" s="151" t="str"/>
      <x:c r="AE112" s="151" t="str"/>
      <x:c r="AF112" s="151" t="str"/>
      <x:c r="AG112" s="151" t="str"/>
      <x:c r="AH112" s="151" t="str"/>
      <x:c r="AI112" s="151" t="str"/>
      <x:c r="AJ112" s="151" t="str"/>
      <x:c r="AK112" s="151" t="str"/>
      <x:c r="AL112" s="151" t="str"/>
      <x:c r="AM112" s="151" t="str"/>
      <x:c r="AN112" s="152" t="n">
        <x:f>IF(COUNTA(S112:AM112)=0,"",SUM(S112:AM112))</x:f>
        <x:v>0</x:v>
      </x:c>
      <x:c r="AO112" s="151" t="str"/>
      <x:c r="AP112" s="151" t="str"/>
      <x:c r="AQ112" s="151" t="str"/>
      <x:c r="AR112" s="151" t="str"/>
      <x:c r="AS112" s="196" t="str">
        <x:f>IF(AN112="","",IF(AO112="Cartons",IF(AP112*AQ112=AN112,"OK","CHECK CARTONS / SIZES"),IF(AR112=AN112,"OK","CHECK TOTAL / SIZES")))</x:f>
      </x:c>
      <x:c r="AT112" s="137" t="str"/>
      <x:c r="AU112" s="137" t="str"/>
      <x:c r="AV112" s="137" t="str"/>
      <x:c r="AW112" s="137" t="str"/>
    </x:row>
    <x:row r="113">
      <x:c r="A113" s="137" t="str"/>
      <x:c r="B113" s="137" t="str"/>
      <x:c r="C113" s="137" t="str"/>
      <x:c r="D113" s="137" t="str"/>
      <x:c r="E113" s="138" t="str"/>
      <x:c r="F113" s="138" t="str"/>
      <x:c r="G113" s="137" t="str"/>
      <x:c r="H113" s="137" t="str"/>
      <x:c r="I113" s="137" t="str"/>
      <x:c r="J113" s="137" t="str"/>
      <x:c r="K113" s="137" t="str"/>
      <x:c r="L113" s="137" t="str"/>
      <x:c r="M113" s="137" t="str"/>
      <x:c r="N113" s="137" t="str"/>
      <x:c r="O113" s="137" t="str"/>
      <x:c r="P113" s="137" t="str"/>
      <x:c r="Q113" s="137" t="str"/>
      <x:c r="R113" s="137" t="str"/>
      <x:c r="S113" s="151" t="str"/>
      <x:c r="T113" s="151" t="str"/>
      <x:c r="U113" s="151" t="str"/>
      <x:c r="V113" s="151" t="str"/>
      <x:c r="W113" s="151" t="str"/>
      <x:c r="X113" s="151" t="str"/>
      <x:c r="Y113" s="151" t="str"/>
      <x:c r="Z113" s="151" t="str"/>
      <x:c r="AA113" s="151" t="str"/>
      <x:c r="AB113" s="151" t="str"/>
      <x:c r="AC113" s="151" t="str"/>
      <x:c r="AD113" s="151" t="str"/>
      <x:c r="AE113" s="151" t="str"/>
      <x:c r="AF113" s="151" t="str"/>
      <x:c r="AG113" s="151" t="str"/>
      <x:c r="AH113" s="151" t="str"/>
      <x:c r="AI113" s="151" t="str"/>
      <x:c r="AJ113" s="151" t="str"/>
      <x:c r="AK113" s="151" t="str"/>
      <x:c r="AL113" s="151" t="str"/>
      <x:c r="AM113" s="151" t="str"/>
      <x:c r="AN113" s="152" t="n">
        <x:f>IF(COUNTA(S113:AM113)=0,"",SUM(S113:AM113))</x:f>
        <x:v>0</x:v>
      </x:c>
      <x:c r="AO113" s="151" t="str"/>
      <x:c r="AP113" s="151" t="str"/>
      <x:c r="AQ113" s="151" t="str"/>
      <x:c r="AR113" s="151" t="str"/>
      <x:c r="AS113" s="196" t="str">
        <x:f>IF(AN113="","",IF(AO113="Cartons",IF(AP113*AQ113=AN113,"OK","CHECK CARTONS / SIZES"),IF(AR113=AN113,"OK","CHECK TOTAL / SIZES")))</x:f>
      </x:c>
      <x:c r="AT113" s="137" t="str"/>
      <x:c r="AU113" s="137" t="str"/>
      <x:c r="AV113" s="137" t="str"/>
      <x:c r="AW113" s="137" t="str"/>
    </x:row>
    <x:row r="114">
      <x:c r="A114" s="137" t="str"/>
      <x:c r="B114" s="137" t="str"/>
      <x:c r="C114" s="137" t="str"/>
      <x:c r="D114" s="137" t="str"/>
      <x:c r="E114" s="138" t="str"/>
      <x:c r="F114" s="138" t="str"/>
      <x:c r="G114" s="137" t="str"/>
      <x:c r="H114" s="137" t="str"/>
      <x:c r="I114" s="137" t="str"/>
      <x:c r="J114" s="137" t="str"/>
      <x:c r="K114" s="137" t="str"/>
      <x:c r="L114" s="137" t="str"/>
      <x:c r="M114" s="137" t="str"/>
      <x:c r="N114" s="137" t="str"/>
      <x:c r="O114" s="137" t="str"/>
      <x:c r="P114" s="137" t="str"/>
      <x:c r="Q114" s="137" t="str"/>
      <x:c r="R114" s="137" t="str"/>
      <x:c r="S114" s="151" t="str"/>
      <x:c r="T114" s="151" t="str"/>
      <x:c r="U114" s="151" t="str"/>
      <x:c r="V114" s="151" t="str"/>
      <x:c r="W114" s="151" t="str"/>
      <x:c r="X114" s="151" t="str"/>
      <x:c r="Y114" s="151" t="str"/>
      <x:c r="Z114" s="151" t="str"/>
      <x:c r="AA114" s="151" t="str"/>
      <x:c r="AB114" s="151" t="str"/>
      <x:c r="AC114" s="151" t="str"/>
      <x:c r="AD114" s="151" t="str"/>
      <x:c r="AE114" s="151" t="str"/>
      <x:c r="AF114" s="151" t="str"/>
      <x:c r="AG114" s="151" t="str"/>
      <x:c r="AH114" s="151" t="str"/>
      <x:c r="AI114" s="151" t="str"/>
      <x:c r="AJ114" s="151" t="str"/>
      <x:c r="AK114" s="151" t="str"/>
      <x:c r="AL114" s="151" t="str"/>
      <x:c r="AM114" s="151" t="str"/>
      <x:c r="AN114" s="152" t="n">
        <x:f>IF(COUNTA(S114:AM114)=0,"",SUM(S114:AM114))</x:f>
        <x:v>0</x:v>
      </x:c>
      <x:c r="AO114" s="151" t="str"/>
      <x:c r="AP114" s="151" t="str"/>
      <x:c r="AQ114" s="151" t="str"/>
      <x:c r="AR114" s="151" t="str"/>
      <x:c r="AS114" s="196" t="str">
        <x:f>IF(AN114="","",IF(AO114="Cartons",IF(AP114*AQ114=AN114,"OK","CHECK CARTONS / SIZES"),IF(AR114=AN114,"OK","CHECK TOTAL / SIZES")))</x:f>
      </x:c>
      <x:c r="AT114" s="137" t="str"/>
      <x:c r="AU114" s="137" t="str"/>
      <x:c r="AV114" s="137" t="str"/>
      <x:c r="AW114" s="137" t="str"/>
    </x:row>
    <x:row r="115">
      <x:c r="A115" s="137" t="str"/>
      <x:c r="B115" s="137" t="str"/>
      <x:c r="C115" s="137" t="str"/>
      <x:c r="D115" s="137" t="str"/>
      <x:c r="E115" s="138" t="str"/>
      <x:c r="F115" s="138" t="str"/>
      <x:c r="G115" s="137" t="str"/>
      <x:c r="H115" s="137" t="str"/>
      <x:c r="I115" s="137" t="str"/>
      <x:c r="J115" s="137" t="str"/>
      <x:c r="K115" s="137" t="str"/>
      <x:c r="L115" s="137" t="str"/>
      <x:c r="M115" s="137" t="str"/>
      <x:c r="N115" s="137" t="str"/>
      <x:c r="O115" s="137" t="str"/>
      <x:c r="P115" s="137" t="str"/>
      <x:c r="Q115" s="137" t="str"/>
      <x:c r="R115" s="137" t="str"/>
      <x:c r="S115" s="151" t="str"/>
      <x:c r="T115" s="151" t="str"/>
      <x:c r="U115" s="151" t="str"/>
      <x:c r="V115" s="151" t="str"/>
      <x:c r="W115" s="151" t="str"/>
      <x:c r="X115" s="151" t="str"/>
      <x:c r="Y115" s="151" t="str"/>
      <x:c r="Z115" s="151" t="str"/>
      <x:c r="AA115" s="151" t="str"/>
      <x:c r="AB115" s="151" t="str"/>
      <x:c r="AC115" s="151" t="str"/>
      <x:c r="AD115" s="151" t="str"/>
      <x:c r="AE115" s="151" t="str"/>
      <x:c r="AF115" s="151" t="str"/>
      <x:c r="AG115" s="151" t="str"/>
      <x:c r="AH115" s="151" t="str"/>
      <x:c r="AI115" s="151" t="str"/>
      <x:c r="AJ115" s="151" t="str"/>
      <x:c r="AK115" s="151" t="str"/>
      <x:c r="AL115" s="151" t="str"/>
      <x:c r="AM115" s="151" t="str"/>
      <x:c r="AN115" s="152" t="n">
        <x:f>IF(COUNTA(S115:AM115)=0,"",SUM(S115:AM115))</x:f>
        <x:v>0</x:v>
      </x:c>
      <x:c r="AO115" s="151" t="str"/>
      <x:c r="AP115" s="151" t="str"/>
      <x:c r="AQ115" s="151" t="str"/>
      <x:c r="AR115" s="151" t="str"/>
      <x:c r="AS115" s="196" t="str">
        <x:f>IF(AN115="","",IF(AO115="Cartons",IF(AP115*AQ115=AN115,"OK","CHECK CARTONS / SIZES"),IF(AR115=AN115,"OK","CHECK TOTAL / SIZES")))</x:f>
      </x:c>
      <x:c r="AT115" s="137" t="str"/>
      <x:c r="AU115" s="137" t="str"/>
      <x:c r="AV115" s="137" t="str"/>
      <x:c r="AW115" s="137" t="str"/>
    </x:row>
    <x:row r="116">
      <x:c r="A116" s="137" t="str"/>
      <x:c r="B116" s="137" t="str"/>
      <x:c r="C116" s="137" t="str"/>
      <x:c r="D116" s="137" t="str"/>
      <x:c r="E116" s="138" t="str"/>
      <x:c r="F116" s="138" t="str"/>
      <x:c r="G116" s="137" t="str"/>
      <x:c r="H116" s="137" t="str"/>
      <x:c r="I116" s="137" t="str"/>
      <x:c r="J116" s="137" t="str"/>
      <x:c r="K116" s="137" t="str"/>
      <x:c r="L116" s="137" t="str"/>
      <x:c r="M116" s="137" t="str"/>
      <x:c r="N116" s="137" t="str"/>
      <x:c r="O116" s="137" t="str"/>
      <x:c r="P116" s="137" t="str"/>
      <x:c r="Q116" s="137" t="str"/>
      <x:c r="R116" s="137" t="str"/>
      <x:c r="S116" s="151" t="str"/>
      <x:c r="T116" s="151" t="str"/>
      <x:c r="U116" s="151" t="str"/>
      <x:c r="V116" s="151" t="str"/>
      <x:c r="W116" s="151" t="str"/>
      <x:c r="X116" s="151" t="str"/>
      <x:c r="Y116" s="151" t="str"/>
      <x:c r="Z116" s="151" t="str"/>
      <x:c r="AA116" s="151" t="str"/>
      <x:c r="AB116" s="151" t="str"/>
      <x:c r="AC116" s="151" t="str"/>
      <x:c r="AD116" s="151" t="str"/>
      <x:c r="AE116" s="151" t="str"/>
      <x:c r="AF116" s="151" t="str"/>
      <x:c r="AG116" s="151" t="str"/>
      <x:c r="AH116" s="151" t="str"/>
      <x:c r="AI116" s="151" t="str"/>
      <x:c r="AJ116" s="151" t="str"/>
      <x:c r="AK116" s="151" t="str"/>
      <x:c r="AL116" s="151" t="str"/>
      <x:c r="AM116" s="151" t="str"/>
      <x:c r="AN116" s="152" t="n">
        <x:f>IF(COUNTA(S116:AM116)=0,"",SUM(S116:AM116))</x:f>
        <x:v>0</x:v>
      </x:c>
      <x:c r="AO116" s="151" t="str"/>
      <x:c r="AP116" s="151" t="str"/>
      <x:c r="AQ116" s="151" t="str"/>
      <x:c r="AR116" s="151" t="str"/>
      <x:c r="AS116" s="196" t="str">
        <x:f>IF(AN116="","",IF(AO116="Cartons",IF(AP116*AQ116=AN116,"OK","CHECK CARTONS / SIZES"),IF(AR116=AN116,"OK","CHECK TOTAL / SIZES")))</x:f>
      </x:c>
      <x:c r="AT116" s="137" t="str"/>
      <x:c r="AU116" s="137" t="str"/>
      <x:c r="AV116" s="137" t="str"/>
      <x:c r="AW116" s="137" t="str"/>
    </x:row>
    <x:row r="117">
      <x:c r="A117" s="137" t="str"/>
      <x:c r="B117" s="137" t="str"/>
      <x:c r="C117" s="137" t="str"/>
      <x:c r="D117" s="137" t="str"/>
      <x:c r="E117" s="138" t="str"/>
      <x:c r="F117" s="138" t="str"/>
      <x:c r="G117" s="137" t="str"/>
      <x:c r="H117" s="137" t="str"/>
      <x:c r="I117" s="137" t="str"/>
      <x:c r="J117" s="137" t="str"/>
      <x:c r="K117" s="137" t="str"/>
      <x:c r="L117" s="137" t="str"/>
      <x:c r="M117" s="137" t="str"/>
      <x:c r="N117" s="137" t="str"/>
      <x:c r="O117" s="137" t="str"/>
      <x:c r="P117" s="137" t="str"/>
      <x:c r="Q117" s="137" t="str"/>
      <x:c r="R117" s="137" t="str"/>
      <x:c r="S117" s="151" t="str"/>
      <x:c r="T117" s="151" t="str"/>
      <x:c r="U117" s="151" t="str"/>
      <x:c r="V117" s="151" t="str"/>
      <x:c r="W117" s="151" t="str"/>
      <x:c r="X117" s="151" t="str"/>
      <x:c r="Y117" s="151" t="str"/>
      <x:c r="Z117" s="151" t="str"/>
      <x:c r="AA117" s="151" t="str"/>
      <x:c r="AB117" s="151" t="str"/>
      <x:c r="AC117" s="151" t="str"/>
      <x:c r="AD117" s="151" t="str"/>
      <x:c r="AE117" s="151" t="str"/>
      <x:c r="AF117" s="151" t="str"/>
      <x:c r="AG117" s="151" t="str"/>
      <x:c r="AH117" s="151" t="str"/>
      <x:c r="AI117" s="151" t="str"/>
      <x:c r="AJ117" s="151" t="str"/>
      <x:c r="AK117" s="151" t="str"/>
      <x:c r="AL117" s="151" t="str"/>
      <x:c r="AM117" s="151" t="str"/>
      <x:c r="AN117" s="152" t="n">
        <x:f>IF(COUNTA(S117:AM117)=0,"",SUM(S117:AM117))</x:f>
        <x:v>0</x:v>
      </x:c>
      <x:c r="AO117" s="151" t="str"/>
      <x:c r="AP117" s="151" t="str"/>
      <x:c r="AQ117" s="151" t="str"/>
      <x:c r="AR117" s="151" t="str"/>
      <x:c r="AS117" s="196" t="str">
        <x:f>IF(AN117="","",IF(AO117="Cartons",IF(AP117*AQ117=AN117,"OK","CHECK CARTONS / SIZES"),IF(AR117=AN117,"OK","CHECK TOTAL / SIZES")))</x:f>
      </x:c>
      <x:c r="AT117" s="137" t="str"/>
      <x:c r="AU117" s="137" t="str"/>
      <x:c r="AV117" s="137" t="str"/>
      <x:c r="AW117" s="137" t="str"/>
    </x:row>
    <x:row r="118">
      <x:c r="A118" s="137" t="str"/>
      <x:c r="B118" s="137" t="str"/>
      <x:c r="C118" s="137" t="str"/>
      <x:c r="D118" s="137" t="str"/>
      <x:c r="E118" s="138" t="str"/>
      <x:c r="F118" s="138" t="str"/>
      <x:c r="G118" s="137" t="str"/>
      <x:c r="H118" s="137" t="str"/>
      <x:c r="I118" s="137" t="str"/>
      <x:c r="J118" s="137" t="str"/>
      <x:c r="K118" s="137" t="str"/>
      <x:c r="L118" s="137" t="str"/>
      <x:c r="M118" s="137" t="str"/>
      <x:c r="N118" s="137" t="str"/>
      <x:c r="O118" s="137" t="str"/>
      <x:c r="P118" s="137" t="str"/>
      <x:c r="Q118" s="137" t="str"/>
      <x:c r="R118" s="137" t="str"/>
      <x:c r="S118" s="151" t="str"/>
      <x:c r="T118" s="151" t="str"/>
      <x:c r="U118" s="151" t="str"/>
      <x:c r="V118" s="151" t="str"/>
      <x:c r="W118" s="151" t="str"/>
      <x:c r="X118" s="151" t="str"/>
      <x:c r="Y118" s="151" t="str"/>
      <x:c r="Z118" s="151" t="str"/>
      <x:c r="AA118" s="151" t="str"/>
      <x:c r="AB118" s="151" t="str"/>
      <x:c r="AC118" s="151" t="str"/>
      <x:c r="AD118" s="151" t="str"/>
      <x:c r="AE118" s="151" t="str"/>
      <x:c r="AF118" s="151" t="str"/>
      <x:c r="AG118" s="151" t="str"/>
      <x:c r="AH118" s="151" t="str"/>
      <x:c r="AI118" s="151" t="str"/>
      <x:c r="AJ118" s="151" t="str"/>
      <x:c r="AK118" s="151" t="str"/>
      <x:c r="AL118" s="151" t="str"/>
      <x:c r="AM118" s="151" t="str"/>
      <x:c r="AN118" s="152" t="n">
        <x:f>IF(COUNTA(S118:AM118)=0,"",SUM(S118:AM118))</x:f>
        <x:v>0</x:v>
      </x:c>
      <x:c r="AO118" s="151" t="str"/>
      <x:c r="AP118" s="151" t="str"/>
      <x:c r="AQ118" s="151" t="str"/>
      <x:c r="AR118" s="151" t="str"/>
      <x:c r="AS118" s="196" t="str">
        <x:f>IF(AN118="","",IF(AO118="Cartons",IF(AP118*AQ118=AN118,"OK","CHECK CARTONS / SIZES"),IF(AR118=AN118,"OK","CHECK TOTAL / SIZES")))</x:f>
      </x:c>
      <x:c r="AT118" s="137" t="str"/>
      <x:c r="AU118" s="137" t="str"/>
      <x:c r="AV118" s="137" t="str"/>
      <x:c r="AW118" s="137" t="str"/>
    </x:row>
    <x:row r="119">
      <x:c r="A119" s="137" t="str"/>
      <x:c r="B119" s="137" t="str"/>
      <x:c r="C119" s="137" t="str"/>
      <x:c r="D119" s="137" t="str"/>
      <x:c r="E119" s="138" t="str"/>
      <x:c r="F119" s="138" t="str"/>
      <x:c r="G119" s="137" t="str"/>
      <x:c r="H119" s="137" t="str"/>
      <x:c r="I119" s="137" t="str"/>
      <x:c r="J119" s="137" t="str"/>
      <x:c r="K119" s="137" t="str"/>
      <x:c r="L119" s="137" t="str"/>
      <x:c r="M119" s="137" t="str"/>
      <x:c r="N119" s="137" t="str"/>
      <x:c r="O119" s="137" t="str"/>
      <x:c r="P119" s="137" t="str"/>
      <x:c r="Q119" s="137" t="str"/>
      <x:c r="R119" s="137" t="str"/>
      <x:c r="S119" s="151" t="str"/>
      <x:c r="T119" s="151" t="str"/>
      <x:c r="U119" s="151" t="str"/>
      <x:c r="V119" s="151" t="str"/>
      <x:c r="W119" s="151" t="str"/>
      <x:c r="X119" s="151" t="str"/>
      <x:c r="Y119" s="151" t="str"/>
      <x:c r="Z119" s="151" t="str"/>
      <x:c r="AA119" s="151" t="str"/>
      <x:c r="AB119" s="151" t="str"/>
      <x:c r="AC119" s="151" t="str"/>
      <x:c r="AD119" s="151" t="str"/>
      <x:c r="AE119" s="151" t="str"/>
      <x:c r="AF119" s="151" t="str"/>
      <x:c r="AG119" s="151" t="str"/>
      <x:c r="AH119" s="151" t="str"/>
      <x:c r="AI119" s="151" t="str"/>
      <x:c r="AJ119" s="151" t="str"/>
      <x:c r="AK119" s="151" t="str"/>
      <x:c r="AL119" s="151" t="str"/>
      <x:c r="AM119" s="151" t="str"/>
      <x:c r="AN119" s="152" t="n">
        <x:f>IF(COUNTA(S119:AM119)=0,"",SUM(S119:AM119))</x:f>
        <x:v>0</x:v>
      </x:c>
      <x:c r="AO119" s="151" t="str"/>
      <x:c r="AP119" s="151" t="str"/>
      <x:c r="AQ119" s="151" t="str"/>
      <x:c r="AR119" s="151" t="str"/>
      <x:c r="AS119" s="196" t="str">
        <x:f>IF(AN119="","",IF(AO119="Cartons",IF(AP119*AQ119=AN119,"OK","CHECK CARTONS / SIZES"),IF(AR119=AN119,"OK","CHECK TOTAL / SIZES")))</x:f>
      </x:c>
      <x:c r="AT119" s="137" t="str"/>
      <x:c r="AU119" s="137" t="str"/>
      <x:c r="AV119" s="137" t="str"/>
      <x:c r="AW119" s="137" t="str"/>
    </x:row>
    <x:row r="120">
      <x:c r="A120" s="137" t="str"/>
      <x:c r="B120" s="137" t="str"/>
      <x:c r="C120" s="137" t="str"/>
      <x:c r="D120" s="137" t="str"/>
      <x:c r="E120" s="138" t="str"/>
      <x:c r="F120" s="138" t="str"/>
      <x:c r="G120" s="137" t="str"/>
      <x:c r="H120" s="137" t="str"/>
      <x:c r="I120" s="137" t="str"/>
      <x:c r="J120" s="137" t="str"/>
      <x:c r="K120" s="137" t="str"/>
      <x:c r="L120" s="137" t="str"/>
      <x:c r="M120" s="137" t="str"/>
      <x:c r="N120" s="137" t="str"/>
      <x:c r="O120" s="137" t="str"/>
      <x:c r="P120" s="137" t="str"/>
      <x:c r="Q120" s="137" t="str"/>
      <x:c r="R120" s="137" t="str"/>
      <x:c r="S120" s="151" t="str"/>
      <x:c r="T120" s="151" t="str"/>
      <x:c r="U120" s="151" t="str"/>
      <x:c r="V120" s="151" t="str"/>
      <x:c r="W120" s="151" t="str"/>
      <x:c r="X120" s="151" t="str"/>
      <x:c r="Y120" s="151" t="str"/>
      <x:c r="Z120" s="151" t="str"/>
      <x:c r="AA120" s="151" t="str"/>
      <x:c r="AB120" s="151" t="str"/>
      <x:c r="AC120" s="151" t="str"/>
      <x:c r="AD120" s="151" t="str"/>
      <x:c r="AE120" s="151" t="str"/>
      <x:c r="AF120" s="151" t="str"/>
      <x:c r="AG120" s="151" t="str"/>
      <x:c r="AH120" s="151" t="str"/>
      <x:c r="AI120" s="151" t="str"/>
      <x:c r="AJ120" s="151" t="str"/>
      <x:c r="AK120" s="151" t="str"/>
      <x:c r="AL120" s="151" t="str"/>
      <x:c r="AM120" s="151" t="str"/>
      <x:c r="AN120" s="152" t="n">
        <x:f>IF(COUNTA(S120:AM120)=0,"",SUM(S120:AM120))</x:f>
        <x:v>0</x:v>
      </x:c>
      <x:c r="AO120" s="151" t="str"/>
      <x:c r="AP120" s="151" t="str"/>
      <x:c r="AQ120" s="151" t="str"/>
      <x:c r="AR120" s="151" t="str"/>
      <x:c r="AS120" s="196" t="str">
        <x:f>IF(AN120="","",IF(AO120="Cartons",IF(AP120*AQ120=AN120,"OK","CHECK CARTONS / SIZES"),IF(AR120=AN120,"OK","CHECK TOTAL / SIZES")))</x:f>
      </x:c>
      <x:c r="AT120" s="137" t="str"/>
      <x:c r="AU120" s="137" t="str"/>
      <x:c r="AV120" s="137" t="str"/>
      <x:c r="AW120" s="137" t="str"/>
    </x:row>
    <x:row r="121">
      <x:c r="A121" s="137" t="str"/>
      <x:c r="B121" s="137" t="str"/>
      <x:c r="C121" s="137" t="str"/>
      <x:c r="D121" s="137" t="str"/>
      <x:c r="E121" s="138" t="str"/>
      <x:c r="F121" s="138" t="str"/>
      <x:c r="G121" s="137" t="str"/>
      <x:c r="H121" s="137" t="str"/>
      <x:c r="I121" s="137" t="str"/>
      <x:c r="J121" s="137" t="str"/>
      <x:c r="K121" s="137" t="str"/>
      <x:c r="L121" s="137" t="str"/>
      <x:c r="M121" s="137" t="str"/>
      <x:c r="N121" s="137" t="str"/>
      <x:c r="O121" s="137" t="str"/>
      <x:c r="P121" s="137" t="str"/>
      <x:c r="Q121" s="137" t="str"/>
      <x:c r="R121" s="137" t="str"/>
      <x:c r="S121" s="151" t="str"/>
      <x:c r="T121" s="151" t="str"/>
      <x:c r="U121" s="151" t="str"/>
      <x:c r="V121" s="151" t="str"/>
      <x:c r="W121" s="151" t="str"/>
      <x:c r="X121" s="151" t="str"/>
      <x:c r="Y121" s="151" t="str"/>
      <x:c r="Z121" s="151" t="str"/>
      <x:c r="AA121" s="151" t="str"/>
      <x:c r="AB121" s="151" t="str"/>
      <x:c r="AC121" s="151" t="str"/>
      <x:c r="AD121" s="151" t="str"/>
      <x:c r="AE121" s="151" t="str"/>
      <x:c r="AF121" s="151" t="str"/>
      <x:c r="AG121" s="151" t="str"/>
      <x:c r="AH121" s="151" t="str"/>
      <x:c r="AI121" s="151" t="str"/>
      <x:c r="AJ121" s="151" t="str"/>
      <x:c r="AK121" s="151" t="str"/>
      <x:c r="AL121" s="151" t="str"/>
      <x:c r="AM121" s="151" t="str"/>
      <x:c r="AN121" s="152" t="n">
        <x:f>IF(COUNTA(S121:AM121)=0,"",SUM(S121:AM121))</x:f>
        <x:v>0</x:v>
      </x:c>
      <x:c r="AO121" s="151" t="str"/>
      <x:c r="AP121" s="151" t="str"/>
      <x:c r="AQ121" s="151" t="str"/>
      <x:c r="AR121" s="151" t="str"/>
      <x:c r="AS121" s="196" t="str">
        <x:f>IF(AN121="","",IF(AO121="Cartons",IF(AP121*AQ121=AN121,"OK","CHECK CARTONS / SIZES"),IF(AR121=AN121,"OK","CHECK TOTAL / SIZES")))</x:f>
      </x:c>
      <x:c r="AT121" s="137" t="str"/>
      <x:c r="AU121" s="137" t="str"/>
      <x:c r="AV121" s="137" t="str"/>
      <x:c r="AW121" s="137" t="str"/>
    </x:row>
    <x:row r="122">
      <x:c r="A122" s="137" t="str"/>
      <x:c r="B122" s="137" t="str"/>
      <x:c r="C122" s="137" t="str"/>
      <x:c r="D122" s="137" t="str"/>
      <x:c r="E122" s="138" t="str"/>
      <x:c r="F122" s="138" t="str"/>
      <x:c r="G122" s="137" t="str"/>
      <x:c r="H122" s="137" t="str"/>
      <x:c r="I122" s="137" t="str"/>
      <x:c r="J122" s="137" t="str"/>
      <x:c r="K122" s="137" t="str"/>
      <x:c r="L122" s="137" t="str"/>
      <x:c r="M122" s="137" t="str"/>
      <x:c r="N122" s="137" t="str"/>
      <x:c r="O122" s="137" t="str"/>
      <x:c r="P122" s="137" t="str"/>
      <x:c r="Q122" s="137" t="str"/>
      <x:c r="R122" s="137" t="str"/>
      <x:c r="S122" s="151" t="str"/>
      <x:c r="T122" s="151" t="str"/>
      <x:c r="U122" s="151" t="str"/>
      <x:c r="V122" s="151" t="str"/>
      <x:c r="W122" s="151" t="str"/>
      <x:c r="X122" s="151" t="str"/>
      <x:c r="Y122" s="151" t="str"/>
      <x:c r="Z122" s="151" t="str"/>
      <x:c r="AA122" s="151" t="str"/>
      <x:c r="AB122" s="151" t="str"/>
      <x:c r="AC122" s="151" t="str"/>
      <x:c r="AD122" s="151" t="str"/>
      <x:c r="AE122" s="151" t="str"/>
      <x:c r="AF122" s="151" t="str"/>
      <x:c r="AG122" s="151" t="str"/>
      <x:c r="AH122" s="151" t="str"/>
      <x:c r="AI122" s="151" t="str"/>
      <x:c r="AJ122" s="151" t="str"/>
      <x:c r="AK122" s="151" t="str"/>
      <x:c r="AL122" s="151" t="str"/>
      <x:c r="AM122" s="151" t="str"/>
      <x:c r="AN122" s="152" t="n">
        <x:f>IF(COUNTA(S122:AM122)=0,"",SUM(S122:AM122))</x:f>
        <x:v>0</x:v>
      </x:c>
      <x:c r="AO122" s="151" t="str"/>
      <x:c r="AP122" s="151" t="str"/>
      <x:c r="AQ122" s="151" t="str"/>
      <x:c r="AR122" s="151" t="str"/>
      <x:c r="AS122" s="196" t="str">
        <x:f>IF(AN122="","",IF(AO122="Cartons",IF(AP122*AQ122=AN122,"OK","CHECK CARTONS / SIZES"),IF(AR122=AN122,"OK","CHECK TOTAL / SIZES")))</x:f>
      </x:c>
      <x:c r="AT122" s="137" t="str"/>
      <x:c r="AU122" s="137" t="str"/>
      <x:c r="AV122" s="137" t="str"/>
      <x:c r="AW122" s="137" t="str"/>
    </x:row>
    <x:row r="123">
      <x:c r="A123" s="137" t="str"/>
      <x:c r="B123" s="137" t="str"/>
      <x:c r="C123" s="137" t="str"/>
      <x:c r="D123" s="137" t="str"/>
      <x:c r="E123" s="138" t="str"/>
      <x:c r="F123" s="138" t="str"/>
      <x:c r="G123" s="137" t="str"/>
      <x:c r="H123" s="137" t="str"/>
      <x:c r="I123" s="137" t="str"/>
      <x:c r="J123" s="137" t="str"/>
      <x:c r="K123" s="137" t="str"/>
      <x:c r="L123" s="137" t="str"/>
      <x:c r="M123" s="137" t="str"/>
      <x:c r="N123" s="137" t="str"/>
      <x:c r="O123" s="137" t="str"/>
      <x:c r="P123" s="137" t="str"/>
      <x:c r="Q123" s="137" t="str"/>
      <x:c r="R123" s="137" t="str"/>
      <x:c r="S123" s="151" t="str"/>
      <x:c r="T123" s="151" t="str"/>
      <x:c r="U123" s="151" t="str"/>
      <x:c r="V123" s="151" t="str"/>
      <x:c r="W123" s="151" t="str"/>
      <x:c r="X123" s="151" t="str"/>
      <x:c r="Y123" s="151" t="str"/>
      <x:c r="Z123" s="151" t="str"/>
      <x:c r="AA123" s="151" t="str"/>
      <x:c r="AB123" s="151" t="str"/>
      <x:c r="AC123" s="151" t="str"/>
      <x:c r="AD123" s="151" t="str"/>
      <x:c r="AE123" s="151" t="str"/>
      <x:c r="AF123" s="151" t="str"/>
      <x:c r="AG123" s="151" t="str"/>
      <x:c r="AH123" s="151" t="str"/>
      <x:c r="AI123" s="151" t="str"/>
      <x:c r="AJ123" s="151" t="str"/>
      <x:c r="AK123" s="151" t="str"/>
      <x:c r="AL123" s="151" t="str"/>
      <x:c r="AM123" s="151" t="str"/>
      <x:c r="AN123" s="152" t="n">
        <x:f>IF(COUNTA(S123:AM123)=0,"",SUM(S123:AM123))</x:f>
        <x:v>0</x:v>
      </x:c>
      <x:c r="AO123" s="151" t="str"/>
      <x:c r="AP123" s="151" t="str"/>
      <x:c r="AQ123" s="151" t="str"/>
      <x:c r="AR123" s="151" t="str"/>
      <x:c r="AS123" s="196" t="str">
        <x:f>IF(AN123="","",IF(AO123="Cartons",IF(AP123*AQ123=AN123,"OK","CHECK CARTONS / SIZES"),IF(AR123=AN123,"OK","CHECK TOTAL / SIZES")))</x:f>
      </x:c>
      <x:c r="AT123" s="137" t="str"/>
      <x:c r="AU123" s="137" t="str"/>
      <x:c r="AV123" s="137" t="str"/>
      <x:c r="AW123" s="137" t="str"/>
    </x:row>
    <x:row r="124">
      <x:c r="A124" s="137" t="str"/>
      <x:c r="B124" s="137" t="str"/>
      <x:c r="C124" s="137" t="str"/>
      <x:c r="D124" s="137" t="str"/>
      <x:c r="E124" s="138" t="str"/>
      <x:c r="F124" s="138" t="str"/>
      <x:c r="G124" s="137" t="str"/>
      <x:c r="H124" s="137" t="str"/>
      <x:c r="I124" s="137" t="str"/>
      <x:c r="J124" s="137" t="str"/>
      <x:c r="K124" s="137" t="str"/>
      <x:c r="L124" s="137" t="str"/>
      <x:c r="M124" s="137" t="str"/>
      <x:c r="N124" s="137" t="str"/>
      <x:c r="O124" s="137" t="str"/>
      <x:c r="P124" s="137" t="str"/>
      <x:c r="Q124" s="137" t="str"/>
      <x:c r="R124" s="137" t="str"/>
      <x:c r="S124" s="151" t="str"/>
      <x:c r="T124" s="151" t="str"/>
      <x:c r="U124" s="151" t="str"/>
      <x:c r="V124" s="151" t="str"/>
      <x:c r="W124" s="151" t="str"/>
      <x:c r="X124" s="151" t="str"/>
      <x:c r="Y124" s="151" t="str"/>
      <x:c r="Z124" s="151" t="str"/>
      <x:c r="AA124" s="151" t="str"/>
      <x:c r="AB124" s="151" t="str"/>
      <x:c r="AC124" s="151" t="str"/>
      <x:c r="AD124" s="151" t="str"/>
      <x:c r="AE124" s="151" t="str"/>
      <x:c r="AF124" s="151" t="str"/>
      <x:c r="AG124" s="151" t="str"/>
      <x:c r="AH124" s="151" t="str"/>
      <x:c r="AI124" s="151" t="str"/>
      <x:c r="AJ124" s="151" t="str"/>
      <x:c r="AK124" s="151" t="str"/>
      <x:c r="AL124" s="151" t="str"/>
      <x:c r="AM124" s="151" t="str"/>
      <x:c r="AN124" s="152" t="n">
        <x:f>IF(COUNTA(S124:AM124)=0,"",SUM(S124:AM124))</x:f>
        <x:v>0</x:v>
      </x:c>
      <x:c r="AO124" s="151" t="str"/>
      <x:c r="AP124" s="151" t="str"/>
      <x:c r="AQ124" s="151" t="str"/>
      <x:c r="AR124" s="151" t="str"/>
      <x:c r="AS124" s="196" t="str">
        <x:f>IF(AN124="","",IF(AO124="Cartons",IF(AP124*AQ124=AN124,"OK","CHECK CARTONS / SIZES"),IF(AR124=AN124,"OK","CHECK TOTAL / SIZES")))</x:f>
      </x:c>
      <x:c r="AT124" s="137" t="str"/>
      <x:c r="AU124" s="137" t="str"/>
      <x:c r="AV124" s="137" t="str"/>
      <x:c r="AW124" s="137" t="str"/>
    </x:row>
    <x:row r="125">
      <x:c r="A125" s="137" t="str"/>
      <x:c r="B125" s="137" t="str"/>
      <x:c r="C125" s="137" t="str"/>
      <x:c r="D125" s="137" t="str"/>
      <x:c r="E125" s="138" t="str"/>
      <x:c r="F125" s="138" t="str"/>
      <x:c r="G125" s="137" t="str"/>
      <x:c r="H125" s="137" t="str"/>
      <x:c r="I125" s="137" t="str"/>
      <x:c r="J125" s="137" t="str"/>
      <x:c r="K125" s="137" t="str"/>
      <x:c r="L125" s="137" t="str"/>
      <x:c r="M125" s="137" t="str"/>
      <x:c r="N125" s="137" t="str"/>
      <x:c r="O125" s="137" t="str"/>
      <x:c r="P125" s="137" t="str"/>
      <x:c r="Q125" s="137" t="str"/>
      <x:c r="R125" s="137" t="str"/>
      <x:c r="S125" s="151" t="str"/>
      <x:c r="T125" s="151" t="str"/>
      <x:c r="U125" s="151" t="str"/>
      <x:c r="V125" s="151" t="str"/>
      <x:c r="W125" s="151" t="str"/>
      <x:c r="X125" s="151" t="str"/>
      <x:c r="Y125" s="151" t="str"/>
      <x:c r="Z125" s="151" t="str"/>
      <x:c r="AA125" s="151" t="str"/>
      <x:c r="AB125" s="151" t="str"/>
      <x:c r="AC125" s="151" t="str"/>
      <x:c r="AD125" s="151" t="str"/>
      <x:c r="AE125" s="151" t="str"/>
      <x:c r="AF125" s="151" t="str"/>
      <x:c r="AG125" s="151" t="str"/>
      <x:c r="AH125" s="151" t="str"/>
      <x:c r="AI125" s="151" t="str"/>
      <x:c r="AJ125" s="151" t="str"/>
      <x:c r="AK125" s="151" t="str"/>
      <x:c r="AL125" s="151" t="str"/>
      <x:c r="AM125" s="151" t="str"/>
      <x:c r="AN125" s="152" t="n">
        <x:f>IF(COUNTA(S125:AM125)=0,"",SUM(S125:AM125))</x:f>
        <x:v>0</x:v>
      </x:c>
      <x:c r="AO125" s="151" t="str"/>
      <x:c r="AP125" s="151" t="str"/>
      <x:c r="AQ125" s="151" t="str"/>
      <x:c r="AR125" s="151" t="str"/>
      <x:c r="AS125" s="196" t="str">
        <x:f>IF(AN125="","",IF(AO125="Cartons",IF(AP125*AQ125=AN125,"OK","CHECK CARTONS / SIZES"),IF(AR125=AN125,"OK","CHECK TOTAL / SIZES")))</x:f>
      </x:c>
      <x:c r="AT125" s="137" t="str"/>
      <x:c r="AU125" s="137" t="str"/>
      <x:c r="AV125" s="137" t="str"/>
      <x:c r="AW125" s="137" t="str"/>
    </x:row>
    <x:row r="126">
      <x:c r="A126" s="137" t="str"/>
      <x:c r="B126" s="137" t="str"/>
      <x:c r="C126" s="137" t="str"/>
      <x:c r="D126" s="137" t="str"/>
      <x:c r="E126" s="138" t="str"/>
      <x:c r="F126" s="138" t="str"/>
      <x:c r="G126" s="137" t="str"/>
      <x:c r="H126" s="137" t="str"/>
      <x:c r="I126" s="137" t="str"/>
      <x:c r="J126" s="137" t="str"/>
      <x:c r="K126" s="137" t="str"/>
      <x:c r="L126" s="137" t="str"/>
      <x:c r="M126" s="137" t="str"/>
      <x:c r="N126" s="137" t="str"/>
      <x:c r="O126" s="137" t="str"/>
      <x:c r="P126" s="137" t="str"/>
      <x:c r="Q126" s="137" t="str"/>
      <x:c r="R126" s="137" t="str"/>
      <x:c r="S126" s="151" t="str"/>
      <x:c r="T126" s="151" t="str"/>
      <x:c r="U126" s="151" t="str"/>
      <x:c r="V126" s="151" t="str"/>
      <x:c r="W126" s="151" t="str"/>
      <x:c r="X126" s="151" t="str"/>
      <x:c r="Y126" s="151" t="str"/>
      <x:c r="Z126" s="151" t="str"/>
      <x:c r="AA126" s="151" t="str"/>
      <x:c r="AB126" s="151" t="str"/>
      <x:c r="AC126" s="151" t="str"/>
      <x:c r="AD126" s="151" t="str"/>
      <x:c r="AE126" s="151" t="str"/>
      <x:c r="AF126" s="151" t="str"/>
      <x:c r="AG126" s="151" t="str"/>
      <x:c r="AH126" s="151" t="str"/>
      <x:c r="AI126" s="151" t="str"/>
      <x:c r="AJ126" s="151" t="str"/>
      <x:c r="AK126" s="151" t="str"/>
      <x:c r="AL126" s="151" t="str"/>
      <x:c r="AM126" s="151" t="str"/>
      <x:c r="AN126" s="152" t="n">
        <x:f>IF(COUNTA(S126:AM126)=0,"",SUM(S126:AM126))</x:f>
        <x:v>0</x:v>
      </x:c>
      <x:c r="AO126" s="151" t="str"/>
      <x:c r="AP126" s="151" t="str"/>
      <x:c r="AQ126" s="151" t="str"/>
      <x:c r="AR126" s="151" t="str"/>
      <x:c r="AS126" s="196" t="str">
        <x:f>IF(AN126="","",IF(AO126="Cartons",IF(AP126*AQ126=AN126,"OK","CHECK CARTONS / SIZES"),IF(AR126=AN126,"OK","CHECK TOTAL / SIZES")))</x:f>
      </x:c>
      <x:c r="AT126" s="137" t="str"/>
      <x:c r="AU126" s="137" t="str"/>
      <x:c r="AV126" s="137" t="str"/>
      <x:c r="AW126" s="137" t="str"/>
    </x:row>
    <x:row r="127">
      <x:c r="A127" s="137" t="str"/>
      <x:c r="B127" s="137" t="str"/>
      <x:c r="C127" s="137" t="str"/>
      <x:c r="D127" s="137" t="str"/>
      <x:c r="E127" s="138" t="str"/>
      <x:c r="F127" s="138" t="str"/>
      <x:c r="G127" s="137" t="str"/>
      <x:c r="H127" s="137" t="str"/>
      <x:c r="I127" s="137" t="str"/>
      <x:c r="J127" s="137" t="str"/>
      <x:c r="K127" s="137" t="str"/>
      <x:c r="L127" s="137" t="str"/>
      <x:c r="M127" s="137" t="str"/>
      <x:c r="N127" s="137" t="str"/>
      <x:c r="O127" s="137" t="str"/>
      <x:c r="P127" s="137" t="str"/>
      <x:c r="Q127" s="137" t="str"/>
      <x:c r="R127" s="137" t="str"/>
      <x:c r="S127" s="151" t="str"/>
      <x:c r="T127" s="151" t="str"/>
      <x:c r="U127" s="151" t="str"/>
      <x:c r="V127" s="151" t="str"/>
      <x:c r="W127" s="151" t="str"/>
      <x:c r="X127" s="151" t="str"/>
      <x:c r="Y127" s="151" t="str"/>
      <x:c r="Z127" s="151" t="str"/>
      <x:c r="AA127" s="151" t="str"/>
      <x:c r="AB127" s="151" t="str"/>
      <x:c r="AC127" s="151" t="str"/>
      <x:c r="AD127" s="151" t="str"/>
      <x:c r="AE127" s="151" t="str"/>
      <x:c r="AF127" s="151" t="str"/>
      <x:c r="AG127" s="151" t="str"/>
      <x:c r="AH127" s="151" t="str"/>
      <x:c r="AI127" s="151" t="str"/>
      <x:c r="AJ127" s="151" t="str"/>
      <x:c r="AK127" s="151" t="str"/>
      <x:c r="AL127" s="151" t="str"/>
      <x:c r="AM127" s="151" t="str"/>
      <x:c r="AN127" s="152" t="n">
        <x:f>IF(COUNTA(S127:AM127)=0,"",SUM(S127:AM127))</x:f>
        <x:v>0</x:v>
      </x:c>
      <x:c r="AO127" s="151" t="str"/>
      <x:c r="AP127" s="151" t="str"/>
      <x:c r="AQ127" s="151" t="str"/>
      <x:c r="AR127" s="151" t="str"/>
      <x:c r="AS127" s="196" t="str">
        <x:f>IF(AN127="","",IF(AO127="Cartons",IF(AP127*AQ127=AN127,"OK","CHECK CARTONS / SIZES"),IF(AR127=AN127,"OK","CHECK TOTAL / SIZES")))</x:f>
      </x:c>
      <x:c r="AT127" s="137" t="str"/>
      <x:c r="AU127" s="137" t="str"/>
      <x:c r="AV127" s="137" t="str"/>
      <x:c r="AW127" s="137" t="str"/>
    </x:row>
    <x:row r="128">
      <x:c r="A128" s="137" t="str"/>
      <x:c r="B128" s="137" t="str"/>
      <x:c r="C128" s="137" t="str"/>
      <x:c r="D128" s="137" t="str"/>
      <x:c r="E128" s="138" t="str"/>
      <x:c r="F128" s="138" t="str"/>
      <x:c r="G128" s="137" t="str"/>
      <x:c r="H128" s="137" t="str"/>
      <x:c r="I128" s="137" t="str"/>
      <x:c r="J128" s="137" t="str"/>
      <x:c r="K128" s="137" t="str"/>
      <x:c r="L128" s="137" t="str"/>
      <x:c r="M128" s="137" t="str"/>
      <x:c r="N128" s="137" t="str"/>
      <x:c r="O128" s="137" t="str"/>
      <x:c r="P128" s="137" t="str"/>
      <x:c r="Q128" s="137" t="str"/>
      <x:c r="R128" s="137" t="str"/>
      <x:c r="S128" s="151" t="str"/>
      <x:c r="T128" s="151" t="str"/>
      <x:c r="U128" s="151" t="str"/>
      <x:c r="V128" s="151" t="str"/>
      <x:c r="W128" s="151" t="str"/>
      <x:c r="X128" s="151" t="str"/>
      <x:c r="Y128" s="151" t="str"/>
      <x:c r="Z128" s="151" t="str"/>
      <x:c r="AA128" s="151" t="str"/>
      <x:c r="AB128" s="151" t="str"/>
      <x:c r="AC128" s="151" t="str"/>
      <x:c r="AD128" s="151" t="str"/>
      <x:c r="AE128" s="151" t="str"/>
      <x:c r="AF128" s="151" t="str"/>
      <x:c r="AG128" s="151" t="str"/>
      <x:c r="AH128" s="151" t="str"/>
      <x:c r="AI128" s="151" t="str"/>
      <x:c r="AJ128" s="151" t="str"/>
      <x:c r="AK128" s="151" t="str"/>
      <x:c r="AL128" s="151" t="str"/>
      <x:c r="AM128" s="151" t="str"/>
      <x:c r="AN128" s="152" t="n">
        <x:f>IF(COUNTA(S128:AM128)=0,"",SUM(S128:AM128))</x:f>
        <x:v>0</x:v>
      </x:c>
      <x:c r="AO128" s="151" t="str"/>
      <x:c r="AP128" s="151" t="str"/>
      <x:c r="AQ128" s="151" t="str"/>
      <x:c r="AR128" s="151" t="str"/>
      <x:c r="AS128" s="196" t="str">
        <x:f>IF(AN128="","",IF(AO128="Cartons",IF(AP128*AQ128=AN128,"OK","CHECK CARTONS / SIZES"),IF(AR128=AN128,"OK","CHECK TOTAL / SIZES")))</x:f>
      </x:c>
      <x:c r="AT128" s="137" t="str"/>
      <x:c r="AU128" s="137" t="str"/>
      <x:c r="AV128" s="137" t="str"/>
      <x:c r="AW128" s="137" t="str"/>
    </x:row>
    <x:row r="129">
      <x:c r="A129" s="137" t="str"/>
      <x:c r="B129" s="137" t="str"/>
      <x:c r="C129" s="137" t="str"/>
      <x:c r="D129" s="137" t="str"/>
      <x:c r="E129" s="138" t="str"/>
      <x:c r="F129" s="138" t="str"/>
      <x:c r="G129" s="137" t="str"/>
      <x:c r="H129" s="137" t="str"/>
      <x:c r="I129" s="137" t="str"/>
      <x:c r="J129" s="137" t="str"/>
      <x:c r="K129" s="137" t="str"/>
      <x:c r="L129" s="137" t="str"/>
      <x:c r="M129" s="137" t="str"/>
      <x:c r="N129" s="137" t="str"/>
      <x:c r="O129" s="137" t="str"/>
      <x:c r="P129" s="137" t="str"/>
      <x:c r="Q129" s="137" t="str"/>
      <x:c r="R129" s="137" t="str"/>
      <x:c r="S129" s="151" t="str"/>
      <x:c r="T129" s="151" t="str"/>
      <x:c r="U129" s="151" t="str"/>
      <x:c r="V129" s="151" t="str"/>
      <x:c r="W129" s="151" t="str"/>
      <x:c r="X129" s="151" t="str"/>
      <x:c r="Y129" s="151" t="str"/>
      <x:c r="Z129" s="151" t="str"/>
      <x:c r="AA129" s="151" t="str"/>
      <x:c r="AB129" s="151" t="str"/>
      <x:c r="AC129" s="151" t="str"/>
      <x:c r="AD129" s="151" t="str"/>
      <x:c r="AE129" s="151" t="str"/>
      <x:c r="AF129" s="151" t="str"/>
      <x:c r="AG129" s="151" t="str"/>
      <x:c r="AH129" s="151" t="str"/>
      <x:c r="AI129" s="151" t="str"/>
      <x:c r="AJ129" s="151" t="str"/>
      <x:c r="AK129" s="151" t="str"/>
      <x:c r="AL129" s="151" t="str"/>
      <x:c r="AM129" s="151" t="str"/>
      <x:c r="AN129" s="152" t="n">
        <x:f>IF(COUNTA(S129:AM129)=0,"",SUM(S129:AM129))</x:f>
        <x:v>0</x:v>
      </x:c>
      <x:c r="AO129" s="151" t="str"/>
      <x:c r="AP129" s="151" t="str"/>
      <x:c r="AQ129" s="151" t="str"/>
      <x:c r="AR129" s="151" t="str"/>
      <x:c r="AS129" s="196" t="str">
        <x:f>IF(AN129="","",IF(AO129="Cartons",IF(AP129*AQ129=AN129,"OK","CHECK CARTONS / SIZES"),IF(AR129=AN129,"OK","CHECK TOTAL / SIZES")))</x:f>
      </x:c>
      <x:c r="AT129" s="137" t="str"/>
      <x:c r="AU129" s="137" t="str"/>
      <x:c r="AV129" s="137" t="str"/>
      <x:c r="AW129" s="137" t="str"/>
    </x:row>
    <x:row r="130">
      <x:c r="A130" s="137" t="str"/>
      <x:c r="B130" s="137" t="str"/>
      <x:c r="C130" s="137" t="str"/>
      <x:c r="D130" s="137" t="str"/>
      <x:c r="E130" s="138" t="str"/>
      <x:c r="F130" s="138" t="str"/>
      <x:c r="G130" s="137" t="str"/>
      <x:c r="H130" s="137" t="str"/>
      <x:c r="I130" s="137" t="str"/>
      <x:c r="J130" s="137" t="str"/>
      <x:c r="K130" s="137" t="str"/>
      <x:c r="L130" s="137" t="str"/>
      <x:c r="M130" s="137" t="str"/>
      <x:c r="N130" s="137" t="str"/>
      <x:c r="O130" s="137" t="str"/>
      <x:c r="P130" s="137" t="str"/>
      <x:c r="Q130" s="137" t="str"/>
      <x:c r="R130" s="137" t="str"/>
      <x:c r="S130" s="151" t="str"/>
      <x:c r="T130" s="151" t="str"/>
      <x:c r="U130" s="151" t="str"/>
      <x:c r="V130" s="151" t="str"/>
      <x:c r="W130" s="151" t="str"/>
      <x:c r="X130" s="151" t="str"/>
      <x:c r="Y130" s="151" t="str"/>
      <x:c r="Z130" s="151" t="str"/>
      <x:c r="AA130" s="151" t="str"/>
      <x:c r="AB130" s="151" t="str"/>
      <x:c r="AC130" s="151" t="str"/>
      <x:c r="AD130" s="151" t="str"/>
      <x:c r="AE130" s="151" t="str"/>
      <x:c r="AF130" s="151" t="str"/>
      <x:c r="AG130" s="151" t="str"/>
      <x:c r="AH130" s="151" t="str"/>
      <x:c r="AI130" s="151" t="str"/>
      <x:c r="AJ130" s="151" t="str"/>
      <x:c r="AK130" s="151" t="str"/>
      <x:c r="AL130" s="151" t="str"/>
      <x:c r="AM130" s="151" t="str"/>
      <x:c r="AN130" s="152" t="n">
        <x:f>IF(COUNTA(S130:AM130)=0,"",SUM(S130:AM130))</x:f>
        <x:v>0</x:v>
      </x:c>
      <x:c r="AO130" s="151" t="str"/>
      <x:c r="AP130" s="151" t="str"/>
      <x:c r="AQ130" s="151" t="str"/>
      <x:c r="AR130" s="151" t="str"/>
      <x:c r="AS130" s="196" t="str">
        <x:f>IF(AN130="","",IF(AO130="Cartons",IF(AP130*AQ130=AN130,"OK","CHECK CARTONS / SIZES"),IF(AR130=AN130,"OK","CHECK TOTAL / SIZES")))</x:f>
      </x:c>
      <x:c r="AT130" s="137" t="str"/>
      <x:c r="AU130" s="137" t="str"/>
      <x:c r="AV130" s="137" t="str"/>
      <x:c r="AW130" s="137" t="str"/>
    </x:row>
    <x:row r="131">
      <x:c r="A131" s="137" t="str"/>
      <x:c r="B131" s="137" t="str"/>
      <x:c r="C131" s="137" t="str"/>
      <x:c r="D131" s="137" t="str"/>
      <x:c r="E131" s="138" t="str"/>
      <x:c r="F131" s="138" t="str"/>
      <x:c r="G131" s="137" t="str"/>
      <x:c r="H131" s="137" t="str"/>
      <x:c r="I131" s="137" t="str"/>
      <x:c r="J131" s="137" t="str"/>
      <x:c r="K131" s="137" t="str"/>
      <x:c r="L131" s="137" t="str"/>
      <x:c r="M131" s="137" t="str"/>
      <x:c r="N131" s="137" t="str"/>
      <x:c r="O131" s="137" t="str"/>
      <x:c r="P131" s="137" t="str"/>
      <x:c r="Q131" s="137" t="str"/>
      <x:c r="R131" s="137" t="str"/>
      <x:c r="S131" s="151" t="str"/>
      <x:c r="T131" s="151" t="str"/>
      <x:c r="U131" s="151" t="str"/>
      <x:c r="V131" s="151" t="str"/>
      <x:c r="W131" s="151" t="str"/>
      <x:c r="X131" s="151" t="str"/>
      <x:c r="Y131" s="151" t="str"/>
      <x:c r="Z131" s="151" t="str"/>
      <x:c r="AA131" s="151" t="str"/>
      <x:c r="AB131" s="151" t="str"/>
      <x:c r="AC131" s="151" t="str"/>
      <x:c r="AD131" s="151" t="str"/>
      <x:c r="AE131" s="151" t="str"/>
      <x:c r="AF131" s="151" t="str"/>
      <x:c r="AG131" s="151" t="str"/>
      <x:c r="AH131" s="151" t="str"/>
      <x:c r="AI131" s="151" t="str"/>
      <x:c r="AJ131" s="151" t="str"/>
      <x:c r="AK131" s="151" t="str"/>
      <x:c r="AL131" s="151" t="str"/>
      <x:c r="AM131" s="151" t="str"/>
      <x:c r="AN131" s="152" t="n">
        <x:f>IF(COUNTA(S131:AM131)=0,"",SUM(S131:AM131))</x:f>
        <x:v>0</x:v>
      </x:c>
      <x:c r="AO131" s="151" t="str"/>
      <x:c r="AP131" s="151" t="str"/>
      <x:c r="AQ131" s="151" t="str"/>
      <x:c r="AR131" s="151" t="str"/>
      <x:c r="AS131" s="196" t="str">
        <x:f>IF(AN131="","",IF(AO131="Cartons",IF(AP131*AQ131=AN131,"OK","CHECK CARTONS / SIZES"),IF(AR131=AN131,"OK","CHECK TOTAL / SIZES")))</x:f>
      </x:c>
      <x:c r="AT131" s="137" t="str"/>
      <x:c r="AU131" s="137" t="str"/>
      <x:c r="AV131" s="137" t="str"/>
      <x:c r="AW131" s="137" t="str"/>
    </x:row>
    <x:row r="132">
      <x:c r="A132" s="137" t="str"/>
      <x:c r="B132" s="137" t="str"/>
      <x:c r="C132" s="137" t="str"/>
      <x:c r="D132" s="137" t="str"/>
      <x:c r="E132" s="138" t="str"/>
      <x:c r="F132" s="138" t="str"/>
      <x:c r="G132" s="137" t="str"/>
      <x:c r="H132" s="137" t="str"/>
      <x:c r="I132" s="137" t="str"/>
      <x:c r="J132" s="137" t="str"/>
      <x:c r="K132" s="137" t="str"/>
      <x:c r="L132" s="137" t="str"/>
      <x:c r="M132" s="137" t="str"/>
      <x:c r="N132" s="137" t="str"/>
      <x:c r="O132" s="137" t="str"/>
      <x:c r="P132" s="137" t="str"/>
      <x:c r="Q132" s="137" t="str"/>
      <x:c r="R132" s="137" t="str"/>
      <x:c r="S132" s="151" t="str"/>
      <x:c r="T132" s="151" t="str"/>
      <x:c r="U132" s="151" t="str"/>
      <x:c r="V132" s="151" t="str"/>
      <x:c r="W132" s="151" t="str"/>
      <x:c r="X132" s="151" t="str"/>
      <x:c r="Y132" s="151" t="str"/>
      <x:c r="Z132" s="151" t="str"/>
      <x:c r="AA132" s="151" t="str"/>
      <x:c r="AB132" s="151" t="str"/>
      <x:c r="AC132" s="151" t="str"/>
      <x:c r="AD132" s="151" t="str"/>
      <x:c r="AE132" s="151" t="str"/>
      <x:c r="AF132" s="151" t="str"/>
      <x:c r="AG132" s="151" t="str"/>
      <x:c r="AH132" s="151" t="str"/>
      <x:c r="AI132" s="151" t="str"/>
      <x:c r="AJ132" s="151" t="str"/>
      <x:c r="AK132" s="151" t="str"/>
      <x:c r="AL132" s="151" t="str"/>
      <x:c r="AM132" s="151" t="str"/>
      <x:c r="AN132" s="152" t="n">
        <x:f>IF(COUNTA(S132:AM132)=0,"",SUM(S132:AM132))</x:f>
        <x:v>0</x:v>
      </x:c>
      <x:c r="AO132" s="151" t="str"/>
      <x:c r="AP132" s="151" t="str"/>
      <x:c r="AQ132" s="151" t="str"/>
      <x:c r="AR132" s="151" t="str"/>
      <x:c r="AS132" s="196" t="str">
        <x:f>IF(AN132="","",IF(AO132="Cartons",IF(AP132*AQ132=AN132,"OK","CHECK CARTONS / SIZES"),IF(AR132=AN132,"OK","CHECK TOTAL / SIZES")))</x:f>
      </x:c>
      <x:c r="AT132" s="137" t="str"/>
      <x:c r="AU132" s="137" t="str"/>
      <x:c r="AV132" s="137" t="str"/>
      <x:c r="AW132" s="137" t="str"/>
    </x:row>
    <x:row r="133">
      <x:c r="A133" s="137" t="str"/>
      <x:c r="B133" s="137" t="str"/>
      <x:c r="C133" s="137" t="str"/>
      <x:c r="D133" s="137" t="str"/>
      <x:c r="E133" s="138" t="str"/>
      <x:c r="F133" s="138" t="str"/>
      <x:c r="G133" s="137" t="str"/>
      <x:c r="H133" s="137" t="str"/>
      <x:c r="I133" s="137" t="str"/>
      <x:c r="J133" s="137" t="str"/>
      <x:c r="K133" s="137" t="str"/>
      <x:c r="L133" s="137" t="str"/>
      <x:c r="M133" s="137" t="str"/>
      <x:c r="N133" s="137" t="str"/>
      <x:c r="O133" s="137" t="str"/>
      <x:c r="P133" s="137" t="str"/>
      <x:c r="Q133" s="137" t="str"/>
      <x:c r="R133" s="137" t="str"/>
      <x:c r="S133" s="151" t="str"/>
      <x:c r="T133" s="151" t="str"/>
      <x:c r="U133" s="151" t="str"/>
      <x:c r="V133" s="151" t="str"/>
      <x:c r="W133" s="151" t="str"/>
      <x:c r="X133" s="151" t="str"/>
      <x:c r="Y133" s="151" t="str"/>
      <x:c r="Z133" s="151" t="str"/>
      <x:c r="AA133" s="151" t="str"/>
      <x:c r="AB133" s="151" t="str"/>
      <x:c r="AC133" s="151" t="str"/>
      <x:c r="AD133" s="151" t="str"/>
      <x:c r="AE133" s="151" t="str"/>
      <x:c r="AF133" s="151" t="str"/>
      <x:c r="AG133" s="151" t="str"/>
      <x:c r="AH133" s="151" t="str"/>
      <x:c r="AI133" s="151" t="str"/>
      <x:c r="AJ133" s="151" t="str"/>
      <x:c r="AK133" s="151" t="str"/>
      <x:c r="AL133" s="151" t="str"/>
      <x:c r="AM133" s="151" t="str"/>
      <x:c r="AN133" s="152" t="n">
        <x:f>IF(COUNTA(S133:AM133)=0,"",SUM(S133:AM133))</x:f>
        <x:v>0</x:v>
      </x:c>
      <x:c r="AO133" s="151" t="str"/>
      <x:c r="AP133" s="151" t="str"/>
      <x:c r="AQ133" s="151" t="str"/>
      <x:c r="AR133" s="151" t="str"/>
      <x:c r="AS133" s="196" t="str">
        <x:f>IF(AN133="","",IF(AO133="Cartons",IF(AP133*AQ133=AN133,"OK","CHECK CARTONS / SIZES"),IF(AR133=AN133,"OK","CHECK TOTAL / SIZES")))</x:f>
      </x:c>
      <x:c r="AT133" s="137" t="str"/>
      <x:c r="AU133" s="137" t="str"/>
      <x:c r="AV133" s="137" t="str"/>
      <x:c r="AW133" s="137" t="str"/>
    </x:row>
    <x:row r="134">
      <x:c r="A134" s="137" t="str"/>
      <x:c r="B134" s="137" t="str"/>
      <x:c r="C134" s="137" t="str"/>
      <x:c r="D134" s="137" t="str"/>
      <x:c r="E134" s="138" t="str"/>
      <x:c r="F134" s="138" t="str"/>
      <x:c r="G134" s="137" t="str"/>
      <x:c r="H134" s="137" t="str"/>
      <x:c r="I134" s="137" t="str"/>
      <x:c r="J134" s="137" t="str"/>
      <x:c r="K134" s="137" t="str"/>
      <x:c r="L134" s="137" t="str"/>
      <x:c r="M134" s="137" t="str"/>
      <x:c r="N134" s="137" t="str"/>
      <x:c r="O134" s="137" t="str"/>
      <x:c r="P134" s="137" t="str"/>
      <x:c r="Q134" s="137" t="str"/>
      <x:c r="R134" s="137" t="str"/>
      <x:c r="S134" s="151" t="str"/>
      <x:c r="T134" s="151" t="str"/>
      <x:c r="U134" s="151" t="str"/>
      <x:c r="V134" s="151" t="str"/>
      <x:c r="W134" s="151" t="str"/>
      <x:c r="X134" s="151" t="str"/>
      <x:c r="Y134" s="151" t="str"/>
      <x:c r="Z134" s="151" t="str"/>
      <x:c r="AA134" s="151" t="str"/>
      <x:c r="AB134" s="151" t="str"/>
      <x:c r="AC134" s="151" t="str"/>
      <x:c r="AD134" s="151" t="str"/>
      <x:c r="AE134" s="151" t="str"/>
      <x:c r="AF134" s="151" t="str"/>
      <x:c r="AG134" s="151" t="str"/>
      <x:c r="AH134" s="151" t="str"/>
      <x:c r="AI134" s="151" t="str"/>
      <x:c r="AJ134" s="151" t="str"/>
      <x:c r="AK134" s="151" t="str"/>
      <x:c r="AL134" s="151" t="str"/>
      <x:c r="AM134" s="151" t="str"/>
      <x:c r="AN134" s="152" t="n">
        <x:f>IF(COUNTA(S134:AM134)=0,"",SUM(S134:AM134))</x:f>
        <x:v>0</x:v>
      </x:c>
      <x:c r="AO134" s="151" t="str"/>
      <x:c r="AP134" s="151" t="str"/>
      <x:c r="AQ134" s="151" t="str"/>
      <x:c r="AR134" s="151" t="str"/>
      <x:c r="AS134" s="196" t="str">
        <x:f>IF(AN134="","",IF(AO134="Cartons",IF(AP134*AQ134=AN134,"OK","CHECK CARTONS / SIZES"),IF(AR134=AN134,"OK","CHECK TOTAL / SIZES")))</x:f>
      </x:c>
      <x:c r="AT134" s="137" t="str"/>
      <x:c r="AU134" s="137" t="str"/>
      <x:c r="AV134" s="137" t="str"/>
      <x:c r="AW134" s="137" t="str"/>
    </x:row>
    <x:row r="135">
      <x:c r="A135" s="137" t="str"/>
      <x:c r="B135" s="137" t="str"/>
      <x:c r="C135" s="137" t="str"/>
      <x:c r="D135" s="137" t="str"/>
      <x:c r="E135" s="138" t="str"/>
      <x:c r="F135" s="138" t="str"/>
      <x:c r="G135" s="137" t="str"/>
      <x:c r="H135" s="137" t="str"/>
      <x:c r="I135" s="137" t="str"/>
      <x:c r="J135" s="137" t="str"/>
      <x:c r="K135" s="137" t="str"/>
      <x:c r="L135" s="137" t="str"/>
      <x:c r="M135" s="137" t="str"/>
      <x:c r="N135" s="137" t="str"/>
      <x:c r="O135" s="137" t="str"/>
      <x:c r="P135" s="137" t="str"/>
      <x:c r="Q135" s="137" t="str"/>
      <x:c r="R135" s="137" t="str"/>
      <x:c r="S135" s="151" t="str"/>
      <x:c r="T135" s="151" t="str"/>
      <x:c r="U135" s="151" t="str"/>
      <x:c r="V135" s="151" t="str"/>
      <x:c r="W135" s="151" t="str"/>
      <x:c r="X135" s="151" t="str"/>
      <x:c r="Y135" s="151" t="str"/>
      <x:c r="Z135" s="151" t="str"/>
      <x:c r="AA135" s="151" t="str"/>
      <x:c r="AB135" s="151" t="str"/>
      <x:c r="AC135" s="151" t="str"/>
      <x:c r="AD135" s="151" t="str"/>
      <x:c r="AE135" s="151" t="str"/>
      <x:c r="AF135" s="151" t="str"/>
      <x:c r="AG135" s="151" t="str"/>
      <x:c r="AH135" s="151" t="str"/>
      <x:c r="AI135" s="151" t="str"/>
      <x:c r="AJ135" s="151" t="str"/>
      <x:c r="AK135" s="151" t="str"/>
      <x:c r="AL135" s="151" t="str"/>
      <x:c r="AM135" s="151" t="str"/>
      <x:c r="AN135" s="152" t="n">
        <x:f>IF(COUNTA(S135:AM135)=0,"",SUM(S135:AM135))</x:f>
        <x:v>0</x:v>
      </x:c>
      <x:c r="AO135" s="151" t="str"/>
      <x:c r="AP135" s="151" t="str"/>
      <x:c r="AQ135" s="151" t="str"/>
      <x:c r="AR135" s="151" t="str"/>
      <x:c r="AS135" s="196" t="str">
        <x:f>IF(AN135="","",IF(AO135="Cartons",IF(AP135*AQ135=AN135,"OK","CHECK CARTONS / SIZES"),IF(AR135=AN135,"OK","CHECK TOTAL / SIZES")))</x:f>
      </x:c>
      <x:c r="AT135" s="137" t="str"/>
      <x:c r="AU135" s="137" t="str"/>
      <x:c r="AV135" s="137" t="str"/>
      <x:c r="AW135" s="137" t="str"/>
    </x:row>
    <x:row r="136">
      <x:c r="A136" s="137" t="str"/>
      <x:c r="B136" s="137" t="str"/>
      <x:c r="C136" s="137" t="str"/>
      <x:c r="D136" s="137" t="str"/>
      <x:c r="E136" s="138" t="str"/>
      <x:c r="F136" s="138" t="str"/>
      <x:c r="G136" s="137" t="str"/>
      <x:c r="H136" s="137" t="str"/>
      <x:c r="I136" s="137" t="str"/>
      <x:c r="J136" s="137" t="str"/>
      <x:c r="K136" s="137" t="str"/>
      <x:c r="L136" s="137" t="str"/>
      <x:c r="M136" s="137" t="str"/>
      <x:c r="N136" s="137" t="str"/>
      <x:c r="O136" s="137" t="str"/>
      <x:c r="P136" s="137" t="str"/>
      <x:c r="Q136" s="137" t="str"/>
      <x:c r="R136" s="137" t="str"/>
      <x:c r="S136" s="151" t="str"/>
      <x:c r="T136" s="151" t="str"/>
      <x:c r="U136" s="151" t="str"/>
      <x:c r="V136" s="151" t="str"/>
      <x:c r="W136" s="151" t="str"/>
      <x:c r="X136" s="151" t="str"/>
      <x:c r="Y136" s="151" t="str"/>
      <x:c r="Z136" s="151" t="str"/>
      <x:c r="AA136" s="151" t="str"/>
      <x:c r="AB136" s="151" t="str"/>
      <x:c r="AC136" s="151" t="str"/>
      <x:c r="AD136" s="151" t="str"/>
      <x:c r="AE136" s="151" t="str"/>
      <x:c r="AF136" s="151" t="str"/>
      <x:c r="AG136" s="151" t="str"/>
      <x:c r="AH136" s="151" t="str"/>
      <x:c r="AI136" s="151" t="str"/>
      <x:c r="AJ136" s="151" t="str"/>
      <x:c r="AK136" s="151" t="str"/>
      <x:c r="AL136" s="151" t="str"/>
      <x:c r="AM136" s="151" t="str"/>
      <x:c r="AN136" s="152" t="n">
        <x:f>IF(COUNTA(S136:AM136)=0,"",SUM(S136:AM136))</x:f>
        <x:v>0</x:v>
      </x:c>
      <x:c r="AO136" s="151" t="str"/>
      <x:c r="AP136" s="151" t="str"/>
      <x:c r="AQ136" s="151" t="str"/>
      <x:c r="AR136" s="151" t="str"/>
      <x:c r="AS136" s="196" t="str">
        <x:f>IF(AN136="","",IF(AO136="Cartons",IF(AP136*AQ136=AN136,"OK","CHECK CARTONS / SIZES"),IF(AR136=AN136,"OK","CHECK TOTAL / SIZES")))</x:f>
      </x:c>
      <x:c r="AT136" s="137" t="str"/>
      <x:c r="AU136" s="137" t="str"/>
      <x:c r="AV136" s="137" t="str"/>
      <x:c r="AW136" s="137" t="str"/>
    </x:row>
    <x:row r="137">
      <x:c r="A137" s="137" t="str"/>
      <x:c r="B137" s="137" t="str"/>
      <x:c r="C137" s="137" t="str"/>
      <x:c r="D137" s="137" t="str"/>
      <x:c r="E137" s="138" t="str"/>
      <x:c r="F137" s="138" t="str"/>
      <x:c r="G137" s="137" t="str"/>
      <x:c r="H137" s="137" t="str"/>
      <x:c r="I137" s="137" t="str"/>
      <x:c r="J137" s="137" t="str"/>
      <x:c r="K137" s="137" t="str"/>
      <x:c r="L137" s="137" t="str"/>
      <x:c r="M137" s="137" t="str"/>
      <x:c r="N137" s="137" t="str"/>
      <x:c r="O137" s="137" t="str"/>
      <x:c r="P137" s="137" t="str"/>
      <x:c r="Q137" s="137" t="str"/>
      <x:c r="R137" s="137" t="str"/>
      <x:c r="S137" s="151" t="str"/>
      <x:c r="T137" s="151" t="str"/>
      <x:c r="U137" s="151" t="str"/>
      <x:c r="V137" s="151" t="str"/>
      <x:c r="W137" s="151" t="str"/>
      <x:c r="X137" s="151" t="str"/>
      <x:c r="Y137" s="151" t="str"/>
      <x:c r="Z137" s="151" t="str"/>
      <x:c r="AA137" s="151" t="str"/>
      <x:c r="AB137" s="151" t="str"/>
      <x:c r="AC137" s="151" t="str"/>
      <x:c r="AD137" s="151" t="str"/>
      <x:c r="AE137" s="151" t="str"/>
      <x:c r="AF137" s="151" t="str"/>
      <x:c r="AG137" s="151" t="str"/>
      <x:c r="AH137" s="151" t="str"/>
      <x:c r="AI137" s="151" t="str"/>
      <x:c r="AJ137" s="151" t="str"/>
      <x:c r="AK137" s="151" t="str"/>
      <x:c r="AL137" s="151" t="str"/>
      <x:c r="AM137" s="151" t="str"/>
      <x:c r="AN137" s="152" t="n">
        <x:f>IF(COUNTA(S137:AM137)=0,"",SUM(S137:AM137))</x:f>
        <x:v>0</x:v>
      </x:c>
      <x:c r="AO137" s="151" t="str"/>
      <x:c r="AP137" s="151" t="str"/>
      <x:c r="AQ137" s="151" t="str"/>
      <x:c r="AR137" s="151" t="str"/>
      <x:c r="AS137" s="196" t="str">
        <x:f>IF(AN137="","",IF(AO137="Cartons",IF(AP137*AQ137=AN137,"OK","CHECK CARTONS / SIZES"),IF(AR137=AN137,"OK","CHECK TOTAL / SIZES")))</x:f>
      </x:c>
      <x:c r="AT137" s="137" t="str"/>
      <x:c r="AU137" s="137" t="str"/>
      <x:c r="AV137" s="137" t="str"/>
      <x:c r="AW137" s="137" t="str"/>
    </x:row>
    <x:row r="138">
      <x:c r="A138" s="137" t="str"/>
      <x:c r="B138" s="137" t="str"/>
      <x:c r="C138" s="137" t="str"/>
      <x:c r="D138" s="137" t="str"/>
      <x:c r="E138" s="138" t="str"/>
      <x:c r="F138" s="138" t="str"/>
      <x:c r="G138" s="137" t="str"/>
      <x:c r="H138" s="137" t="str"/>
      <x:c r="I138" s="137" t="str"/>
      <x:c r="J138" s="137" t="str"/>
      <x:c r="K138" s="137" t="str"/>
      <x:c r="L138" s="137" t="str"/>
      <x:c r="M138" s="137" t="str"/>
      <x:c r="N138" s="137" t="str"/>
      <x:c r="O138" s="137" t="str"/>
      <x:c r="P138" s="137" t="str"/>
      <x:c r="Q138" s="137" t="str"/>
      <x:c r="R138" s="137" t="str"/>
      <x:c r="S138" s="151" t="str"/>
      <x:c r="T138" s="151" t="str"/>
      <x:c r="U138" s="151" t="str"/>
      <x:c r="V138" s="151" t="str"/>
      <x:c r="W138" s="151" t="str"/>
      <x:c r="X138" s="151" t="str"/>
      <x:c r="Y138" s="151" t="str"/>
      <x:c r="Z138" s="151" t="str"/>
      <x:c r="AA138" s="151" t="str"/>
      <x:c r="AB138" s="151" t="str"/>
      <x:c r="AC138" s="151" t="str"/>
      <x:c r="AD138" s="151" t="str"/>
      <x:c r="AE138" s="151" t="str"/>
      <x:c r="AF138" s="151" t="str"/>
      <x:c r="AG138" s="151" t="str"/>
      <x:c r="AH138" s="151" t="str"/>
      <x:c r="AI138" s="151" t="str"/>
      <x:c r="AJ138" s="151" t="str"/>
      <x:c r="AK138" s="151" t="str"/>
      <x:c r="AL138" s="151" t="str"/>
      <x:c r="AM138" s="151" t="str"/>
      <x:c r="AN138" s="152" t="n">
        <x:f>IF(COUNTA(S138:AM138)=0,"",SUM(S138:AM138))</x:f>
        <x:v>0</x:v>
      </x:c>
      <x:c r="AO138" s="151" t="str"/>
      <x:c r="AP138" s="151" t="str"/>
      <x:c r="AQ138" s="151" t="str"/>
      <x:c r="AR138" s="151" t="str"/>
      <x:c r="AS138" s="196" t="str">
        <x:f>IF(AN138="","",IF(AO138="Cartons",IF(AP138*AQ138=AN138,"OK","CHECK CARTONS / SIZES"),IF(AR138=AN138,"OK","CHECK TOTAL / SIZES")))</x:f>
      </x:c>
      <x:c r="AT138" s="137" t="str"/>
      <x:c r="AU138" s="137" t="str"/>
      <x:c r="AV138" s="137" t="str"/>
      <x:c r="AW138" s="137" t="str"/>
    </x:row>
    <x:row r="139">
      <x:c r="A139" s="137" t="str"/>
      <x:c r="B139" s="137" t="str"/>
      <x:c r="C139" s="137" t="str"/>
      <x:c r="D139" s="137" t="str"/>
      <x:c r="E139" s="138" t="str"/>
      <x:c r="F139" s="138" t="str"/>
      <x:c r="G139" s="137" t="str"/>
      <x:c r="H139" s="137" t="str"/>
      <x:c r="I139" s="137" t="str"/>
      <x:c r="J139" s="137" t="str"/>
      <x:c r="K139" s="137" t="str"/>
      <x:c r="L139" s="137" t="str"/>
      <x:c r="M139" s="137" t="str"/>
      <x:c r="N139" s="137" t="str"/>
      <x:c r="O139" s="137" t="str"/>
      <x:c r="P139" s="137" t="str"/>
      <x:c r="Q139" s="137" t="str"/>
      <x:c r="R139" s="137" t="str"/>
      <x:c r="S139" s="151" t="str"/>
      <x:c r="T139" s="151" t="str"/>
      <x:c r="U139" s="151" t="str"/>
      <x:c r="V139" s="151" t="str"/>
      <x:c r="W139" s="151" t="str"/>
      <x:c r="X139" s="151" t="str"/>
      <x:c r="Y139" s="151" t="str"/>
      <x:c r="Z139" s="151" t="str"/>
      <x:c r="AA139" s="151" t="str"/>
      <x:c r="AB139" s="151" t="str"/>
      <x:c r="AC139" s="151" t="str"/>
      <x:c r="AD139" s="151" t="str"/>
      <x:c r="AE139" s="151" t="str"/>
      <x:c r="AF139" s="151" t="str"/>
      <x:c r="AG139" s="151" t="str"/>
      <x:c r="AH139" s="151" t="str"/>
      <x:c r="AI139" s="151" t="str"/>
      <x:c r="AJ139" s="151" t="str"/>
      <x:c r="AK139" s="151" t="str"/>
      <x:c r="AL139" s="151" t="str"/>
      <x:c r="AM139" s="151" t="str"/>
      <x:c r="AN139" s="152" t="n">
        <x:f>IF(COUNTA(S139:AM139)=0,"",SUM(S139:AM139))</x:f>
        <x:v>0</x:v>
      </x:c>
      <x:c r="AO139" s="151" t="str"/>
      <x:c r="AP139" s="151" t="str"/>
      <x:c r="AQ139" s="151" t="str"/>
      <x:c r="AR139" s="151" t="str"/>
      <x:c r="AS139" s="196" t="str">
        <x:f>IF(AN139="","",IF(AO139="Cartons",IF(AP139*AQ139=AN139,"OK","CHECK CARTONS / SIZES"),IF(AR139=AN139,"OK","CHECK TOTAL / SIZES")))</x:f>
      </x:c>
      <x:c r="AT139" s="137" t="str"/>
      <x:c r="AU139" s="137" t="str"/>
      <x:c r="AV139" s="137" t="str"/>
      <x:c r="AW139" s="137" t="str"/>
    </x:row>
    <x:row r="140">
      <x:c r="A140" s="137" t="str"/>
      <x:c r="B140" s="137" t="str"/>
      <x:c r="C140" s="137" t="str"/>
      <x:c r="D140" s="137" t="str"/>
      <x:c r="E140" s="138" t="str"/>
      <x:c r="F140" s="138" t="str"/>
      <x:c r="G140" s="137" t="str"/>
      <x:c r="H140" s="137" t="str"/>
      <x:c r="I140" s="137" t="str"/>
      <x:c r="J140" s="137" t="str"/>
      <x:c r="K140" s="137" t="str"/>
      <x:c r="L140" s="137" t="str"/>
      <x:c r="M140" s="137" t="str"/>
      <x:c r="N140" s="137" t="str"/>
      <x:c r="O140" s="137" t="str"/>
      <x:c r="P140" s="137" t="str"/>
      <x:c r="Q140" s="137" t="str"/>
      <x:c r="R140" s="137" t="str"/>
      <x:c r="S140" s="151" t="str"/>
      <x:c r="T140" s="151" t="str"/>
      <x:c r="U140" s="151" t="str"/>
      <x:c r="V140" s="151" t="str"/>
      <x:c r="W140" s="151" t="str"/>
      <x:c r="X140" s="151" t="str"/>
      <x:c r="Y140" s="151" t="str"/>
      <x:c r="Z140" s="151" t="str"/>
      <x:c r="AA140" s="151" t="str"/>
      <x:c r="AB140" s="151" t="str"/>
      <x:c r="AC140" s="151" t="str"/>
      <x:c r="AD140" s="151" t="str"/>
      <x:c r="AE140" s="151" t="str"/>
      <x:c r="AF140" s="151" t="str"/>
      <x:c r="AG140" s="151" t="str"/>
      <x:c r="AH140" s="151" t="str"/>
      <x:c r="AI140" s="151" t="str"/>
      <x:c r="AJ140" s="151" t="str"/>
      <x:c r="AK140" s="151" t="str"/>
      <x:c r="AL140" s="151" t="str"/>
      <x:c r="AM140" s="151" t="str"/>
      <x:c r="AN140" s="152" t="n">
        <x:f>IF(COUNTA(S140:AM140)=0,"",SUM(S140:AM140))</x:f>
        <x:v>0</x:v>
      </x:c>
      <x:c r="AO140" s="151" t="str"/>
      <x:c r="AP140" s="151" t="str"/>
      <x:c r="AQ140" s="151" t="str"/>
      <x:c r="AR140" s="151" t="str"/>
      <x:c r="AS140" s="196" t="str">
        <x:f>IF(AN140="","",IF(AO140="Cartons",IF(AP140*AQ140=AN140,"OK","CHECK CARTONS / SIZES"),IF(AR140=AN140,"OK","CHECK TOTAL / SIZES")))</x:f>
      </x:c>
      <x:c r="AT140" s="137" t="str"/>
      <x:c r="AU140" s="137" t="str"/>
      <x:c r="AV140" s="137" t="str"/>
      <x:c r="AW140" s="137" t="str"/>
    </x:row>
    <x:row r="141">
      <x:c r="A141" s="137" t="str"/>
      <x:c r="B141" s="137" t="str"/>
      <x:c r="C141" s="137" t="str"/>
      <x:c r="D141" s="137" t="str"/>
      <x:c r="E141" s="138" t="str"/>
      <x:c r="F141" s="138" t="str"/>
      <x:c r="G141" s="137" t="str"/>
      <x:c r="H141" s="137" t="str"/>
      <x:c r="I141" s="137" t="str"/>
      <x:c r="J141" s="137" t="str"/>
      <x:c r="K141" s="137" t="str"/>
      <x:c r="L141" s="137" t="str"/>
      <x:c r="M141" s="137" t="str"/>
      <x:c r="N141" s="137" t="str"/>
      <x:c r="O141" s="137" t="str"/>
      <x:c r="P141" s="137" t="str"/>
      <x:c r="Q141" s="137" t="str"/>
      <x:c r="R141" s="137" t="str"/>
      <x:c r="S141" s="151" t="str"/>
      <x:c r="T141" s="151" t="str"/>
      <x:c r="U141" s="151" t="str"/>
      <x:c r="V141" s="151" t="str"/>
      <x:c r="W141" s="151" t="str"/>
      <x:c r="X141" s="151" t="str"/>
      <x:c r="Y141" s="151" t="str"/>
      <x:c r="Z141" s="151" t="str"/>
      <x:c r="AA141" s="151" t="str"/>
      <x:c r="AB141" s="151" t="str"/>
      <x:c r="AC141" s="151" t="str"/>
      <x:c r="AD141" s="151" t="str"/>
      <x:c r="AE141" s="151" t="str"/>
      <x:c r="AF141" s="151" t="str"/>
      <x:c r="AG141" s="151" t="str"/>
      <x:c r="AH141" s="151" t="str"/>
      <x:c r="AI141" s="151" t="str"/>
      <x:c r="AJ141" s="151" t="str"/>
      <x:c r="AK141" s="151" t="str"/>
      <x:c r="AL141" s="151" t="str"/>
      <x:c r="AM141" s="151" t="str"/>
      <x:c r="AN141" s="152" t="n">
        <x:f>IF(COUNTA(S141:AM141)=0,"",SUM(S141:AM141))</x:f>
        <x:v>0</x:v>
      </x:c>
      <x:c r="AO141" s="151" t="str"/>
      <x:c r="AP141" s="151" t="str"/>
      <x:c r="AQ141" s="151" t="str"/>
      <x:c r="AR141" s="151" t="str"/>
      <x:c r="AS141" s="196" t="str">
        <x:f>IF(AN141="","",IF(AO141="Cartons",IF(AP141*AQ141=AN141,"OK","CHECK CARTONS / SIZES"),IF(AR141=AN141,"OK","CHECK TOTAL / SIZES")))</x:f>
      </x:c>
      <x:c r="AT141" s="137" t="str"/>
      <x:c r="AU141" s="137" t="str"/>
      <x:c r="AV141" s="137" t="str"/>
      <x:c r="AW141" s="137" t="str"/>
    </x:row>
    <x:row r="142">
      <x:c r="A142" s="137" t="str"/>
      <x:c r="B142" s="137" t="str"/>
      <x:c r="C142" s="137" t="str"/>
      <x:c r="D142" s="137" t="str"/>
      <x:c r="E142" s="138" t="str"/>
      <x:c r="F142" s="138" t="str"/>
      <x:c r="G142" s="137" t="str"/>
      <x:c r="H142" s="137" t="str"/>
      <x:c r="I142" s="137" t="str"/>
      <x:c r="J142" s="137" t="str"/>
      <x:c r="K142" s="137" t="str"/>
      <x:c r="L142" s="137" t="str"/>
      <x:c r="M142" s="137" t="str"/>
      <x:c r="N142" s="137" t="str"/>
      <x:c r="O142" s="137" t="str"/>
      <x:c r="P142" s="137" t="str"/>
      <x:c r="Q142" s="137" t="str"/>
      <x:c r="R142" s="137" t="str"/>
      <x:c r="S142" s="151" t="str"/>
      <x:c r="T142" s="151" t="str"/>
      <x:c r="U142" s="151" t="str"/>
      <x:c r="V142" s="151" t="str"/>
      <x:c r="W142" s="151" t="str"/>
      <x:c r="X142" s="151" t="str"/>
      <x:c r="Y142" s="151" t="str"/>
      <x:c r="Z142" s="151" t="str"/>
      <x:c r="AA142" s="151" t="str"/>
      <x:c r="AB142" s="151" t="str"/>
      <x:c r="AC142" s="151" t="str"/>
      <x:c r="AD142" s="151" t="str"/>
      <x:c r="AE142" s="151" t="str"/>
      <x:c r="AF142" s="151" t="str"/>
      <x:c r="AG142" s="151" t="str"/>
      <x:c r="AH142" s="151" t="str"/>
      <x:c r="AI142" s="151" t="str"/>
      <x:c r="AJ142" s="151" t="str"/>
      <x:c r="AK142" s="151" t="str"/>
      <x:c r="AL142" s="151" t="str"/>
      <x:c r="AM142" s="151" t="str"/>
      <x:c r="AN142" s="152" t="n">
        <x:f>IF(COUNTA(S142:AM142)=0,"",SUM(S142:AM142))</x:f>
        <x:v>0</x:v>
      </x:c>
      <x:c r="AO142" s="151" t="str"/>
      <x:c r="AP142" s="151" t="str"/>
      <x:c r="AQ142" s="151" t="str"/>
      <x:c r="AR142" s="151" t="str"/>
      <x:c r="AS142" s="196" t="str">
        <x:f>IF(AN142="","",IF(AO142="Cartons",IF(AP142*AQ142=AN142,"OK","CHECK CARTONS / SIZES"),IF(AR142=AN142,"OK","CHECK TOTAL / SIZES")))</x:f>
      </x:c>
      <x:c r="AT142" s="137" t="str"/>
      <x:c r="AU142" s="137" t="str"/>
      <x:c r="AV142" s="137" t="str"/>
      <x:c r="AW142" s="137" t="str"/>
    </x:row>
    <x:row r="143">
      <x:c r="A143" s="137" t="str"/>
      <x:c r="B143" s="137" t="str"/>
      <x:c r="C143" s="137" t="str"/>
      <x:c r="D143" s="137" t="str"/>
      <x:c r="E143" s="138" t="str"/>
      <x:c r="F143" s="138" t="str"/>
      <x:c r="G143" s="137" t="str"/>
      <x:c r="H143" s="137" t="str"/>
      <x:c r="I143" s="137" t="str"/>
      <x:c r="J143" s="137" t="str"/>
      <x:c r="K143" s="137" t="str"/>
      <x:c r="L143" s="137" t="str"/>
      <x:c r="M143" s="137" t="str"/>
      <x:c r="N143" s="137" t="str"/>
      <x:c r="O143" s="137" t="str"/>
      <x:c r="P143" s="137" t="str"/>
      <x:c r="Q143" s="137" t="str"/>
      <x:c r="R143" s="137" t="str"/>
      <x:c r="S143" s="151" t="str"/>
      <x:c r="T143" s="151" t="str"/>
      <x:c r="U143" s="151" t="str"/>
      <x:c r="V143" s="151" t="str"/>
      <x:c r="W143" s="151" t="str"/>
      <x:c r="X143" s="151" t="str"/>
      <x:c r="Y143" s="151" t="str"/>
      <x:c r="Z143" s="151" t="str"/>
      <x:c r="AA143" s="151" t="str"/>
      <x:c r="AB143" s="151" t="str"/>
      <x:c r="AC143" s="151" t="str"/>
      <x:c r="AD143" s="151" t="str"/>
      <x:c r="AE143" s="151" t="str"/>
      <x:c r="AF143" s="151" t="str"/>
      <x:c r="AG143" s="151" t="str"/>
      <x:c r="AH143" s="151" t="str"/>
      <x:c r="AI143" s="151" t="str"/>
      <x:c r="AJ143" s="151" t="str"/>
      <x:c r="AK143" s="151" t="str"/>
      <x:c r="AL143" s="151" t="str"/>
      <x:c r="AM143" s="151" t="str"/>
      <x:c r="AN143" s="152" t="n">
        <x:f>IF(COUNTA(S143:AM143)=0,"",SUM(S143:AM143))</x:f>
        <x:v>0</x:v>
      </x:c>
      <x:c r="AO143" s="151" t="str"/>
      <x:c r="AP143" s="151" t="str"/>
      <x:c r="AQ143" s="151" t="str"/>
      <x:c r="AR143" s="151" t="str"/>
      <x:c r="AS143" s="196" t="str">
        <x:f>IF(AN143="","",IF(AO143="Cartons",IF(AP143*AQ143=AN143,"OK","CHECK CARTONS / SIZES"),IF(AR143=AN143,"OK","CHECK TOTAL / SIZES")))</x:f>
      </x:c>
      <x:c r="AT143" s="137" t="str"/>
      <x:c r="AU143" s="137" t="str"/>
      <x:c r="AV143" s="137" t="str"/>
      <x:c r="AW143" s="137" t="str"/>
    </x:row>
    <x:row r="144">
      <x:c r="A144" s="137" t="str"/>
      <x:c r="B144" s="137" t="str"/>
      <x:c r="C144" s="137" t="str"/>
      <x:c r="D144" s="137" t="str"/>
      <x:c r="E144" s="138" t="str"/>
      <x:c r="F144" s="138" t="str"/>
      <x:c r="G144" s="137" t="str"/>
      <x:c r="H144" s="137" t="str"/>
      <x:c r="I144" s="137" t="str"/>
      <x:c r="J144" s="137" t="str"/>
      <x:c r="K144" s="137" t="str"/>
      <x:c r="L144" s="137" t="str"/>
      <x:c r="M144" s="137" t="str"/>
      <x:c r="N144" s="137" t="str"/>
      <x:c r="O144" s="137" t="str"/>
      <x:c r="P144" s="137" t="str"/>
      <x:c r="Q144" s="137" t="str"/>
      <x:c r="R144" s="137" t="str"/>
      <x:c r="S144" s="151" t="str"/>
      <x:c r="T144" s="151" t="str"/>
      <x:c r="U144" s="151" t="str"/>
      <x:c r="V144" s="151" t="str"/>
      <x:c r="W144" s="151" t="str"/>
      <x:c r="X144" s="151" t="str"/>
      <x:c r="Y144" s="151" t="str"/>
      <x:c r="Z144" s="151" t="str"/>
      <x:c r="AA144" s="151" t="str"/>
      <x:c r="AB144" s="151" t="str"/>
      <x:c r="AC144" s="151" t="str"/>
      <x:c r="AD144" s="151" t="str"/>
      <x:c r="AE144" s="151" t="str"/>
      <x:c r="AF144" s="151" t="str"/>
      <x:c r="AG144" s="151" t="str"/>
      <x:c r="AH144" s="151" t="str"/>
      <x:c r="AI144" s="151" t="str"/>
      <x:c r="AJ144" s="151" t="str"/>
      <x:c r="AK144" s="151" t="str"/>
      <x:c r="AL144" s="151" t="str"/>
      <x:c r="AM144" s="151" t="str"/>
      <x:c r="AN144" s="152" t="n">
        <x:f>IF(COUNTA(S144:AM144)=0,"",SUM(S144:AM144))</x:f>
        <x:v>0</x:v>
      </x:c>
      <x:c r="AO144" s="151" t="str"/>
      <x:c r="AP144" s="151" t="str"/>
      <x:c r="AQ144" s="151" t="str"/>
      <x:c r="AR144" s="151" t="str"/>
      <x:c r="AS144" s="196" t="str">
        <x:f>IF(AN144="","",IF(AO144="Cartons",IF(AP144*AQ144=AN144,"OK","CHECK CARTONS / SIZES"),IF(AR144=AN144,"OK","CHECK TOTAL / SIZES")))</x:f>
      </x:c>
      <x:c r="AT144" s="137" t="str"/>
      <x:c r="AU144" s="137" t="str"/>
      <x:c r="AV144" s="137" t="str"/>
      <x:c r="AW144" s="137" t="str"/>
    </x:row>
    <x:row r="145">
      <x:c r="A145" s="137" t="str"/>
      <x:c r="B145" s="137" t="str"/>
      <x:c r="C145" s="137" t="str"/>
      <x:c r="D145" s="137" t="str"/>
      <x:c r="E145" s="138" t="str"/>
      <x:c r="F145" s="138" t="str"/>
      <x:c r="G145" s="137" t="str"/>
      <x:c r="H145" s="137" t="str"/>
      <x:c r="I145" s="137" t="str"/>
      <x:c r="J145" s="137" t="str"/>
      <x:c r="K145" s="137" t="str"/>
      <x:c r="L145" s="137" t="str"/>
      <x:c r="M145" s="137" t="str"/>
      <x:c r="N145" s="137" t="str"/>
      <x:c r="O145" s="137" t="str"/>
      <x:c r="P145" s="137" t="str"/>
      <x:c r="Q145" s="137" t="str"/>
      <x:c r="R145" s="137" t="str"/>
      <x:c r="S145" s="151" t="str"/>
      <x:c r="T145" s="151" t="str"/>
      <x:c r="U145" s="151" t="str"/>
      <x:c r="V145" s="151" t="str"/>
      <x:c r="W145" s="151" t="str"/>
      <x:c r="X145" s="151" t="str"/>
      <x:c r="Y145" s="151" t="str"/>
      <x:c r="Z145" s="151" t="str"/>
      <x:c r="AA145" s="151" t="str"/>
      <x:c r="AB145" s="151" t="str"/>
      <x:c r="AC145" s="151" t="str"/>
      <x:c r="AD145" s="151" t="str"/>
      <x:c r="AE145" s="151" t="str"/>
      <x:c r="AF145" s="151" t="str"/>
      <x:c r="AG145" s="151" t="str"/>
      <x:c r="AH145" s="151" t="str"/>
      <x:c r="AI145" s="151" t="str"/>
      <x:c r="AJ145" s="151" t="str"/>
      <x:c r="AK145" s="151" t="str"/>
      <x:c r="AL145" s="151" t="str"/>
      <x:c r="AM145" s="151" t="str"/>
      <x:c r="AN145" s="152" t="n">
        <x:f>IF(COUNTA(S145:AM145)=0,"",SUM(S145:AM145))</x:f>
        <x:v>0</x:v>
      </x:c>
      <x:c r="AO145" s="151" t="str"/>
      <x:c r="AP145" s="151" t="str"/>
      <x:c r="AQ145" s="151" t="str"/>
      <x:c r="AR145" s="151" t="str"/>
      <x:c r="AS145" s="196" t="str">
        <x:f>IF(AN145="","",IF(AO145="Cartons",IF(AP145*AQ145=AN145,"OK","CHECK CARTONS / SIZES"),IF(AR145=AN145,"OK","CHECK TOTAL / SIZES")))</x:f>
      </x:c>
      <x:c r="AT145" s="137" t="str"/>
      <x:c r="AU145" s="137" t="str"/>
      <x:c r="AV145" s="137" t="str"/>
      <x:c r="AW145" s="137" t="str"/>
    </x:row>
    <x:row r="146">
      <x:c r="A146" s="137" t="str"/>
      <x:c r="B146" s="137" t="str"/>
      <x:c r="C146" s="137" t="str"/>
      <x:c r="D146" s="137" t="str"/>
      <x:c r="E146" s="138" t="str"/>
      <x:c r="F146" s="138" t="str"/>
      <x:c r="G146" s="137" t="str"/>
      <x:c r="H146" s="137" t="str"/>
      <x:c r="I146" s="137" t="str"/>
      <x:c r="J146" s="137" t="str"/>
      <x:c r="K146" s="137" t="str"/>
      <x:c r="L146" s="137" t="str"/>
      <x:c r="M146" s="137" t="str"/>
      <x:c r="N146" s="137" t="str"/>
      <x:c r="O146" s="137" t="str"/>
      <x:c r="P146" s="137" t="str"/>
      <x:c r="Q146" s="137" t="str"/>
      <x:c r="R146" s="137" t="str"/>
      <x:c r="S146" s="151" t="str"/>
      <x:c r="T146" s="151" t="str"/>
      <x:c r="U146" s="151" t="str"/>
      <x:c r="V146" s="151" t="str"/>
      <x:c r="W146" s="151" t="str"/>
      <x:c r="X146" s="151" t="str"/>
      <x:c r="Y146" s="151" t="str"/>
      <x:c r="Z146" s="151" t="str"/>
      <x:c r="AA146" s="151" t="str"/>
      <x:c r="AB146" s="151" t="str"/>
      <x:c r="AC146" s="151" t="str"/>
      <x:c r="AD146" s="151" t="str"/>
      <x:c r="AE146" s="151" t="str"/>
      <x:c r="AF146" s="151" t="str"/>
      <x:c r="AG146" s="151" t="str"/>
      <x:c r="AH146" s="151" t="str"/>
      <x:c r="AI146" s="151" t="str"/>
      <x:c r="AJ146" s="151" t="str"/>
      <x:c r="AK146" s="151" t="str"/>
      <x:c r="AL146" s="151" t="str"/>
      <x:c r="AM146" s="151" t="str"/>
      <x:c r="AN146" s="152" t="n">
        <x:f>IF(COUNTA(S146:AM146)=0,"",SUM(S146:AM146))</x:f>
        <x:v>0</x:v>
      </x:c>
      <x:c r="AO146" s="151" t="str"/>
      <x:c r="AP146" s="151" t="str"/>
      <x:c r="AQ146" s="151" t="str"/>
      <x:c r="AR146" s="151" t="str"/>
      <x:c r="AS146" s="196" t="str">
        <x:f>IF(AN146="","",IF(AO146="Cartons",IF(AP146*AQ146=AN146,"OK","CHECK CARTONS / SIZES"),IF(AR146=AN146,"OK","CHECK TOTAL / SIZES")))</x:f>
      </x:c>
      <x:c r="AT146" s="137" t="str"/>
      <x:c r="AU146" s="137" t="str"/>
      <x:c r="AV146" s="137" t="str"/>
      <x:c r="AW146" s="137" t="str"/>
    </x:row>
    <x:row r="147">
      <x:c r="A147" s="137" t="str"/>
      <x:c r="B147" s="137" t="str"/>
      <x:c r="C147" s="137" t="str"/>
      <x:c r="D147" s="137" t="str"/>
      <x:c r="E147" s="138" t="str"/>
      <x:c r="F147" s="138" t="str"/>
      <x:c r="G147" s="137" t="str"/>
      <x:c r="H147" s="137" t="str"/>
      <x:c r="I147" s="137" t="str"/>
      <x:c r="J147" s="137" t="str"/>
      <x:c r="K147" s="137" t="str"/>
      <x:c r="L147" s="137" t="str"/>
      <x:c r="M147" s="137" t="str"/>
      <x:c r="N147" s="137" t="str"/>
      <x:c r="O147" s="137" t="str"/>
      <x:c r="P147" s="137" t="str"/>
      <x:c r="Q147" s="137" t="str"/>
      <x:c r="R147" s="137" t="str"/>
      <x:c r="S147" s="151" t="str"/>
      <x:c r="T147" s="151" t="str"/>
      <x:c r="U147" s="151" t="str"/>
      <x:c r="V147" s="151" t="str"/>
      <x:c r="W147" s="151" t="str"/>
      <x:c r="X147" s="151" t="str"/>
      <x:c r="Y147" s="151" t="str"/>
      <x:c r="Z147" s="151" t="str"/>
      <x:c r="AA147" s="151" t="str"/>
      <x:c r="AB147" s="151" t="str"/>
      <x:c r="AC147" s="151" t="str"/>
      <x:c r="AD147" s="151" t="str"/>
      <x:c r="AE147" s="151" t="str"/>
      <x:c r="AF147" s="151" t="str"/>
      <x:c r="AG147" s="151" t="str"/>
      <x:c r="AH147" s="151" t="str"/>
      <x:c r="AI147" s="151" t="str"/>
      <x:c r="AJ147" s="151" t="str"/>
      <x:c r="AK147" s="151" t="str"/>
      <x:c r="AL147" s="151" t="str"/>
      <x:c r="AM147" s="151" t="str"/>
      <x:c r="AN147" s="152" t="n">
        <x:f>IF(COUNTA(S147:AM147)=0,"",SUM(S147:AM147))</x:f>
        <x:v>0</x:v>
      </x:c>
      <x:c r="AO147" s="151" t="str"/>
      <x:c r="AP147" s="151" t="str"/>
      <x:c r="AQ147" s="151" t="str"/>
      <x:c r="AR147" s="151" t="str"/>
      <x:c r="AS147" s="196" t="str">
        <x:f>IF(AN147="","",IF(AO147="Cartons",IF(AP147*AQ147=AN147,"OK","CHECK CARTONS / SIZES"),IF(AR147=AN147,"OK","CHECK TOTAL / SIZES")))</x:f>
      </x:c>
      <x:c r="AT147" s="137" t="str"/>
      <x:c r="AU147" s="137" t="str"/>
      <x:c r="AV147" s="137" t="str"/>
      <x:c r="AW147" s="137" t="str"/>
    </x:row>
    <x:row r="148">
      <x:c r="A148" s="137" t="str"/>
      <x:c r="B148" s="137" t="str"/>
      <x:c r="C148" s="137" t="str"/>
      <x:c r="D148" s="137" t="str"/>
      <x:c r="E148" s="138" t="str"/>
      <x:c r="F148" s="138" t="str"/>
      <x:c r="G148" s="137" t="str"/>
      <x:c r="H148" s="137" t="str"/>
      <x:c r="I148" s="137" t="str"/>
      <x:c r="J148" s="137" t="str"/>
      <x:c r="K148" s="137" t="str"/>
      <x:c r="L148" s="137" t="str"/>
      <x:c r="M148" s="137" t="str"/>
      <x:c r="N148" s="137" t="str"/>
      <x:c r="O148" s="137" t="str"/>
      <x:c r="P148" s="137" t="str"/>
      <x:c r="Q148" s="137" t="str"/>
      <x:c r="R148" s="137" t="str"/>
      <x:c r="S148" s="151" t="str"/>
      <x:c r="T148" s="151" t="str"/>
      <x:c r="U148" s="151" t="str"/>
      <x:c r="V148" s="151" t="str"/>
      <x:c r="W148" s="151" t="str"/>
      <x:c r="X148" s="151" t="str"/>
      <x:c r="Y148" s="151" t="str"/>
      <x:c r="Z148" s="151" t="str"/>
      <x:c r="AA148" s="151" t="str"/>
      <x:c r="AB148" s="151" t="str"/>
      <x:c r="AC148" s="151" t="str"/>
      <x:c r="AD148" s="151" t="str"/>
      <x:c r="AE148" s="151" t="str"/>
      <x:c r="AF148" s="151" t="str"/>
      <x:c r="AG148" s="151" t="str"/>
      <x:c r="AH148" s="151" t="str"/>
      <x:c r="AI148" s="151" t="str"/>
      <x:c r="AJ148" s="151" t="str"/>
      <x:c r="AK148" s="151" t="str"/>
      <x:c r="AL148" s="151" t="str"/>
      <x:c r="AM148" s="151" t="str"/>
      <x:c r="AN148" s="152" t="n">
        <x:f>IF(COUNTA(S148:AM148)=0,"",SUM(S148:AM148))</x:f>
        <x:v>0</x:v>
      </x:c>
      <x:c r="AO148" s="151" t="str"/>
      <x:c r="AP148" s="151" t="str"/>
      <x:c r="AQ148" s="151" t="str"/>
      <x:c r="AR148" s="151" t="str"/>
      <x:c r="AS148" s="196" t="str">
        <x:f>IF(AN148="","",IF(AO148="Cartons",IF(AP148*AQ148=AN148,"OK","CHECK CARTONS / SIZES"),IF(AR148=AN148,"OK","CHECK TOTAL / SIZES")))</x:f>
      </x:c>
      <x:c r="AT148" s="137" t="str"/>
      <x:c r="AU148" s="137" t="str"/>
      <x:c r="AV148" s="137" t="str"/>
      <x:c r="AW148" s="137" t="str"/>
    </x:row>
    <x:row r="149">
      <x:c r="A149" s="137" t="str"/>
      <x:c r="B149" s="137" t="str"/>
      <x:c r="C149" s="137" t="str"/>
      <x:c r="D149" s="137" t="str"/>
      <x:c r="E149" s="138" t="str"/>
      <x:c r="F149" s="138" t="str"/>
      <x:c r="G149" s="137" t="str"/>
      <x:c r="H149" s="137" t="str"/>
      <x:c r="I149" s="137" t="str"/>
      <x:c r="J149" s="137" t="str"/>
      <x:c r="K149" s="137" t="str"/>
      <x:c r="L149" s="137" t="str"/>
      <x:c r="M149" s="137" t="str"/>
      <x:c r="N149" s="137" t="str"/>
      <x:c r="O149" s="137" t="str"/>
      <x:c r="P149" s="137" t="str"/>
      <x:c r="Q149" s="137" t="str"/>
      <x:c r="R149" s="137" t="str"/>
      <x:c r="S149" s="151" t="str"/>
      <x:c r="T149" s="151" t="str"/>
      <x:c r="U149" s="151" t="str"/>
      <x:c r="V149" s="151" t="str"/>
      <x:c r="W149" s="151" t="str"/>
      <x:c r="X149" s="151" t="str"/>
      <x:c r="Y149" s="151" t="str"/>
      <x:c r="Z149" s="151" t="str"/>
      <x:c r="AA149" s="151" t="str"/>
      <x:c r="AB149" s="151" t="str"/>
      <x:c r="AC149" s="151" t="str"/>
      <x:c r="AD149" s="151" t="str"/>
      <x:c r="AE149" s="151" t="str"/>
      <x:c r="AF149" s="151" t="str"/>
      <x:c r="AG149" s="151" t="str"/>
      <x:c r="AH149" s="151" t="str"/>
      <x:c r="AI149" s="151" t="str"/>
      <x:c r="AJ149" s="151" t="str"/>
      <x:c r="AK149" s="151" t="str"/>
      <x:c r="AL149" s="151" t="str"/>
      <x:c r="AM149" s="151" t="str"/>
      <x:c r="AN149" s="152" t="n">
        <x:f>IF(COUNTA(S149:AM149)=0,"",SUM(S149:AM149))</x:f>
        <x:v>0</x:v>
      </x:c>
      <x:c r="AO149" s="151" t="str"/>
      <x:c r="AP149" s="151" t="str"/>
      <x:c r="AQ149" s="151" t="str"/>
      <x:c r="AR149" s="151" t="str"/>
      <x:c r="AS149" s="196" t="str">
        <x:f>IF(AN149="","",IF(AO149="Cartons",IF(AP149*AQ149=AN149,"OK","CHECK CARTONS / SIZES"),IF(AR149=AN149,"OK","CHECK TOTAL / SIZES")))</x:f>
      </x:c>
      <x:c r="AT149" s="137" t="str"/>
      <x:c r="AU149" s="137" t="str"/>
      <x:c r="AV149" s="137" t="str"/>
      <x:c r="AW149" s="137" t="str"/>
    </x:row>
    <x:row r="150">
      <x:c r="A150" s="137" t="str"/>
      <x:c r="B150" s="137" t="str"/>
      <x:c r="C150" s="137" t="str"/>
      <x:c r="D150" s="137" t="str"/>
      <x:c r="E150" s="138" t="str"/>
      <x:c r="F150" s="138" t="str"/>
      <x:c r="G150" s="137" t="str"/>
      <x:c r="H150" s="137" t="str"/>
      <x:c r="I150" s="137" t="str"/>
      <x:c r="J150" s="137" t="str"/>
      <x:c r="K150" s="137" t="str"/>
      <x:c r="L150" s="137" t="str"/>
      <x:c r="M150" s="137" t="str"/>
      <x:c r="N150" s="137" t="str"/>
      <x:c r="O150" s="137" t="str"/>
      <x:c r="P150" s="137" t="str"/>
      <x:c r="Q150" s="137" t="str"/>
      <x:c r="R150" s="137" t="str"/>
      <x:c r="S150" s="151" t="str"/>
      <x:c r="T150" s="151" t="str"/>
      <x:c r="U150" s="151" t="str"/>
      <x:c r="V150" s="151" t="str"/>
      <x:c r="W150" s="151" t="str"/>
      <x:c r="X150" s="151" t="str"/>
      <x:c r="Y150" s="151" t="str"/>
      <x:c r="Z150" s="151" t="str"/>
      <x:c r="AA150" s="151" t="str"/>
      <x:c r="AB150" s="151" t="str"/>
      <x:c r="AC150" s="151" t="str"/>
      <x:c r="AD150" s="151" t="str"/>
      <x:c r="AE150" s="151" t="str"/>
      <x:c r="AF150" s="151" t="str"/>
      <x:c r="AG150" s="151" t="str"/>
      <x:c r="AH150" s="151" t="str"/>
      <x:c r="AI150" s="151" t="str"/>
      <x:c r="AJ150" s="151" t="str"/>
      <x:c r="AK150" s="151" t="str"/>
      <x:c r="AL150" s="151" t="str"/>
      <x:c r="AM150" s="151" t="str"/>
      <x:c r="AN150" s="152" t="n">
        <x:f>IF(COUNTA(S150:AM150)=0,"",SUM(S150:AM150))</x:f>
        <x:v>0</x:v>
      </x:c>
      <x:c r="AO150" s="151" t="str"/>
      <x:c r="AP150" s="151" t="str"/>
      <x:c r="AQ150" s="151" t="str"/>
      <x:c r="AR150" s="151" t="str"/>
      <x:c r="AS150" s="196" t="str">
        <x:f>IF(AN150="","",IF(AO150="Cartons",IF(AP150*AQ150=AN150,"OK","CHECK CARTONS / SIZES"),IF(AR150=AN150,"OK","CHECK TOTAL / SIZES")))</x:f>
      </x:c>
      <x:c r="AT150" s="137" t="str"/>
      <x:c r="AU150" s="137" t="str"/>
      <x:c r="AV150" s="137" t="str"/>
      <x:c r="AW150" s="137" t="str"/>
    </x:row>
    <x:row r="151">
      <x:c r="A151" s="137" t="str"/>
      <x:c r="B151" s="137" t="str"/>
      <x:c r="C151" s="137" t="str"/>
      <x:c r="D151" s="137" t="str"/>
      <x:c r="E151" s="138" t="str"/>
      <x:c r="F151" s="138" t="str"/>
      <x:c r="G151" s="137" t="str"/>
      <x:c r="H151" s="137" t="str"/>
      <x:c r="I151" s="137" t="str"/>
      <x:c r="J151" s="137" t="str"/>
      <x:c r="K151" s="137" t="str"/>
      <x:c r="L151" s="137" t="str"/>
      <x:c r="M151" s="137" t="str"/>
      <x:c r="N151" s="137" t="str"/>
      <x:c r="O151" s="137" t="str"/>
      <x:c r="P151" s="137" t="str"/>
      <x:c r="Q151" s="137" t="str"/>
      <x:c r="R151" s="137" t="str"/>
      <x:c r="S151" s="151" t="str"/>
      <x:c r="T151" s="151" t="str"/>
      <x:c r="U151" s="151" t="str"/>
      <x:c r="V151" s="151" t="str"/>
      <x:c r="W151" s="151" t="str"/>
      <x:c r="X151" s="151" t="str"/>
      <x:c r="Y151" s="151" t="str"/>
      <x:c r="Z151" s="151" t="str"/>
      <x:c r="AA151" s="151" t="str"/>
      <x:c r="AB151" s="151" t="str"/>
      <x:c r="AC151" s="151" t="str"/>
      <x:c r="AD151" s="151" t="str"/>
      <x:c r="AE151" s="151" t="str"/>
      <x:c r="AF151" s="151" t="str"/>
      <x:c r="AG151" s="151" t="str"/>
      <x:c r="AH151" s="151" t="str"/>
      <x:c r="AI151" s="151" t="str"/>
      <x:c r="AJ151" s="151" t="str"/>
      <x:c r="AK151" s="151" t="str"/>
      <x:c r="AL151" s="151" t="str"/>
      <x:c r="AM151" s="151" t="str"/>
      <x:c r="AN151" s="152" t="n">
        <x:f>IF(COUNTA(S151:AM151)=0,"",SUM(S151:AM151))</x:f>
        <x:v>0</x:v>
      </x:c>
      <x:c r="AO151" s="151" t="str"/>
      <x:c r="AP151" s="151" t="str"/>
      <x:c r="AQ151" s="151" t="str"/>
      <x:c r="AR151" s="151" t="str"/>
      <x:c r="AS151" s="196" t="str">
        <x:f>IF(AN151="","",IF(AO151="Cartons",IF(AP151*AQ151=AN151,"OK","CHECK CARTONS / SIZES"),IF(AR151=AN151,"OK","CHECK TOTAL / SIZES")))</x:f>
      </x:c>
      <x:c r="AT151" s="137" t="str"/>
      <x:c r="AU151" s="137" t="str"/>
      <x:c r="AV151" s="137" t="str"/>
      <x:c r="AW151" s="137" t="str"/>
    </x:row>
    <x:row r="152">
      <x:c r="A152" s="137" t="str"/>
      <x:c r="B152" s="137" t="str"/>
      <x:c r="C152" s="137" t="str"/>
      <x:c r="D152" s="137" t="str"/>
      <x:c r="E152" s="138" t="str"/>
      <x:c r="F152" s="138" t="str"/>
      <x:c r="G152" s="137" t="str"/>
      <x:c r="H152" s="137" t="str"/>
      <x:c r="I152" s="137" t="str"/>
      <x:c r="J152" s="137" t="str"/>
      <x:c r="K152" s="137" t="str"/>
      <x:c r="L152" s="137" t="str"/>
      <x:c r="M152" s="137" t="str"/>
      <x:c r="N152" s="137" t="str"/>
      <x:c r="O152" s="137" t="str"/>
      <x:c r="P152" s="137" t="str"/>
      <x:c r="Q152" s="137" t="str"/>
      <x:c r="R152" s="137" t="str"/>
      <x:c r="S152" s="151" t="str"/>
      <x:c r="T152" s="151" t="str"/>
      <x:c r="U152" s="151" t="str"/>
      <x:c r="V152" s="151" t="str"/>
      <x:c r="W152" s="151" t="str"/>
      <x:c r="X152" s="151" t="str"/>
      <x:c r="Y152" s="151" t="str"/>
      <x:c r="Z152" s="151" t="str"/>
      <x:c r="AA152" s="151" t="str"/>
      <x:c r="AB152" s="151" t="str"/>
      <x:c r="AC152" s="151" t="str"/>
      <x:c r="AD152" s="151" t="str"/>
      <x:c r="AE152" s="151" t="str"/>
      <x:c r="AF152" s="151" t="str"/>
      <x:c r="AG152" s="151" t="str"/>
      <x:c r="AH152" s="151" t="str"/>
      <x:c r="AI152" s="151" t="str"/>
      <x:c r="AJ152" s="151" t="str"/>
      <x:c r="AK152" s="151" t="str"/>
      <x:c r="AL152" s="151" t="str"/>
      <x:c r="AM152" s="151" t="str"/>
      <x:c r="AN152" s="152" t="n">
        <x:f>IF(COUNTA(S152:AM152)=0,"",SUM(S152:AM152))</x:f>
        <x:v>0</x:v>
      </x:c>
      <x:c r="AO152" s="151" t="str"/>
      <x:c r="AP152" s="151" t="str"/>
      <x:c r="AQ152" s="151" t="str"/>
      <x:c r="AR152" s="151" t="str"/>
      <x:c r="AS152" s="196" t="str">
        <x:f>IF(AN152="","",IF(AO152="Cartons",IF(AP152*AQ152=AN152,"OK","CHECK CARTONS / SIZES"),IF(AR152=AN152,"OK","CHECK TOTAL / SIZES")))</x:f>
      </x:c>
      <x:c r="AT152" s="137" t="str"/>
      <x:c r="AU152" s="137" t="str"/>
      <x:c r="AV152" s="137" t="str"/>
      <x:c r="AW152" s="137" t="str"/>
    </x:row>
    <x:row r="153">
      <x:c r="A153" s="137" t="str"/>
      <x:c r="B153" s="137" t="str"/>
      <x:c r="C153" s="137" t="str"/>
      <x:c r="D153" s="137" t="str"/>
      <x:c r="E153" s="138" t="str"/>
      <x:c r="F153" s="138" t="str"/>
      <x:c r="G153" s="137" t="str"/>
      <x:c r="H153" s="137" t="str"/>
      <x:c r="I153" s="137" t="str"/>
      <x:c r="J153" s="137" t="str"/>
      <x:c r="K153" s="137" t="str"/>
      <x:c r="L153" s="137" t="str"/>
      <x:c r="M153" s="137" t="str"/>
      <x:c r="N153" s="137" t="str"/>
      <x:c r="O153" s="137" t="str"/>
      <x:c r="P153" s="137" t="str"/>
      <x:c r="Q153" s="137" t="str"/>
      <x:c r="R153" s="137" t="str"/>
      <x:c r="S153" s="151" t="str"/>
      <x:c r="T153" s="151" t="str"/>
      <x:c r="U153" s="151" t="str"/>
      <x:c r="V153" s="151" t="str"/>
      <x:c r="W153" s="151" t="str"/>
      <x:c r="X153" s="151" t="str"/>
      <x:c r="Y153" s="151" t="str"/>
      <x:c r="Z153" s="151" t="str"/>
      <x:c r="AA153" s="151" t="str"/>
      <x:c r="AB153" s="151" t="str"/>
      <x:c r="AC153" s="151" t="str"/>
      <x:c r="AD153" s="151" t="str"/>
      <x:c r="AE153" s="151" t="str"/>
      <x:c r="AF153" s="151" t="str"/>
      <x:c r="AG153" s="151" t="str"/>
      <x:c r="AH153" s="151" t="str"/>
      <x:c r="AI153" s="151" t="str"/>
      <x:c r="AJ153" s="151" t="str"/>
      <x:c r="AK153" s="151" t="str"/>
      <x:c r="AL153" s="151" t="str"/>
      <x:c r="AM153" s="151" t="str"/>
      <x:c r="AN153" s="152" t="n">
        <x:f>IF(COUNTA(S153:AM153)=0,"",SUM(S153:AM153))</x:f>
        <x:v>0</x:v>
      </x:c>
      <x:c r="AO153" s="151" t="str"/>
      <x:c r="AP153" s="151" t="str"/>
      <x:c r="AQ153" s="151" t="str"/>
      <x:c r="AR153" s="151" t="str"/>
      <x:c r="AS153" s="196" t="str">
        <x:f>IF(AN153="","",IF(AO153="Cartons",IF(AP153*AQ153=AN153,"OK","CHECK CARTONS / SIZES"),IF(AR153=AN153,"OK","CHECK TOTAL / SIZES")))</x:f>
      </x:c>
      <x:c r="AT153" s="137" t="str"/>
      <x:c r="AU153" s="137" t="str"/>
      <x:c r="AV153" s="137" t="str"/>
      <x:c r="AW153" s="137" t="str"/>
    </x:row>
    <x:row r="154">
      <x:c r="A154" s="137" t="str"/>
      <x:c r="B154" s="137" t="str"/>
      <x:c r="C154" s="137" t="str"/>
      <x:c r="D154" s="137" t="str"/>
      <x:c r="E154" s="138" t="str"/>
      <x:c r="F154" s="138" t="str"/>
      <x:c r="G154" s="137" t="str"/>
      <x:c r="H154" s="137" t="str"/>
      <x:c r="I154" s="137" t="str"/>
      <x:c r="J154" s="137" t="str"/>
      <x:c r="K154" s="137" t="str"/>
      <x:c r="L154" s="137" t="str"/>
      <x:c r="M154" s="137" t="str"/>
      <x:c r="N154" s="137" t="str"/>
      <x:c r="O154" s="137" t="str"/>
      <x:c r="P154" s="137" t="str"/>
      <x:c r="Q154" s="137" t="str"/>
      <x:c r="R154" s="137" t="str"/>
      <x:c r="S154" s="151" t="str"/>
      <x:c r="T154" s="151" t="str"/>
      <x:c r="U154" s="151" t="str"/>
      <x:c r="V154" s="151" t="str"/>
      <x:c r="W154" s="151" t="str"/>
      <x:c r="X154" s="151" t="str"/>
      <x:c r="Y154" s="151" t="str"/>
      <x:c r="Z154" s="151" t="str"/>
      <x:c r="AA154" s="151" t="str"/>
      <x:c r="AB154" s="151" t="str"/>
      <x:c r="AC154" s="151" t="str"/>
      <x:c r="AD154" s="151" t="str"/>
      <x:c r="AE154" s="151" t="str"/>
      <x:c r="AF154" s="151" t="str"/>
      <x:c r="AG154" s="151" t="str"/>
      <x:c r="AH154" s="151" t="str"/>
      <x:c r="AI154" s="151" t="str"/>
      <x:c r="AJ154" s="151" t="str"/>
      <x:c r="AK154" s="151" t="str"/>
      <x:c r="AL154" s="151" t="str"/>
      <x:c r="AM154" s="151" t="str"/>
      <x:c r="AN154" s="152" t="n">
        <x:f>IF(COUNTA(S154:AM154)=0,"",SUM(S154:AM154))</x:f>
        <x:v>0</x:v>
      </x:c>
      <x:c r="AO154" s="151" t="str"/>
      <x:c r="AP154" s="151" t="str"/>
      <x:c r="AQ154" s="151" t="str"/>
      <x:c r="AR154" s="151" t="str"/>
      <x:c r="AS154" s="196" t="str">
        <x:f>IF(AN154="","",IF(AO154="Cartons",IF(AP154*AQ154=AN154,"OK","CHECK CARTONS / SIZES"),IF(AR154=AN154,"OK","CHECK TOTAL / SIZES")))</x:f>
      </x:c>
      <x:c r="AT154" s="137" t="str"/>
      <x:c r="AU154" s="137" t="str"/>
      <x:c r="AV154" s="137" t="str"/>
      <x:c r="AW154" s="137" t="str"/>
    </x:row>
    <x:row r="155">
      <x:c r="A155" s="137" t="str"/>
      <x:c r="B155" s="137" t="str"/>
      <x:c r="C155" s="137" t="str"/>
      <x:c r="D155" s="137" t="str"/>
      <x:c r="E155" s="138" t="str"/>
      <x:c r="F155" s="138" t="str"/>
      <x:c r="G155" s="137" t="str"/>
      <x:c r="H155" s="137" t="str"/>
      <x:c r="I155" s="137" t="str"/>
      <x:c r="J155" s="137" t="str"/>
      <x:c r="K155" s="137" t="str"/>
      <x:c r="L155" s="137" t="str"/>
      <x:c r="M155" s="137" t="str"/>
      <x:c r="N155" s="137" t="str"/>
      <x:c r="O155" s="137" t="str"/>
      <x:c r="P155" s="137" t="str"/>
      <x:c r="Q155" s="137" t="str"/>
      <x:c r="R155" s="137" t="str"/>
      <x:c r="S155" s="151" t="str"/>
      <x:c r="T155" s="151" t="str"/>
      <x:c r="U155" s="151" t="str"/>
      <x:c r="V155" s="151" t="str"/>
      <x:c r="W155" s="151" t="str"/>
      <x:c r="X155" s="151" t="str"/>
      <x:c r="Y155" s="151" t="str"/>
      <x:c r="Z155" s="151" t="str"/>
      <x:c r="AA155" s="151" t="str"/>
      <x:c r="AB155" s="151" t="str"/>
      <x:c r="AC155" s="151" t="str"/>
      <x:c r="AD155" s="151" t="str"/>
      <x:c r="AE155" s="151" t="str"/>
      <x:c r="AF155" s="151" t="str"/>
      <x:c r="AG155" s="151" t="str"/>
      <x:c r="AH155" s="151" t="str"/>
      <x:c r="AI155" s="151" t="str"/>
      <x:c r="AJ155" s="151" t="str"/>
      <x:c r="AK155" s="151" t="str"/>
      <x:c r="AL155" s="151" t="str"/>
      <x:c r="AM155" s="151" t="str"/>
      <x:c r="AN155" s="152" t="n">
        <x:f>IF(COUNTA(S155:AM155)=0,"",SUM(S155:AM155))</x:f>
        <x:v>0</x:v>
      </x:c>
      <x:c r="AO155" s="151" t="str"/>
      <x:c r="AP155" s="151" t="str"/>
      <x:c r="AQ155" s="151" t="str"/>
      <x:c r="AR155" s="151" t="str"/>
      <x:c r="AS155" s="196" t="str">
        <x:f>IF(AN155="","",IF(AO155="Cartons",IF(AP155*AQ155=AN155,"OK","CHECK CARTONS / SIZES"),IF(AR155=AN155,"OK","CHECK TOTAL / SIZES")))</x:f>
      </x:c>
      <x:c r="AT155" s="137" t="str"/>
      <x:c r="AU155" s="137" t="str"/>
      <x:c r="AV155" s="137" t="str"/>
      <x:c r="AW155" s="137" t="str"/>
    </x:row>
    <x:row r="156">
      <x:c r="A156" s="137" t="str"/>
      <x:c r="B156" s="137" t="str"/>
      <x:c r="C156" s="137" t="str"/>
      <x:c r="D156" s="137" t="str"/>
      <x:c r="E156" s="138" t="str"/>
      <x:c r="F156" s="138" t="str"/>
      <x:c r="G156" s="137" t="str"/>
      <x:c r="H156" s="137" t="str"/>
      <x:c r="I156" s="137" t="str"/>
      <x:c r="J156" s="137" t="str"/>
      <x:c r="K156" s="137" t="str"/>
      <x:c r="L156" s="137" t="str"/>
      <x:c r="M156" s="137" t="str"/>
      <x:c r="N156" s="137" t="str"/>
      <x:c r="O156" s="137" t="str"/>
      <x:c r="P156" s="137" t="str"/>
      <x:c r="Q156" s="137" t="str"/>
      <x:c r="R156" s="137" t="str"/>
      <x:c r="S156" s="151" t="str"/>
      <x:c r="T156" s="151" t="str"/>
      <x:c r="U156" s="151" t="str"/>
      <x:c r="V156" s="151" t="str"/>
      <x:c r="W156" s="151" t="str"/>
      <x:c r="X156" s="151" t="str"/>
      <x:c r="Y156" s="151" t="str"/>
      <x:c r="Z156" s="151" t="str"/>
      <x:c r="AA156" s="151" t="str"/>
      <x:c r="AB156" s="151" t="str"/>
      <x:c r="AC156" s="151" t="str"/>
      <x:c r="AD156" s="151" t="str"/>
      <x:c r="AE156" s="151" t="str"/>
      <x:c r="AF156" s="151" t="str"/>
      <x:c r="AG156" s="151" t="str"/>
      <x:c r="AH156" s="151" t="str"/>
      <x:c r="AI156" s="151" t="str"/>
      <x:c r="AJ156" s="151" t="str"/>
      <x:c r="AK156" s="151" t="str"/>
      <x:c r="AL156" s="151" t="str"/>
      <x:c r="AM156" s="151" t="str"/>
      <x:c r="AN156" s="152" t="n">
        <x:f>IF(COUNTA(S156:AM156)=0,"",SUM(S156:AM156))</x:f>
        <x:v>0</x:v>
      </x:c>
      <x:c r="AO156" s="151" t="str"/>
      <x:c r="AP156" s="151" t="str"/>
      <x:c r="AQ156" s="151" t="str"/>
      <x:c r="AR156" s="151" t="str"/>
      <x:c r="AS156" s="196" t="str">
        <x:f>IF(AN156="","",IF(AO156="Cartons",IF(AP156*AQ156=AN156,"OK","CHECK CARTONS / SIZES"),IF(AR156=AN156,"OK","CHECK TOTAL / SIZES")))</x:f>
      </x:c>
      <x:c r="AT156" s="137" t="str"/>
      <x:c r="AU156" s="137" t="str"/>
      <x:c r="AV156" s="137" t="str"/>
      <x:c r="AW156" s="137" t="str"/>
    </x:row>
    <x:row r="157">
      <x:c r="A157" s="137" t="str"/>
      <x:c r="B157" s="137" t="str"/>
      <x:c r="C157" s="137" t="str"/>
      <x:c r="D157" s="137" t="str"/>
      <x:c r="E157" s="138" t="str"/>
      <x:c r="F157" s="138" t="str"/>
      <x:c r="G157" s="137" t="str"/>
      <x:c r="H157" s="137" t="str"/>
      <x:c r="I157" s="137" t="str"/>
      <x:c r="J157" s="137" t="str"/>
      <x:c r="K157" s="137" t="str"/>
      <x:c r="L157" s="137" t="str"/>
      <x:c r="M157" s="137" t="str"/>
      <x:c r="N157" s="137" t="str"/>
      <x:c r="O157" s="137" t="str"/>
      <x:c r="P157" s="137" t="str"/>
      <x:c r="Q157" s="137" t="str"/>
      <x:c r="R157" s="137" t="str"/>
      <x:c r="S157" s="151" t="str"/>
      <x:c r="T157" s="151" t="str"/>
      <x:c r="U157" s="151" t="str"/>
      <x:c r="V157" s="151" t="str"/>
      <x:c r="W157" s="151" t="str"/>
      <x:c r="X157" s="151" t="str"/>
      <x:c r="Y157" s="151" t="str"/>
      <x:c r="Z157" s="151" t="str"/>
      <x:c r="AA157" s="151" t="str"/>
      <x:c r="AB157" s="151" t="str"/>
      <x:c r="AC157" s="151" t="str"/>
      <x:c r="AD157" s="151" t="str"/>
      <x:c r="AE157" s="151" t="str"/>
      <x:c r="AF157" s="151" t="str"/>
      <x:c r="AG157" s="151" t="str"/>
      <x:c r="AH157" s="151" t="str"/>
      <x:c r="AI157" s="151" t="str"/>
      <x:c r="AJ157" s="151" t="str"/>
      <x:c r="AK157" s="151" t="str"/>
      <x:c r="AL157" s="151" t="str"/>
      <x:c r="AM157" s="151" t="str"/>
      <x:c r="AN157" s="152" t="n">
        <x:f>IF(COUNTA(S157:AM157)=0,"",SUM(S157:AM157))</x:f>
        <x:v>0</x:v>
      </x:c>
      <x:c r="AO157" s="151" t="str"/>
      <x:c r="AP157" s="151" t="str"/>
      <x:c r="AQ157" s="151" t="str"/>
      <x:c r="AR157" s="151" t="str"/>
      <x:c r="AS157" s="196" t="str">
        <x:f>IF(AN157="","",IF(AO157="Cartons",IF(AP157*AQ157=AN157,"OK","CHECK CARTONS / SIZES"),IF(AR157=AN157,"OK","CHECK TOTAL / SIZES")))</x:f>
      </x:c>
      <x:c r="AT157" s="137" t="str"/>
      <x:c r="AU157" s="137" t="str"/>
      <x:c r="AV157" s="137" t="str"/>
      <x:c r="AW157" s="137" t="str"/>
    </x:row>
    <x:row r="158">
      <x:c r="A158" s="137" t="str"/>
      <x:c r="B158" s="137" t="str"/>
      <x:c r="C158" s="137" t="str"/>
      <x:c r="D158" s="137" t="str"/>
      <x:c r="E158" s="138" t="str"/>
      <x:c r="F158" s="138" t="str"/>
      <x:c r="G158" s="137" t="str"/>
      <x:c r="H158" s="137" t="str"/>
      <x:c r="I158" s="137" t="str"/>
      <x:c r="J158" s="137" t="str"/>
      <x:c r="K158" s="137" t="str"/>
      <x:c r="L158" s="137" t="str"/>
      <x:c r="M158" s="137" t="str"/>
      <x:c r="N158" s="137" t="str"/>
      <x:c r="O158" s="137" t="str"/>
      <x:c r="P158" s="137" t="str"/>
      <x:c r="Q158" s="137" t="str"/>
      <x:c r="R158" s="137" t="str"/>
      <x:c r="S158" s="151" t="str"/>
      <x:c r="T158" s="151" t="str"/>
      <x:c r="U158" s="151" t="str"/>
      <x:c r="V158" s="151" t="str"/>
      <x:c r="W158" s="151" t="str"/>
      <x:c r="X158" s="151" t="str"/>
      <x:c r="Y158" s="151" t="str"/>
      <x:c r="Z158" s="151" t="str"/>
      <x:c r="AA158" s="151" t="str"/>
      <x:c r="AB158" s="151" t="str"/>
      <x:c r="AC158" s="151" t="str"/>
      <x:c r="AD158" s="151" t="str"/>
      <x:c r="AE158" s="151" t="str"/>
      <x:c r="AF158" s="151" t="str"/>
      <x:c r="AG158" s="151" t="str"/>
      <x:c r="AH158" s="151" t="str"/>
      <x:c r="AI158" s="151" t="str"/>
      <x:c r="AJ158" s="151" t="str"/>
      <x:c r="AK158" s="151" t="str"/>
      <x:c r="AL158" s="151" t="str"/>
      <x:c r="AM158" s="151" t="str"/>
      <x:c r="AN158" s="152" t="n">
        <x:f>IF(COUNTA(S158:AM158)=0,"",SUM(S158:AM158))</x:f>
        <x:v>0</x:v>
      </x:c>
      <x:c r="AO158" s="151" t="str"/>
      <x:c r="AP158" s="151" t="str"/>
      <x:c r="AQ158" s="151" t="str"/>
      <x:c r="AR158" s="151" t="str"/>
      <x:c r="AS158" s="196" t="str">
        <x:f>IF(AN158="","",IF(AO158="Cartons",IF(AP158*AQ158=AN158,"OK","CHECK CARTONS / SIZES"),IF(AR158=AN158,"OK","CHECK TOTAL / SIZES")))</x:f>
      </x:c>
      <x:c r="AT158" s="137" t="str"/>
      <x:c r="AU158" s="137" t="str"/>
      <x:c r="AV158" s="137" t="str"/>
      <x:c r="AW158" s="137" t="str"/>
    </x:row>
    <x:row r="159">
      <x:c r="A159" s="137" t="str"/>
      <x:c r="B159" s="137" t="str"/>
      <x:c r="C159" s="137" t="str"/>
      <x:c r="D159" s="137" t="str"/>
      <x:c r="E159" s="138" t="str"/>
      <x:c r="F159" s="138" t="str"/>
      <x:c r="G159" s="137" t="str"/>
      <x:c r="H159" s="137" t="str"/>
      <x:c r="I159" s="137" t="str"/>
      <x:c r="J159" s="137" t="str"/>
      <x:c r="K159" s="137" t="str"/>
      <x:c r="L159" s="137" t="str"/>
      <x:c r="M159" s="137" t="str"/>
      <x:c r="N159" s="137" t="str"/>
      <x:c r="O159" s="137" t="str"/>
      <x:c r="P159" s="137" t="str"/>
      <x:c r="Q159" s="137" t="str"/>
      <x:c r="R159" s="137" t="str"/>
      <x:c r="S159" s="151" t="str"/>
      <x:c r="T159" s="151" t="str"/>
      <x:c r="U159" s="151" t="str"/>
      <x:c r="V159" s="151" t="str"/>
      <x:c r="W159" s="151" t="str"/>
      <x:c r="X159" s="151" t="str"/>
      <x:c r="Y159" s="151" t="str"/>
      <x:c r="Z159" s="151" t="str"/>
      <x:c r="AA159" s="151" t="str"/>
      <x:c r="AB159" s="151" t="str"/>
      <x:c r="AC159" s="151" t="str"/>
      <x:c r="AD159" s="151" t="str"/>
      <x:c r="AE159" s="151" t="str"/>
      <x:c r="AF159" s="151" t="str"/>
      <x:c r="AG159" s="151" t="str"/>
      <x:c r="AH159" s="151" t="str"/>
      <x:c r="AI159" s="151" t="str"/>
      <x:c r="AJ159" s="151" t="str"/>
      <x:c r="AK159" s="151" t="str"/>
      <x:c r="AL159" s="151" t="str"/>
      <x:c r="AM159" s="151" t="str"/>
      <x:c r="AN159" s="152" t="n">
        <x:f>IF(COUNTA(S159:AM159)=0,"",SUM(S159:AM159))</x:f>
        <x:v>0</x:v>
      </x:c>
      <x:c r="AO159" s="151" t="str"/>
      <x:c r="AP159" s="151" t="str"/>
      <x:c r="AQ159" s="151" t="str"/>
      <x:c r="AR159" s="151" t="str"/>
      <x:c r="AS159" s="196" t="str">
        <x:f>IF(AN159="","",IF(AO159="Cartons",IF(AP159*AQ159=AN159,"OK","CHECK CARTONS / SIZES"),IF(AR159=AN159,"OK","CHECK TOTAL / SIZES")))</x:f>
      </x:c>
      <x:c r="AT159" s="137" t="str"/>
      <x:c r="AU159" s="137" t="str"/>
      <x:c r="AV159" s="137" t="str"/>
      <x:c r="AW159" s="137" t="str"/>
    </x:row>
    <x:row r="160">
      <x:c r="A160" s="137" t="str"/>
      <x:c r="B160" s="137" t="str"/>
      <x:c r="C160" s="137" t="str"/>
      <x:c r="D160" s="137" t="str"/>
      <x:c r="E160" s="138" t="str"/>
      <x:c r="F160" s="138" t="str"/>
      <x:c r="G160" s="137" t="str"/>
      <x:c r="H160" s="137" t="str"/>
      <x:c r="I160" s="137" t="str"/>
      <x:c r="J160" s="137" t="str"/>
      <x:c r="K160" s="137" t="str"/>
      <x:c r="L160" s="137" t="str"/>
      <x:c r="M160" s="137" t="str"/>
      <x:c r="N160" s="137" t="str"/>
      <x:c r="O160" s="137" t="str"/>
      <x:c r="P160" s="137" t="str"/>
      <x:c r="Q160" s="137" t="str"/>
      <x:c r="R160" s="137" t="str"/>
      <x:c r="S160" s="151" t="str"/>
      <x:c r="T160" s="151" t="str"/>
      <x:c r="U160" s="151" t="str"/>
      <x:c r="V160" s="151" t="str"/>
      <x:c r="W160" s="151" t="str"/>
      <x:c r="X160" s="151" t="str"/>
      <x:c r="Y160" s="151" t="str"/>
      <x:c r="Z160" s="151" t="str"/>
      <x:c r="AA160" s="151" t="str"/>
      <x:c r="AB160" s="151" t="str"/>
      <x:c r="AC160" s="151" t="str"/>
      <x:c r="AD160" s="151" t="str"/>
      <x:c r="AE160" s="151" t="str"/>
      <x:c r="AF160" s="151" t="str"/>
      <x:c r="AG160" s="151" t="str"/>
      <x:c r="AH160" s="151" t="str"/>
      <x:c r="AI160" s="151" t="str"/>
      <x:c r="AJ160" s="151" t="str"/>
      <x:c r="AK160" s="151" t="str"/>
      <x:c r="AL160" s="151" t="str"/>
      <x:c r="AM160" s="151" t="str"/>
      <x:c r="AN160" s="152" t="n">
        <x:f>IF(COUNTA(S160:AM160)=0,"",SUM(S160:AM160))</x:f>
        <x:v>0</x:v>
      </x:c>
      <x:c r="AO160" s="151" t="str"/>
      <x:c r="AP160" s="151" t="str"/>
      <x:c r="AQ160" s="151" t="str"/>
      <x:c r="AR160" s="151" t="str"/>
      <x:c r="AS160" s="196" t="str">
        <x:f>IF(AN160="","",IF(AO160="Cartons",IF(AP160*AQ160=AN160,"OK","CHECK CARTONS / SIZES"),IF(AR160=AN160,"OK","CHECK TOTAL / SIZES")))</x:f>
      </x:c>
      <x:c r="AT160" s="137" t="str"/>
      <x:c r="AU160" s="137" t="str"/>
      <x:c r="AV160" s="137" t="str"/>
      <x:c r="AW160" s="137" t="str"/>
    </x:row>
    <x:row r="161">
      <x:c r="A161" s="137" t="str"/>
      <x:c r="B161" s="137" t="str"/>
      <x:c r="C161" s="137" t="str"/>
      <x:c r="D161" s="137" t="str"/>
      <x:c r="E161" s="138" t="str"/>
      <x:c r="F161" s="138" t="str"/>
      <x:c r="G161" s="137" t="str"/>
      <x:c r="H161" s="137" t="str"/>
      <x:c r="I161" s="137" t="str"/>
      <x:c r="J161" s="137" t="str"/>
      <x:c r="K161" s="137" t="str"/>
      <x:c r="L161" s="137" t="str"/>
      <x:c r="M161" s="137" t="str"/>
      <x:c r="N161" s="137" t="str"/>
      <x:c r="O161" s="137" t="str"/>
      <x:c r="P161" s="137" t="str"/>
      <x:c r="Q161" s="137" t="str"/>
      <x:c r="R161" s="137" t="str"/>
      <x:c r="S161" s="151" t="str"/>
      <x:c r="T161" s="151" t="str"/>
      <x:c r="U161" s="151" t="str"/>
      <x:c r="V161" s="151" t="str"/>
      <x:c r="W161" s="151" t="str"/>
      <x:c r="X161" s="151" t="str"/>
      <x:c r="Y161" s="151" t="str"/>
      <x:c r="Z161" s="151" t="str"/>
      <x:c r="AA161" s="151" t="str"/>
      <x:c r="AB161" s="151" t="str"/>
      <x:c r="AC161" s="151" t="str"/>
      <x:c r="AD161" s="151" t="str"/>
      <x:c r="AE161" s="151" t="str"/>
      <x:c r="AF161" s="151" t="str"/>
      <x:c r="AG161" s="151" t="str"/>
      <x:c r="AH161" s="151" t="str"/>
      <x:c r="AI161" s="151" t="str"/>
      <x:c r="AJ161" s="151" t="str"/>
      <x:c r="AK161" s="151" t="str"/>
      <x:c r="AL161" s="151" t="str"/>
      <x:c r="AM161" s="151" t="str"/>
      <x:c r="AN161" s="152" t="n">
        <x:f>IF(COUNTA(S161:AM161)=0,"",SUM(S161:AM161))</x:f>
        <x:v>0</x:v>
      </x:c>
      <x:c r="AO161" s="151" t="str"/>
      <x:c r="AP161" s="151" t="str"/>
      <x:c r="AQ161" s="151" t="str"/>
      <x:c r="AR161" s="151" t="str"/>
      <x:c r="AS161" s="196" t="str">
        <x:f>IF(AN161="","",IF(AO161="Cartons",IF(AP161*AQ161=AN161,"OK","CHECK CARTONS / SIZES"),IF(AR161=AN161,"OK","CHECK TOTAL / SIZES")))</x:f>
      </x:c>
      <x:c r="AT161" s="137" t="str"/>
      <x:c r="AU161" s="137" t="str"/>
      <x:c r="AV161" s="137" t="str"/>
      <x:c r="AW161" s="137" t="str"/>
    </x:row>
    <x:row r="162">
      <x:c r="A162" s="137" t="str"/>
      <x:c r="B162" s="137" t="str"/>
      <x:c r="C162" s="137" t="str"/>
      <x:c r="D162" s="137" t="str"/>
      <x:c r="E162" s="138" t="str"/>
      <x:c r="F162" s="138" t="str"/>
      <x:c r="G162" s="137" t="str"/>
      <x:c r="H162" s="137" t="str"/>
      <x:c r="I162" s="137" t="str"/>
      <x:c r="J162" s="137" t="str"/>
      <x:c r="K162" s="137" t="str"/>
      <x:c r="L162" s="137" t="str"/>
      <x:c r="M162" s="137" t="str"/>
      <x:c r="N162" s="137" t="str"/>
      <x:c r="O162" s="137" t="str"/>
      <x:c r="P162" s="137" t="str"/>
      <x:c r="Q162" s="137" t="str"/>
      <x:c r="R162" s="137" t="str"/>
      <x:c r="S162" s="151" t="str"/>
      <x:c r="T162" s="151" t="str"/>
      <x:c r="U162" s="151" t="str"/>
      <x:c r="V162" s="151" t="str"/>
      <x:c r="W162" s="151" t="str"/>
      <x:c r="X162" s="151" t="str"/>
      <x:c r="Y162" s="151" t="str"/>
      <x:c r="Z162" s="151" t="str"/>
      <x:c r="AA162" s="151" t="str"/>
      <x:c r="AB162" s="151" t="str"/>
      <x:c r="AC162" s="151" t="str"/>
      <x:c r="AD162" s="151" t="str"/>
      <x:c r="AE162" s="151" t="str"/>
      <x:c r="AF162" s="151" t="str"/>
      <x:c r="AG162" s="151" t="str"/>
      <x:c r="AH162" s="151" t="str"/>
      <x:c r="AI162" s="151" t="str"/>
      <x:c r="AJ162" s="151" t="str"/>
      <x:c r="AK162" s="151" t="str"/>
      <x:c r="AL162" s="151" t="str"/>
      <x:c r="AM162" s="151" t="str"/>
      <x:c r="AN162" s="152" t="n">
        <x:f>IF(COUNTA(S162:AM162)=0,"",SUM(S162:AM162))</x:f>
        <x:v>0</x:v>
      </x:c>
      <x:c r="AO162" s="151" t="str"/>
      <x:c r="AP162" s="151" t="str"/>
      <x:c r="AQ162" s="151" t="str"/>
      <x:c r="AR162" s="151" t="str"/>
      <x:c r="AS162" s="196" t="str">
        <x:f>IF(AN162="","",IF(AO162="Cartons",IF(AP162*AQ162=AN162,"OK","CHECK CARTONS / SIZES"),IF(AR162=AN162,"OK","CHECK TOTAL / SIZES")))</x:f>
      </x:c>
      <x:c r="AT162" s="137" t="str"/>
      <x:c r="AU162" s="137" t="str"/>
      <x:c r="AV162" s="137" t="str"/>
      <x:c r="AW162" s="137" t="str"/>
    </x:row>
    <x:row r="163">
      <x:c r="A163" s="137" t="str"/>
      <x:c r="B163" s="137" t="str"/>
      <x:c r="C163" s="137" t="str"/>
      <x:c r="D163" s="137" t="str"/>
      <x:c r="E163" s="138" t="str"/>
      <x:c r="F163" s="138" t="str"/>
      <x:c r="G163" s="137" t="str"/>
      <x:c r="H163" s="137" t="str"/>
      <x:c r="I163" s="137" t="str"/>
      <x:c r="J163" s="137" t="str"/>
      <x:c r="K163" s="137" t="str"/>
      <x:c r="L163" s="137" t="str"/>
      <x:c r="M163" s="137" t="str"/>
      <x:c r="N163" s="137" t="str"/>
      <x:c r="O163" s="137" t="str"/>
      <x:c r="P163" s="137" t="str"/>
      <x:c r="Q163" s="137" t="str"/>
      <x:c r="R163" s="137" t="str"/>
      <x:c r="S163" s="151" t="str"/>
      <x:c r="T163" s="151" t="str"/>
      <x:c r="U163" s="151" t="str"/>
      <x:c r="V163" s="151" t="str"/>
      <x:c r="W163" s="151" t="str"/>
      <x:c r="X163" s="151" t="str"/>
      <x:c r="Y163" s="151" t="str"/>
      <x:c r="Z163" s="151" t="str"/>
      <x:c r="AA163" s="151" t="str"/>
      <x:c r="AB163" s="151" t="str"/>
      <x:c r="AC163" s="151" t="str"/>
      <x:c r="AD163" s="151" t="str"/>
      <x:c r="AE163" s="151" t="str"/>
      <x:c r="AF163" s="151" t="str"/>
      <x:c r="AG163" s="151" t="str"/>
      <x:c r="AH163" s="151" t="str"/>
      <x:c r="AI163" s="151" t="str"/>
      <x:c r="AJ163" s="151" t="str"/>
      <x:c r="AK163" s="151" t="str"/>
      <x:c r="AL163" s="151" t="str"/>
      <x:c r="AM163" s="151" t="str"/>
      <x:c r="AN163" s="152" t="n">
        <x:f>IF(COUNTA(S163:AM163)=0,"",SUM(S163:AM163))</x:f>
        <x:v>0</x:v>
      </x:c>
      <x:c r="AO163" s="151" t="str"/>
      <x:c r="AP163" s="151" t="str"/>
      <x:c r="AQ163" s="151" t="str"/>
      <x:c r="AR163" s="151" t="str"/>
      <x:c r="AS163" s="196" t="str">
        <x:f>IF(AN163="","",IF(AO163="Cartons",IF(AP163*AQ163=AN163,"OK","CHECK CARTONS / SIZES"),IF(AR163=AN163,"OK","CHECK TOTAL / SIZES")))</x:f>
      </x:c>
      <x:c r="AT163" s="137" t="str"/>
      <x:c r="AU163" s="137" t="str"/>
      <x:c r="AV163" s="137" t="str"/>
      <x:c r="AW163" s="137" t="str"/>
    </x:row>
    <x:row r="164">
      <x:c r="A164" s="137" t="str"/>
      <x:c r="B164" s="137" t="str"/>
      <x:c r="C164" s="137" t="str"/>
      <x:c r="D164" s="137" t="str"/>
      <x:c r="E164" s="138" t="str"/>
      <x:c r="F164" s="138" t="str"/>
      <x:c r="G164" s="137" t="str"/>
      <x:c r="H164" s="137" t="str"/>
      <x:c r="I164" s="137" t="str"/>
      <x:c r="J164" s="137" t="str"/>
      <x:c r="K164" s="137" t="str"/>
      <x:c r="L164" s="137" t="str"/>
      <x:c r="M164" s="137" t="str"/>
      <x:c r="N164" s="137" t="str"/>
      <x:c r="O164" s="137" t="str"/>
      <x:c r="P164" s="137" t="str"/>
      <x:c r="Q164" s="137" t="str"/>
      <x:c r="R164" s="137" t="str"/>
      <x:c r="S164" s="151" t="str"/>
      <x:c r="T164" s="151" t="str"/>
      <x:c r="U164" s="151" t="str"/>
      <x:c r="V164" s="151" t="str"/>
      <x:c r="W164" s="151" t="str"/>
      <x:c r="X164" s="151" t="str"/>
      <x:c r="Y164" s="151" t="str"/>
      <x:c r="Z164" s="151" t="str"/>
      <x:c r="AA164" s="151" t="str"/>
      <x:c r="AB164" s="151" t="str"/>
      <x:c r="AC164" s="151" t="str"/>
      <x:c r="AD164" s="151" t="str"/>
      <x:c r="AE164" s="151" t="str"/>
      <x:c r="AF164" s="151" t="str"/>
      <x:c r="AG164" s="151" t="str"/>
      <x:c r="AH164" s="151" t="str"/>
      <x:c r="AI164" s="151" t="str"/>
      <x:c r="AJ164" s="151" t="str"/>
      <x:c r="AK164" s="151" t="str"/>
      <x:c r="AL164" s="151" t="str"/>
      <x:c r="AM164" s="151" t="str"/>
      <x:c r="AN164" s="152" t="n">
        <x:f>IF(COUNTA(S164:AM164)=0,"",SUM(S164:AM164))</x:f>
        <x:v>0</x:v>
      </x:c>
      <x:c r="AO164" s="151" t="str"/>
      <x:c r="AP164" s="151" t="str"/>
      <x:c r="AQ164" s="151" t="str"/>
      <x:c r="AR164" s="151" t="str"/>
      <x:c r="AS164" s="196" t="str">
        <x:f>IF(AN164="","",IF(AO164="Cartons",IF(AP164*AQ164=AN164,"OK","CHECK CARTONS / SIZES"),IF(AR164=AN164,"OK","CHECK TOTAL / SIZES")))</x:f>
      </x:c>
      <x:c r="AT164" s="137" t="str"/>
      <x:c r="AU164" s="137" t="str"/>
      <x:c r="AV164" s="137" t="str"/>
      <x:c r="AW164" s="137" t="str"/>
    </x:row>
    <x:row r="165">
      <x:c r="A165" s="137" t="str"/>
      <x:c r="B165" s="137" t="str"/>
      <x:c r="C165" s="137" t="str"/>
      <x:c r="D165" s="137" t="str"/>
      <x:c r="E165" s="138" t="str"/>
      <x:c r="F165" s="138" t="str"/>
      <x:c r="G165" s="137" t="str"/>
      <x:c r="H165" s="137" t="str"/>
      <x:c r="I165" s="137" t="str"/>
      <x:c r="J165" s="137" t="str"/>
      <x:c r="K165" s="137" t="str"/>
      <x:c r="L165" s="137" t="str"/>
      <x:c r="M165" s="137" t="str"/>
      <x:c r="N165" s="137" t="str"/>
      <x:c r="O165" s="137" t="str"/>
      <x:c r="P165" s="137" t="str"/>
      <x:c r="Q165" s="137" t="str"/>
      <x:c r="R165" s="137" t="str"/>
      <x:c r="S165" s="151" t="str"/>
      <x:c r="T165" s="151" t="str"/>
      <x:c r="U165" s="151" t="str"/>
      <x:c r="V165" s="151" t="str"/>
      <x:c r="W165" s="151" t="str"/>
      <x:c r="X165" s="151" t="str"/>
      <x:c r="Y165" s="151" t="str"/>
      <x:c r="Z165" s="151" t="str"/>
      <x:c r="AA165" s="151" t="str"/>
      <x:c r="AB165" s="151" t="str"/>
      <x:c r="AC165" s="151" t="str"/>
      <x:c r="AD165" s="151" t="str"/>
      <x:c r="AE165" s="151" t="str"/>
      <x:c r="AF165" s="151" t="str"/>
      <x:c r="AG165" s="151" t="str"/>
      <x:c r="AH165" s="151" t="str"/>
      <x:c r="AI165" s="151" t="str"/>
      <x:c r="AJ165" s="151" t="str"/>
      <x:c r="AK165" s="151" t="str"/>
      <x:c r="AL165" s="151" t="str"/>
      <x:c r="AM165" s="151" t="str"/>
      <x:c r="AN165" s="152" t="n">
        <x:f>IF(COUNTA(S165:AM165)=0,"",SUM(S165:AM165))</x:f>
        <x:v>0</x:v>
      </x:c>
      <x:c r="AO165" s="151" t="str"/>
      <x:c r="AP165" s="151" t="str"/>
      <x:c r="AQ165" s="151" t="str"/>
      <x:c r="AR165" s="151" t="str"/>
      <x:c r="AS165" s="196" t="str">
        <x:f>IF(AN165="","",IF(AO165="Cartons",IF(AP165*AQ165=AN165,"OK","CHECK CARTONS / SIZES"),IF(AR165=AN165,"OK","CHECK TOTAL / SIZES")))</x:f>
      </x:c>
      <x:c r="AT165" s="137" t="str"/>
      <x:c r="AU165" s="137" t="str"/>
      <x:c r="AV165" s="137" t="str"/>
      <x:c r="AW165" s="137" t="str"/>
    </x:row>
    <x:row r="166">
      <x:c r="A166" s="137" t="str"/>
      <x:c r="B166" s="137" t="str"/>
      <x:c r="C166" s="137" t="str"/>
      <x:c r="D166" s="137" t="str"/>
      <x:c r="E166" s="138" t="str"/>
      <x:c r="F166" s="138" t="str"/>
      <x:c r="G166" s="137" t="str"/>
      <x:c r="H166" s="137" t="str"/>
      <x:c r="I166" s="137" t="str"/>
      <x:c r="J166" s="137" t="str"/>
      <x:c r="K166" s="137" t="str"/>
      <x:c r="L166" s="137" t="str"/>
      <x:c r="M166" s="137" t="str"/>
      <x:c r="N166" s="137" t="str"/>
      <x:c r="O166" s="137" t="str"/>
      <x:c r="P166" s="137" t="str"/>
      <x:c r="Q166" s="137" t="str"/>
      <x:c r="R166" s="137" t="str"/>
      <x:c r="S166" s="151" t="str"/>
      <x:c r="T166" s="151" t="str"/>
      <x:c r="U166" s="151" t="str"/>
      <x:c r="V166" s="151" t="str"/>
      <x:c r="W166" s="151" t="str"/>
      <x:c r="X166" s="151" t="str"/>
      <x:c r="Y166" s="151" t="str"/>
      <x:c r="Z166" s="151" t="str"/>
      <x:c r="AA166" s="151" t="str"/>
      <x:c r="AB166" s="151" t="str"/>
      <x:c r="AC166" s="151" t="str"/>
      <x:c r="AD166" s="151" t="str"/>
      <x:c r="AE166" s="151" t="str"/>
      <x:c r="AF166" s="151" t="str"/>
      <x:c r="AG166" s="151" t="str"/>
      <x:c r="AH166" s="151" t="str"/>
      <x:c r="AI166" s="151" t="str"/>
      <x:c r="AJ166" s="151" t="str"/>
      <x:c r="AK166" s="151" t="str"/>
      <x:c r="AL166" s="151" t="str"/>
      <x:c r="AM166" s="151" t="str"/>
      <x:c r="AN166" s="152" t="n">
        <x:f>IF(COUNTA(S166:AM166)=0,"",SUM(S166:AM166))</x:f>
        <x:v>0</x:v>
      </x:c>
      <x:c r="AO166" s="151" t="str"/>
      <x:c r="AP166" s="151" t="str"/>
      <x:c r="AQ166" s="151" t="str"/>
      <x:c r="AR166" s="151" t="str"/>
      <x:c r="AS166" s="196" t="str">
        <x:f>IF(AN166="","",IF(AO166="Cartons",IF(AP166*AQ166=AN166,"OK","CHECK CARTONS / SIZES"),IF(AR166=AN166,"OK","CHECK TOTAL / SIZES")))</x:f>
      </x:c>
      <x:c r="AT166" s="137" t="str"/>
      <x:c r="AU166" s="137" t="str"/>
      <x:c r="AV166" s="137" t="str"/>
      <x:c r="AW166" s="137" t="str"/>
    </x:row>
    <x:row r="167">
      <x:c r="A167" s="137" t="str"/>
      <x:c r="B167" s="137" t="str"/>
      <x:c r="C167" s="137" t="str"/>
      <x:c r="D167" s="137" t="str"/>
      <x:c r="E167" s="138" t="str"/>
      <x:c r="F167" s="138" t="str"/>
      <x:c r="G167" s="137" t="str"/>
      <x:c r="H167" s="137" t="str"/>
      <x:c r="I167" s="137" t="str"/>
      <x:c r="J167" s="137" t="str"/>
      <x:c r="K167" s="137" t="str"/>
      <x:c r="L167" s="137" t="str"/>
      <x:c r="M167" s="137" t="str"/>
      <x:c r="N167" s="137" t="str"/>
      <x:c r="O167" s="137" t="str"/>
      <x:c r="P167" s="137" t="str"/>
      <x:c r="Q167" s="137" t="str"/>
      <x:c r="R167" s="137" t="str"/>
      <x:c r="S167" s="151" t="str"/>
      <x:c r="T167" s="151" t="str"/>
      <x:c r="U167" s="151" t="str"/>
      <x:c r="V167" s="151" t="str"/>
      <x:c r="W167" s="151" t="str"/>
      <x:c r="X167" s="151" t="str"/>
      <x:c r="Y167" s="151" t="str"/>
      <x:c r="Z167" s="151" t="str"/>
      <x:c r="AA167" s="151" t="str"/>
      <x:c r="AB167" s="151" t="str"/>
      <x:c r="AC167" s="151" t="str"/>
      <x:c r="AD167" s="151" t="str"/>
      <x:c r="AE167" s="151" t="str"/>
      <x:c r="AF167" s="151" t="str"/>
      <x:c r="AG167" s="151" t="str"/>
      <x:c r="AH167" s="151" t="str"/>
      <x:c r="AI167" s="151" t="str"/>
      <x:c r="AJ167" s="151" t="str"/>
      <x:c r="AK167" s="151" t="str"/>
      <x:c r="AL167" s="151" t="str"/>
      <x:c r="AM167" s="151" t="str"/>
      <x:c r="AN167" s="152" t="n">
        <x:f>IF(COUNTA(S167:AM167)=0,"",SUM(S167:AM167))</x:f>
        <x:v>0</x:v>
      </x:c>
      <x:c r="AO167" s="151" t="str"/>
      <x:c r="AP167" s="151" t="str"/>
      <x:c r="AQ167" s="151" t="str"/>
      <x:c r="AR167" s="151" t="str"/>
      <x:c r="AS167" s="196" t="str">
        <x:f>IF(AN167="","",IF(AO167="Cartons",IF(AP167*AQ167=AN167,"OK","CHECK CARTONS / SIZES"),IF(AR167=AN167,"OK","CHECK TOTAL / SIZES")))</x:f>
      </x:c>
      <x:c r="AT167" s="137" t="str"/>
      <x:c r="AU167" s="137" t="str"/>
      <x:c r="AV167" s="137" t="str"/>
      <x:c r="AW167" s="137" t="str"/>
    </x:row>
    <x:row r="168">
      <x:c r="A168" s="137" t="str"/>
      <x:c r="B168" s="137" t="str"/>
      <x:c r="C168" s="137" t="str"/>
      <x:c r="D168" s="137" t="str"/>
      <x:c r="E168" s="138" t="str"/>
      <x:c r="F168" s="138" t="str"/>
      <x:c r="G168" s="137" t="str"/>
      <x:c r="H168" s="137" t="str"/>
      <x:c r="I168" s="137" t="str"/>
      <x:c r="J168" s="137" t="str"/>
      <x:c r="K168" s="137" t="str"/>
      <x:c r="L168" s="137" t="str"/>
      <x:c r="M168" s="137" t="str"/>
      <x:c r="N168" s="137" t="str"/>
      <x:c r="O168" s="137" t="str"/>
      <x:c r="P168" s="137" t="str"/>
      <x:c r="Q168" s="137" t="str"/>
      <x:c r="R168" s="137" t="str"/>
      <x:c r="S168" s="151" t="str"/>
      <x:c r="T168" s="151" t="str"/>
      <x:c r="U168" s="151" t="str"/>
      <x:c r="V168" s="151" t="str"/>
      <x:c r="W168" s="151" t="str"/>
      <x:c r="X168" s="151" t="str"/>
      <x:c r="Y168" s="151" t="str"/>
      <x:c r="Z168" s="151" t="str"/>
      <x:c r="AA168" s="151" t="str"/>
      <x:c r="AB168" s="151" t="str"/>
      <x:c r="AC168" s="151" t="str"/>
      <x:c r="AD168" s="151" t="str"/>
      <x:c r="AE168" s="151" t="str"/>
      <x:c r="AF168" s="151" t="str"/>
      <x:c r="AG168" s="151" t="str"/>
      <x:c r="AH168" s="151" t="str"/>
      <x:c r="AI168" s="151" t="str"/>
      <x:c r="AJ168" s="151" t="str"/>
      <x:c r="AK168" s="151" t="str"/>
      <x:c r="AL168" s="151" t="str"/>
      <x:c r="AM168" s="151" t="str"/>
      <x:c r="AN168" s="152" t="n">
        <x:f>IF(COUNTA(S168:AM168)=0,"",SUM(S168:AM168))</x:f>
        <x:v>0</x:v>
      </x:c>
      <x:c r="AO168" s="151" t="str"/>
      <x:c r="AP168" s="151" t="str"/>
      <x:c r="AQ168" s="151" t="str"/>
      <x:c r="AR168" s="151" t="str"/>
      <x:c r="AS168" s="196" t="str">
        <x:f>IF(AN168="","",IF(AO168="Cartons",IF(AP168*AQ168=AN168,"OK","CHECK CARTONS / SIZES"),IF(AR168=AN168,"OK","CHECK TOTAL / SIZES")))</x:f>
      </x:c>
      <x:c r="AT168" s="137" t="str"/>
      <x:c r="AU168" s="137" t="str"/>
      <x:c r="AV168" s="137" t="str"/>
      <x:c r="AW168" s="137" t="str"/>
    </x:row>
    <x:row r="169">
      <x:c r="A169" s="137" t="str"/>
      <x:c r="B169" s="137" t="str"/>
      <x:c r="C169" s="137" t="str"/>
      <x:c r="D169" s="137" t="str"/>
      <x:c r="E169" s="138" t="str"/>
      <x:c r="F169" s="138" t="str"/>
      <x:c r="G169" s="137" t="str"/>
      <x:c r="H169" s="137" t="str"/>
      <x:c r="I169" s="137" t="str"/>
      <x:c r="J169" s="137" t="str"/>
      <x:c r="K169" s="137" t="str"/>
      <x:c r="L169" s="137" t="str"/>
      <x:c r="M169" s="137" t="str"/>
      <x:c r="N169" s="137" t="str"/>
      <x:c r="O169" s="137" t="str"/>
      <x:c r="P169" s="137" t="str"/>
      <x:c r="Q169" s="137" t="str"/>
      <x:c r="R169" s="137" t="str"/>
      <x:c r="S169" s="151" t="str"/>
      <x:c r="T169" s="151" t="str"/>
      <x:c r="U169" s="151" t="str"/>
      <x:c r="V169" s="151" t="str"/>
      <x:c r="W169" s="151" t="str"/>
      <x:c r="X169" s="151" t="str"/>
      <x:c r="Y169" s="151" t="str"/>
      <x:c r="Z169" s="151" t="str"/>
      <x:c r="AA169" s="151" t="str"/>
      <x:c r="AB169" s="151" t="str"/>
      <x:c r="AC169" s="151" t="str"/>
      <x:c r="AD169" s="151" t="str"/>
      <x:c r="AE169" s="151" t="str"/>
      <x:c r="AF169" s="151" t="str"/>
      <x:c r="AG169" s="151" t="str"/>
      <x:c r="AH169" s="151" t="str"/>
      <x:c r="AI169" s="151" t="str"/>
      <x:c r="AJ169" s="151" t="str"/>
      <x:c r="AK169" s="151" t="str"/>
      <x:c r="AL169" s="151" t="str"/>
      <x:c r="AM169" s="151" t="str"/>
      <x:c r="AN169" s="152" t="n">
        <x:f>IF(COUNTA(S169:AM169)=0,"",SUM(S169:AM169))</x:f>
        <x:v>0</x:v>
      </x:c>
      <x:c r="AO169" s="151" t="str"/>
      <x:c r="AP169" s="151" t="str"/>
      <x:c r="AQ169" s="151" t="str"/>
      <x:c r="AR169" s="151" t="str"/>
      <x:c r="AS169" s="196" t="str">
        <x:f>IF(AN169="","",IF(AO169="Cartons",IF(AP169*AQ169=AN169,"OK","CHECK CARTONS / SIZES"),IF(AR169=AN169,"OK","CHECK TOTAL / SIZES")))</x:f>
      </x:c>
      <x:c r="AT169" s="137" t="str"/>
      <x:c r="AU169" s="137" t="str"/>
      <x:c r="AV169" s="137" t="str"/>
      <x:c r="AW169" s="137" t="str"/>
    </x:row>
    <x:row r="170">
      <x:c r="A170" s="137" t="str"/>
      <x:c r="B170" s="137" t="str"/>
      <x:c r="C170" s="137" t="str"/>
      <x:c r="D170" s="137" t="str"/>
      <x:c r="E170" s="138" t="str"/>
      <x:c r="F170" s="138" t="str"/>
      <x:c r="G170" s="137" t="str"/>
      <x:c r="H170" s="137" t="str"/>
      <x:c r="I170" s="137" t="str"/>
      <x:c r="J170" s="137" t="str"/>
      <x:c r="K170" s="137" t="str"/>
      <x:c r="L170" s="137" t="str"/>
      <x:c r="M170" s="137" t="str"/>
      <x:c r="N170" s="137" t="str"/>
      <x:c r="O170" s="137" t="str"/>
      <x:c r="P170" s="137" t="str"/>
      <x:c r="Q170" s="137" t="str"/>
      <x:c r="R170" s="137" t="str"/>
      <x:c r="S170" s="151" t="str"/>
      <x:c r="T170" s="151" t="str"/>
      <x:c r="U170" s="151" t="str"/>
      <x:c r="V170" s="151" t="str"/>
      <x:c r="W170" s="151" t="str"/>
      <x:c r="X170" s="151" t="str"/>
      <x:c r="Y170" s="151" t="str"/>
      <x:c r="Z170" s="151" t="str"/>
      <x:c r="AA170" s="151" t="str"/>
      <x:c r="AB170" s="151" t="str"/>
      <x:c r="AC170" s="151" t="str"/>
      <x:c r="AD170" s="151" t="str"/>
      <x:c r="AE170" s="151" t="str"/>
      <x:c r="AF170" s="151" t="str"/>
      <x:c r="AG170" s="151" t="str"/>
      <x:c r="AH170" s="151" t="str"/>
      <x:c r="AI170" s="151" t="str"/>
      <x:c r="AJ170" s="151" t="str"/>
      <x:c r="AK170" s="151" t="str"/>
      <x:c r="AL170" s="151" t="str"/>
      <x:c r="AM170" s="151" t="str"/>
      <x:c r="AN170" s="152" t="n">
        <x:f>IF(COUNTA(S170:AM170)=0,"",SUM(S170:AM170))</x:f>
        <x:v>0</x:v>
      </x:c>
      <x:c r="AO170" s="151" t="str"/>
      <x:c r="AP170" s="151" t="str"/>
      <x:c r="AQ170" s="151" t="str"/>
      <x:c r="AR170" s="151" t="str"/>
      <x:c r="AS170" s="196" t="str">
        <x:f>IF(AN170="","",IF(AO170="Cartons",IF(AP170*AQ170=AN170,"OK","CHECK CARTONS / SIZES"),IF(AR170=AN170,"OK","CHECK TOTAL / SIZES")))</x:f>
      </x:c>
      <x:c r="AT170" s="137" t="str"/>
      <x:c r="AU170" s="137" t="str"/>
      <x:c r="AV170" s="137" t="str"/>
      <x:c r="AW170" s="137" t="str"/>
    </x:row>
    <x:row r="171">
      <x:c r="A171" s="137" t="str"/>
      <x:c r="B171" s="137" t="str"/>
      <x:c r="C171" s="137" t="str"/>
      <x:c r="D171" s="137" t="str"/>
      <x:c r="E171" s="138" t="str"/>
      <x:c r="F171" s="138" t="str"/>
      <x:c r="G171" s="137" t="str"/>
      <x:c r="H171" s="137" t="str"/>
      <x:c r="I171" s="137" t="str"/>
      <x:c r="J171" s="137" t="str"/>
      <x:c r="K171" s="137" t="str"/>
      <x:c r="L171" s="137" t="str"/>
      <x:c r="M171" s="137" t="str"/>
      <x:c r="N171" s="137" t="str"/>
      <x:c r="O171" s="137" t="str"/>
      <x:c r="P171" s="137" t="str"/>
      <x:c r="Q171" s="137" t="str"/>
      <x:c r="R171" s="137" t="str"/>
      <x:c r="S171" s="151" t="str"/>
      <x:c r="T171" s="151" t="str"/>
      <x:c r="U171" s="151" t="str"/>
      <x:c r="V171" s="151" t="str"/>
      <x:c r="W171" s="151" t="str"/>
      <x:c r="X171" s="151" t="str"/>
      <x:c r="Y171" s="151" t="str"/>
      <x:c r="Z171" s="151" t="str"/>
      <x:c r="AA171" s="151" t="str"/>
      <x:c r="AB171" s="151" t="str"/>
      <x:c r="AC171" s="151" t="str"/>
      <x:c r="AD171" s="151" t="str"/>
      <x:c r="AE171" s="151" t="str"/>
      <x:c r="AF171" s="151" t="str"/>
      <x:c r="AG171" s="151" t="str"/>
      <x:c r="AH171" s="151" t="str"/>
      <x:c r="AI171" s="151" t="str"/>
      <x:c r="AJ171" s="151" t="str"/>
      <x:c r="AK171" s="151" t="str"/>
      <x:c r="AL171" s="151" t="str"/>
      <x:c r="AM171" s="151" t="str"/>
      <x:c r="AN171" s="152" t="n">
        <x:f>IF(COUNTA(S171:AM171)=0,"",SUM(S171:AM171))</x:f>
        <x:v>0</x:v>
      </x:c>
      <x:c r="AO171" s="151" t="str"/>
      <x:c r="AP171" s="151" t="str"/>
      <x:c r="AQ171" s="151" t="str"/>
      <x:c r="AR171" s="151" t="str"/>
      <x:c r="AS171" s="196" t="str">
        <x:f>IF(AN171="","",IF(AO171="Cartons",IF(AP171*AQ171=AN171,"OK","CHECK CARTONS / SIZES"),IF(AR171=AN171,"OK","CHECK TOTAL / SIZES")))</x:f>
      </x:c>
      <x:c r="AT171" s="137" t="str"/>
      <x:c r="AU171" s="137" t="str"/>
      <x:c r="AV171" s="137" t="str"/>
      <x:c r="AW171" s="137" t="str"/>
    </x:row>
    <x:row r="172">
      <x:c r="A172" s="137" t="str"/>
      <x:c r="B172" s="137" t="str"/>
      <x:c r="C172" s="137" t="str"/>
      <x:c r="D172" s="137" t="str"/>
      <x:c r="E172" s="138" t="str"/>
      <x:c r="F172" s="138" t="str"/>
      <x:c r="G172" s="137" t="str"/>
      <x:c r="H172" s="137" t="str"/>
      <x:c r="I172" s="137" t="str"/>
      <x:c r="J172" s="137" t="str"/>
      <x:c r="K172" s="137" t="str"/>
      <x:c r="L172" s="137" t="str"/>
      <x:c r="M172" s="137" t="str"/>
      <x:c r="N172" s="137" t="str"/>
      <x:c r="O172" s="137" t="str"/>
      <x:c r="P172" s="137" t="str"/>
      <x:c r="Q172" s="137" t="str"/>
      <x:c r="R172" s="137" t="str"/>
      <x:c r="S172" s="151" t="str"/>
      <x:c r="T172" s="151" t="str"/>
      <x:c r="U172" s="151" t="str"/>
      <x:c r="V172" s="151" t="str"/>
      <x:c r="W172" s="151" t="str"/>
      <x:c r="X172" s="151" t="str"/>
      <x:c r="Y172" s="151" t="str"/>
      <x:c r="Z172" s="151" t="str"/>
      <x:c r="AA172" s="151" t="str"/>
      <x:c r="AB172" s="151" t="str"/>
      <x:c r="AC172" s="151" t="str"/>
      <x:c r="AD172" s="151" t="str"/>
      <x:c r="AE172" s="151" t="str"/>
      <x:c r="AF172" s="151" t="str"/>
      <x:c r="AG172" s="151" t="str"/>
      <x:c r="AH172" s="151" t="str"/>
      <x:c r="AI172" s="151" t="str"/>
      <x:c r="AJ172" s="151" t="str"/>
      <x:c r="AK172" s="151" t="str"/>
      <x:c r="AL172" s="151" t="str"/>
      <x:c r="AM172" s="151" t="str"/>
      <x:c r="AN172" s="152" t="n">
        <x:f>IF(COUNTA(S172:AM172)=0,"",SUM(S172:AM172))</x:f>
        <x:v>0</x:v>
      </x:c>
      <x:c r="AO172" s="151" t="str"/>
      <x:c r="AP172" s="151" t="str"/>
      <x:c r="AQ172" s="151" t="str"/>
      <x:c r="AR172" s="151" t="str"/>
      <x:c r="AS172" s="196" t="str">
        <x:f>IF(AN172="","",IF(AO172="Cartons",IF(AP172*AQ172=AN172,"OK","CHECK CARTONS / SIZES"),IF(AR172=AN172,"OK","CHECK TOTAL / SIZES")))</x:f>
      </x:c>
      <x:c r="AT172" s="137" t="str"/>
      <x:c r="AU172" s="137" t="str"/>
      <x:c r="AV172" s="137" t="str"/>
      <x:c r="AW172" s="137" t="str"/>
    </x:row>
    <x:row r="173">
      <x:c r="A173" s="137" t="str"/>
      <x:c r="B173" s="137" t="str"/>
      <x:c r="C173" s="137" t="str"/>
      <x:c r="D173" s="137" t="str"/>
      <x:c r="E173" s="138" t="str"/>
      <x:c r="F173" s="138" t="str"/>
      <x:c r="G173" s="137" t="str"/>
      <x:c r="H173" s="137" t="str"/>
      <x:c r="I173" s="137" t="str"/>
      <x:c r="J173" s="137" t="str"/>
      <x:c r="K173" s="137" t="str"/>
      <x:c r="L173" s="137" t="str"/>
      <x:c r="M173" s="137" t="str"/>
      <x:c r="N173" s="137" t="str"/>
      <x:c r="O173" s="137" t="str"/>
      <x:c r="P173" s="137" t="str"/>
      <x:c r="Q173" s="137" t="str"/>
      <x:c r="R173" s="137" t="str"/>
      <x:c r="S173" s="151" t="str"/>
      <x:c r="T173" s="151" t="str"/>
      <x:c r="U173" s="151" t="str"/>
      <x:c r="V173" s="151" t="str"/>
      <x:c r="W173" s="151" t="str"/>
      <x:c r="X173" s="151" t="str"/>
      <x:c r="Y173" s="151" t="str"/>
      <x:c r="Z173" s="151" t="str"/>
      <x:c r="AA173" s="151" t="str"/>
      <x:c r="AB173" s="151" t="str"/>
      <x:c r="AC173" s="151" t="str"/>
      <x:c r="AD173" s="151" t="str"/>
      <x:c r="AE173" s="151" t="str"/>
      <x:c r="AF173" s="151" t="str"/>
      <x:c r="AG173" s="151" t="str"/>
      <x:c r="AH173" s="151" t="str"/>
      <x:c r="AI173" s="151" t="str"/>
      <x:c r="AJ173" s="151" t="str"/>
      <x:c r="AK173" s="151" t="str"/>
      <x:c r="AL173" s="151" t="str"/>
      <x:c r="AM173" s="151" t="str"/>
      <x:c r="AN173" s="152" t="n">
        <x:f>IF(COUNTA(S173:AM173)=0,"",SUM(S173:AM173))</x:f>
        <x:v>0</x:v>
      </x:c>
      <x:c r="AO173" s="151" t="str"/>
      <x:c r="AP173" s="151" t="str"/>
      <x:c r="AQ173" s="151" t="str"/>
      <x:c r="AR173" s="151" t="str"/>
      <x:c r="AS173" s="196" t="str">
        <x:f>IF(AN173="","",IF(AO173="Cartons",IF(AP173*AQ173=AN173,"OK","CHECK CARTONS / SIZES"),IF(AR173=AN173,"OK","CHECK TOTAL / SIZES")))</x:f>
      </x:c>
      <x:c r="AT173" s="137" t="str"/>
      <x:c r="AU173" s="137" t="str"/>
      <x:c r="AV173" s="137" t="str"/>
      <x:c r="AW173" s="137" t="str"/>
    </x:row>
    <x:row r="174">
      <x:c r="A174" s="137" t="str"/>
      <x:c r="B174" s="137" t="str"/>
      <x:c r="C174" s="137" t="str"/>
      <x:c r="D174" s="137" t="str"/>
      <x:c r="E174" s="138" t="str"/>
      <x:c r="F174" s="138" t="str"/>
      <x:c r="G174" s="137" t="str"/>
      <x:c r="H174" s="137" t="str"/>
      <x:c r="I174" s="137" t="str"/>
      <x:c r="J174" s="137" t="str"/>
      <x:c r="K174" s="137" t="str"/>
      <x:c r="L174" s="137" t="str"/>
      <x:c r="M174" s="137" t="str"/>
      <x:c r="N174" s="137" t="str"/>
      <x:c r="O174" s="137" t="str"/>
      <x:c r="P174" s="137" t="str"/>
      <x:c r="Q174" s="137" t="str"/>
      <x:c r="R174" s="137" t="str"/>
      <x:c r="S174" s="151" t="str"/>
      <x:c r="T174" s="151" t="str"/>
      <x:c r="U174" s="151" t="str"/>
      <x:c r="V174" s="151" t="str"/>
      <x:c r="W174" s="151" t="str"/>
      <x:c r="X174" s="151" t="str"/>
      <x:c r="Y174" s="151" t="str"/>
      <x:c r="Z174" s="151" t="str"/>
      <x:c r="AA174" s="151" t="str"/>
      <x:c r="AB174" s="151" t="str"/>
      <x:c r="AC174" s="151" t="str"/>
      <x:c r="AD174" s="151" t="str"/>
      <x:c r="AE174" s="151" t="str"/>
      <x:c r="AF174" s="151" t="str"/>
      <x:c r="AG174" s="151" t="str"/>
      <x:c r="AH174" s="151" t="str"/>
      <x:c r="AI174" s="151" t="str"/>
      <x:c r="AJ174" s="151" t="str"/>
      <x:c r="AK174" s="151" t="str"/>
      <x:c r="AL174" s="151" t="str"/>
      <x:c r="AM174" s="151" t="str"/>
      <x:c r="AN174" s="152" t="n">
        <x:f>IF(COUNTA(S174:AM174)=0,"",SUM(S174:AM174))</x:f>
        <x:v>0</x:v>
      </x:c>
      <x:c r="AO174" s="151" t="str"/>
      <x:c r="AP174" s="151" t="str"/>
      <x:c r="AQ174" s="151" t="str"/>
      <x:c r="AR174" s="151" t="str"/>
      <x:c r="AS174" s="196" t="str">
        <x:f>IF(AN174="","",IF(AO174="Cartons",IF(AP174*AQ174=AN174,"OK","CHECK CARTONS / SIZES"),IF(AR174=AN174,"OK","CHECK TOTAL / SIZES")))</x:f>
      </x:c>
      <x:c r="AT174" s="137" t="str"/>
      <x:c r="AU174" s="137" t="str"/>
      <x:c r="AV174" s="137" t="str"/>
      <x:c r="AW174" s="137" t="str"/>
    </x:row>
    <x:row r="175">
      <x:c r="A175" s="137" t="str"/>
      <x:c r="B175" s="137" t="str"/>
      <x:c r="C175" s="137" t="str"/>
      <x:c r="D175" s="137" t="str"/>
      <x:c r="E175" s="138" t="str"/>
      <x:c r="F175" s="138" t="str"/>
      <x:c r="G175" s="137" t="str"/>
      <x:c r="H175" s="137" t="str"/>
      <x:c r="I175" s="137" t="str"/>
      <x:c r="J175" s="137" t="str"/>
      <x:c r="K175" s="137" t="str"/>
      <x:c r="L175" s="137" t="str"/>
      <x:c r="M175" s="137" t="str"/>
      <x:c r="N175" s="137" t="str"/>
      <x:c r="O175" s="137" t="str"/>
      <x:c r="P175" s="137" t="str"/>
      <x:c r="Q175" s="137" t="str"/>
      <x:c r="R175" s="137" t="str"/>
      <x:c r="S175" s="151" t="str"/>
      <x:c r="T175" s="151" t="str"/>
      <x:c r="U175" s="151" t="str"/>
      <x:c r="V175" s="151" t="str"/>
      <x:c r="W175" s="151" t="str"/>
      <x:c r="X175" s="151" t="str"/>
      <x:c r="Y175" s="151" t="str"/>
      <x:c r="Z175" s="151" t="str"/>
      <x:c r="AA175" s="151" t="str"/>
      <x:c r="AB175" s="151" t="str"/>
      <x:c r="AC175" s="151" t="str"/>
      <x:c r="AD175" s="151" t="str"/>
      <x:c r="AE175" s="151" t="str"/>
      <x:c r="AF175" s="151" t="str"/>
      <x:c r="AG175" s="151" t="str"/>
      <x:c r="AH175" s="151" t="str"/>
      <x:c r="AI175" s="151" t="str"/>
      <x:c r="AJ175" s="151" t="str"/>
      <x:c r="AK175" s="151" t="str"/>
      <x:c r="AL175" s="151" t="str"/>
      <x:c r="AM175" s="151" t="str"/>
      <x:c r="AN175" s="152" t="n">
        <x:f>IF(COUNTA(S175:AM175)=0,"",SUM(S175:AM175))</x:f>
        <x:v>0</x:v>
      </x:c>
      <x:c r="AO175" s="151" t="str"/>
      <x:c r="AP175" s="151" t="str"/>
      <x:c r="AQ175" s="151" t="str"/>
      <x:c r="AR175" s="151" t="str"/>
      <x:c r="AS175" s="196" t="str">
        <x:f>IF(AN175="","",IF(AO175="Cartons",IF(AP175*AQ175=AN175,"OK","CHECK CARTONS / SIZES"),IF(AR175=AN175,"OK","CHECK TOTAL / SIZES")))</x:f>
      </x:c>
      <x:c r="AT175" s="137" t="str"/>
      <x:c r="AU175" s="137" t="str"/>
      <x:c r="AV175" s="137" t="str"/>
      <x:c r="AW175" s="137" t="str"/>
    </x:row>
    <x:row r="176">
      <x:c r="A176" s="137" t="str"/>
      <x:c r="B176" s="137" t="str"/>
      <x:c r="C176" s="137" t="str"/>
      <x:c r="D176" s="137" t="str"/>
      <x:c r="E176" s="138" t="str"/>
      <x:c r="F176" s="138" t="str"/>
      <x:c r="G176" s="137" t="str"/>
      <x:c r="H176" s="137" t="str"/>
      <x:c r="I176" s="137" t="str"/>
      <x:c r="J176" s="137" t="str"/>
      <x:c r="K176" s="137" t="str"/>
      <x:c r="L176" s="137" t="str"/>
      <x:c r="M176" s="137" t="str"/>
      <x:c r="N176" s="137" t="str"/>
      <x:c r="O176" s="137" t="str"/>
      <x:c r="P176" s="137" t="str"/>
      <x:c r="Q176" s="137" t="str"/>
      <x:c r="R176" s="137" t="str"/>
      <x:c r="S176" s="151" t="str"/>
      <x:c r="T176" s="151" t="str"/>
      <x:c r="U176" s="151" t="str"/>
      <x:c r="V176" s="151" t="str"/>
      <x:c r="W176" s="151" t="str"/>
      <x:c r="X176" s="151" t="str"/>
      <x:c r="Y176" s="151" t="str"/>
      <x:c r="Z176" s="151" t="str"/>
      <x:c r="AA176" s="151" t="str"/>
      <x:c r="AB176" s="151" t="str"/>
      <x:c r="AC176" s="151" t="str"/>
      <x:c r="AD176" s="151" t="str"/>
      <x:c r="AE176" s="151" t="str"/>
      <x:c r="AF176" s="151" t="str"/>
      <x:c r="AG176" s="151" t="str"/>
      <x:c r="AH176" s="151" t="str"/>
      <x:c r="AI176" s="151" t="str"/>
      <x:c r="AJ176" s="151" t="str"/>
      <x:c r="AK176" s="151" t="str"/>
      <x:c r="AL176" s="151" t="str"/>
      <x:c r="AM176" s="151" t="str"/>
      <x:c r="AN176" s="152" t="n">
        <x:f>IF(COUNTA(S176:AM176)=0,"",SUM(S176:AM176))</x:f>
        <x:v>0</x:v>
      </x:c>
      <x:c r="AO176" s="151" t="str"/>
      <x:c r="AP176" s="151" t="str"/>
      <x:c r="AQ176" s="151" t="str"/>
      <x:c r="AR176" s="151" t="str"/>
      <x:c r="AS176" s="196" t="str">
        <x:f>IF(AN176="","",IF(AO176="Cartons",IF(AP176*AQ176=AN176,"OK","CHECK CARTONS / SIZES"),IF(AR176=AN176,"OK","CHECK TOTAL / SIZES")))</x:f>
      </x:c>
      <x:c r="AT176" s="137" t="str"/>
      <x:c r="AU176" s="137" t="str"/>
      <x:c r="AV176" s="137" t="str"/>
      <x:c r="AW176" s="137" t="str"/>
    </x:row>
    <x:row r="177">
      <x:c r="A177" s="137" t="str"/>
      <x:c r="B177" s="137" t="str"/>
      <x:c r="C177" s="137" t="str"/>
      <x:c r="D177" s="137" t="str"/>
      <x:c r="E177" s="138" t="str"/>
      <x:c r="F177" s="138" t="str"/>
      <x:c r="G177" s="137" t="str"/>
      <x:c r="H177" s="137" t="str"/>
      <x:c r="I177" s="137" t="str"/>
      <x:c r="J177" s="137" t="str"/>
      <x:c r="K177" s="137" t="str"/>
      <x:c r="L177" s="137" t="str"/>
      <x:c r="M177" s="137" t="str"/>
      <x:c r="N177" s="137" t="str"/>
      <x:c r="O177" s="137" t="str"/>
      <x:c r="P177" s="137" t="str"/>
      <x:c r="Q177" s="137" t="str"/>
      <x:c r="R177" s="137" t="str"/>
      <x:c r="S177" s="151" t="str"/>
      <x:c r="T177" s="151" t="str"/>
      <x:c r="U177" s="151" t="str"/>
      <x:c r="V177" s="151" t="str"/>
      <x:c r="W177" s="151" t="str"/>
      <x:c r="X177" s="151" t="str"/>
      <x:c r="Y177" s="151" t="str"/>
      <x:c r="Z177" s="151" t="str"/>
      <x:c r="AA177" s="151" t="str"/>
      <x:c r="AB177" s="151" t="str"/>
      <x:c r="AC177" s="151" t="str"/>
      <x:c r="AD177" s="151" t="str"/>
      <x:c r="AE177" s="151" t="str"/>
      <x:c r="AF177" s="151" t="str"/>
      <x:c r="AG177" s="151" t="str"/>
      <x:c r="AH177" s="151" t="str"/>
      <x:c r="AI177" s="151" t="str"/>
      <x:c r="AJ177" s="151" t="str"/>
      <x:c r="AK177" s="151" t="str"/>
      <x:c r="AL177" s="151" t="str"/>
      <x:c r="AM177" s="151" t="str"/>
      <x:c r="AN177" s="152" t="n">
        <x:f>IF(COUNTA(S177:AM177)=0,"",SUM(S177:AM177))</x:f>
        <x:v>0</x:v>
      </x:c>
      <x:c r="AO177" s="151" t="str"/>
      <x:c r="AP177" s="151" t="str"/>
      <x:c r="AQ177" s="151" t="str"/>
      <x:c r="AR177" s="151" t="str"/>
      <x:c r="AS177" s="196" t="str">
        <x:f>IF(AN177="","",IF(AO177="Cartons",IF(AP177*AQ177=AN177,"OK","CHECK CARTONS / SIZES"),IF(AR177=AN177,"OK","CHECK TOTAL / SIZES")))</x:f>
      </x:c>
      <x:c r="AT177" s="137" t="str"/>
      <x:c r="AU177" s="137" t="str"/>
      <x:c r="AV177" s="137" t="str"/>
      <x:c r="AW177" s="137" t="str"/>
    </x:row>
    <x:row r="178">
      <x:c r="A178" s="137" t="str"/>
      <x:c r="B178" s="137" t="str"/>
      <x:c r="C178" s="137" t="str"/>
      <x:c r="D178" s="137" t="str"/>
      <x:c r="E178" s="138" t="str"/>
      <x:c r="F178" s="138" t="str"/>
      <x:c r="G178" s="137" t="str"/>
      <x:c r="H178" s="137" t="str"/>
      <x:c r="I178" s="137" t="str"/>
      <x:c r="J178" s="137" t="str"/>
      <x:c r="K178" s="137" t="str"/>
      <x:c r="L178" s="137" t="str"/>
      <x:c r="M178" s="137" t="str"/>
      <x:c r="N178" s="137" t="str"/>
      <x:c r="O178" s="137" t="str"/>
      <x:c r="P178" s="137" t="str"/>
      <x:c r="Q178" s="137" t="str"/>
      <x:c r="R178" s="137" t="str"/>
      <x:c r="S178" s="151" t="str"/>
      <x:c r="T178" s="151" t="str"/>
      <x:c r="U178" s="151" t="str"/>
      <x:c r="V178" s="151" t="str"/>
      <x:c r="W178" s="151" t="str"/>
      <x:c r="X178" s="151" t="str"/>
      <x:c r="Y178" s="151" t="str"/>
      <x:c r="Z178" s="151" t="str"/>
      <x:c r="AA178" s="151" t="str"/>
      <x:c r="AB178" s="151" t="str"/>
      <x:c r="AC178" s="151" t="str"/>
      <x:c r="AD178" s="151" t="str"/>
      <x:c r="AE178" s="151" t="str"/>
      <x:c r="AF178" s="151" t="str"/>
      <x:c r="AG178" s="151" t="str"/>
      <x:c r="AH178" s="151" t="str"/>
      <x:c r="AI178" s="151" t="str"/>
      <x:c r="AJ178" s="151" t="str"/>
      <x:c r="AK178" s="151" t="str"/>
      <x:c r="AL178" s="151" t="str"/>
      <x:c r="AM178" s="151" t="str"/>
      <x:c r="AN178" s="152" t="n">
        <x:f>IF(COUNTA(S178:AM178)=0,"",SUM(S178:AM178))</x:f>
        <x:v>0</x:v>
      </x:c>
      <x:c r="AO178" s="151" t="str"/>
      <x:c r="AP178" s="151" t="str"/>
      <x:c r="AQ178" s="151" t="str"/>
      <x:c r="AR178" s="151" t="str"/>
      <x:c r="AS178" s="196" t="str">
        <x:f>IF(AN178="","",IF(AO178="Cartons",IF(AP178*AQ178=AN178,"OK","CHECK CARTONS / SIZES"),IF(AR178=AN178,"OK","CHECK TOTAL / SIZES")))</x:f>
      </x:c>
      <x:c r="AT178" s="137" t="str"/>
      <x:c r="AU178" s="137" t="str"/>
      <x:c r="AV178" s="137" t="str"/>
      <x:c r="AW178" s="137" t="str"/>
    </x:row>
    <x:row r="179">
      <x:c r="A179" s="137" t="str"/>
      <x:c r="B179" s="137" t="str"/>
      <x:c r="C179" s="137" t="str"/>
      <x:c r="D179" s="137" t="str"/>
      <x:c r="E179" s="138" t="str"/>
      <x:c r="F179" s="138" t="str"/>
      <x:c r="G179" s="137" t="str"/>
      <x:c r="H179" s="137" t="str"/>
      <x:c r="I179" s="137" t="str"/>
      <x:c r="J179" s="137" t="str"/>
      <x:c r="K179" s="137" t="str"/>
      <x:c r="L179" s="137" t="str"/>
      <x:c r="M179" s="137" t="str"/>
      <x:c r="N179" s="137" t="str"/>
      <x:c r="O179" s="137" t="str"/>
      <x:c r="P179" s="137" t="str"/>
      <x:c r="Q179" s="137" t="str"/>
      <x:c r="R179" s="137" t="str"/>
      <x:c r="S179" s="151" t="str"/>
      <x:c r="T179" s="151" t="str"/>
      <x:c r="U179" s="151" t="str"/>
      <x:c r="V179" s="151" t="str"/>
      <x:c r="W179" s="151" t="str"/>
      <x:c r="X179" s="151" t="str"/>
      <x:c r="Y179" s="151" t="str"/>
      <x:c r="Z179" s="151" t="str"/>
      <x:c r="AA179" s="151" t="str"/>
      <x:c r="AB179" s="151" t="str"/>
      <x:c r="AC179" s="151" t="str"/>
      <x:c r="AD179" s="151" t="str"/>
      <x:c r="AE179" s="151" t="str"/>
      <x:c r="AF179" s="151" t="str"/>
      <x:c r="AG179" s="151" t="str"/>
      <x:c r="AH179" s="151" t="str"/>
      <x:c r="AI179" s="151" t="str"/>
      <x:c r="AJ179" s="151" t="str"/>
      <x:c r="AK179" s="151" t="str"/>
      <x:c r="AL179" s="151" t="str"/>
      <x:c r="AM179" s="151" t="str"/>
      <x:c r="AN179" s="152" t="n">
        <x:f>IF(COUNTA(S179:AM179)=0,"",SUM(S179:AM179))</x:f>
        <x:v>0</x:v>
      </x:c>
      <x:c r="AO179" s="151" t="str"/>
      <x:c r="AP179" s="151" t="str"/>
      <x:c r="AQ179" s="151" t="str"/>
      <x:c r="AR179" s="151" t="str"/>
      <x:c r="AS179" s="196" t="str">
        <x:f>IF(AN179="","",IF(AO179="Cartons",IF(AP179*AQ179=AN179,"OK","CHECK CARTONS / SIZES"),IF(AR179=AN179,"OK","CHECK TOTAL / SIZES")))</x:f>
      </x:c>
      <x:c r="AT179" s="137" t="str"/>
      <x:c r="AU179" s="137" t="str"/>
      <x:c r="AV179" s="137" t="str"/>
      <x:c r="AW179" s="137" t="str"/>
    </x:row>
    <x:row r="180">
      <x:c r="A180" s="137" t="str"/>
      <x:c r="B180" s="137" t="str"/>
      <x:c r="C180" s="137" t="str"/>
      <x:c r="D180" s="137" t="str"/>
      <x:c r="E180" s="138" t="str"/>
      <x:c r="F180" s="138" t="str"/>
      <x:c r="G180" s="137" t="str"/>
      <x:c r="H180" s="137" t="str"/>
      <x:c r="I180" s="137" t="str"/>
      <x:c r="J180" s="137" t="str"/>
      <x:c r="K180" s="137" t="str"/>
      <x:c r="L180" s="137" t="str"/>
      <x:c r="M180" s="137" t="str"/>
      <x:c r="N180" s="137" t="str"/>
      <x:c r="O180" s="137" t="str"/>
      <x:c r="P180" s="137" t="str"/>
      <x:c r="Q180" s="137" t="str"/>
      <x:c r="R180" s="137" t="str"/>
      <x:c r="S180" s="151" t="str"/>
      <x:c r="T180" s="151" t="str"/>
      <x:c r="U180" s="151" t="str"/>
      <x:c r="V180" s="151" t="str"/>
      <x:c r="W180" s="151" t="str"/>
      <x:c r="X180" s="151" t="str"/>
      <x:c r="Y180" s="151" t="str"/>
      <x:c r="Z180" s="151" t="str"/>
      <x:c r="AA180" s="151" t="str"/>
      <x:c r="AB180" s="151" t="str"/>
      <x:c r="AC180" s="151" t="str"/>
      <x:c r="AD180" s="151" t="str"/>
      <x:c r="AE180" s="151" t="str"/>
      <x:c r="AF180" s="151" t="str"/>
      <x:c r="AG180" s="151" t="str"/>
      <x:c r="AH180" s="151" t="str"/>
      <x:c r="AI180" s="151" t="str"/>
      <x:c r="AJ180" s="151" t="str"/>
      <x:c r="AK180" s="151" t="str"/>
      <x:c r="AL180" s="151" t="str"/>
      <x:c r="AM180" s="151" t="str"/>
      <x:c r="AN180" s="152" t="n">
        <x:f>IF(COUNTA(S180:AM180)=0,"",SUM(S180:AM180))</x:f>
        <x:v>0</x:v>
      </x:c>
      <x:c r="AO180" s="151" t="str"/>
      <x:c r="AP180" s="151" t="str"/>
      <x:c r="AQ180" s="151" t="str"/>
      <x:c r="AR180" s="151" t="str"/>
      <x:c r="AS180" s="196" t="str">
        <x:f>IF(AN180="","",IF(AO180="Cartons",IF(AP180*AQ180=AN180,"OK","CHECK CARTONS / SIZES"),IF(AR180=AN180,"OK","CHECK TOTAL / SIZES")))</x:f>
      </x:c>
      <x:c r="AT180" s="137" t="str"/>
      <x:c r="AU180" s="137" t="str"/>
      <x:c r="AV180" s="137" t="str"/>
      <x:c r="AW180" s="137" t="str"/>
    </x:row>
    <x:row r="181">
      <x:c r="A181" s="137" t="str"/>
      <x:c r="B181" s="137" t="str"/>
      <x:c r="C181" s="137" t="str"/>
      <x:c r="D181" s="137" t="str"/>
      <x:c r="E181" s="138" t="str"/>
      <x:c r="F181" s="138" t="str"/>
      <x:c r="G181" s="137" t="str"/>
      <x:c r="H181" s="137" t="str"/>
      <x:c r="I181" s="137" t="str"/>
      <x:c r="J181" s="137" t="str"/>
      <x:c r="K181" s="137" t="str"/>
      <x:c r="L181" s="137" t="str"/>
      <x:c r="M181" s="137" t="str"/>
      <x:c r="N181" s="137" t="str"/>
      <x:c r="O181" s="137" t="str"/>
      <x:c r="P181" s="137" t="str"/>
      <x:c r="Q181" s="137" t="str"/>
      <x:c r="R181" s="137" t="str"/>
      <x:c r="S181" s="151" t="str"/>
      <x:c r="T181" s="151" t="str"/>
      <x:c r="U181" s="151" t="str"/>
      <x:c r="V181" s="151" t="str"/>
      <x:c r="W181" s="151" t="str"/>
      <x:c r="X181" s="151" t="str"/>
      <x:c r="Y181" s="151" t="str"/>
      <x:c r="Z181" s="151" t="str"/>
      <x:c r="AA181" s="151" t="str"/>
      <x:c r="AB181" s="151" t="str"/>
      <x:c r="AC181" s="151" t="str"/>
      <x:c r="AD181" s="151" t="str"/>
      <x:c r="AE181" s="151" t="str"/>
      <x:c r="AF181" s="151" t="str"/>
      <x:c r="AG181" s="151" t="str"/>
      <x:c r="AH181" s="151" t="str"/>
      <x:c r="AI181" s="151" t="str"/>
      <x:c r="AJ181" s="151" t="str"/>
      <x:c r="AK181" s="151" t="str"/>
      <x:c r="AL181" s="151" t="str"/>
      <x:c r="AM181" s="151" t="str"/>
      <x:c r="AN181" s="152" t="n">
        <x:f>IF(COUNTA(S181:AM181)=0,"",SUM(S181:AM181))</x:f>
        <x:v>0</x:v>
      </x:c>
      <x:c r="AO181" s="151" t="str"/>
      <x:c r="AP181" s="151" t="str"/>
      <x:c r="AQ181" s="151" t="str"/>
      <x:c r="AR181" s="151" t="str"/>
      <x:c r="AS181" s="196" t="str">
        <x:f>IF(AN181="","",IF(AO181="Cartons",IF(AP181*AQ181=AN181,"OK","CHECK CARTONS / SIZES"),IF(AR181=AN181,"OK","CHECK TOTAL / SIZES")))</x:f>
      </x:c>
      <x:c r="AT181" s="137" t="str"/>
      <x:c r="AU181" s="137" t="str"/>
      <x:c r="AV181" s="137" t="str"/>
      <x:c r="AW181" s="137" t="str"/>
    </x:row>
    <x:row r="182">
      <x:c r="A182" s="137" t="str"/>
      <x:c r="B182" s="137" t="str"/>
      <x:c r="C182" s="137" t="str"/>
      <x:c r="D182" s="137" t="str"/>
      <x:c r="E182" s="138" t="str"/>
      <x:c r="F182" s="138" t="str"/>
      <x:c r="G182" s="137" t="str"/>
      <x:c r="H182" s="137" t="str"/>
      <x:c r="I182" s="137" t="str"/>
      <x:c r="J182" s="137" t="str"/>
      <x:c r="K182" s="137" t="str"/>
      <x:c r="L182" s="137" t="str"/>
      <x:c r="M182" s="137" t="str"/>
      <x:c r="N182" s="137" t="str"/>
      <x:c r="O182" s="137" t="str"/>
      <x:c r="P182" s="137" t="str"/>
      <x:c r="Q182" s="137" t="str"/>
      <x:c r="R182" s="137" t="str"/>
      <x:c r="S182" s="151" t="str"/>
      <x:c r="T182" s="151" t="str"/>
      <x:c r="U182" s="151" t="str"/>
      <x:c r="V182" s="151" t="str"/>
      <x:c r="W182" s="151" t="str"/>
      <x:c r="X182" s="151" t="str"/>
      <x:c r="Y182" s="151" t="str"/>
      <x:c r="Z182" s="151" t="str"/>
      <x:c r="AA182" s="151" t="str"/>
      <x:c r="AB182" s="151" t="str"/>
      <x:c r="AC182" s="151" t="str"/>
      <x:c r="AD182" s="151" t="str"/>
      <x:c r="AE182" s="151" t="str"/>
      <x:c r="AF182" s="151" t="str"/>
      <x:c r="AG182" s="151" t="str"/>
      <x:c r="AH182" s="151" t="str"/>
      <x:c r="AI182" s="151" t="str"/>
      <x:c r="AJ182" s="151" t="str"/>
      <x:c r="AK182" s="151" t="str"/>
      <x:c r="AL182" s="151" t="str"/>
      <x:c r="AM182" s="151" t="str"/>
      <x:c r="AN182" s="152" t="n">
        <x:f>IF(COUNTA(S182:AM182)=0,"",SUM(S182:AM182))</x:f>
        <x:v>0</x:v>
      </x:c>
      <x:c r="AO182" s="151" t="str"/>
      <x:c r="AP182" s="151" t="str"/>
      <x:c r="AQ182" s="151" t="str"/>
      <x:c r="AR182" s="151" t="str"/>
      <x:c r="AS182" s="196" t="str">
        <x:f>IF(AN182="","",IF(AO182="Cartons",IF(AP182*AQ182=AN182,"OK","CHECK CARTONS / SIZES"),IF(AR182=AN182,"OK","CHECK TOTAL / SIZES")))</x:f>
      </x:c>
      <x:c r="AT182" s="137" t="str"/>
      <x:c r="AU182" s="137" t="str"/>
      <x:c r="AV182" s="137" t="str"/>
      <x:c r="AW182" s="137" t="str"/>
    </x:row>
    <x:row r="183">
      <x:c r="A183" s="137" t="str"/>
      <x:c r="B183" s="137" t="str"/>
      <x:c r="C183" s="137" t="str"/>
      <x:c r="D183" s="137" t="str"/>
      <x:c r="E183" s="138" t="str"/>
      <x:c r="F183" s="138" t="str"/>
      <x:c r="G183" s="137" t="str"/>
      <x:c r="H183" s="137" t="str"/>
      <x:c r="I183" s="137" t="str"/>
      <x:c r="J183" s="137" t="str"/>
      <x:c r="K183" s="137" t="str"/>
      <x:c r="L183" s="137" t="str"/>
      <x:c r="M183" s="137" t="str"/>
      <x:c r="N183" s="137" t="str"/>
      <x:c r="O183" s="137" t="str"/>
      <x:c r="P183" s="137" t="str"/>
      <x:c r="Q183" s="137" t="str"/>
      <x:c r="R183" s="137" t="str"/>
      <x:c r="S183" s="151" t="str"/>
      <x:c r="T183" s="151" t="str"/>
      <x:c r="U183" s="151" t="str"/>
      <x:c r="V183" s="151" t="str"/>
      <x:c r="W183" s="151" t="str"/>
      <x:c r="X183" s="151" t="str"/>
      <x:c r="Y183" s="151" t="str"/>
      <x:c r="Z183" s="151" t="str"/>
      <x:c r="AA183" s="151" t="str"/>
      <x:c r="AB183" s="151" t="str"/>
      <x:c r="AC183" s="151" t="str"/>
      <x:c r="AD183" s="151" t="str"/>
      <x:c r="AE183" s="151" t="str"/>
      <x:c r="AF183" s="151" t="str"/>
      <x:c r="AG183" s="151" t="str"/>
      <x:c r="AH183" s="151" t="str"/>
      <x:c r="AI183" s="151" t="str"/>
      <x:c r="AJ183" s="151" t="str"/>
      <x:c r="AK183" s="151" t="str"/>
      <x:c r="AL183" s="151" t="str"/>
      <x:c r="AM183" s="151" t="str"/>
      <x:c r="AN183" s="152" t="n">
        <x:f>IF(COUNTA(S183:AM183)=0,"",SUM(S183:AM183))</x:f>
        <x:v>0</x:v>
      </x:c>
      <x:c r="AO183" s="151" t="str"/>
      <x:c r="AP183" s="151" t="str"/>
      <x:c r="AQ183" s="151" t="str"/>
      <x:c r="AR183" s="151" t="str"/>
      <x:c r="AS183" s="196" t="str">
        <x:f>IF(AN183="","",IF(AO183="Cartons",IF(AP183*AQ183=AN183,"OK","CHECK CARTONS / SIZES"),IF(AR183=AN183,"OK","CHECK TOTAL / SIZES")))</x:f>
      </x:c>
      <x:c r="AT183" s="137" t="str"/>
      <x:c r="AU183" s="137" t="str"/>
      <x:c r="AV183" s="137" t="str"/>
      <x:c r="AW183" s="137" t="str"/>
    </x:row>
    <x:row r="184">
      <x:c r="A184" s="137" t="str"/>
      <x:c r="B184" s="137" t="str"/>
      <x:c r="C184" s="137" t="str"/>
      <x:c r="D184" s="137" t="str"/>
      <x:c r="E184" s="138" t="str"/>
      <x:c r="F184" s="138" t="str"/>
      <x:c r="G184" s="137" t="str"/>
      <x:c r="H184" s="137" t="str"/>
      <x:c r="I184" s="137" t="str"/>
      <x:c r="J184" s="137" t="str"/>
      <x:c r="K184" s="137" t="str"/>
      <x:c r="L184" s="137" t="str"/>
      <x:c r="M184" s="137" t="str"/>
      <x:c r="N184" s="137" t="str"/>
      <x:c r="O184" s="137" t="str"/>
      <x:c r="P184" s="137" t="str"/>
      <x:c r="Q184" s="137" t="str"/>
      <x:c r="R184" s="137" t="str"/>
      <x:c r="S184" s="151" t="str"/>
      <x:c r="T184" s="151" t="str"/>
      <x:c r="U184" s="151" t="str"/>
      <x:c r="V184" s="151" t="str"/>
      <x:c r="W184" s="151" t="str"/>
      <x:c r="X184" s="151" t="str"/>
      <x:c r="Y184" s="151" t="str"/>
      <x:c r="Z184" s="151" t="str"/>
      <x:c r="AA184" s="151" t="str"/>
      <x:c r="AB184" s="151" t="str"/>
      <x:c r="AC184" s="151" t="str"/>
      <x:c r="AD184" s="151" t="str"/>
      <x:c r="AE184" s="151" t="str"/>
      <x:c r="AF184" s="151" t="str"/>
      <x:c r="AG184" s="151" t="str"/>
      <x:c r="AH184" s="151" t="str"/>
      <x:c r="AI184" s="151" t="str"/>
      <x:c r="AJ184" s="151" t="str"/>
      <x:c r="AK184" s="151" t="str"/>
      <x:c r="AL184" s="151" t="str"/>
      <x:c r="AM184" s="151" t="str"/>
      <x:c r="AN184" s="152" t="n">
        <x:f>IF(COUNTA(S184:AM184)=0,"",SUM(S184:AM184))</x:f>
        <x:v>0</x:v>
      </x:c>
      <x:c r="AO184" s="151" t="str"/>
      <x:c r="AP184" s="151" t="str"/>
      <x:c r="AQ184" s="151" t="str"/>
      <x:c r="AR184" s="151" t="str"/>
      <x:c r="AS184" s="196" t="str">
        <x:f>IF(AN184="","",IF(AO184="Cartons",IF(AP184*AQ184=AN184,"OK","CHECK CARTONS / SIZES"),IF(AR184=AN184,"OK","CHECK TOTAL / SIZES")))</x:f>
      </x:c>
      <x:c r="AT184" s="137" t="str"/>
      <x:c r="AU184" s="137" t="str"/>
      <x:c r="AV184" s="137" t="str"/>
      <x:c r="AW184" s="137" t="str"/>
    </x:row>
    <x:row r="185">
      <x:c r="A185" s="137" t="str"/>
      <x:c r="B185" s="137" t="str"/>
      <x:c r="C185" s="137" t="str"/>
      <x:c r="D185" s="137" t="str"/>
      <x:c r="E185" s="138" t="str"/>
      <x:c r="F185" s="138" t="str"/>
      <x:c r="G185" s="137" t="str"/>
      <x:c r="H185" s="137" t="str"/>
      <x:c r="I185" s="137" t="str"/>
      <x:c r="J185" s="137" t="str"/>
      <x:c r="K185" s="137" t="str"/>
      <x:c r="L185" s="137" t="str"/>
      <x:c r="M185" s="137" t="str"/>
      <x:c r="N185" s="137" t="str"/>
      <x:c r="O185" s="137" t="str"/>
      <x:c r="P185" s="137" t="str"/>
      <x:c r="Q185" s="137" t="str"/>
      <x:c r="R185" s="137" t="str"/>
      <x:c r="S185" s="151" t="str"/>
      <x:c r="T185" s="151" t="str"/>
      <x:c r="U185" s="151" t="str"/>
      <x:c r="V185" s="151" t="str"/>
      <x:c r="W185" s="151" t="str"/>
      <x:c r="X185" s="151" t="str"/>
      <x:c r="Y185" s="151" t="str"/>
      <x:c r="Z185" s="151" t="str"/>
      <x:c r="AA185" s="151" t="str"/>
      <x:c r="AB185" s="151" t="str"/>
      <x:c r="AC185" s="151" t="str"/>
      <x:c r="AD185" s="151" t="str"/>
      <x:c r="AE185" s="151" t="str"/>
      <x:c r="AF185" s="151" t="str"/>
      <x:c r="AG185" s="151" t="str"/>
      <x:c r="AH185" s="151" t="str"/>
      <x:c r="AI185" s="151" t="str"/>
      <x:c r="AJ185" s="151" t="str"/>
      <x:c r="AK185" s="151" t="str"/>
      <x:c r="AL185" s="151" t="str"/>
      <x:c r="AM185" s="151" t="str"/>
      <x:c r="AN185" s="152" t="n">
        <x:f>IF(COUNTA(S185:AM185)=0,"",SUM(S185:AM185))</x:f>
        <x:v>0</x:v>
      </x:c>
      <x:c r="AO185" s="151" t="str"/>
      <x:c r="AP185" s="151" t="str"/>
      <x:c r="AQ185" s="151" t="str"/>
      <x:c r="AR185" s="151" t="str"/>
      <x:c r="AS185" s="196" t="str">
        <x:f>IF(AN185="","",IF(AO185="Cartons",IF(AP185*AQ185=AN185,"OK","CHECK CARTONS / SIZES"),IF(AR185=AN185,"OK","CHECK TOTAL / SIZES")))</x:f>
      </x:c>
      <x:c r="AT185" s="137" t="str"/>
      <x:c r="AU185" s="137" t="str"/>
      <x:c r="AV185" s="137" t="str"/>
      <x:c r="AW185" s="137" t="str"/>
    </x:row>
    <x:row r="186">
      <x:c r="A186" s="137" t="str"/>
      <x:c r="B186" s="137" t="str"/>
      <x:c r="C186" s="137" t="str"/>
      <x:c r="D186" s="137" t="str"/>
      <x:c r="E186" s="138" t="str"/>
      <x:c r="F186" s="138" t="str"/>
      <x:c r="G186" s="137" t="str"/>
      <x:c r="H186" s="137" t="str"/>
      <x:c r="I186" s="137" t="str"/>
      <x:c r="J186" s="137" t="str"/>
      <x:c r="K186" s="137" t="str"/>
      <x:c r="L186" s="137" t="str"/>
      <x:c r="M186" s="137" t="str"/>
      <x:c r="N186" s="137" t="str"/>
      <x:c r="O186" s="137" t="str"/>
      <x:c r="P186" s="137" t="str"/>
      <x:c r="Q186" s="137" t="str"/>
      <x:c r="R186" s="137" t="str"/>
      <x:c r="S186" s="151" t="str"/>
      <x:c r="T186" s="151" t="str"/>
      <x:c r="U186" s="151" t="str"/>
      <x:c r="V186" s="151" t="str"/>
      <x:c r="W186" s="151" t="str"/>
      <x:c r="X186" s="151" t="str"/>
      <x:c r="Y186" s="151" t="str"/>
      <x:c r="Z186" s="151" t="str"/>
      <x:c r="AA186" s="151" t="str"/>
      <x:c r="AB186" s="151" t="str"/>
      <x:c r="AC186" s="151" t="str"/>
      <x:c r="AD186" s="151" t="str"/>
      <x:c r="AE186" s="151" t="str"/>
      <x:c r="AF186" s="151" t="str"/>
      <x:c r="AG186" s="151" t="str"/>
      <x:c r="AH186" s="151" t="str"/>
      <x:c r="AI186" s="151" t="str"/>
      <x:c r="AJ186" s="151" t="str"/>
      <x:c r="AK186" s="151" t="str"/>
      <x:c r="AL186" s="151" t="str"/>
      <x:c r="AM186" s="151" t="str"/>
      <x:c r="AN186" s="152" t="n">
        <x:f>IF(COUNTA(S186:AM186)=0,"",SUM(S186:AM186))</x:f>
        <x:v>0</x:v>
      </x:c>
      <x:c r="AO186" s="151" t="str"/>
      <x:c r="AP186" s="151" t="str"/>
      <x:c r="AQ186" s="151" t="str"/>
      <x:c r="AR186" s="151" t="str"/>
      <x:c r="AS186" s="196" t="str">
        <x:f>IF(AN186="","",IF(AO186="Cartons",IF(AP186*AQ186=AN186,"OK","CHECK CARTONS / SIZES"),IF(AR186=AN186,"OK","CHECK TOTAL / SIZES")))</x:f>
      </x:c>
      <x:c r="AT186" s="137" t="str"/>
      <x:c r="AU186" s="137" t="str"/>
      <x:c r="AV186" s="137" t="str"/>
      <x:c r="AW186" s="137" t="str"/>
    </x:row>
    <x:row r="187">
      <x:c r="A187" s="137" t="str"/>
      <x:c r="B187" s="137" t="str"/>
      <x:c r="C187" s="137" t="str"/>
      <x:c r="D187" s="137" t="str"/>
      <x:c r="E187" s="138" t="str"/>
      <x:c r="F187" s="138" t="str"/>
      <x:c r="G187" s="137" t="str"/>
      <x:c r="H187" s="137" t="str"/>
      <x:c r="I187" s="137" t="str"/>
      <x:c r="J187" s="137" t="str"/>
      <x:c r="K187" s="137" t="str"/>
      <x:c r="L187" s="137" t="str"/>
      <x:c r="M187" s="137" t="str"/>
      <x:c r="N187" s="137" t="str"/>
      <x:c r="O187" s="137" t="str"/>
      <x:c r="P187" s="137" t="str"/>
      <x:c r="Q187" s="137" t="str"/>
      <x:c r="R187" s="137" t="str"/>
      <x:c r="S187" s="151" t="str"/>
      <x:c r="T187" s="151" t="str"/>
      <x:c r="U187" s="151" t="str"/>
      <x:c r="V187" s="151" t="str"/>
      <x:c r="W187" s="151" t="str"/>
      <x:c r="X187" s="151" t="str"/>
      <x:c r="Y187" s="151" t="str"/>
      <x:c r="Z187" s="151" t="str"/>
      <x:c r="AA187" s="151" t="str"/>
      <x:c r="AB187" s="151" t="str"/>
      <x:c r="AC187" s="151" t="str"/>
      <x:c r="AD187" s="151" t="str"/>
      <x:c r="AE187" s="151" t="str"/>
      <x:c r="AF187" s="151" t="str"/>
      <x:c r="AG187" s="151" t="str"/>
      <x:c r="AH187" s="151" t="str"/>
      <x:c r="AI187" s="151" t="str"/>
      <x:c r="AJ187" s="151" t="str"/>
      <x:c r="AK187" s="151" t="str"/>
      <x:c r="AL187" s="151" t="str"/>
      <x:c r="AM187" s="151" t="str"/>
      <x:c r="AN187" s="152" t="n">
        <x:f>IF(COUNTA(S187:AM187)=0,"",SUM(S187:AM187))</x:f>
        <x:v>0</x:v>
      </x:c>
      <x:c r="AO187" s="151" t="str"/>
      <x:c r="AP187" s="151" t="str"/>
      <x:c r="AQ187" s="151" t="str"/>
      <x:c r="AR187" s="151" t="str"/>
      <x:c r="AS187" s="196" t="str">
        <x:f>IF(AN187="","",IF(AO187="Cartons",IF(AP187*AQ187=AN187,"OK","CHECK CARTONS / SIZES"),IF(AR187=AN187,"OK","CHECK TOTAL / SIZES")))</x:f>
      </x:c>
      <x:c r="AT187" s="137" t="str"/>
      <x:c r="AU187" s="137" t="str"/>
      <x:c r="AV187" s="137" t="str"/>
      <x:c r="AW187" s="137" t="str"/>
    </x:row>
    <x:row r="188">
      <x:c r="A188" s="137" t="str"/>
      <x:c r="B188" s="137" t="str"/>
      <x:c r="C188" s="137" t="str"/>
      <x:c r="D188" s="137" t="str"/>
      <x:c r="E188" s="138" t="str"/>
      <x:c r="F188" s="138" t="str"/>
      <x:c r="G188" s="137" t="str"/>
      <x:c r="H188" s="137" t="str"/>
      <x:c r="I188" s="137" t="str"/>
      <x:c r="J188" s="137" t="str"/>
      <x:c r="K188" s="137" t="str"/>
      <x:c r="L188" s="137" t="str"/>
      <x:c r="M188" s="137" t="str"/>
      <x:c r="N188" s="137" t="str"/>
      <x:c r="O188" s="137" t="str"/>
      <x:c r="P188" s="137" t="str"/>
      <x:c r="Q188" s="137" t="str"/>
      <x:c r="R188" s="137" t="str"/>
      <x:c r="S188" s="151" t="str"/>
      <x:c r="T188" s="151" t="str"/>
      <x:c r="U188" s="151" t="str"/>
      <x:c r="V188" s="151" t="str"/>
      <x:c r="W188" s="151" t="str"/>
      <x:c r="X188" s="151" t="str"/>
      <x:c r="Y188" s="151" t="str"/>
      <x:c r="Z188" s="151" t="str"/>
      <x:c r="AA188" s="151" t="str"/>
      <x:c r="AB188" s="151" t="str"/>
      <x:c r="AC188" s="151" t="str"/>
      <x:c r="AD188" s="151" t="str"/>
      <x:c r="AE188" s="151" t="str"/>
      <x:c r="AF188" s="151" t="str"/>
      <x:c r="AG188" s="151" t="str"/>
      <x:c r="AH188" s="151" t="str"/>
      <x:c r="AI188" s="151" t="str"/>
      <x:c r="AJ188" s="151" t="str"/>
      <x:c r="AK188" s="151" t="str"/>
      <x:c r="AL188" s="151" t="str"/>
      <x:c r="AM188" s="151" t="str"/>
      <x:c r="AN188" s="152" t="n">
        <x:f>IF(COUNTA(S188:AM188)=0,"",SUM(S188:AM188))</x:f>
        <x:v>0</x:v>
      </x:c>
      <x:c r="AO188" s="151" t="str"/>
      <x:c r="AP188" s="151" t="str"/>
      <x:c r="AQ188" s="151" t="str"/>
      <x:c r="AR188" s="151" t="str"/>
      <x:c r="AS188" s="196" t="str">
        <x:f>IF(AN188="","",IF(AO188="Cartons",IF(AP188*AQ188=AN188,"OK","CHECK CARTONS / SIZES"),IF(AR188=AN188,"OK","CHECK TOTAL / SIZES")))</x:f>
      </x:c>
      <x:c r="AT188" s="137" t="str"/>
      <x:c r="AU188" s="137" t="str"/>
      <x:c r="AV188" s="137" t="str"/>
      <x:c r="AW188" s="137" t="str"/>
    </x:row>
    <x:row r="189">
      <x:c r="A189" s="137" t="str"/>
      <x:c r="B189" s="137" t="str"/>
      <x:c r="C189" s="137" t="str"/>
      <x:c r="D189" s="137" t="str"/>
      <x:c r="E189" s="138" t="str"/>
      <x:c r="F189" s="138" t="str"/>
      <x:c r="G189" s="137" t="str"/>
      <x:c r="H189" s="137" t="str"/>
      <x:c r="I189" s="137" t="str"/>
      <x:c r="J189" s="137" t="str"/>
      <x:c r="K189" s="137" t="str"/>
      <x:c r="L189" s="137" t="str"/>
      <x:c r="M189" s="137" t="str"/>
      <x:c r="N189" s="137" t="str"/>
      <x:c r="O189" s="137" t="str"/>
      <x:c r="P189" s="137" t="str"/>
      <x:c r="Q189" s="137" t="str"/>
      <x:c r="R189" s="137" t="str"/>
      <x:c r="S189" s="151" t="str"/>
      <x:c r="T189" s="151" t="str"/>
      <x:c r="U189" s="151" t="str"/>
      <x:c r="V189" s="151" t="str"/>
      <x:c r="W189" s="151" t="str"/>
      <x:c r="X189" s="151" t="str"/>
      <x:c r="Y189" s="151" t="str"/>
      <x:c r="Z189" s="151" t="str"/>
      <x:c r="AA189" s="151" t="str"/>
      <x:c r="AB189" s="151" t="str"/>
      <x:c r="AC189" s="151" t="str"/>
      <x:c r="AD189" s="151" t="str"/>
      <x:c r="AE189" s="151" t="str"/>
      <x:c r="AF189" s="151" t="str"/>
      <x:c r="AG189" s="151" t="str"/>
      <x:c r="AH189" s="151" t="str"/>
      <x:c r="AI189" s="151" t="str"/>
      <x:c r="AJ189" s="151" t="str"/>
      <x:c r="AK189" s="151" t="str"/>
      <x:c r="AL189" s="151" t="str"/>
      <x:c r="AM189" s="151" t="str"/>
      <x:c r="AN189" s="152" t="n">
        <x:f>IF(COUNTA(S189:AM189)=0,"",SUM(S189:AM189))</x:f>
        <x:v>0</x:v>
      </x:c>
      <x:c r="AO189" s="151" t="str"/>
      <x:c r="AP189" s="151" t="str"/>
      <x:c r="AQ189" s="151" t="str"/>
      <x:c r="AR189" s="151" t="str"/>
      <x:c r="AS189" s="196" t="str">
        <x:f>IF(AN189="","",IF(AO189="Cartons",IF(AP189*AQ189=AN189,"OK","CHECK CARTONS / SIZES"),IF(AR189=AN189,"OK","CHECK TOTAL / SIZES")))</x:f>
      </x:c>
      <x:c r="AT189" s="137" t="str"/>
      <x:c r="AU189" s="137" t="str"/>
      <x:c r="AV189" s="137" t="str"/>
      <x:c r="AW189" s="137" t="str"/>
    </x:row>
    <x:row r="190">
      <x:c r="A190" s="137" t="str"/>
      <x:c r="B190" s="137" t="str"/>
      <x:c r="C190" s="137" t="str"/>
      <x:c r="D190" s="137" t="str"/>
      <x:c r="E190" s="138" t="str"/>
      <x:c r="F190" s="138" t="str"/>
      <x:c r="G190" s="137" t="str"/>
      <x:c r="H190" s="137" t="str"/>
      <x:c r="I190" s="137" t="str"/>
      <x:c r="J190" s="137" t="str"/>
      <x:c r="K190" s="137" t="str"/>
      <x:c r="L190" s="137" t="str"/>
      <x:c r="M190" s="137" t="str"/>
      <x:c r="N190" s="137" t="str"/>
      <x:c r="O190" s="137" t="str"/>
      <x:c r="P190" s="137" t="str"/>
      <x:c r="Q190" s="137" t="str"/>
      <x:c r="R190" s="137" t="str"/>
      <x:c r="S190" s="151" t="str"/>
      <x:c r="T190" s="151" t="str"/>
      <x:c r="U190" s="151" t="str"/>
      <x:c r="V190" s="151" t="str"/>
      <x:c r="W190" s="151" t="str"/>
      <x:c r="X190" s="151" t="str"/>
      <x:c r="Y190" s="151" t="str"/>
      <x:c r="Z190" s="151" t="str"/>
      <x:c r="AA190" s="151" t="str"/>
      <x:c r="AB190" s="151" t="str"/>
      <x:c r="AC190" s="151" t="str"/>
      <x:c r="AD190" s="151" t="str"/>
      <x:c r="AE190" s="151" t="str"/>
      <x:c r="AF190" s="151" t="str"/>
      <x:c r="AG190" s="151" t="str"/>
      <x:c r="AH190" s="151" t="str"/>
      <x:c r="AI190" s="151" t="str"/>
      <x:c r="AJ190" s="151" t="str"/>
      <x:c r="AK190" s="151" t="str"/>
      <x:c r="AL190" s="151" t="str"/>
      <x:c r="AM190" s="151" t="str"/>
      <x:c r="AN190" s="152" t="n">
        <x:f>IF(COUNTA(S190:AM190)=0,"",SUM(S190:AM190))</x:f>
        <x:v>0</x:v>
      </x:c>
      <x:c r="AO190" s="151" t="str"/>
      <x:c r="AP190" s="151" t="str"/>
      <x:c r="AQ190" s="151" t="str"/>
      <x:c r="AR190" s="151" t="str"/>
      <x:c r="AS190" s="196" t="str">
        <x:f>IF(AN190="","",IF(AO190="Cartons",IF(AP190*AQ190=AN190,"OK","CHECK CARTONS / SIZES"),IF(AR190=AN190,"OK","CHECK TOTAL / SIZES")))</x:f>
      </x:c>
      <x:c r="AT190" s="137" t="str"/>
      <x:c r="AU190" s="137" t="str"/>
      <x:c r="AV190" s="137" t="str"/>
      <x:c r="AW190" s="137" t="str"/>
    </x:row>
    <x:row r="191">
      <x:c r="A191" s="137" t="str"/>
      <x:c r="B191" s="137" t="str"/>
      <x:c r="C191" s="137" t="str"/>
      <x:c r="D191" s="137" t="str"/>
      <x:c r="E191" s="138" t="str"/>
      <x:c r="F191" s="138" t="str"/>
      <x:c r="G191" s="137" t="str"/>
      <x:c r="H191" s="137" t="str"/>
      <x:c r="I191" s="137" t="str"/>
      <x:c r="J191" s="137" t="str"/>
      <x:c r="K191" s="137" t="str"/>
      <x:c r="L191" s="137" t="str"/>
      <x:c r="M191" s="137" t="str"/>
      <x:c r="N191" s="137" t="str"/>
      <x:c r="O191" s="137" t="str"/>
      <x:c r="P191" s="137" t="str"/>
      <x:c r="Q191" s="137" t="str"/>
      <x:c r="R191" s="137" t="str"/>
      <x:c r="S191" s="151" t="str"/>
      <x:c r="T191" s="151" t="str"/>
      <x:c r="U191" s="151" t="str"/>
      <x:c r="V191" s="151" t="str"/>
      <x:c r="W191" s="151" t="str"/>
      <x:c r="X191" s="151" t="str"/>
      <x:c r="Y191" s="151" t="str"/>
      <x:c r="Z191" s="151" t="str"/>
      <x:c r="AA191" s="151" t="str"/>
      <x:c r="AB191" s="151" t="str"/>
      <x:c r="AC191" s="151" t="str"/>
      <x:c r="AD191" s="151" t="str"/>
      <x:c r="AE191" s="151" t="str"/>
      <x:c r="AF191" s="151" t="str"/>
      <x:c r="AG191" s="151" t="str"/>
      <x:c r="AH191" s="151" t="str"/>
      <x:c r="AI191" s="151" t="str"/>
      <x:c r="AJ191" s="151" t="str"/>
      <x:c r="AK191" s="151" t="str"/>
      <x:c r="AL191" s="151" t="str"/>
      <x:c r="AM191" s="151" t="str"/>
      <x:c r="AN191" s="152" t="n">
        <x:f>IF(COUNTA(S191:AM191)=0,"",SUM(S191:AM191))</x:f>
        <x:v>0</x:v>
      </x:c>
      <x:c r="AO191" s="151" t="str"/>
      <x:c r="AP191" s="151" t="str"/>
      <x:c r="AQ191" s="151" t="str"/>
      <x:c r="AR191" s="151" t="str"/>
      <x:c r="AS191" s="196" t="str">
        <x:f>IF(AN191="","",IF(AO191="Cartons",IF(AP191*AQ191=AN191,"OK","CHECK CARTONS / SIZES"),IF(AR191=AN191,"OK","CHECK TOTAL / SIZES")))</x:f>
      </x:c>
      <x:c r="AT191" s="137" t="str"/>
      <x:c r="AU191" s="137" t="str"/>
      <x:c r="AV191" s="137" t="str"/>
      <x:c r="AW191" s="137" t="str"/>
    </x:row>
    <x:row r="192">
      <x:c r="A192" s="137" t="str"/>
      <x:c r="B192" s="137" t="str"/>
      <x:c r="C192" s="137" t="str"/>
      <x:c r="D192" s="137" t="str"/>
      <x:c r="E192" s="138" t="str"/>
      <x:c r="F192" s="138" t="str"/>
      <x:c r="G192" s="137" t="str"/>
      <x:c r="H192" s="137" t="str"/>
      <x:c r="I192" s="137" t="str"/>
      <x:c r="J192" s="137" t="str"/>
      <x:c r="K192" s="137" t="str"/>
      <x:c r="L192" s="137" t="str"/>
      <x:c r="M192" s="137" t="str"/>
      <x:c r="N192" s="137" t="str"/>
      <x:c r="O192" s="137" t="str"/>
      <x:c r="P192" s="137" t="str"/>
      <x:c r="Q192" s="137" t="str"/>
      <x:c r="R192" s="137" t="str"/>
      <x:c r="S192" s="151" t="str"/>
      <x:c r="T192" s="151" t="str"/>
      <x:c r="U192" s="151" t="str"/>
      <x:c r="V192" s="151" t="str"/>
      <x:c r="W192" s="151" t="str"/>
      <x:c r="X192" s="151" t="str"/>
      <x:c r="Y192" s="151" t="str"/>
      <x:c r="Z192" s="151" t="str"/>
      <x:c r="AA192" s="151" t="str"/>
      <x:c r="AB192" s="151" t="str"/>
      <x:c r="AC192" s="151" t="str"/>
      <x:c r="AD192" s="151" t="str"/>
      <x:c r="AE192" s="151" t="str"/>
      <x:c r="AF192" s="151" t="str"/>
      <x:c r="AG192" s="151" t="str"/>
      <x:c r="AH192" s="151" t="str"/>
      <x:c r="AI192" s="151" t="str"/>
      <x:c r="AJ192" s="151" t="str"/>
      <x:c r="AK192" s="151" t="str"/>
      <x:c r="AL192" s="151" t="str"/>
      <x:c r="AM192" s="151" t="str"/>
      <x:c r="AN192" s="152" t="n">
        <x:f>IF(COUNTA(S192:AM192)=0,"",SUM(S192:AM192))</x:f>
        <x:v>0</x:v>
      </x:c>
      <x:c r="AO192" s="151" t="str"/>
      <x:c r="AP192" s="151" t="str"/>
      <x:c r="AQ192" s="151" t="str"/>
      <x:c r="AR192" s="151" t="str"/>
      <x:c r="AS192" s="196" t="str">
        <x:f>IF(AN192="","",IF(AO192="Cartons",IF(AP192*AQ192=AN192,"OK","CHECK CARTONS / SIZES"),IF(AR192=AN192,"OK","CHECK TOTAL / SIZES")))</x:f>
      </x:c>
      <x:c r="AT192" s="137" t="str"/>
      <x:c r="AU192" s="137" t="str"/>
      <x:c r="AV192" s="137" t="str"/>
      <x:c r="AW192" s="137" t="str"/>
    </x:row>
    <x:row r="193">
      <x:c r="A193" s="137" t="str"/>
      <x:c r="B193" s="137" t="str"/>
      <x:c r="C193" s="137" t="str"/>
      <x:c r="D193" s="137" t="str"/>
      <x:c r="E193" s="138" t="str"/>
      <x:c r="F193" s="138" t="str"/>
      <x:c r="G193" s="137" t="str"/>
      <x:c r="H193" s="137" t="str"/>
      <x:c r="I193" s="137" t="str"/>
      <x:c r="J193" s="137" t="str"/>
      <x:c r="K193" s="137" t="str"/>
      <x:c r="L193" s="137" t="str"/>
      <x:c r="M193" s="137" t="str"/>
      <x:c r="N193" s="137" t="str"/>
      <x:c r="O193" s="137" t="str"/>
      <x:c r="P193" s="137" t="str"/>
      <x:c r="Q193" s="137" t="str"/>
      <x:c r="R193" s="137" t="str"/>
      <x:c r="S193" s="151" t="str"/>
      <x:c r="T193" s="151" t="str"/>
      <x:c r="U193" s="151" t="str"/>
      <x:c r="V193" s="151" t="str"/>
      <x:c r="W193" s="151" t="str"/>
      <x:c r="X193" s="151" t="str"/>
      <x:c r="Y193" s="151" t="str"/>
      <x:c r="Z193" s="151" t="str"/>
      <x:c r="AA193" s="151" t="str"/>
      <x:c r="AB193" s="151" t="str"/>
      <x:c r="AC193" s="151" t="str"/>
      <x:c r="AD193" s="151" t="str"/>
      <x:c r="AE193" s="151" t="str"/>
      <x:c r="AF193" s="151" t="str"/>
      <x:c r="AG193" s="151" t="str"/>
      <x:c r="AH193" s="151" t="str"/>
      <x:c r="AI193" s="151" t="str"/>
      <x:c r="AJ193" s="151" t="str"/>
      <x:c r="AK193" s="151" t="str"/>
      <x:c r="AL193" s="151" t="str"/>
      <x:c r="AM193" s="151" t="str"/>
      <x:c r="AN193" s="152" t="n">
        <x:f>IF(COUNTA(S193:AM193)=0,"",SUM(S193:AM193))</x:f>
        <x:v>0</x:v>
      </x:c>
      <x:c r="AO193" s="151" t="str"/>
      <x:c r="AP193" s="151" t="str"/>
      <x:c r="AQ193" s="151" t="str"/>
      <x:c r="AR193" s="151" t="str"/>
      <x:c r="AS193" s="196" t="str">
        <x:f>IF(AN193="","",IF(AO193="Cartons",IF(AP193*AQ193=AN193,"OK","CHECK CARTONS / SIZES"),IF(AR193=AN193,"OK","CHECK TOTAL / SIZES")))</x:f>
      </x:c>
      <x:c r="AT193" s="137" t="str"/>
      <x:c r="AU193" s="137" t="str"/>
      <x:c r="AV193" s="137" t="str"/>
      <x:c r="AW193" s="137" t="str"/>
    </x:row>
    <x:row r="194">
      <x:c r="A194" s="137" t="str"/>
      <x:c r="B194" s="137" t="str"/>
      <x:c r="C194" s="137" t="str"/>
      <x:c r="D194" s="137" t="str"/>
      <x:c r="E194" s="138" t="str"/>
      <x:c r="F194" s="138" t="str"/>
      <x:c r="G194" s="137" t="str"/>
      <x:c r="H194" s="137" t="str"/>
      <x:c r="I194" s="137" t="str"/>
      <x:c r="J194" s="137" t="str"/>
      <x:c r="K194" s="137" t="str"/>
      <x:c r="L194" s="137" t="str"/>
      <x:c r="M194" s="137" t="str"/>
      <x:c r="N194" s="137" t="str"/>
      <x:c r="O194" s="137" t="str"/>
      <x:c r="P194" s="137" t="str"/>
      <x:c r="Q194" s="137" t="str"/>
      <x:c r="R194" s="137" t="str"/>
      <x:c r="S194" s="151" t="str"/>
      <x:c r="T194" s="151" t="str"/>
      <x:c r="U194" s="151" t="str"/>
      <x:c r="V194" s="151" t="str"/>
      <x:c r="W194" s="151" t="str"/>
      <x:c r="X194" s="151" t="str"/>
      <x:c r="Y194" s="151" t="str"/>
      <x:c r="Z194" s="151" t="str"/>
      <x:c r="AA194" s="151" t="str"/>
      <x:c r="AB194" s="151" t="str"/>
      <x:c r="AC194" s="151" t="str"/>
      <x:c r="AD194" s="151" t="str"/>
      <x:c r="AE194" s="151" t="str"/>
      <x:c r="AF194" s="151" t="str"/>
      <x:c r="AG194" s="151" t="str"/>
      <x:c r="AH194" s="151" t="str"/>
      <x:c r="AI194" s="151" t="str"/>
      <x:c r="AJ194" s="151" t="str"/>
      <x:c r="AK194" s="151" t="str"/>
      <x:c r="AL194" s="151" t="str"/>
      <x:c r="AM194" s="151" t="str"/>
      <x:c r="AN194" s="152" t="n">
        <x:f>IF(COUNTA(S194:AM194)=0,"",SUM(S194:AM194))</x:f>
        <x:v>0</x:v>
      </x:c>
      <x:c r="AO194" s="151" t="str"/>
      <x:c r="AP194" s="151" t="str"/>
      <x:c r="AQ194" s="151" t="str"/>
      <x:c r="AR194" s="151" t="str"/>
      <x:c r="AS194" s="196" t="str">
        <x:f>IF(AN194="","",IF(AO194="Cartons",IF(AP194*AQ194=AN194,"OK","CHECK CARTONS / SIZES"),IF(AR194=AN194,"OK","CHECK TOTAL / SIZES")))</x:f>
      </x:c>
      <x:c r="AT194" s="137" t="str"/>
      <x:c r="AU194" s="137" t="str"/>
      <x:c r="AV194" s="137" t="str"/>
      <x:c r="AW194" s="137" t="str"/>
    </x:row>
    <x:row r="195">
      <x:c r="A195" s="137" t="str"/>
      <x:c r="B195" s="137" t="str"/>
      <x:c r="C195" s="137" t="str"/>
      <x:c r="D195" s="137" t="str"/>
      <x:c r="E195" s="138" t="str"/>
      <x:c r="F195" s="138" t="str"/>
      <x:c r="G195" s="137" t="str"/>
      <x:c r="H195" s="137" t="str"/>
      <x:c r="I195" s="137" t="str"/>
      <x:c r="J195" s="137" t="str"/>
      <x:c r="K195" s="137" t="str"/>
      <x:c r="L195" s="137" t="str"/>
      <x:c r="M195" s="137" t="str"/>
      <x:c r="N195" s="137" t="str"/>
      <x:c r="O195" s="137" t="str"/>
      <x:c r="P195" s="137" t="str"/>
      <x:c r="Q195" s="137" t="str"/>
      <x:c r="R195" s="137" t="str"/>
      <x:c r="S195" s="151" t="str"/>
      <x:c r="T195" s="151" t="str"/>
      <x:c r="U195" s="151" t="str"/>
      <x:c r="V195" s="151" t="str"/>
      <x:c r="W195" s="151" t="str"/>
      <x:c r="X195" s="151" t="str"/>
      <x:c r="Y195" s="151" t="str"/>
      <x:c r="Z195" s="151" t="str"/>
      <x:c r="AA195" s="151" t="str"/>
      <x:c r="AB195" s="151" t="str"/>
      <x:c r="AC195" s="151" t="str"/>
      <x:c r="AD195" s="151" t="str"/>
      <x:c r="AE195" s="151" t="str"/>
      <x:c r="AF195" s="151" t="str"/>
      <x:c r="AG195" s="151" t="str"/>
      <x:c r="AH195" s="151" t="str"/>
      <x:c r="AI195" s="151" t="str"/>
      <x:c r="AJ195" s="151" t="str"/>
      <x:c r="AK195" s="151" t="str"/>
      <x:c r="AL195" s="151" t="str"/>
      <x:c r="AM195" s="151" t="str"/>
      <x:c r="AN195" s="152" t="n">
        <x:f>IF(COUNTA(S195:AM195)=0,"",SUM(S195:AM195))</x:f>
        <x:v>0</x:v>
      </x:c>
      <x:c r="AO195" s="151" t="str"/>
      <x:c r="AP195" s="151" t="str"/>
      <x:c r="AQ195" s="151" t="str"/>
      <x:c r="AR195" s="151" t="str"/>
      <x:c r="AS195" s="196" t="str">
        <x:f>IF(AN195="","",IF(AO195="Cartons",IF(AP195*AQ195=AN195,"OK","CHECK CARTONS / SIZES"),IF(AR195=AN195,"OK","CHECK TOTAL / SIZES")))</x:f>
      </x:c>
      <x:c r="AT195" s="137" t="str"/>
      <x:c r="AU195" s="137" t="str"/>
      <x:c r="AV195" s="137" t="str"/>
      <x:c r="AW195" s="137" t="str"/>
    </x:row>
    <x:row r="196">
      <x:c r="A196" s="137" t="str"/>
      <x:c r="B196" s="137" t="str"/>
      <x:c r="C196" s="137" t="str"/>
      <x:c r="D196" s="137" t="str"/>
      <x:c r="E196" s="138" t="str"/>
      <x:c r="F196" s="138" t="str"/>
      <x:c r="G196" s="137" t="str"/>
      <x:c r="H196" s="137" t="str"/>
      <x:c r="I196" s="137" t="str"/>
      <x:c r="J196" s="137" t="str"/>
      <x:c r="K196" s="137" t="str"/>
      <x:c r="L196" s="137" t="str"/>
      <x:c r="M196" s="137" t="str"/>
      <x:c r="N196" s="137" t="str"/>
      <x:c r="O196" s="137" t="str"/>
      <x:c r="P196" s="137" t="str"/>
      <x:c r="Q196" s="137" t="str"/>
      <x:c r="R196" s="137" t="str"/>
      <x:c r="S196" s="151" t="str"/>
      <x:c r="T196" s="151" t="str"/>
      <x:c r="U196" s="151" t="str"/>
      <x:c r="V196" s="151" t="str"/>
      <x:c r="W196" s="151" t="str"/>
      <x:c r="X196" s="151" t="str"/>
      <x:c r="Y196" s="151" t="str"/>
      <x:c r="Z196" s="151" t="str"/>
      <x:c r="AA196" s="151" t="str"/>
      <x:c r="AB196" s="151" t="str"/>
      <x:c r="AC196" s="151" t="str"/>
      <x:c r="AD196" s="151" t="str"/>
      <x:c r="AE196" s="151" t="str"/>
      <x:c r="AF196" s="151" t="str"/>
      <x:c r="AG196" s="151" t="str"/>
      <x:c r="AH196" s="151" t="str"/>
      <x:c r="AI196" s="151" t="str"/>
      <x:c r="AJ196" s="151" t="str"/>
      <x:c r="AK196" s="151" t="str"/>
      <x:c r="AL196" s="151" t="str"/>
      <x:c r="AM196" s="151" t="str"/>
      <x:c r="AN196" s="152" t="n">
        <x:f>IF(COUNTA(S196:AM196)=0,"",SUM(S196:AM196))</x:f>
        <x:v>0</x:v>
      </x:c>
      <x:c r="AO196" s="151" t="str"/>
      <x:c r="AP196" s="151" t="str"/>
      <x:c r="AQ196" s="151" t="str"/>
      <x:c r="AR196" s="151" t="str"/>
      <x:c r="AS196" s="196" t="str">
        <x:f>IF(AN196="","",IF(AO196="Cartons",IF(AP196*AQ196=AN196,"OK","CHECK CARTONS / SIZES"),IF(AR196=AN196,"OK","CHECK TOTAL / SIZES")))</x:f>
      </x:c>
      <x:c r="AT196" s="137" t="str"/>
      <x:c r="AU196" s="137" t="str"/>
      <x:c r="AV196" s="137" t="str"/>
      <x:c r="AW196" s="137" t="str"/>
    </x:row>
    <x:row r="197">
      <x:c r="A197" s="137" t="str"/>
      <x:c r="B197" s="137" t="str"/>
      <x:c r="C197" s="137" t="str"/>
      <x:c r="D197" s="137" t="str"/>
      <x:c r="E197" s="138" t="str"/>
      <x:c r="F197" s="138" t="str"/>
      <x:c r="G197" s="137" t="str"/>
      <x:c r="H197" s="137" t="str"/>
      <x:c r="I197" s="137" t="str"/>
      <x:c r="J197" s="137" t="str"/>
      <x:c r="K197" s="137" t="str"/>
      <x:c r="L197" s="137" t="str"/>
      <x:c r="M197" s="137" t="str"/>
      <x:c r="N197" s="137" t="str"/>
      <x:c r="O197" s="137" t="str"/>
      <x:c r="P197" s="137" t="str"/>
      <x:c r="Q197" s="137" t="str"/>
      <x:c r="R197" s="137" t="str"/>
      <x:c r="S197" s="151" t="str"/>
      <x:c r="T197" s="151" t="str"/>
      <x:c r="U197" s="151" t="str"/>
      <x:c r="V197" s="151" t="str"/>
      <x:c r="W197" s="151" t="str"/>
      <x:c r="X197" s="151" t="str"/>
      <x:c r="Y197" s="151" t="str"/>
      <x:c r="Z197" s="151" t="str"/>
      <x:c r="AA197" s="151" t="str"/>
      <x:c r="AB197" s="151" t="str"/>
      <x:c r="AC197" s="151" t="str"/>
      <x:c r="AD197" s="151" t="str"/>
      <x:c r="AE197" s="151" t="str"/>
      <x:c r="AF197" s="151" t="str"/>
      <x:c r="AG197" s="151" t="str"/>
      <x:c r="AH197" s="151" t="str"/>
      <x:c r="AI197" s="151" t="str"/>
      <x:c r="AJ197" s="151" t="str"/>
      <x:c r="AK197" s="151" t="str"/>
      <x:c r="AL197" s="151" t="str"/>
      <x:c r="AM197" s="151" t="str"/>
      <x:c r="AN197" s="152" t="n">
        <x:f>IF(COUNTA(S197:AM197)=0,"",SUM(S197:AM197))</x:f>
        <x:v>0</x:v>
      </x:c>
      <x:c r="AO197" s="151" t="str"/>
      <x:c r="AP197" s="151" t="str"/>
      <x:c r="AQ197" s="151" t="str"/>
      <x:c r="AR197" s="151" t="str"/>
      <x:c r="AS197" s="196" t="str">
        <x:f>IF(AN197="","",IF(AO197="Cartons",IF(AP197*AQ197=AN197,"OK","CHECK CARTONS / SIZES"),IF(AR197=AN197,"OK","CHECK TOTAL / SIZES")))</x:f>
      </x:c>
      <x:c r="AT197" s="137" t="str"/>
      <x:c r="AU197" s="137" t="str"/>
      <x:c r="AV197" s="137" t="str"/>
      <x:c r="AW197" s="137" t="str"/>
    </x:row>
    <x:row r="198">
      <x:c r="A198" s="137" t="str"/>
      <x:c r="B198" s="137" t="str"/>
      <x:c r="C198" s="137" t="str"/>
      <x:c r="D198" s="137" t="str"/>
      <x:c r="E198" s="138" t="str"/>
      <x:c r="F198" s="138" t="str"/>
      <x:c r="G198" s="137" t="str"/>
      <x:c r="H198" s="137" t="str"/>
      <x:c r="I198" s="137" t="str"/>
      <x:c r="J198" s="137" t="str"/>
      <x:c r="K198" s="137" t="str"/>
      <x:c r="L198" s="137" t="str"/>
      <x:c r="M198" s="137" t="str"/>
      <x:c r="N198" s="137" t="str"/>
      <x:c r="O198" s="137" t="str"/>
      <x:c r="P198" s="137" t="str"/>
      <x:c r="Q198" s="137" t="str"/>
      <x:c r="R198" s="137" t="str"/>
      <x:c r="S198" s="151" t="str"/>
      <x:c r="T198" s="151" t="str"/>
      <x:c r="U198" s="151" t="str"/>
      <x:c r="V198" s="151" t="str"/>
      <x:c r="W198" s="151" t="str"/>
      <x:c r="X198" s="151" t="str"/>
      <x:c r="Y198" s="151" t="str"/>
      <x:c r="Z198" s="151" t="str"/>
      <x:c r="AA198" s="151" t="str"/>
      <x:c r="AB198" s="151" t="str"/>
      <x:c r="AC198" s="151" t="str"/>
      <x:c r="AD198" s="151" t="str"/>
      <x:c r="AE198" s="151" t="str"/>
      <x:c r="AF198" s="151" t="str"/>
      <x:c r="AG198" s="151" t="str"/>
      <x:c r="AH198" s="151" t="str"/>
      <x:c r="AI198" s="151" t="str"/>
      <x:c r="AJ198" s="151" t="str"/>
      <x:c r="AK198" s="151" t="str"/>
      <x:c r="AL198" s="151" t="str"/>
      <x:c r="AM198" s="151" t="str"/>
      <x:c r="AN198" s="152" t="n">
        <x:f>IF(COUNTA(S198:AM198)=0,"",SUM(S198:AM198))</x:f>
        <x:v>0</x:v>
      </x:c>
      <x:c r="AO198" s="151" t="str"/>
      <x:c r="AP198" s="151" t="str"/>
      <x:c r="AQ198" s="151" t="str"/>
      <x:c r="AR198" s="151" t="str"/>
      <x:c r="AS198" s="196" t="str">
        <x:f>IF(AN198="","",IF(AO198="Cartons",IF(AP198*AQ198=AN198,"OK","CHECK CARTONS / SIZES"),IF(AR198=AN198,"OK","CHECK TOTAL / SIZES")))</x:f>
      </x:c>
      <x:c r="AT198" s="137" t="str"/>
      <x:c r="AU198" s="137" t="str"/>
      <x:c r="AV198" s="137" t="str"/>
      <x:c r="AW198" s="137" t="str"/>
    </x:row>
    <x:row r="199">
      <x:c r="A199" s="137" t="str"/>
      <x:c r="B199" s="137" t="str"/>
      <x:c r="C199" s="137" t="str"/>
      <x:c r="D199" s="137" t="str"/>
      <x:c r="E199" s="138" t="str"/>
      <x:c r="F199" s="138" t="str"/>
      <x:c r="G199" s="137" t="str"/>
      <x:c r="H199" s="137" t="str"/>
      <x:c r="I199" s="137" t="str"/>
      <x:c r="J199" s="137" t="str"/>
      <x:c r="K199" s="137" t="str"/>
      <x:c r="L199" s="137" t="str"/>
      <x:c r="M199" s="137" t="str"/>
      <x:c r="N199" s="137" t="str"/>
      <x:c r="O199" s="137" t="str"/>
      <x:c r="P199" s="137" t="str"/>
      <x:c r="Q199" s="137" t="str"/>
      <x:c r="R199" s="137" t="str"/>
      <x:c r="S199" s="151" t="str"/>
      <x:c r="T199" s="151" t="str"/>
      <x:c r="U199" s="151" t="str"/>
      <x:c r="V199" s="151" t="str"/>
      <x:c r="W199" s="151" t="str"/>
      <x:c r="X199" s="151" t="str"/>
      <x:c r="Y199" s="151" t="str"/>
      <x:c r="Z199" s="151" t="str"/>
      <x:c r="AA199" s="151" t="str"/>
      <x:c r="AB199" s="151" t="str"/>
      <x:c r="AC199" s="151" t="str"/>
      <x:c r="AD199" s="151" t="str"/>
      <x:c r="AE199" s="151" t="str"/>
      <x:c r="AF199" s="151" t="str"/>
      <x:c r="AG199" s="151" t="str"/>
      <x:c r="AH199" s="151" t="str"/>
      <x:c r="AI199" s="151" t="str"/>
      <x:c r="AJ199" s="151" t="str"/>
      <x:c r="AK199" s="151" t="str"/>
      <x:c r="AL199" s="151" t="str"/>
      <x:c r="AM199" s="151" t="str"/>
      <x:c r="AN199" s="152" t="n">
        <x:f>IF(COUNTA(S199:AM199)=0,"",SUM(S199:AM199))</x:f>
        <x:v>0</x:v>
      </x:c>
      <x:c r="AO199" s="151" t="str"/>
      <x:c r="AP199" s="151" t="str"/>
      <x:c r="AQ199" s="151" t="str"/>
      <x:c r="AR199" s="151" t="str"/>
      <x:c r="AS199" s="196" t="str">
        <x:f>IF(AN199="","",IF(AO199="Cartons",IF(AP199*AQ199=AN199,"OK","CHECK CARTONS / SIZES"),IF(AR199=AN199,"OK","CHECK TOTAL / SIZES")))</x:f>
      </x:c>
      <x:c r="AT199" s="137" t="str"/>
      <x:c r="AU199" s="137" t="str"/>
      <x:c r="AV199" s="137" t="str"/>
      <x:c r="AW199" s="137" t="str"/>
    </x:row>
    <x:row r="200">
      <x:c r="A200" s="137" t="str"/>
      <x:c r="B200" s="137" t="str"/>
      <x:c r="C200" s="137" t="str"/>
      <x:c r="D200" s="137" t="str"/>
      <x:c r="E200" s="138" t="str"/>
      <x:c r="F200" s="138" t="str"/>
      <x:c r="G200" s="137" t="str"/>
      <x:c r="H200" s="137" t="str"/>
      <x:c r="I200" s="137" t="str"/>
      <x:c r="J200" s="137" t="str"/>
      <x:c r="K200" s="137" t="str"/>
      <x:c r="L200" s="137" t="str"/>
      <x:c r="M200" s="137" t="str"/>
      <x:c r="N200" s="137" t="str"/>
      <x:c r="O200" s="137" t="str"/>
      <x:c r="P200" s="137" t="str"/>
      <x:c r="Q200" s="137" t="str"/>
      <x:c r="R200" s="137" t="str"/>
      <x:c r="S200" s="151" t="str"/>
      <x:c r="T200" s="151" t="str"/>
      <x:c r="U200" s="151" t="str"/>
      <x:c r="V200" s="151" t="str"/>
      <x:c r="W200" s="151" t="str"/>
      <x:c r="X200" s="151" t="str"/>
      <x:c r="Y200" s="151" t="str"/>
      <x:c r="Z200" s="151" t="str"/>
      <x:c r="AA200" s="151" t="str"/>
      <x:c r="AB200" s="151" t="str"/>
      <x:c r="AC200" s="151" t="str"/>
      <x:c r="AD200" s="151" t="str"/>
      <x:c r="AE200" s="151" t="str"/>
      <x:c r="AF200" s="151" t="str"/>
      <x:c r="AG200" s="151" t="str"/>
      <x:c r="AH200" s="151" t="str"/>
      <x:c r="AI200" s="151" t="str"/>
      <x:c r="AJ200" s="151" t="str"/>
      <x:c r="AK200" s="151" t="str"/>
      <x:c r="AL200" s="151" t="str"/>
      <x:c r="AM200" s="151" t="str"/>
      <x:c r="AN200" s="152" t="n">
        <x:f>IF(COUNTA(S200:AM200)=0,"",SUM(S200:AM200))</x:f>
        <x:v>0</x:v>
      </x:c>
      <x:c r="AO200" s="151" t="str"/>
      <x:c r="AP200" s="151" t="str"/>
      <x:c r="AQ200" s="151" t="str"/>
      <x:c r="AR200" s="151" t="str"/>
      <x:c r="AS200" s="196" t="str">
        <x:f>IF(AN200="","",IF(AO200="Cartons",IF(AP200*AQ200=AN200,"OK","CHECK CARTONS / SIZES"),IF(AR200=AN200,"OK","CHECK TOTAL / SIZES")))</x:f>
      </x:c>
      <x:c r="AT200" s="137" t="str"/>
      <x:c r="AU200" s="137" t="str"/>
      <x:c r="AV200" s="137" t="str"/>
      <x:c r="AW200" s="137" t="str"/>
    </x:row>
    <x:row r="201">
      <x:c r="A201" s="137" t="str"/>
      <x:c r="B201" s="137" t="str"/>
      <x:c r="C201" s="137" t="str"/>
      <x:c r="D201" s="137" t="str"/>
      <x:c r="E201" s="138" t="str"/>
      <x:c r="F201" s="138" t="str"/>
      <x:c r="G201" s="137" t="str"/>
      <x:c r="H201" s="137" t="str"/>
      <x:c r="I201" s="137" t="str"/>
      <x:c r="J201" s="137" t="str"/>
      <x:c r="K201" s="137" t="str"/>
      <x:c r="L201" s="137" t="str"/>
      <x:c r="M201" s="137" t="str"/>
      <x:c r="N201" s="137" t="str"/>
      <x:c r="O201" s="137" t="str"/>
      <x:c r="P201" s="137" t="str"/>
      <x:c r="Q201" s="137" t="str"/>
      <x:c r="R201" s="137" t="str"/>
      <x:c r="S201" s="151" t="str"/>
      <x:c r="T201" s="151" t="str"/>
      <x:c r="U201" s="151" t="str"/>
      <x:c r="V201" s="151" t="str"/>
      <x:c r="W201" s="151" t="str"/>
      <x:c r="X201" s="151" t="str"/>
      <x:c r="Y201" s="151" t="str"/>
      <x:c r="Z201" s="151" t="str"/>
      <x:c r="AA201" s="151" t="str"/>
      <x:c r="AB201" s="151" t="str"/>
      <x:c r="AC201" s="151" t="str"/>
      <x:c r="AD201" s="151" t="str"/>
      <x:c r="AE201" s="151" t="str"/>
      <x:c r="AF201" s="151" t="str"/>
      <x:c r="AG201" s="151" t="str"/>
      <x:c r="AH201" s="151" t="str"/>
      <x:c r="AI201" s="151" t="str"/>
      <x:c r="AJ201" s="151" t="str"/>
      <x:c r="AK201" s="151" t="str"/>
      <x:c r="AL201" s="151" t="str"/>
      <x:c r="AM201" s="151" t="str"/>
      <x:c r="AN201" s="152" t="n">
        <x:f>IF(COUNTA(S201:AM201)=0,"",SUM(S201:AM201))</x:f>
        <x:v>0</x:v>
      </x:c>
      <x:c r="AO201" s="151" t="str"/>
      <x:c r="AP201" s="151" t="str"/>
      <x:c r="AQ201" s="151" t="str"/>
      <x:c r="AR201" s="151" t="str"/>
      <x:c r="AS201" s="196" t="str">
        <x:f>IF(AN201="","",IF(AO201="Cartons",IF(AP201*AQ201=AN201,"OK","CHECK CARTONS / SIZES"),IF(AR201=AN201,"OK","CHECK TOTAL / SIZES")))</x:f>
      </x:c>
      <x:c r="AT201" s="137" t="str"/>
      <x:c r="AU201" s="137" t="str"/>
      <x:c r="AV201" s="137" t="str"/>
      <x:c r="AW201" s="137" t="str"/>
    </x:row>
    <x:row r="202">
      <x:c r="A202" s="137" t="str"/>
      <x:c r="B202" s="137" t="str"/>
      <x:c r="C202" s="137" t="str"/>
      <x:c r="D202" s="137" t="str"/>
      <x:c r="E202" s="138" t="str"/>
      <x:c r="F202" s="138" t="str"/>
      <x:c r="G202" s="137" t="str"/>
      <x:c r="H202" s="137" t="str"/>
      <x:c r="I202" s="137" t="str"/>
      <x:c r="J202" s="137" t="str"/>
      <x:c r="K202" s="137" t="str"/>
      <x:c r="L202" s="137" t="str"/>
      <x:c r="M202" s="137" t="str"/>
      <x:c r="N202" s="137" t="str"/>
      <x:c r="O202" s="137" t="str"/>
      <x:c r="P202" s="137" t="str"/>
      <x:c r="Q202" s="137" t="str"/>
      <x:c r="R202" s="137" t="str"/>
      <x:c r="S202" s="151" t="str"/>
      <x:c r="T202" s="151" t="str"/>
      <x:c r="U202" s="151" t="str"/>
      <x:c r="V202" s="151" t="str"/>
      <x:c r="W202" s="151" t="str"/>
      <x:c r="X202" s="151" t="str"/>
      <x:c r="Y202" s="151" t="str"/>
      <x:c r="Z202" s="151" t="str"/>
      <x:c r="AA202" s="151" t="str"/>
      <x:c r="AB202" s="151" t="str"/>
      <x:c r="AC202" s="151" t="str"/>
      <x:c r="AD202" s="151" t="str"/>
      <x:c r="AE202" s="151" t="str"/>
      <x:c r="AF202" s="151" t="str"/>
      <x:c r="AG202" s="151" t="str"/>
      <x:c r="AH202" s="151" t="str"/>
      <x:c r="AI202" s="151" t="str"/>
      <x:c r="AJ202" s="151" t="str"/>
      <x:c r="AK202" s="151" t="str"/>
      <x:c r="AL202" s="151" t="str"/>
      <x:c r="AM202" s="151" t="str"/>
      <x:c r="AN202" s="152" t="n">
        <x:f>IF(COUNTA(S202:AM202)=0,"",SUM(S202:AM202))</x:f>
        <x:v>0</x:v>
      </x:c>
      <x:c r="AO202" s="151" t="str"/>
      <x:c r="AP202" s="151" t="str"/>
      <x:c r="AQ202" s="151" t="str"/>
      <x:c r="AR202" s="151" t="str"/>
      <x:c r="AS202" s="196" t="str">
        <x:f>IF(AN202="","",IF(AO202="Cartons",IF(AP202*AQ202=AN202,"OK","CHECK CARTONS / SIZES"),IF(AR202=AN202,"OK","CHECK TOTAL / SIZES")))</x:f>
      </x:c>
      <x:c r="AT202" s="137" t="str"/>
      <x:c r="AU202" s="137" t="str"/>
      <x:c r="AV202" s="137" t="str"/>
      <x:c r="AW202" s="137" t="str"/>
    </x:row>
    <x:row r="203">
      <x:c r="A203" s="137" t="str"/>
      <x:c r="B203" s="137" t="str"/>
      <x:c r="C203" s="137" t="str"/>
      <x:c r="D203" s="137" t="str"/>
      <x:c r="E203" s="138" t="str"/>
      <x:c r="F203" s="138" t="str"/>
      <x:c r="G203" s="137" t="str"/>
      <x:c r="H203" s="137" t="str"/>
      <x:c r="I203" s="137" t="str"/>
      <x:c r="J203" s="137" t="str"/>
      <x:c r="K203" s="137" t="str"/>
      <x:c r="L203" s="137" t="str"/>
      <x:c r="M203" s="137" t="str"/>
      <x:c r="N203" s="137" t="str"/>
      <x:c r="O203" s="137" t="str"/>
      <x:c r="P203" s="137" t="str"/>
      <x:c r="Q203" s="137" t="str"/>
      <x:c r="R203" s="137" t="str"/>
      <x:c r="S203" s="151" t="str"/>
      <x:c r="T203" s="151" t="str"/>
      <x:c r="U203" s="151" t="str"/>
      <x:c r="V203" s="151" t="str"/>
      <x:c r="W203" s="151" t="str"/>
      <x:c r="X203" s="151" t="str"/>
      <x:c r="Y203" s="151" t="str"/>
      <x:c r="Z203" s="151" t="str"/>
      <x:c r="AA203" s="151" t="str"/>
      <x:c r="AB203" s="151" t="str"/>
      <x:c r="AC203" s="151" t="str"/>
      <x:c r="AD203" s="151" t="str"/>
      <x:c r="AE203" s="151" t="str"/>
      <x:c r="AF203" s="151" t="str"/>
      <x:c r="AG203" s="151" t="str"/>
      <x:c r="AH203" s="151" t="str"/>
      <x:c r="AI203" s="151" t="str"/>
      <x:c r="AJ203" s="151" t="str"/>
      <x:c r="AK203" s="151" t="str"/>
      <x:c r="AL203" s="151" t="str"/>
      <x:c r="AM203" s="151" t="str"/>
      <x:c r="AN203" s="152" t="n">
        <x:f>IF(COUNTA(S203:AM203)=0,"",SUM(S203:AM203))</x:f>
        <x:v>0</x:v>
      </x:c>
      <x:c r="AO203" s="151" t="str"/>
      <x:c r="AP203" s="151" t="str"/>
      <x:c r="AQ203" s="151" t="str"/>
      <x:c r="AR203" s="151" t="str"/>
      <x:c r="AS203" s="196" t="str">
        <x:f>IF(AN203="","",IF(AO203="Cartons",IF(AP203*AQ203=AN203,"OK","CHECK CARTONS / SIZES"),IF(AR203=AN203,"OK","CHECK TOTAL / SIZES")))</x:f>
      </x:c>
      <x:c r="AT203" s="137" t="str"/>
      <x:c r="AU203" s="137" t="str"/>
      <x:c r="AV203" s="137" t="str"/>
      <x:c r="AW203" s="137" t="str"/>
    </x:row>
    <x:row r="204">
      <x:c r="A204" s="137" t="str"/>
      <x:c r="B204" s="137" t="str"/>
      <x:c r="C204" s="137" t="str"/>
      <x:c r="D204" s="137" t="str"/>
      <x:c r="E204" s="138" t="str"/>
      <x:c r="F204" s="138" t="str"/>
      <x:c r="G204" s="137" t="str"/>
      <x:c r="H204" s="137" t="str"/>
      <x:c r="I204" s="137" t="str"/>
      <x:c r="J204" s="137" t="str"/>
      <x:c r="K204" s="137" t="str"/>
      <x:c r="L204" s="137" t="str"/>
      <x:c r="M204" s="137" t="str"/>
      <x:c r="N204" s="137" t="str"/>
      <x:c r="O204" s="137" t="str"/>
      <x:c r="P204" s="137" t="str"/>
      <x:c r="Q204" s="137" t="str"/>
      <x:c r="R204" s="137" t="str"/>
      <x:c r="S204" s="151" t="str"/>
      <x:c r="T204" s="151" t="str"/>
      <x:c r="U204" s="151" t="str"/>
      <x:c r="V204" s="151" t="str"/>
      <x:c r="W204" s="151" t="str"/>
      <x:c r="X204" s="151" t="str"/>
      <x:c r="Y204" s="151" t="str"/>
      <x:c r="Z204" s="151" t="str"/>
      <x:c r="AA204" s="151" t="str"/>
      <x:c r="AB204" s="151" t="str"/>
      <x:c r="AC204" s="151" t="str"/>
      <x:c r="AD204" s="151" t="str"/>
      <x:c r="AE204" s="151" t="str"/>
      <x:c r="AF204" s="151" t="str"/>
      <x:c r="AG204" s="151" t="str"/>
      <x:c r="AH204" s="151" t="str"/>
      <x:c r="AI204" s="151" t="str"/>
      <x:c r="AJ204" s="151" t="str"/>
      <x:c r="AK204" s="151" t="str"/>
      <x:c r="AL204" s="151" t="str"/>
      <x:c r="AM204" s="151" t="str"/>
      <x:c r="AN204" s="152" t="n">
        <x:f>IF(COUNTA(S204:AM204)=0,"",SUM(S204:AM204))</x:f>
        <x:v>0</x:v>
      </x:c>
      <x:c r="AO204" s="151" t="str"/>
      <x:c r="AP204" s="151" t="str"/>
      <x:c r="AQ204" s="151" t="str"/>
      <x:c r="AR204" s="151" t="str"/>
      <x:c r="AS204" s="196" t="str">
        <x:f>IF(AN204="","",IF(AO204="Cartons",IF(AP204*AQ204=AN204,"OK","CHECK CARTONS / SIZES"),IF(AR204=AN204,"OK","CHECK TOTAL / SIZES")))</x:f>
      </x:c>
      <x:c r="AT204" s="137" t="str"/>
      <x:c r="AU204" s="137" t="str"/>
      <x:c r="AV204" s="137" t="str"/>
      <x:c r="AW204" s="137" t="str"/>
    </x:row>
    <x:row r="205">
      <x:c r="A205" s="137" t="str"/>
      <x:c r="B205" s="137" t="str"/>
      <x:c r="C205" s="137" t="str"/>
      <x:c r="D205" s="137" t="str"/>
      <x:c r="E205" s="138" t="str"/>
      <x:c r="F205" s="138" t="str"/>
      <x:c r="G205" s="137" t="str"/>
      <x:c r="H205" s="137" t="str"/>
      <x:c r="I205" s="137" t="str"/>
      <x:c r="J205" s="137" t="str"/>
      <x:c r="K205" s="137" t="str"/>
      <x:c r="L205" s="137" t="str"/>
      <x:c r="M205" s="137" t="str"/>
      <x:c r="N205" s="137" t="str"/>
      <x:c r="O205" s="137" t="str"/>
      <x:c r="P205" s="137" t="str"/>
      <x:c r="Q205" s="137" t="str"/>
      <x:c r="R205" s="137" t="str"/>
      <x:c r="S205" s="151" t="str"/>
      <x:c r="T205" s="151" t="str"/>
      <x:c r="U205" s="151" t="str"/>
      <x:c r="V205" s="151" t="str"/>
      <x:c r="W205" s="151" t="str"/>
      <x:c r="X205" s="151" t="str"/>
      <x:c r="Y205" s="151" t="str"/>
      <x:c r="Z205" s="151" t="str"/>
      <x:c r="AA205" s="151" t="str"/>
      <x:c r="AB205" s="151" t="str"/>
      <x:c r="AC205" s="151" t="str"/>
      <x:c r="AD205" s="151" t="str"/>
      <x:c r="AE205" s="151" t="str"/>
      <x:c r="AF205" s="151" t="str"/>
      <x:c r="AG205" s="151" t="str"/>
      <x:c r="AH205" s="151" t="str"/>
      <x:c r="AI205" s="151" t="str"/>
      <x:c r="AJ205" s="151" t="str"/>
      <x:c r="AK205" s="151" t="str"/>
      <x:c r="AL205" s="151" t="str"/>
      <x:c r="AM205" s="151" t="str"/>
      <x:c r="AN205" s="152" t="n">
        <x:f>IF(COUNTA(S205:AM205)=0,"",SUM(S205:AM205))</x:f>
        <x:v>0</x:v>
      </x:c>
      <x:c r="AO205" s="151" t="str"/>
      <x:c r="AP205" s="151" t="str"/>
      <x:c r="AQ205" s="151" t="str"/>
      <x:c r="AR205" s="151" t="str"/>
      <x:c r="AS205" s="196" t="str">
        <x:f>IF(AN205="","",IF(AO205="Cartons",IF(AP205*AQ205=AN205,"OK","CHECK CARTONS / SIZES"),IF(AR205=AN205,"OK","CHECK TOTAL / SIZES")))</x:f>
      </x:c>
      <x:c r="AT205" s="137" t="str"/>
      <x:c r="AU205" s="137" t="str"/>
      <x:c r="AV205" s="137" t="str"/>
      <x:c r="AW205" s="137" t="str"/>
    </x:row>
    <x:row r="206">
      <x:c r="A206" s="137" t="str"/>
      <x:c r="B206" s="137" t="str"/>
      <x:c r="C206" s="137" t="str"/>
      <x:c r="D206" s="137" t="str"/>
      <x:c r="E206" s="138" t="str"/>
      <x:c r="F206" s="138" t="str"/>
      <x:c r="G206" s="137" t="str"/>
      <x:c r="H206" s="137" t="str"/>
      <x:c r="I206" s="137" t="str"/>
      <x:c r="J206" s="137" t="str"/>
      <x:c r="K206" s="137" t="str"/>
      <x:c r="L206" s="137" t="str"/>
      <x:c r="M206" s="137" t="str"/>
      <x:c r="N206" s="137" t="str"/>
      <x:c r="O206" s="137" t="str"/>
      <x:c r="P206" s="137" t="str"/>
      <x:c r="Q206" s="137" t="str"/>
      <x:c r="R206" s="137" t="str"/>
      <x:c r="S206" s="151" t="str"/>
      <x:c r="T206" s="151" t="str"/>
      <x:c r="U206" s="151" t="str"/>
      <x:c r="V206" s="151" t="str"/>
      <x:c r="W206" s="151" t="str"/>
      <x:c r="X206" s="151" t="str"/>
      <x:c r="Y206" s="151" t="str"/>
      <x:c r="Z206" s="151" t="str"/>
      <x:c r="AA206" s="151" t="str"/>
      <x:c r="AB206" s="151" t="str"/>
      <x:c r="AC206" s="151" t="str"/>
      <x:c r="AD206" s="151" t="str"/>
      <x:c r="AE206" s="151" t="str"/>
      <x:c r="AF206" s="151" t="str"/>
      <x:c r="AG206" s="151" t="str"/>
      <x:c r="AH206" s="151" t="str"/>
      <x:c r="AI206" s="151" t="str"/>
      <x:c r="AJ206" s="151" t="str"/>
      <x:c r="AK206" s="151" t="str"/>
      <x:c r="AL206" s="151" t="str"/>
      <x:c r="AM206" s="151" t="str"/>
      <x:c r="AN206" s="152" t="n">
        <x:f>IF(COUNTA(S206:AM206)=0,"",SUM(S206:AM206))</x:f>
        <x:v>0</x:v>
      </x:c>
      <x:c r="AO206" s="151" t="str"/>
      <x:c r="AP206" s="151" t="str"/>
      <x:c r="AQ206" s="151" t="str"/>
      <x:c r="AR206" s="151" t="str"/>
      <x:c r="AS206" s="196" t="str">
        <x:f>IF(AN206="","",IF(AO206="Cartons",IF(AP206*AQ206=AN206,"OK","CHECK CARTONS / SIZES"),IF(AR206=AN206,"OK","CHECK TOTAL / SIZES")))</x:f>
      </x:c>
      <x:c r="AT206" s="137" t="str"/>
      <x:c r="AU206" s="137" t="str"/>
      <x:c r="AV206" s="137" t="str"/>
      <x:c r="AW206" s="137" t="str"/>
    </x:row>
    <x:row r="207">
      <x:c r="A207" s="137" t="str"/>
      <x:c r="B207" s="137" t="str"/>
      <x:c r="C207" s="137" t="str"/>
      <x:c r="D207" s="137" t="str"/>
      <x:c r="E207" s="138" t="str"/>
      <x:c r="F207" s="138" t="str"/>
      <x:c r="G207" s="137" t="str"/>
      <x:c r="H207" s="137" t="str"/>
      <x:c r="I207" s="137" t="str"/>
      <x:c r="J207" s="137" t="str"/>
      <x:c r="K207" s="137" t="str"/>
      <x:c r="L207" s="137" t="str"/>
      <x:c r="M207" s="137" t="str"/>
      <x:c r="N207" s="137" t="str"/>
      <x:c r="O207" s="137" t="str"/>
      <x:c r="P207" s="137" t="str"/>
      <x:c r="Q207" s="137" t="str"/>
      <x:c r="R207" s="137" t="str"/>
      <x:c r="S207" s="151" t="str"/>
      <x:c r="T207" s="151" t="str"/>
      <x:c r="U207" s="151" t="str"/>
      <x:c r="V207" s="151" t="str"/>
      <x:c r="W207" s="151" t="str"/>
      <x:c r="X207" s="151" t="str"/>
      <x:c r="Y207" s="151" t="str"/>
      <x:c r="Z207" s="151" t="str"/>
      <x:c r="AA207" s="151" t="str"/>
      <x:c r="AB207" s="151" t="str"/>
      <x:c r="AC207" s="151" t="str"/>
      <x:c r="AD207" s="151" t="str"/>
      <x:c r="AE207" s="151" t="str"/>
      <x:c r="AF207" s="151" t="str"/>
      <x:c r="AG207" s="151" t="str"/>
      <x:c r="AH207" s="151" t="str"/>
      <x:c r="AI207" s="151" t="str"/>
      <x:c r="AJ207" s="151" t="str"/>
      <x:c r="AK207" s="151" t="str"/>
      <x:c r="AL207" s="151" t="str"/>
      <x:c r="AM207" s="151" t="str"/>
      <x:c r="AN207" s="152" t="n">
        <x:f>IF(COUNTA(S207:AM207)=0,"",SUM(S207:AM207))</x:f>
        <x:v>0</x:v>
      </x:c>
      <x:c r="AO207" s="151" t="str"/>
      <x:c r="AP207" s="151" t="str"/>
      <x:c r="AQ207" s="151" t="str"/>
      <x:c r="AR207" s="151" t="str"/>
      <x:c r="AS207" s="196" t="str">
        <x:f>IF(AN207="","",IF(AO207="Cartons",IF(AP207*AQ207=AN207,"OK","CHECK CARTONS / SIZES"),IF(AR207=AN207,"OK","CHECK TOTAL / SIZES")))</x:f>
      </x:c>
      <x:c r="AT207" s="137" t="str"/>
      <x:c r="AU207" s="137" t="str"/>
      <x:c r="AV207" s="137" t="str"/>
      <x:c r="AW207" s="137" t="str"/>
    </x:row>
    <x:row r="208">
      <x:c r="A208" s="137" t="str"/>
      <x:c r="B208" s="137" t="str"/>
      <x:c r="C208" s="137" t="str"/>
      <x:c r="D208" s="137" t="str"/>
      <x:c r="E208" s="138" t="str"/>
      <x:c r="F208" s="138" t="str"/>
      <x:c r="G208" s="137" t="str"/>
      <x:c r="H208" s="137" t="str"/>
      <x:c r="I208" s="137" t="str"/>
      <x:c r="J208" s="137" t="str"/>
      <x:c r="K208" s="137" t="str"/>
      <x:c r="L208" s="137" t="str"/>
      <x:c r="M208" s="137" t="str"/>
      <x:c r="N208" s="137" t="str"/>
      <x:c r="O208" s="137" t="str"/>
      <x:c r="P208" s="137" t="str"/>
      <x:c r="Q208" s="137" t="str"/>
      <x:c r="R208" s="137" t="str"/>
      <x:c r="S208" s="151" t="str"/>
      <x:c r="T208" s="151" t="str"/>
      <x:c r="U208" s="151" t="str"/>
      <x:c r="V208" s="151" t="str"/>
      <x:c r="W208" s="151" t="str"/>
      <x:c r="X208" s="151" t="str"/>
      <x:c r="Y208" s="151" t="str"/>
      <x:c r="Z208" s="151" t="str"/>
      <x:c r="AA208" s="151" t="str"/>
      <x:c r="AB208" s="151" t="str"/>
      <x:c r="AC208" s="151" t="str"/>
      <x:c r="AD208" s="151" t="str"/>
      <x:c r="AE208" s="151" t="str"/>
      <x:c r="AF208" s="151" t="str"/>
      <x:c r="AG208" s="151" t="str"/>
      <x:c r="AH208" s="151" t="str"/>
      <x:c r="AI208" s="151" t="str"/>
      <x:c r="AJ208" s="151" t="str"/>
      <x:c r="AK208" s="151" t="str"/>
      <x:c r="AL208" s="151" t="str"/>
      <x:c r="AM208" s="151" t="str"/>
      <x:c r="AN208" s="152" t="n">
        <x:f>IF(COUNTA(S208:AM208)=0,"",SUM(S208:AM208))</x:f>
        <x:v>0</x:v>
      </x:c>
      <x:c r="AO208" s="151" t="str"/>
      <x:c r="AP208" s="151" t="str"/>
      <x:c r="AQ208" s="151" t="str"/>
      <x:c r="AR208" s="151" t="str"/>
      <x:c r="AS208" s="196" t="str">
        <x:f>IF(AN208="","",IF(AO208="Cartons",IF(AP208*AQ208=AN208,"OK","CHECK CARTONS / SIZES"),IF(AR208=AN208,"OK","CHECK TOTAL / SIZES")))</x:f>
      </x:c>
      <x:c r="AT208" s="137" t="str"/>
      <x:c r="AU208" s="137" t="str"/>
      <x:c r="AV208" s="137" t="str"/>
      <x:c r="AW208" s="137" t="str"/>
    </x:row>
    <x:row r="209">
      <x:c r="A209" s="137" t="str"/>
      <x:c r="B209" s="137" t="str"/>
      <x:c r="C209" s="137" t="str"/>
      <x:c r="D209" s="137" t="str"/>
      <x:c r="E209" s="138" t="str"/>
      <x:c r="F209" s="138" t="str"/>
      <x:c r="G209" s="137" t="str"/>
      <x:c r="H209" s="137" t="str"/>
      <x:c r="I209" s="137" t="str"/>
      <x:c r="J209" s="137" t="str"/>
      <x:c r="K209" s="137" t="str"/>
      <x:c r="L209" s="137" t="str"/>
      <x:c r="M209" s="137" t="str"/>
      <x:c r="N209" s="137" t="str"/>
      <x:c r="O209" s="137" t="str"/>
      <x:c r="P209" s="137" t="str"/>
      <x:c r="Q209" s="137" t="str"/>
      <x:c r="R209" s="137" t="str"/>
      <x:c r="S209" s="151" t="str"/>
      <x:c r="T209" s="151" t="str"/>
      <x:c r="U209" s="151" t="str"/>
      <x:c r="V209" s="151" t="str"/>
      <x:c r="W209" s="151" t="str"/>
      <x:c r="X209" s="151" t="str"/>
      <x:c r="Y209" s="151" t="str"/>
      <x:c r="Z209" s="151" t="str"/>
      <x:c r="AA209" s="151" t="str"/>
      <x:c r="AB209" s="151" t="str"/>
      <x:c r="AC209" s="151" t="str"/>
      <x:c r="AD209" s="151" t="str"/>
      <x:c r="AE209" s="151" t="str"/>
      <x:c r="AF209" s="151" t="str"/>
      <x:c r="AG209" s="151" t="str"/>
      <x:c r="AH209" s="151" t="str"/>
      <x:c r="AI209" s="151" t="str"/>
      <x:c r="AJ209" s="151" t="str"/>
      <x:c r="AK209" s="151" t="str"/>
      <x:c r="AL209" s="151" t="str"/>
      <x:c r="AM209" s="151" t="str"/>
      <x:c r="AN209" s="152" t="n">
        <x:f>IF(COUNTA(S209:AM209)=0,"",SUM(S209:AM209))</x:f>
        <x:v>0</x:v>
      </x:c>
      <x:c r="AO209" s="151" t="str"/>
      <x:c r="AP209" s="151" t="str"/>
      <x:c r="AQ209" s="151" t="str"/>
      <x:c r="AR209" s="151" t="str"/>
      <x:c r="AS209" s="196" t="str">
        <x:f>IF(AN209="","",IF(AO209="Cartons",IF(AP209*AQ209=AN209,"OK","CHECK CARTONS / SIZES"),IF(AR209=AN209,"OK","CHECK TOTAL / SIZES")))</x:f>
      </x:c>
      <x:c r="AT209" s="137" t="str"/>
      <x:c r="AU209" s="137" t="str"/>
      <x:c r="AV209" s="137" t="str"/>
      <x:c r="AW209" s="137" t="str"/>
    </x:row>
    <x:row r="210">
      <x:c r="A210" s="137" t="str"/>
      <x:c r="B210" s="137" t="str"/>
      <x:c r="C210" s="137" t="str"/>
      <x:c r="D210" s="137" t="str"/>
      <x:c r="E210" s="138" t="str"/>
      <x:c r="F210" s="138" t="str"/>
      <x:c r="G210" s="137" t="str"/>
      <x:c r="H210" s="137" t="str"/>
      <x:c r="I210" s="137" t="str"/>
      <x:c r="J210" s="137" t="str"/>
      <x:c r="K210" s="137" t="str"/>
      <x:c r="L210" s="137" t="str"/>
      <x:c r="M210" s="137" t="str"/>
      <x:c r="N210" s="137" t="str"/>
      <x:c r="O210" s="137" t="str"/>
      <x:c r="P210" s="137" t="str"/>
      <x:c r="Q210" s="137" t="str"/>
      <x:c r="R210" s="137" t="str"/>
      <x:c r="S210" s="151" t="str"/>
      <x:c r="T210" s="151" t="str"/>
      <x:c r="U210" s="151" t="str"/>
      <x:c r="V210" s="151" t="str"/>
      <x:c r="W210" s="151" t="str"/>
      <x:c r="X210" s="151" t="str"/>
      <x:c r="Y210" s="151" t="str"/>
      <x:c r="Z210" s="151" t="str"/>
      <x:c r="AA210" s="151" t="str"/>
      <x:c r="AB210" s="151" t="str"/>
      <x:c r="AC210" s="151" t="str"/>
      <x:c r="AD210" s="151" t="str"/>
      <x:c r="AE210" s="151" t="str"/>
      <x:c r="AF210" s="151" t="str"/>
      <x:c r="AG210" s="151" t="str"/>
      <x:c r="AH210" s="151" t="str"/>
      <x:c r="AI210" s="151" t="str"/>
      <x:c r="AJ210" s="151" t="str"/>
      <x:c r="AK210" s="151" t="str"/>
      <x:c r="AL210" s="151" t="str"/>
      <x:c r="AM210" s="151" t="str"/>
      <x:c r="AN210" s="152" t="n">
        <x:f>IF(COUNTA(S210:AM210)=0,"",SUM(S210:AM210))</x:f>
        <x:v>0</x:v>
      </x:c>
      <x:c r="AO210" s="151" t="str"/>
      <x:c r="AP210" s="151" t="str"/>
      <x:c r="AQ210" s="151" t="str"/>
      <x:c r="AR210" s="151" t="str"/>
      <x:c r="AS210" s="196" t="str">
        <x:f>IF(AN210="","",IF(AO210="Cartons",IF(AP210*AQ210=AN210,"OK","CHECK CARTONS / SIZES"),IF(AR210=AN210,"OK","CHECK TOTAL / SIZES")))</x:f>
      </x:c>
      <x:c r="AT210" s="137" t="str"/>
      <x:c r="AU210" s="137" t="str"/>
      <x:c r="AV210" s="137" t="str"/>
      <x:c r="AW210" s="137" t="str"/>
    </x:row>
    <x:row r="211">
      <x:c r="A211" s="137" t="str"/>
      <x:c r="B211" s="137" t="str"/>
      <x:c r="C211" s="137" t="str"/>
      <x:c r="D211" s="137" t="str"/>
      <x:c r="E211" s="138" t="str"/>
      <x:c r="F211" s="138" t="str"/>
      <x:c r="G211" s="137" t="str"/>
      <x:c r="H211" s="137" t="str"/>
      <x:c r="I211" s="137" t="str"/>
      <x:c r="J211" s="137" t="str"/>
      <x:c r="K211" s="137" t="str"/>
      <x:c r="L211" s="137" t="str"/>
      <x:c r="M211" s="137" t="str"/>
      <x:c r="N211" s="137" t="str"/>
      <x:c r="O211" s="137" t="str"/>
      <x:c r="P211" s="137" t="str"/>
      <x:c r="Q211" s="137" t="str"/>
      <x:c r="R211" s="137" t="str"/>
      <x:c r="S211" s="151" t="str"/>
      <x:c r="T211" s="151" t="str"/>
      <x:c r="U211" s="151" t="str"/>
      <x:c r="V211" s="151" t="str"/>
      <x:c r="W211" s="151" t="str"/>
      <x:c r="X211" s="151" t="str"/>
      <x:c r="Y211" s="151" t="str"/>
      <x:c r="Z211" s="151" t="str"/>
      <x:c r="AA211" s="151" t="str"/>
      <x:c r="AB211" s="151" t="str"/>
      <x:c r="AC211" s="151" t="str"/>
      <x:c r="AD211" s="151" t="str"/>
      <x:c r="AE211" s="151" t="str"/>
      <x:c r="AF211" s="151" t="str"/>
      <x:c r="AG211" s="151" t="str"/>
      <x:c r="AH211" s="151" t="str"/>
      <x:c r="AI211" s="151" t="str"/>
      <x:c r="AJ211" s="151" t="str"/>
      <x:c r="AK211" s="151" t="str"/>
      <x:c r="AL211" s="151" t="str"/>
      <x:c r="AM211" s="151" t="str"/>
      <x:c r="AN211" s="152" t="n">
        <x:f>IF(COUNTA(S211:AM211)=0,"",SUM(S211:AM211))</x:f>
        <x:v>0</x:v>
      </x:c>
      <x:c r="AO211" s="151" t="str"/>
      <x:c r="AP211" s="151" t="str"/>
      <x:c r="AQ211" s="151" t="str"/>
      <x:c r="AR211" s="151" t="str"/>
      <x:c r="AS211" s="196" t="str">
        <x:f>IF(AN211="","",IF(AO211="Cartons",IF(AP211*AQ211=AN211,"OK","CHECK CARTONS / SIZES"),IF(AR211=AN211,"OK","CHECK TOTAL / SIZES")))</x:f>
      </x:c>
      <x:c r="AT211" s="137" t="str"/>
      <x:c r="AU211" s="137" t="str"/>
      <x:c r="AV211" s="137" t="str"/>
      <x:c r="AW211" s="137" t="str"/>
    </x:row>
    <x:row r="212">
      <x:c r="A212" s="137" t="str"/>
      <x:c r="B212" s="137" t="str"/>
      <x:c r="C212" s="137" t="str"/>
      <x:c r="D212" s="137" t="str"/>
      <x:c r="E212" s="138" t="str"/>
      <x:c r="F212" s="138" t="str"/>
      <x:c r="G212" s="137" t="str"/>
      <x:c r="H212" s="137" t="str"/>
      <x:c r="I212" s="137" t="str"/>
      <x:c r="J212" s="137" t="str"/>
      <x:c r="K212" s="137" t="str"/>
      <x:c r="L212" s="137" t="str"/>
      <x:c r="M212" s="137" t="str"/>
      <x:c r="N212" s="137" t="str"/>
      <x:c r="O212" s="137" t="str"/>
      <x:c r="P212" s="137" t="str"/>
      <x:c r="Q212" s="137" t="str"/>
      <x:c r="R212" s="137" t="str"/>
      <x:c r="S212" s="151" t="str"/>
      <x:c r="T212" s="151" t="str"/>
      <x:c r="U212" s="151" t="str"/>
      <x:c r="V212" s="151" t="str"/>
      <x:c r="W212" s="151" t="str"/>
      <x:c r="X212" s="151" t="str"/>
      <x:c r="Y212" s="151" t="str"/>
      <x:c r="Z212" s="151" t="str"/>
      <x:c r="AA212" s="151" t="str"/>
      <x:c r="AB212" s="151" t="str"/>
      <x:c r="AC212" s="151" t="str"/>
      <x:c r="AD212" s="151" t="str"/>
      <x:c r="AE212" s="151" t="str"/>
      <x:c r="AF212" s="151" t="str"/>
      <x:c r="AG212" s="151" t="str"/>
      <x:c r="AH212" s="151" t="str"/>
      <x:c r="AI212" s="151" t="str"/>
      <x:c r="AJ212" s="151" t="str"/>
      <x:c r="AK212" s="151" t="str"/>
      <x:c r="AL212" s="151" t="str"/>
      <x:c r="AM212" s="151" t="str"/>
      <x:c r="AN212" s="152" t="n">
        <x:f>IF(COUNTA(S212:AM212)=0,"",SUM(S212:AM212))</x:f>
        <x:v>0</x:v>
      </x:c>
      <x:c r="AO212" s="151" t="str"/>
      <x:c r="AP212" s="151" t="str"/>
      <x:c r="AQ212" s="151" t="str"/>
      <x:c r="AR212" s="151" t="str"/>
      <x:c r="AS212" s="196" t="str">
        <x:f>IF(AN212="","",IF(AO212="Cartons",IF(AP212*AQ212=AN212,"OK","CHECK CARTONS / SIZES"),IF(AR212=AN212,"OK","CHECK TOTAL / SIZES")))</x:f>
      </x:c>
      <x:c r="AT212" s="137" t="str"/>
      <x:c r="AU212" s="137" t="str"/>
      <x:c r="AV212" s="137" t="str"/>
      <x:c r="AW212" s="137" t="str"/>
    </x:row>
    <x:row r="213">
      <x:c r="A213" s="137" t="str"/>
      <x:c r="B213" s="137" t="str"/>
      <x:c r="C213" s="137" t="str"/>
      <x:c r="D213" s="137" t="str"/>
      <x:c r="E213" s="138" t="str"/>
      <x:c r="F213" s="138" t="str"/>
      <x:c r="G213" s="137" t="str"/>
      <x:c r="H213" s="137" t="str"/>
      <x:c r="I213" s="137" t="str"/>
      <x:c r="J213" s="137" t="str"/>
      <x:c r="K213" s="137" t="str"/>
      <x:c r="L213" s="137" t="str"/>
      <x:c r="M213" s="137" t="str"/>
      <x:c r="N213" s="137" t="str"/>
      <x:c r="O213" s="137" t="str"/>
      <x:c r="P213" s="137" t="str"/>
      <x:c r="Q213" s="137" t="str"/>
      <x:c r="R213" s="137" t="str"/>
      <x:c r="S213" s="151" t="str"/>
      <x:c r="T213" s="151" t="str"/>
      <x:c r="U213" s="151" t="str"/>
      <x:c r="V213" s="151" t="str"/>
      <x:c r="W213" s="151" t="str"/>
      <x:c r="X213" s="151" t="str"/>
      <x:c r="Y213" s="151" t="str"/>
      <x:c r="Z213" s="151" t="str"/>
      <x:c r="AA213" s="151" t="str"/>
      <x:c r="AB213" s="151" t="str"/>
      <x:c r="AC213" s="151" t="str"/>
      <x:c r="AD213" s="151" t="str"/>
      <x:c r="AE213" s="151" t="str"/>
      <x:c r="AF213" s="151" t="str"/>
      <x:c r="AG213" s="151" t="str"/>
      <x:c r="AH213" s="151" t="str"/>
      <x:c r="AI213" s="151" t="str"/>
      <x:c r="AJ213" s="151" t="str"/>
      <x:c r="AK213" s="151" t="str"/>
      <x:c r="AL213" s="151" t="str"/>
      <x:c r="AM213" s="151" t="str"/>
      <x:c r="AN213" s="152" t="n">
        <x:f>IF(COUNTA(S213:AM213)=0,"",SUM(S213:AM213))</x:f>
        <x:v>0</x:v>
      </x:c>
      <x:c r="AO213" s="151" t="str"/>
      <x:c r="AP213" s="151" t="str"/>
      <x:c r="AQ213" s="151" t="str"/>
      <x:c r="AR213" s="151" t="str"/>
      <x:c r="AS213" s="196" t="str">
        <x:f>IF(AN213="","",IF(AO213="Cartons",IF(AP213*AQ213=AN213,"OK","CHECK CARTONS / SIZES"),IF(AR213=AN213,"OK","CHECK TOTAL / SIZES")))</x:f>
      </x:c>
      <x:c r="AT213" s="137" t="str"/>
      <x:c r="AU213" s="137" t="str"/>
      <x:c r="AV213" s="137" t="str"/>
      <x:c r="AW213" s="137" t="str"/>
    </x:row>
    <x:row r="214">
      <x:c r="A214" s="137" t="str"/>
      <x:c r="B214" s="137" t="str"/>
      <x:c r="C214" s="137" t="str"/>
      <x:c r="D214" s="137" t="str"/>
      <x:c r="E214" s="138" t="str"/>
      <x:c r="F214" s="138" t="str"/>
      <x:c r="G214" s="137" t="str"/>
      <x:c r="H214" s="137" t="str"/>
      <x:c r="I214" s="137" t="str"/>
      <x:c r="J214" s="137" t="str"/>
      <x:c r="K214" s="137" t="str"/>
      <x:c r="L214" s="137" t="str"/>
      <x:c r="M214" s="137" t="str"/>
      <x:c r="N214" s="137" t="str"/>
      <x:c r="O214" s="137" t="str"/>
      <x:c r="P214" s="137" t="str"/>
      <x:c r="Q214" s="137" t="str"/>
      <x:c r="R214" s="137" t="str"/>
      <x:c r="S214" s="151" t="str"/>
      <x:c r="T214" s="151" t="str"/>
      <x:c r="U214" s="151" t="str"/>
      <x:c r="V214" s="151" t="str"/>
      <x:c r="W214" s="151" t="str"/>
      <x:c r="X214" s="151" t="str"/>
      <x:c r="Y214" s="151" t="str"/>
      <x:c r="Z214" s="151" t="str"/>
      <x:c r="AA214" s="151" t="str"/>
      <x:c r="AB214" s="151" t="str"/>
      <x:c r="AC214" s="151" t="str"/>
      <x:c r="AD214" s="151" t="str"/>
      <x:c r="AE214" s="151" t="str"/>
      <x:c r="AF214" s="151" t="str"/>
      <x:c r="AG214" s="151" t="str"/>
      <x:c r="AH214" s="151" t="str"/>
      <x:c r="AI214" s="151" t="str"/>
      <x:c r="AJ214" s="151" t="str"/>
      <x:c r="AK214" s="151" t="str"/>
      <x:c r="AL214" s="151" t="str"/>
      <x:c r="AM214" s="151" t="str"/>
      <x:c r="AN214" s="152" t="n">
        <x:f>IF(COUNTA(S214:AM214)=0,"",SUM(S214:AM214))</x:f>
        <x:v>0</x:v>
      </x:c>
      <x:c r="AO214" s="151" t="str"/>
      <x:c r="AP214" s="151" t="str"/>
      <x:c r="AQ214" s="151" t="str"/>
      <x:c r="AR214" s="151" t="str"/>
      <x:c r="AS214" s="196" t="str">
        <x:f>IF(AN214="","",IF(AO214="Cartons",IF(AP214*AQ214=AN214,"OK","CHECK CARTONS / SIZES"),IF(AR214=AN214,"OK","CHECK TOTAL / SIZES")))</x:f>
      </x:c>
      <x:c r="AT214" s="137" t="str"/>
      <x:c r="AU214" s="137" t="str"/>
      <x:c r="AV214" s="137" t="str"/>
      <x:c r="AW214" s="137" t="str"/>
    </x:row>
    <x:row r="215">
      <x:c r="A215" s="137" t="str"/>
      <x:c r="B215" s="137" t="str"/>
      <x:c r="C215" s="137" t="str"/>
      <x:c r="D215" s="137" t="str"/>
      <x:c r="E215" s="138" t="str"/>
      <x:c r="F215" s="138" t="str"/>
      <x:c r="G215" s="137" t="str"/>
      <x:c r="H215" s="137" t="str"/>
      <x:c r="I215" s="137" t="str"/>
      <x:c r="J215" s="137" t="str"/>
      <x:c r="K215" s="137" t="str"/>
      <x:c r="L215" s="137" t="str"/>
      <x:c r="M215" s="137" t="str"/>
      <x:c r="N215" s="137" t="str"/>
      <x:c r="O215" s="137" t="str"/>
      <x:c r="P215" s="137" t="str"/>
      <x:c r="Q215" s="137" t="str"/>
      <x:c r="R215" s="137" t="str"/>
      <x:c r="S215" s="151" t="str"/>
      <x:c r="T215" s="151" t="str"/>
      <x:c r="U215" s="151" t="str"/>
      <x:c r="V215" s="151" t="str"/>
      <x:c r="W215" s="151" t="str"/>
      <x:c r="X215" s="151" t="str"/>
      <x:c r="Y215" s="151" t="str"/>
      <x:c r="Z215" s="151" t="str"/>
      <x:c r="AA215" s="151" t="str"/>
      <x:c r="AB215" s="151" t="str"/>
      <x:c r="AC215" s="151" t="str"/>
      <x:c r="AD215" s="151" t="str"/>
      <x:c r="AE215" s="151" t="str"/>
      <x:c r="AF215" s="151" t="str"/>
      <x:c r="AG215" s="151" t="str"/>
      <x:c r="AH215" s="151" t="str"/>
      <x:c r="AI215" s="151" t="str"/>
      <x:c r="AJ215" s="151" t="str"/>
      <x:c r="AK215" s="151" t="str"/>
      <x:c r="AL215" s="151" t="str"/>
      <x:c r="AM215" s="151" t="str"/>
      <x:c r="AN215" s="152" t="n">
        <x:f>IF(COUNTA(S215:AM215)=0,"",SUM(S215:AM215))</x:f>
        <x:v>0</x:v>
      </x:c>
      <x:c r="AO215" s="151" t="str"/>
      <x:c r="AP215" s="151" t="str"/>
      <x:c r="AQ215" s="151" t="str"/>
      <x:c r="AR215" s="151" t="str"/>
      <x:c r="AS215" s="196" t="str">
        <x:f>IF(AN215="","",IF(AO215="Cartons",IF(AP215*AQ215=AN215,"OK","CHECK CARTONS / SIZES"),IF(AR215=AN215,"OK","CHECK TOTAL / SIZES")))</x:f>
      </x:c>
      <x:c r="AT215" s="137" t="str"/>
      <x:c r="AU215" s="137" t="str"/>
      <x:c r="AV215" s="137" t="str"/>
      <x:c r="AW215" s="137" t="str"/>
    </x:row>
    <x:row r="216">
      <x:c r="A216" s="137" t="str"/>
      <x:c r="B216" s="137" t="str"/>
      <x:c r="C216" s="137" t="str"/>
      <x:c r="D216" s="137" t="str"/>
      <x:c r="E216" s="138" t="str"/>
      <x:c r="F216" s="138" t="str"/>
      <x:c r="G216" s="137" t="str"/>
      <x:c r="H216" s="137" t="str"/>
      <x:c r="I216" s="137" t="str"/>
      <x:c r="J216" s="137" t="str"/>
      <x:c r="K216" s="137" t="str"/>
      <x:c r="L216" s="137" t="str"/>
      <x:c r="M216" s="137" t="str"/>
      <x:c r="N216" s="137" t="str"/>
      <x:c r="O216" s="137" t="str"/>
      <x:c r="P216" s="137" t="str"/>
      <x:c r="Q216" s="137" t="str"/>
      <x:c r="R216" s="137" t="str"/>
      <x:c r="S216" s="151" t="str"/>
      <x:c r="T216" s="151" t="str"/>
      <x:c r="U216" s="151" t="str"/>
      <x:c r="V216" s="151" t="str"/>
      <x:c r="W216" s="151" t="str"/>
      <x:c r="X216" s="151" t="str"/>
      <x:c r="Y216" s="151" t="str"/>
      <x:c r="Z216" s="151" t="str"/>
      <x:c r="AA216" s="151" t="str"/>
      <x:c r="AB216" s="151" t="str"/>
      <x:c r="AC216" s="151" t="str"/>
      <x:c r="AD216" s="151" t="str"/>
      <x:c r="AE216" s="151" t="str"/>
      <x:c r="AF216" s="151" t="str"/>
      <x:c r="AG216" s="151" t="str"/>
      <x:c r="AH216" s="151" t="str"/>
      <x:c r="AI216" s="151" t="str"/>
      <x:c r="AJ216" s="151" t="str"/>
      <x:c r="AK216" s="151" t="str"/>
      <x:c r="AL216" s="151" t="str"/>
      <x:c r="AM216" s="151" t="str"/>
      <x:c r="AN216" s="152" t="n">
        <x:f>IF(COUNTA(S216:AM216)=0,"",SUM(S216:AM216))</x:f>
        <x:v>0</x:v>
      </x:c>
      <x:c r="AO216" s="151" t="str"/>
      <x:c r="AP216" s="151" t="str"/>
      <x:c r="AQ216" s="151" t="str"/>
      <x:c r="AR216" s="151" t="str"/>
      <x:c r="AS216" s="196" t="str">
        <x:f>IF(AN216="","",IF(AO216="Cartons",IF(AP216*AQ216=AN216,"OK","CHECK CARTONS / SIZES"),IF(AR216=AN216,"OK","CHECK TOTAL / SIZES")))</x:f>
      </x:c>
      <x:c r="AT216" s="137" t="str"/>
      <x:c r="AU216" s="137" t="str"/>
      <x:c r="AV216" s="137" t="str"/>
      <x:c r="AW216" s="137" t="str"/>
    </x:row>
    <x:row r="217">
      <x:c r="A217" s="137" t="str"/>
      <x:c r="B217" s="137" t="str"/>
      <x:c r="C217" s="137" t="str"/>
      <x:c r="D217" s="137" t="str"/>
      <x:c r="E217" s="138" t="str"/>
      <x:c r="F217" s="138" t="str"/>
      <x:c r="G217" s="137" t="str"/>
      <x:c r="H217" s="137" t="str"/>
      <x:c r="I217" s="137" t="str"/>
      <x:c r="J217" s="137" t="str"/>
      <x:c r="K217" s="137" t="str"/>
      <x:c r="L217" s="137" t="str"/>
      <x:c r="M217" s="137" t="str"/>
      <x:c r="N217" s="137" t="str"/>
      <x:c r="O217" s="137" t="str"/>
      <x:c r="P217" s="137" t="str"/>
      <x:c r="Q217" s="137" t="str"/>
      <x:c r="R217" s="137" t="str"/>
      <x:c r="S217" s="151" t="str"/>
      <x:c r="T217" s="151" t="str"/>
      <x:c r="U217" s="151" t="str"/>
      <x:c r="V217" s="151" t="str"/>
      <x:c r="W217" s="151" t="str"/>
      <x:c r="X217" s="151" t="str"/>
      <x:c r="Y217" s="151" t="str"/>
      <x:c r="Z217" s="151" t="str"/>
      <x:c r="AA217" s="151" t="str"/>
      <x:c r="AB217" s="151" t="str"/>
      <x:c r="AC217" s="151" t="str"/>
      <x:c r="AD217" s="151" t="str"/>
      <x:c r="AE217" s="151" t="str"/>
      <x:c r="AF217" s="151" t="str"/>
      <x:c r="AG217" s="151" t="str"/>
      <x:c r="AH217" s="151" t="str"/>
      <x:c r="AI217" s="151" t="str"/>
      <x:c r="AJ217" s="151" t="str"/>
      <x:c r="AK217" s="151" t="str"/>
      <x:c r="AL217" s="151" t="str"/>
      <x:c r="AM217" s="151" t="str"/>
      <x:c r="AN217" s="152" t="n">
        <x:f>IF(COUNTA(S217:AM217)=0,"",SUM(S217:AM217))</x:f>
        <x:v>0</x:v>
      </x:c>
      <x:c r="AO217" s="151" t="str"/>
      <x:c r="AP217" s="151" t="str"/>
      <x:c r="AQ217" s="151" t="str"/>
      <x:c r="AR217" s="151" t="str"/>
      <x:c r="AS217" s="196" t="str">
        <x:f>IF(AN217="","",IF(AO217="Cartons",IF(AP217*AQ217=AN217,"OK","CHECK CARTONS / SIZES"),IF(AR217=AN217,"OK","CHECK TOTAL / SIZES")))</x:f>
      </x:c>
      <x:c r="AT217" s="137" t="str"/>
      <x:c r="AU217" s="137" t="str"/>
      <x:c r="AV217" s="137" t="str"/>
      <x:c r="AW217" s="137" t="str"/>
    </x:row>
    <x:row r="218">
      <x:c r="A218" s="137" t="str"/>
      <x:c r="B218" s="137" t="str"/>
      <x:c r="C218" s="137" t="str"/>
      <x:c r="D218" s="137" t="str"/>
      <x:c r="E218" s="138" t="str"/>
      <x:c r="F218" s="138" t="str"/>
      <x:c r="G218" s="137" t="str"/>
      <x:c r="H218" s="137" t="str"/>
      <x:c r="I218" s="137" t="str"/>
      <x:c r="J218" s="137" t="str"/>
      <x:c r="K218" s="137" t="str"/>
      <x:c r="L218" s="137" t="str"/>
      <x:c r="M218" s="137" t="str"/>
      <x:c r="N218" s="137" t="str"/>
      <x:c r="O218" s="137" t="str"/>
      <x:c r="P218" s="137" t="str"/>
      <x:c r="Q218" s="137" t="str"/>
      <x:c r="R218" s="137" t="str"/>
      <x:c r="S218" s="151" t="str"/>
      <x:c r="T218" s="151" t="str"/>
      <x:c r="U218" s="151" t="str"/>
      <x:c r="V218" s="151" t="str"/>
      <x:c r="W218" s="151" t="str"/>
      <x:c r="X218" s="151" t="str"/>
      <x:c r="Y218" s="151" t="str"/>
      <x:c r="Z218" s="151" t="str"/>
      <x:c r="AA218" s="151" t="str"/>
      <x:c r="AB218" s="151" t="str"/>
      <x:c r="AC218" s="151" t="str"/>
      <x:c r="AD218" s="151" t="str"/>
      <x:c r="AE218" s="151" t="str"/>
      <x:c r="AF218" s="151" t="str"/>
      <x:c r="AG218" s="151" t="str"/>
      <x:c r="AH218" s="151" t="str"/>
      <x:c r="AI218" s="151" t="str"/>
      <x:c r="AJ218" s="151" t="str"/>
      <x:c r="AK218" s="151" t="str"/>
      <x:c r="AL218" s="151" t="str"/>
      <x:c r="AM218" s="151" t="str"/>
      <x:c r="AN218" s="152" t="n">
        <x:f>IF(COUNTA(S218:AM218)=0,"",SUM(S218:AM218))</x:f>
        <x:v>0</x:v>
      </x:c>
      <x:c r="AO218" s="151" t="str"/>
      <x:c r="AP218" s="151" t="str"/>
      <x:c r="AQ218" s="151" t="str"/>
      <x:c r="AR218" s="151" t="str"/>
      <x:c r="AS218" s="196" t="str">
        <x:f>IF(AN218="","",IF(AO218="Cartons",IF(AP218*AQ218=AN218,"OK","CHECK CARTONS / SIZES"),IF(AR218=AN218,"OK","CHECK TOTAL / SIZES")))</x:f>
      </x:c>
      <x:c r="AT218" s="137" t="str"/>
      <x:c r="AU218" s="137" t="str"/>
      <x:c r="AV218" s="137" t="str"/>
      <x:c r="AW218" s="137" t="str"/>
    </x:row>
    <x:row r="219">
      <x:c r="A219" s="137" t="str"/>
      <x:c r="B219" s="137" t="str"/>
      <x:c r="C219" s="137" t="str"/>
      <x:c r="D219" s="137" t="str"/>
      <x:c r="E219" s="138" t="str"/>
      <x:c r="F219" s="138" t="str"/>
      <x:c r="G219" s="137" t="str"/>
      <x:c r="H219" s="137" t="str"/>
      <x:c r="I219" s="137" t="str"/>
      <x:c r="J219" s="137" t="str"/>
      <x:c r="K219" s="137" t="str"/>
      <x:c r="L219" s="137" t="str"/>
      <x:c r="M219" s="137" t="str"/>
      <x:c r="N219" s="137" t="str"/>
      <x:c r="O219" s="137" t="str"/>
      <x:c r="P219" s="137" t="str"/>
      <x:c r="Q219" s="137" t="str"/>
      <x:c r="R219" s="137" t="str"/>
      <x:c r="S219" s="151" t="str"/>
      <x:c r="T219" s="151" t="str"/>
      <x:c r="U219" s="151" t="str"/>
      <x:c r="V219" s="151" t="str"/>
      <x:c r="W219" s="151" t="str"/>
      <x:c r="X219" s="151" t="str"/>
      <x:c r="Y219" s="151" t="str"/>
      <x:c r="Z219" s="151" t="str"/>
      <x:c r="AA219" s="151" t="str"/>
      <x:c r="AB219" s="151" t="str"/>
      <x:c r="AC219" s="151" t="str"/>
      <x:c r="AD219" s="151" t="str"/>
      <x:c r="AE219" s="151" t="str"/>
      <x:c r="AF219" s="151" t="str"/>
      <x:c r="AG219" s="151" t="str"/>
      <x:c r="AH219" s="151" t="str"/>
      <x:c r="AI219" s="151" t="str"/>
      <x:c r="AJ219" s="151" t="str"/>
      <x:c r="AK219" s="151" t="str"/>
      <x:c r="AL219" s="151" t="str"/>
      <x:c r="AM219" s="151" t="str"/>
      <x:c r="AN219" s="152" t="n">
        <x:f>IF(COUNTA(S219:AM219)=0,"",SUM(S219:AM219))</x:f>
        <x:v>0</x:v>
      </x:c>
      <x:c r="AO219" s="151" t="str"/>
      <x:c r="AP219" s="151" t="str"/>
      <x:c r="AQ219" s="151" t="str"/>
      <x:c r="AR219" s="151" t="str"/>
      <x:c r="AS219" s="196" t="str">
        <x:f>IF(AN219="","",IF(AO219="Cartons",IF(AP219*AQ219=AN219,"OK","CHECK CARTONS / SIZES"),IF(AR219=AN219,"OK","CHECK TOTAL / SIZES")))</x:f>
      </x:c>
      <x:c r="AT219" s="137" t="str"/>
      <x:c r="AU219" s="137" t="str"/>
      <x:c r="AV219" s="137" t="str"/>
      <x:c r="AW219" s="137" t="str"/>
    </x:row>
    <x:row r="220">
      <x:c r="A220" s="137" t="str"/>
      <x:c r="B220" s="137" t="str"/>
      <x:c r="C220" s="137" t="str"/>
      <x:c r="D220" s="137" t="str"/>
      <x:c r="E220" s="138" t="str"/>
      <x:c r="F220" s="138" t="str"/>
      <x:c r="G220" s="137" t="str"/>
      <x:c r="H220" s="137" t="str"/>
      <x:c r="I220" s="137" t="str"/>
      <x:c r="J220" s="137" t="str"/>
      <x:c r="K220" s="137" t="str"/>
      <x:c r="L220" s="137" t="str"/>
      <x:c r="M220" s="137" t="str"/>
      <x:c r="N220" s="137" t="str"/>
      <x:c r="O220" s="137" t="str"/>
      <x:c r="P220" s="137" t="str"/>
      <x:c r="Q220" s="137" t="str"/>
      <x:c r="R220" s="137" t="str"/>
      <x:c r="S220" s="151" t="str"/>
      <x:c r="T220" s="151" t="str"/>
      <x:c r="U220" s="151" t="str"/>
      <x:c r="V220" s="151" t="str"/>
      <x:c r="W220" s="151" t="str"/>
      <x:c r="X220" s="151" t="str"/>
      <x:c r="Y220" s="151" t="str"/>
      <x:c r="Z220" s="151" t="str"/>
      <x:c r="AA220" s="151" t="str"/>
      <x:c r="AB220" s="151" t="str"/>
      <x:c r="AC220" s="151" t="str"/>
      <x:c r="AD220" s="151" t="str"/>
      <x:c r="AE220" s="151" t="str"/>
      <x:c r="AF220" s="151" t="str"/>
      <x:c r="AG220" s="151" t="str"/>
      <x:c r="AH220" s="151" t="str"/>
      <x:c r="AI220" s="151" t="str"/>
      <x:c r="AJ220" s="151" t="str"/>
      <x:c r="AK220" s="151" t="str"/>
      <x:c r="AL220" s="151" t="str"/>
      <x:c r="AM220" s="151" t="str"/>
      <x:c r="AN220" s="152" t="n">
        <x:f>IF(COUNTA(S220:AM220)=0,"",SUM(S220:AM220))</x:f>
        <x:v>0</x:v>
      </x:c>
      <x:c r="AO220" s="151" t="str"/>
      <x:c r="AP220" s="151" t="str"/>
      <x:c r="AQ220" s="151" t="str"/>
      <x:c r="AR220" s="151" t="str"/>
      <x:c r="AS220" s="196" t="str">
        <x:f>IF(AN220="","",IF(AO220="Cartons",IF(AP220*AQ220=AN220,"OK","CHECK CARTONS / SIZES"),IF(AR220=AN220,"OK","CHECK TOTAL / SIZES")))</x:f>
      </x:c>
      <x:c r="AT220" s="137" t="str"/>
      <x:c r="AU220" s="137" t="str"/>
      <x:c r="AV220" s="137" t="str"/>
      <x:c r="AW220" s="137" t="str"/>
    </x:row>
    <x:row r="221">
      <x:c r="A221" s="137" t="str"/>
      <x:c r="B221" s="137" t="str"/>
      <x:c r="C221" s="137" t="str"/>
      <x:c r="D221" s="137" t="str"/>
      <x:c r="E221" s="138" t="str"/>
      <x:c r="F221" s="138" t="str"/>
      <x:c r="G221" s="137" t="str"/>
      <x:c r="H221" s="137" t="str"/>
      <x:c r="I221" s="137" t="str"/>
      <x:c r="J221" s="137" t="str"/>
      <x:c r="K221" s="137" t="str"/>
      <x:c r="L221" s="137" t="str"/>
      <x:c r="M221" s="137" t="str"/>
      <x:c r="N221" s="137" t="str"/>
      <x:c r="O221" s="137" t="str"/>
      <x:c r="P221" s="137" t="str"/>
      <x:c r="Q221" s="137" t="str"/>
      <x:c r="R221" s="137" t="str"/>
      <x:c r="S221" s="151" t="str"/>
      <x:c r="T221" s="151" t="str"/>
      <x:c r="U221" s="151" t="str"/>
      <x:c r="V221" s="151" t="str"/>
      <x:c r="W221" s="151" t="str"/>
      <x:c r="X221" s="151" t="str"/>
      <x:c r="Y221" s="151" t="str"/>
      <x:c r="Z221" s="151" t="str"/>
      <x:c r="AA221" s="151" t="str"/>
      <x:c r="AB221" s="151" t="str"/>
      <x:c r="AC221" s="151" t="str"/>
      <x:c r="AD221" s="151" t="str"/>
      <x:c r="AE221" s="151" t="str"/>
      <x:c r="AF221" s="151" t="str"/>
      <x:c r="AG221" s="151" t="str"/>
      <x:c r="AH221" s="151" t="str"/>
      <x:c r="AI221" s="151" t="str"/>
      <x:c r="AJ221" s="151" t="str"/>
      <x:c r="AK221" s="151" t="str"/>
      <x:c r="AL221" s="151" t="str"/>
      <x:c r="AM221" s="151" t="str"/>
      <x:c r="AN221" s="152" t="n">
        <x:f>IF(COUNTA(S221:AM221)=0,"",SUM(S221:AM221))</x:f>
        <x:v>0</x:v>
      </x:c>
      <x:c r="AO221" s="151" t="str"/>
      <x:c r="AP221" s="151" t="str"/>
      <x:c r="AQ221" s="151" t="str"/>
      <x:c r="AR221" s="151" t="str"/>
      <x:c r="AS221" s="196" t="str">
        <x:f>IF(AN221="","",IF(AO221="Cartons",IF(AP221*AQ221=AN221,"OK","CHECK CARTONS / SIZES"),IF(AR221=AN221,"OK","CHECK TOTAL / SIZES")))</x:f>
      </x:c>
      <x:c r="AT221" s="137" t="str"/>
      <x:c r="AU221" s="137" t="str"/>
      <x:c r="AV221" s="137" t="str"/>
      <x:c r="AW221" s="137" t="str"/>
    </x:row>
    <x:row r="222">
      <x:c r="A222" s="137" t="str"/>
      <x:c r="B222" s="137" t="str"/>
      <x:c r="C222" s="137" t="str"/>
      <x:c r="D222" s="137" t="str"/>
      <x:c r="E222" s="138" t="str"/>
      <x:c r="F222" s="138" t="str"/>
      <x:c r="G222" s="137" t="str"/>
      <x:c r="H222" s="137" t="str"/>
      <x:c r="I222" s="137" t="str"/>
      <x:c r="J222" s="137" t="str"/>
      <x:c r="K222" s="137" t="str"/>
      <x:c r="L222" s="137" t="str"/>
      <x:c r="M222" s="137" t="str"/>
      <x:c r="N222" s="137" t="str"/>
      <x:c r="O222" s="137" t="str"/>
      <x:c r="P222" s="137" t="str"/>
      <x:c r="Q222" s="137" t="str"/>
      <x:c r="R222" s="137" t="str"/>
      <x:c r="S222" s="151" t="str"/>
      <x:c r="T222" s="151" t="str"/>
      <x:c r="U222" s="151" t="str"/>
      <x:c r="V222" s="151" t="str"/>
      <x:c r="W222" s="151" t="str"/>
      <x:c r="X222" s="151" t="str"/>
      <x:c r="Y222" s="151" t="str"/>
      <x:c r="Z222" s="151" t="str"/>
      <x:c r="AA222" s="151" t="str"/>
      <x:c r="AB222" s="151" t="str"/>
      <x:c r="AC222" s="151" t="str"/>
      <x:c r="AD222" s="151" t="str"/>
      <x:c r="AE222" s="151" t="str"/>
      <x:c r="AF222" s="151" t="str"/>
      <x:c r="AG222" s="151" t="str"/>
      <x:c r="AH222" s="151" t="str"/>
      <x:c r="AI222" s="151" t="str"/>
      <x:c r="AJ222" s="151" t="str"/>
      <x:c r="AK222" s="151" t="str"/>
      <x:c r="AL222" s="151" t="str"/>
      <x:c r="AM222" s="151" t="str"/>
      <x:c r="AN222" s="152" t="n">
        <x:f>IF(COUNTA(S222:AM222)=0,"",SUM(S222:AM222))</x:f>
        <x:v>0</x:v>
      </x:c>
      <x:c r="AO222" s="151" t="str"/>
      <x:c r="AP222" s="151" t="str"/>
      <x:c r="AQ222" s="151" t="str"/>
      <x:c r="AR222" s="151" t="str"/>
      <x:c r="AS222" s="196" t="str">
        <x:f>IF(AN222="","",IF(AO222="Cartons",IF(AP222*AQ222=AN222,"OK","CHECK CARTONS / SIZES"),IF(AR222=AN222,"OK","CHECK TOTAL / SIZES")))</x:f>
      </x:c>
      <x:c r="AT222" s="137" t="str"/>
      <x:c r="AU222" s="137" t="str"/>
      <x:c r="AV222" s="137" t="str"/>
      <x:c r="AW222" s="137" t="str"/>
    </x:row>
    <x:row r="223">
      <x:c r="A223" s="137" t="str"/>
      <x:c r="B223" s="137" t="str"/>
      <x:c r="C223" s="137" t="str"/>
      <x:c r="D223" s="137" t="str"/>
      <x:c r="E223" s="138" t="str"/>
      <x:c r="F223" s="138" t="str"/>
      <x:c r="G223" s="137" t="str"/>
      <x:c r="H223" s="137" t="str"/>
      <x:c r="I223" s="137" t="str"/>
      <x:c r="J223" s="137" t="str"/>
      <x:c r="K223" s="137" t="str"/>
      <x:c r="L223" s="137" t="str"/>
      <x:c r="M223" s="137" t="str"/>
      <x:c r="N223" s="137" t="str"/>
      <x:c r="O223" s="137" t="str"/>
      <x:c r="P223" s="137" t="str"/>
      <x:c r="Q223" s="137" t="str"/>
      <x:c r="R223" s="137" t="str"/>
      <x:c r="S223" s="151" t="str"/>
      <x:c r="T223" s="151" t="str"/>
      <x:c r="U223" s="151" t="str"/>
      <x:c r="V223" s="151" t="str"/>
      <x:c r="W223" s="151" t="str"/>
      <x:c r="X223" s="151" t="str"/>
      <x:c r="Y223" s="151" t="str"/>
      <x:c r="Z223" s="151" t="str"/>
      <x:c r="AA223" s="151" t="str"/>
      <x:c r="AB223" s="151" t="str"/>
      <x:c r="AC223" s="151" t="str"/>
      <x:c r="AD223" s="151" t="str"/>
      <x:c r="AE223" s="151" t="str"/>
      <x:c r="AF223" s="151" t="str"/>
      <x:c r="AG223" s="151" t="str"/>
      <x:c r="AH223" s="151" t="str"/>
      <x:c r="AI223" s="151" t="str"/>
      <x:c r="AJ223" s="151" t="str"/>
      <x:c r="AK223" s="151" t="str"/>
      <x:c r="AL223" s="151" t="str"/>
      <x:c r="AM223" s="151" t="str"/>
      <x:c r="AN223" s="152" t="n">
        <x:f>IF(COUNTA(S223:AM223)=0,"",SUM(S223:AM223))</x:f>
        <x:v>0</x:v>
      </x:c>
      <x:c r="AO223" s="151" t="str"/>
      <x:c r="AP223" s="151" t="str"/>
      <x:c r="AQ223" s="151" t="str"/>
      <x:c r="AR223" s="151" t="str"/>
      <x:c r="AS223" s="196" t="str">
        <x:f>IF(AN223="","",IF(AO223="Cartons",IF(AP223*AQ223=AN223,"OK","CHECK CARTONS / SIZES"),IF(AR223=AN223,"OK","CHECK TOTAL / SIZES")))</x:f>
      </x:c>
      <x:c r="AT223" s="137" t="str"/>
      <x:c r="AU223" s="137" t="str"/>
      <x:c r="AV223" s="137" t="str"/>
      <x:c r="AW223" s="137" t="str"/>
    </x:row>
    <x:row r="224">
      <x:c r="A224" s="137" t="str"/>
      <x:c r="B224" s="137" t="str"/>
      <x:c r="C224" s="137" t="str"/>
      <x:c r="D224" s="137" t="str"/>
      <x:c r="E224" s="138" t="str"/>
      <x:c r="F224" s="138" t="str"/>
      <x:c r="G224" s="137" t="str"/>
      <x:c r="H224" s="137" t="str"/>
      <x:c r="I224" s="137" t="str"/>
      <x:c r="J224" s="137" t="str"/>
      <x:c r="K224" s="137" t="str"/>
      <x:c r="L224" s="137" t="str"/>
      <x:c r="M224" s="137" t="str"/>
      <x:c r="N224" s="137" t="str"/>
      <x:c r="O224" s="137" t="str"/>
      <x:c r="P224" s="137" t="str"/>
      <x:c r="Q224" s="137" t="str"/>
      <x:c r="R224" s="137" t="str"/>
      <x:c r="S224" s="151" t="str"/>
      <x:c r="T224" s="151" t="str"/>
      <x:c r="U224" s="151" t="str"/>
      <x:c r="V224" s="151" t="str"/>
      <x:c r="W224" s="151" t="str"/>
      <x:c r="X224" s="151" t="str"/>
      <x:c r="Y224" s="151" t="str"/>
      <x:c r="Z224" s="151" t="str"/>
      <x:c r="AA224" s="151" t="str"/>
      <x:c r="AB224" s="151" t="str"/>
      <x:c r="AC224" s="151" t="str"/>
      <x:c r="AD224" s="151" t="str"/>
      <x:c r="AE224" s="151" t="str"/>
      <x:c r="AF224" s="151" t="str"/>
      <x:c r="AG224" s="151" t="str"/>
      <x:c r="AH224" s="151" t="str"/>
      <x:c r="AI224" s="151" t="str"/>
      <x:c r="AJ224" s="151" t="str"/>
      <x:c r="AK224" s="151" t="str"/>
      <x:c r="AL224" s="151" t="str"/>
      <x:c r="AM224" s="151" t="str"/>
      <x:c r="AN224" s="152" t="n">
        <x:f>IF(COUNTA(S224:AM224)=0,"",SUM(S224:AM224))</x:f>
        <x:v>0</x:v>
      </x:c>
      <x:c r="AO224" s="151" t="str"/>
      <x:c r="AP224" s="151" t="str"/>
      <x:c r="AQ224" s="151" t="str"/>
      <x:c r="AR224" s="151" t="str"/>
      <x:c r="AS224" s="196" t="str">
        <x:f>IF(AN224="","",IF(AO224="Cartons",IF(AP224*AQ224=AN224,"OK","CHECK CARTONS / SIZES"),IF(AR224=AN224,"OK","CHECK TOTAL / SIZES")))</x:f>
      </x:c>
      <x:c r="AT224" s="137" t="str"/>
      <x:c r="AU224" s="137" t="str"/>
      <x:c r="AV224" s="137" t="str"/>
      <x:c r="AW224" s="137" t="str"/>
    </x:row>
    <x:row r="225">
      <x:c r="A225" s="137" t="str"/>
      <x:c r="B225" s="137" t="str"/>
      <x:c r="C225" s="137" t="str"/>
      <x:c r="D225" s="137" t="str"/>
      <x:c r="E225" s="138" t="str"/>
      <x:c r="F225" s="138" t="str"/>
      <x:c r="G225" s="137" t="str"/>
      <x:c r="H225" s="137" t="str"/>
      <x:c r="I225" s="137" t="str"/>
      <x:c r="J225" s="137" t="str"/>
      <x:c r="K225" s="137" t="str"/>
      <x:c r="L225" s="137" t="str"/>
      <x:c r="M225" s="137" t="str"/>
      <x:c r="N225" s="137" t="str"/>
      <x:c r="O225" s="137" t="str"/>
      <x:c r="P225" s="137" t="str"/>
      <x:c r="Q225" s="137" t="str"/>
      <x:c r="R225" s="137" t="str"/>
      <x:c r="S225" s="151" t="str"/>
      <x:c r="T225" s="151" t="str"/>
      <x:c r="U225" s="151" t="str"/>
      <x:c r="V225" s="151" t="str"/>
      <x:c r="W225" s="151" t="str"/>
      <x:c r="X225" s="151" t="str"/>
      <x:c r="Y225" s="151" t="str"/>
      <x:c r="Z225" s="151" t="str"/>
      <x:c r="AA225" s="151" t="str"/>
      <x:c r="AB225" s="151" t="str"/>
      <x:c r="AC225" s="151" t="str"/>
      <x:c r="AD225" s="151" t="str"/>
      <x:c r="AE225" s="151" t="str"/>
      <x:c r="AF225" s="151" t="str"/>
      <x:c r="AG225" s="151" t="str"/>
      <x:c r="AH225" s="151" t="str"/>
      <x:c r="AI225" s="151" t="str"/>
      <x:c r="AJ225" s="151" t="str"/>
      <x:c r="AK225" s="151" t="str"/>
      <x:c r="AL225" s="151" t="str"/>
      <x:c r="AM225" s="151" t="str"/>
      <x:c r="AN225" s="152" t="n">
        <x:f>IF(COUNTA(S225:AM225)=0,"",SUM(S225:AM225))</x:f>
        <x:v>0</x:v>
      </x:c>
      <x:c r="AO225" s="151" t="str"/>
      <x:c r="AP225" s="151" t="str"/>
      <x:c r="AQ225" s="151" t="str"/>
      <x:c r="AR225" s="151" t="str"/>
      <x:c r="AS225" s="196" t="str">
        <x:f>IF(AN225="","",IF(AO225="Cartons",IF(AP225*AQ225=AN225,"OK","CHECK CARTONS / SIZES"),IF(AR225=AN225,"OK","CHECK TOTAL / SIZES")))</x:f>
      </x:c>
      <x:c r="AT225" s="137" t="str"/>
      <x:c r="AU225" s="137" t="str"/>
      <x:c r="AV225" s="137" t="str"/>
      <x:c r="AW225" s="137" t="str"/>
    </x:row>
    <x:row r="226">
      <x:c r="A226" s="137" t="str"/>
      <x:c r="B226" s="137" t="str"/>
      <x:c r="C226" s="137" t="str"/>
      <x:c r="D226" s="137" t="str"/>
      <x:c r="E226" s="138" t="str"/>
      <x:c r="F226" s="138" t="str"/>
      <x:c r="G226" s="137" t="str"/>
      <x:c r="H226" s="137" t="str"/>
      <x:c r="I226" s="137" t="str"/>
      <x:c r="J226" s="137" t="str"/>
      <x:c r="K226" s="137" t="str"/>
      <x:c r="L226" s="137" t="str"/>
      <x:c r="M226" s="137" t="str"/>
      <x:c r="N226" s="137" t="str"/>
      <x:c r="O226" s="137" t="str"/>
      <x:c r="P226" s="137" t="str"/>
      <x:c r="Q226" s="137" t="str"/>
      <x:c r="R226" s="137" t="str"/>
      <x:c r="S226" s="151" t="str"/>
      <x:c r="T226" s="151" t="str"/>
      <x:c r="U226" s="151" t="str"/>
      <x:c r="V226" s="151" t="str"/>
      <x:c r="W226" s="151" t="str"/>
      <x:c r="X226" s="151" t="str"/>
      <x:c r="Y226" s="151" t="str"/>
      <x:c r="Z226" s="151" t="str"/>
      <x:c r="AA226" s="151" t="str"/>
      <x:c r="AB226" s="151" t="str"/>
      <x:c r="AC226" s="151" t="str"/>
      <x:c r="AD226" s="151" t="str"/>
      <x:c r="AE226" s="151" t="str"/>
      <x:c r="AF226" s="151" t="str"/>
      <x:c r="AG226" s="151" t="str"/>
      <x:c r="AH226" s="151" t="str"/>
      <x:c r="AI226" s="151" t="str"/>
      <x:c r="AJ226" s="151" t="str"/>
      <x:c r="AK226" s="151" t="str"/>
      <x:c r="AL226" s="151" t="str"/>
      <x:c r="AM226" s="151" t="str"/>
      <x:c r="AN226" s="152" t="n">
        <x:f>IF(COUNTA(S226:AM226)=0,"",SUM(S226:AM226))</x:f>
        <x:v>0</x:v>
      </x:c>
      <x:c r="AO226" s="151" t="str"/>
      <x:c r="AP226" s="151" t="str"/>
      <x:c r="AQ226" s="151" t="str"/>
      <x:c r="AR226" s="151" t="str"/>
      <x:c r="AS226" s="196" t="str">
        <x:f>IF(AN226="","",IF(AO226="Cartons",IF(AP226*AQ226=AN226,"OK","CHECK CARTONS / SIZES"),IF(AR226=AN226,"OK","CHECK TOTAL / SIZES")))</x:f>
      </x:c>
      <x:c r="AT226" s="137" t="str"/>
      <x:c r="AU226" s="137" t="str"/>
      <x:c r="AV226" s="137" t="str"/>
      <x:c r="AW226" s="137" t="str"/>
    </x:row>
    <x:row r="227">
      <x:c r="A227" s="137" t="str"/>
      <x:c r="B227" s="137" t="str"/>
      <x:c r="C227" s="137" t="str"/>
      <x:c r="D227" s="137" t="str"/>
      <x:c r="E227" s="138" t="str"/>
      <x:c r="F227" s="138" t="str"/>
      <x:c r="G227" s="137" t="str"/>
      <x:c r="H227" s="137" t="str"/>
      <x:c r="I227" s="137" t="str"/>
      <x:c r="J227" s="137" t="str"/>
      <x:c r="K227" s="137" t="str"/>
      <x:c r="L227" s="137" t="str"/>
      <x:c r="M227" s="137" t="str"/>
      <x:c r="N227" s="137" t="str"/>
      <x:c r="O227" s="137" t="str"/>
      <x:c r="P227" s="137" t="str"/>
      <x:c r="Q227" s="137" t="str"/>
      <x:c r="R227" s="137" t="str"/>
      <x:c r="S227" s="151" t="str"/>
      <x:c r="T227" s="151" t="str"/>
      <x:c r="U227" s="151" t="str"/>
      <x:c r="V227" s="151" t="str"/>
      <x:c r="W227" s="151" t="str"/>
      <x:c r="X227" s="151" t="str"/>
      <x:c r="Y227" s="151" t="str"/>
      <x:c r="Z227" s="151" t="str"/>
      <x:c r="AA227" s="151" t="str"/>
      <x:c r="AB227" s="151" t="str"/>
      <x:c r="AC227" s="151" t="str"/>
      <x:c r="AD227" s="151" t="str"/>
      <x:c r="AE227" s="151" t="str"/>
      <x:c r="AF227" s="151" t="str"/>
      <x:c r="AG227" s="151" t="str"/>
      <x:c r="AH227" s="151" t="str"/>
      <x:c r="AI227" s="151" t="str"/>
      <x:c r="AJ227" s="151" t="str"/>
      <x:c r="AK227" s="151" t="str"/>
      <x:c r="AL227" s="151" t="str"/>
      <x:c r="AM227" s="151" t="str"/>
      <x:c r="AN227" s="152" t="n">
        <x:f>IF(COUNTA(S227:AM227)=0,"",SUM(S227:AM227))</x:f>
        <x:v>0</x:v>
      </x:c>
      <x:c r="AO227" s="151" t="str"/>
      <x:c r="AP227" s="151" t="str"/>
      <x:c r="AQ227" s="151" t="str"/>
      <x:c r="AR227" s="151" t="str"/>
      <x:c r="AS227" s="196" t="str">
        <x:f>IF(AN227="","",IF(AO227="Cartons",IF(AP227*AQ227=AN227,"OK","CHECK CARTONS / SIZES"),IF(AR227=AN227,"OK","CHECK TOTAL / SIZES")))</x:f>
      </x:c>
      <x:c r="AT227" s="137" t="str"/>
      <x:c r="AU227" s="137" t="str"/>
      <x:c r="AV227" s="137" t="str"/>
      <x:c r="AW227" s="137" t="str"/>
    </x:row>
    <x:row r="228">
      <x:c r="A228" s="137" t="str"/>
      <x:c r="B228" s="137" t="str"/>
      <x:c r="C228" s="137" t="str"/>
      <x:c r="D228" s="137" t="str"/>
      <x:c r="E228" s="138" t="str"/>
      <x:c r="F228" s="138" t="str"/>
      <x:c r="G228" s="137" t="str"/>
      <x:c r="H228" s="137" t="str"/>
      <x:c r="I228" s="137" t="str"/>
      <x:c r="J228" s="137" t="str"/>
      <x:c r="K228" s="137" t="str"/>
      <x:c r="L228" s="137" t="str"/>
      <x:c r="M228" s="137" t="str"/>
      <x:c r="N228" s="137" t="str"/>
      <x:c r="O228" s="137" t="str"/>
      <x:c r="P228" s="137" t="str"/>
      <x:c r="Q228" s="137" t="str"/>
      <x:c r="R228" s="137" t="str"/>
      <x:c r="S228" s="151" t="str"/>
      <x:c r="T228" s="151" t="str"/>
      <x:c r="U228" s="151" t="str"/>
      <x:c r="V228" s="151" t="str"/>
      <x:c r="W228" s="151" t="str"/>
      <x:c r="X228" s="151" t="str"/>
      <x:c r="Y228" s="151" t="str"/>
      <x:c r="Z228" s="151" t="str"/>
      <x:c r="AA228" s="151" t="str"/>
      <x:c r="AB228" s="151" t="str"/>
      <x:c r="AC228" s="151" t="str"/>
      <x:c r="AD228" s="151" t="str"/>
      <x:c r="AE228" s="151" t="str"/>
      <x:c r="AF228" s="151" t="str"/>
      <x:c r="AG228" s="151" t="str"/>
      <x:c r="AH228" s="151" t="str"/>
      <x:c r="AI228" s="151" t="str"/>
      <x:c r="AJ228" s="151" t="str"/>
      <x:c r="AK228" s="151" t="str"/>
      <x:c r="AL228" s="151" t="str"/>
      <x:c r="AM228" s="151" t="str"/>
      <x:c r="AN228" s="152" t="n">
        <x:f>IF(COUNTA(S228:AM228)=0,"",SUM(S228:AM228))</x:f>
        <x:v>0</x:v>
      </x:c>
      <x:c r="AO228" s="151" t="str"/>
      <x:c r="AP228" s="151" t="str"/>
      <x:c r="AQ228" s="151" t="str"/>
      <x:c r="AR228" s="151" t="str"/>
      <x:c r="AS228" s="196" t="str">
        <x:f>IF(AN228="","",IF(AO228="Cartons",IF(AP228*AQ228=AN228,"OK","CHECK CARTONS / SIZES"),IF(AR228=AN228,"OK","CHECK TOTAL / SIZES")))</x:f>
      </x:c>
      <x:c r="AT228" s="137" t="str"/>
      <x:c r="AU228" s="137" t="str"/>
      <x:c r="AV228" s="137" t="str"/>
      <x:c r="AW228" s="137" t="str"/>
    </x:row>
    <x:row r="229">
      <x:c r="A229" s="137" t="str"/>
      <x:c r="B229" s="137" t="str"/>
      <x:c r="C229" s="137" t="str"/>
      <x:c r="D229" s="137" t="str"/>
      <x:c r="E229" s="138" t="str"/>
      <x:c r="F229" s="138" t="str"/>
      <x:c r="G229" s="137" t="str"/>
      <x:c r="H229" s="137" t="str"/>
      <x:c r="I229" s="137" t="str"/>
      <x:c r="J229" s="137" t="str"/>
      <x:c r="K229" s="137" t="str"/>
      <x:c r="L229" s="137" t="str"/>
      <x:c r="M229" s="137" t="str"/>
      <x:c r="N229" s="137" t="str"/>
      <x:c r="O229" s="137" t="str"/>
      <x:c r="P229" s="137" t="str"/>
      <x:c r="Q229" s="137" t="str"/>
      <x:c r="R229" s="137" t="str"/>
      <x:c r="S229" s="151" t="str"/>
      <x:c r="T229" s="151" t="str"/>
      <x:c r="U229" s="151" t="str"/>
      <x:c r="V229" s="151" t="str"/>
      <x:c r="W229" s="151" t="str"/>
      <x:c r="X229" s="151" t="str"/>
      <x:c r="Y229" s="151" t="str"/>
      <x:c r="Z229" s="151" t="str"/>
      <x:c r="AA229" s="151" t="str"/>
      <x:c r="AB229" s="151" t="str"/>
      <x:c r="AC229" s="151" t="str"/>
      <x:c r="AD229" s="151" t="str"/>
      <x:c r="AE229" s="151" t="str"/>
      <x:c r="AF229" s="151" t="str"/>
      <x:c r="AG229" s="151" t="str"/>
      <x:c r="AH229" s="151" t="str"/>
      <x:c r="AI229" s="151" t="str"/>
      <x:c r="AJ229" s="151" t="str"/>
      <x:c r="AK229" s="151" t="str"/>
      <x:c r="AL229" s="151" t="str"/>
      <x:c r="AM229" s="151" t="str"/>
      <x:c r="AN229" s="152" t="n">
        <x:f>IF(COUNTA(S229:AM229)=0,"",SUM(S229:AM229))</x:f>
        <x:v>0</x:v>
      </x:c>
      <x:c r="AO229" s="151" t="str"/>
      <x:c r="AP229" s="151" t="str"/>
      <x:c r="AQ229" s="151" t="str"/>
      <x:c r="AR229" s="151" t="str"/>
      <x:c r="AS229" s="196" t="str">
        <x:f>IF(AN229="","",IF(AO229="Cartons",IF(AP229*AQ229=AN229,"OK","CHECK CARTONS / SIZES"),IF(AR229=AN229,"OK","CHECK TOTAL / SIZES")))</x:f>
      </x:c>
      <x:c r="AT229" s="137" t="str"/>
      <x:c r="AU229" s="137" t="str"/>
      <x:c r="AV229" s="137" t="str"/>
      <x:c r="AW229" s="137" t="str"/>
    </x:row>
    <x:row r="230">
      <x:c r="A230" s="137" t="str"/>
      <x:c r="B230" s="137" t="str"/>
      <x:c r="C230" s="137" t="str"/>
      <x:c r="D230" s="137" t="str"/>
      <x:c r="E230" s="138" t="str"/>
      <x:c r="F230" s="138" t="str"/>
      <x:c r="G230" s="137" t="str"/>
      <x:c r="H230" s="137" t="str"/>
      <x:c r="I230" s="137" t="str"/>
      <x:c r="J230" s="137" t="str"/>
      <x:c r="K230" s="137" t="str"/>
      <x:c r="L230" s="137" t="str"/>
      <x:c r="M230" s="137" t="str"/>
      <x:c r="N230" s="137" t="str"/>
      <x:c r="O230" s="137" t="str"/>
      <x:c r="P230" s="137" t="str"/>
      <x:c r="Q230" s="137" t="str"/>
      <x:c r="R230" s="137" t="str"/>
      <x:c r="S230" s="151" t="str"/>
      <x:c r="T230" s="151" t="str"/>
      <x:c r="U230" s="151" t="str"/>
      <x:c r="V230" s="151" t="str"/>
      <x:c r="W230" s="151" t="str"/>
      <x:c r="X230" s="151" t="str"/>
      <x:c r="Y230" s="151" t="str"/>
      <x:c r="Z230" s="151" t="str"/>
      <x:c r="AA230" s="151" t="str"/>
      <x:c r="AB230" s="151" t="str"/>
      <x:c r="AC230" s="151" t="str"/>
      <x:c r="AD230" s="151" t="str"/>
      <x:c r="AE230" s="151" t="str"/>
      <x:c r="AF230" s="151" t="str"/>
      <x:c r="AG230" s="151" t="str"/>
      <x:c r="AH230" s="151" t="str"/>
      <x:c r="AI230" s="151" t="str"/>
      <x:c r="AJ230" s="151" t="str"/>
      <x:c r="AK230" s="151" t="str"/>
      <x:c r="AL230" s="151" t="str"/>
      <x:c r="AM230" s="151" t="str"/>
      <x:c r="AN230" s="152" t="n">
        <x:f>IF(COUNTA(S230:AM230)=0,"",SUM(S230:AM230))</x:f>
        <x:v>0</x:v>
      </x:c>
      <x:c r="AO230" s="151" t="str"/>
      <x:c r="AP230" s="151" t="str"/>
      <x:c r="AQ230" s="151" t="str"/>
      <x:c r="AR230" s="151" t="str"/>
      <x:c r="AS230" s="196" t="str">
        <x:f>IF(AN230="","",IF(AO230="Cartons",IF(AP230*AQ230=AN230,"OK","CHECK CARTONS / SIZES"),IF(AR230=AN230,"OK","CHECK TOTAL / SIZES")))</x:f>
      </x:c>
      <x:c r="AT230" s="137" t="str"/>
      <x:c r="AU230" s="137" t="str"/>
      <x:c r="AV230" s="137" t="str"/>
      <x:c r="AW230" s="137" t="str"/>
    </x:row>
    <x:row r="231">
      <x:c r="A231" s="137" t="str"/>
      <x:c r="B231" s="137" t="str"/>
      <x:c r="C231" s="137" t="str"/>
      <x:c r="D231" s="137" t="str"/>
      <x:c r="E231" s="138" t="str"/>
      <x:c r="F231" s="138" t="str"/>
      <x:c r="G231" s="137" t="str"/>
      <x:c r="H231" s="137" t="str"/>
      <x:c r="I231" s="137" t="str"/>
      <x:c r="J231" s="137" t="str"/>
      <x:c r="K231" s="137" t="str"/>
      <x:c r="L231" s="137" t="str"/>
      <x:c r="M231" s="137" t="str"/>
      <x:c r="N231" s="137" t="str"/>
      <x:c r="O231" s="137" t="str"/>
      <x:c r="P231" s="137" t="str"/>
      <x:c r="Q231" s="137" t="str"/>
      <x:c r="R231" s="137" t="str"/>
      <x:c r="S231" s="151" t="str"/>
      <x:c r="T231" s="151" t="str"/>
      <x:c r="U231" s="151" t="str"/>
      <x:c r="V231" s="151" t="str"/>
      <x:c r="W231" s="151" t="str"/>
      <x:c r="X231" s="151" t="str"/>
      <x:c r="Y231" s="151" t="str"/>
      <x:c r="Z231" s="151" t="str"/>
      <x:c r="AA231" s="151" t="str"/>
      <x:c r="AB231" s="151" t="str"/>
      <x:c r="AC231" s="151" t="str"/>
      <x:c r="AD231" s="151" t="str"/>
      <x:c r="AE231" s="151" t="str"/>
      <x:c r="AF231" s="151" t="str"/>
      <x:c r="AG231" s="151" t="str"/>
      <x:c r="AH231" s="151" t="str"/>
      <x:c r="AI231" s="151" t="str"/>
      <x:c r="AJ231" s="151" t="str"/>
      <x:c r="AK231" s="151" t="str"/>
      <x:c r="AL231" s="151" t="str"/>
      <x:c r="AM231" s="151" t="str"/>
      <x:c r="AN231" s="152" t="n">
        <x:f>IF(COUNTA(S231:AM231)=0,"",SUM(S231:AM231))</x:f>
        <x:v>0</x:v>
      </x:c>
      <x:c r="AO231" s="151" t="str"/>
      <x:c r="AP231" s="151" t="str"/>
      <x:c r="AQ231" s="151" t="str"/>
      <x:c r="AR231" s="151" t="str"/>
      <x:c r="AS231" s="196" t="str">
        <x:f>IF(AN231="","",IF(AO231="Cartons",IF(AP231*AQ231=AN231,"OK","CHECK CARTONS / SIZES"),IF(AR231=AN231,"OK","CHECK TOTAL / SIZES")))</x:f>
      </x:c>
      <x:c r="AT231" s="137" t="str"/>
      <x:c r="AU231" s="137" t="str"/>
      <x:c r="AV231" s="137" t="str"/>
      <x:c r="AW231" s="137" t="str"/>
    </x:row>
    <x:row r="232">
      <x:c r="A232" s="137" t="str"/>
      <x:c r="B232" s="137" t="str"/>
      <x:c r="C232" s="137" t="str"/>
      <x:c r="D232" s="137" t="str"/>
      <x:c r="E232" s="138" t="str"/>
      <x:c r="F232" s="138" t="str"/>
      <x:c r="G232" s="137" t="str"/>
      <x:c r="H232" s="137" t="str"/>
      <x:c r="I232" s="137" t="str"/>
      <x:c r="J232" s="137" t="str"/>
      <x:c r="K232" s="137" t="str"/>
      <x:c r="L232" s="137" t="str"/>
      <x:c r="M232" s="137" t="str"/>
      <x:c r="N232" s="137" t="str"/>
      <x:c r="O232" s="137" t="str"/>
      <x:c r="P232" s="137" t="str"/>
      <x:c r="Q232" s="137" t="str"/>
      <x:c r="R232" s="137" t="str"/>
      <x:c r="S232" s="151" t="str"/>
      <x:c r="T232" s="151" t="str"/>
      <x:c r="U232" s="151" t="str"/>
      <x:c r="V232" s="151" t="str"/>
      <x:c r="W232" s="151" t="str"/>
      <x:c r="X232" s="151" t="str"/>
      <x:c r="Y232" s="151" t="str"/>
      <x:c r="Z232" s="151" t="str"/>
      <x:c r="AA232" s="151" t="str"/>
      <x:c r="AB232" s="151" t="str"/>
      <x:c r="AC232" s="151" t="str"/>
      <x:c r="AD232" s="151" t="str"/>
      <x:c r="AE232" s="151" t="str"/>
      <x:c r="AF232" s="151" t="str"/>
      <x:c r="AG232" s="151" t="str"/>
      <x:c r="AH232" s="151" t="str"/>
      <x:c r="AI232" s="151" t="str"/>
      <x:c r="AJ232" s="151" t="str"/>
      <x:c r="AK232" s="151" t="str"/>
      <x:c r="AL232" s="151" t="str"/>
      <x:c r="AM232" s="151" t="str"/>
      <x:c r="AN232" s="152" t="n">
        <x:f>IF(COUNTA(S232:AM232)=0,"",SUM(S232:AM232))</x:f>
        <x:v>0</x:v>
      </x:c>
      <x:c r="AO232" s="151" t="str"/>
      <x:c r="AP232" s="151" t="str"/>
      <x:c r="AQ232" s="151" t="str"/>
      <x:c r="AR232" s="151" t="str"/>
      <x:c r="AS232" s="196" t="str">
        <x:f>IF(AN232="","",IF(AO232="Cartons",IF(AP232*AQ232=AN232,"OK","CHECK CARTONS / SIZES"),IF(AR232=AN232,"OK","CHECK TOTAL / SIZES")))</x:f>
      </x:c>
      <x:c r="AT232" s="137" t="str"/>
      <x:c r="AU232" s="137" t="str"/>
      <x:c r="AV232" s="137" t="str"/>
      <x:c r="AW232" s="137" t="str"/>
    </x:row>
    <x:row r="233">
      <x:c r="A233" s="137" t="str"/>
      <x:c r="B233" s="137" t="str"/>
      <x:c r="C233" s="137" t="str"/>
      <x:c r="D233" s="137" t="str"/>
      <x:c r="E233" s="138" t="str"/>
      <x:c r="F233" s="138" t="str"/>
      <x:c r="G233" s="137" t="str"/>
      <x:c r="H233" s="137" t="str"/>
      <x:c r="I233" s="137" t="str"/>
      <x:c r="J233" s="137" t="str"/>
      <x:c r="K233" s="137" t="str"/>
      <x:c r="L233" s="137" t="str"/>
      <x:c r="M233" s="137" t="str"/>
      <x:c r="N233" s="137" t="str"/>
      <x:c r="O233" s="137" t="str"/>
      <x:c r="P233" s="137" t="str"/>
      <x:c r="Q233" s="137" t="str"/>
      <x:c r="R233" s="137" t="str"/>
      <x:c r="S233" s="151" t="str"/>
      <x:c r="T233" s="151" t="str"/>
      <x:c r="U233" s="151" t="str"/>
      <x:c r="V233" s="151" t="str"/>
      <x:c r="W233" s="151" t="str"/>
      <x:c r="X233" s="151" t="str"/>
      <x:c r="Y233" s="151" t="str"/>
      <x:c r="Z233" s="151" t="str"/>
      <x:c r="AA233" s="151" t="str"/>
      <x:c r="AB233" s="151" t="str"/>
      <x:c r="AC233" s="151" t="str"/>
      <x:c r="AD233" s="151" t="str"/>
      <x:c r="AE233" s="151" t="str"/>
      <x:c r="AF233" s="151" t="str"/>
      <x:c r="AG233" s="151" t="str"/>
      <x:c r="AH233" s="151" t="str"/>
      <x:c r="AI233" s="151" t="str"/>
      <x:c r="AJ233" s="151" t="str"/>
      <x:c r="AK233" s="151" t="str"/>
      <x:c r="AL233" s="151" t="str"/>
      <x:c r="AM233" s="151" t="str"/>
      <x:c r="AN233" s="152" t="n">
        <x:f>IF(COUNTA(S233:AM233)=0,"",SUM(S233:AM233))</x:f>
        <x:v>0</x:v>
      </x:c>
      <x:c r="AO233" s="151" t="str"/>
      <x:c r="AP233" s="151" t="str"/>
      <x:c r="AQ233" s="151" t="str"/>
      <x:c r="AR233" s="151" t="str"/>
      <x:c r="AS233" s="196" t="str">
        <x:f>IF(AN233="","",IF(AO233="Cartons",IF(AP233*AQ233=AN233,"OK","CHECK CARTONS / SIZES"),IF(AR233=AN233,"OK","CHECK TOTAL / SIZES")))</x:f>
      </x:c>
      <x:c r="AT233" s="137" t="str"/>
      <x:c r="AU233" s="137" t="str"/>
      <x:c r="AV233" s="137" t="str"/>
      <x:c r="AW233" s="137" t="str"/>
    </x:row>
    <x:row r="234">
      <x:c r="A234" s="137" t="str"/>
      <x:c r="B234" s="137" t="str"/>
      <x:c r="C234" s="137" t="str"/>
      <x:c r="D234" s="137" t="str"/>
      <x:c r="E234" s="138" t="str"/>
      <x:c r="F234" s="138" t="str"/>
      <x:c r="G234" s="137" t="str"/>
      <x:c r="H234" s="137" t="str"/>
      <x:c r="I234" s="137" t="str"/>
      <x:c r="J234" s="137" t="str"/>
      <x:c r="K234" s="137" t="str"/>
      <x:c r="L234" s="137" t="str"/>
      <x:c r="M234" s="137" t="str"/>
      <x:c r="N234" s="137" t="str"/>
      <x:c r="O234" s="137" t="str"/>
      <x:c r="P234" s="137" t="str"/>
      <x:c r="Q234" s="137" t="str"/>
      <x:c r="R234" s="137" t="str"/>
      <x:c r="S234" s="151" t="str"/>
      <x:c r="T234" s="151" t="str"/>
      <x:c r="U234" s="151" t="str"/>
      <x:c r="V234" s="151" t="str"/>
      <x:c r="W234" s="151" t="str"/>
      <x:c r="X234" s="151" t="str"/>
      <x:c r="Y234" s="151" t="str"/>
      <x:c r="Z234" s="151" t="str"/>
      <x:c r="AA234" s="151" t="str"/>
      <x:c r="AB234" s="151" t="str"/>
      <x:c r="AC234" s="151" t="str"/>
      <x:c r="AD234" s="151" t="str"/>
      <x:c r="AE234" s="151" t="str"/>
      <x:c r="AF234" s="151" t="str"/>
      <x:c r="AG234" s="151" t="str"/>
      <x:c r="AH234" s="151" t="str"/>
      <x:c r="AI234" s="151" t="str"/>
      <x:c r="AJ234" s="151" t="str"/>
      <x:c r="AK234" s="151" t="str"/>
      <x:c r="AL234" s="151" t="str"/>
      <x:c r="AM234" s="151" t="str"/>
      <x:c r="AN234" s="152" t="n">
        <x:f>IF(COUNTA(S234:AM234)=0,"",SUM(S234:AM234))</x:f>
        <x:v>0</x:v>
      </x:c>
      <x:c r="AO234" s="151" t="str"/>
      <x:c r="AP234" s="151" t="str"/>
      <x:c r="AQ234" s="151" t="str"/>
      <x:c r="AR234" s="151" t="str"/>
      <x:c r="AS234" s="196" t="str">
        <x:f>IF(AN234="","",IF(AO234="Cartons",IF(AP234*AQ234=AN234,"OK","CHECK CARTONS / SIZES"),IF(AR234=AN234,"OK","CHECK TOTAL / SIZES")))</x:f>
      </x:c>
      <x:c r="AT234" s="137" t="str"/>
      <x:c r="AU234" s="137" t="str"/>
      <x:c r="AV234" s="137" t="str"/>
      <x:c r="AW234" s="137" t="str"/>
    </x:row>
    <x:row r="235">
      <x:c r="A235" s="137" t="str"/>
      <x:c r="B235" s="137" t="str"/>
      <x:c r="C235" s="137" t="str"/>
      <x:c r="D235" s="137" t="str"/>
      <x:c r="E235" s="138" t="str"/>
      <x:c r="F235" s="138" t="str"/>
      <x:c r="G235" s="137" t="str"/>
      <x:c r="H235" s="137" t="str"/>
      <x:c r="I235" s="137" t="str"/>
      <x:c r="J235" s="137" t="str"/>
      <x:c r="K235" s="137" t="str"/>
      <x:c r="L235" s="137" t="str"/>
      <x:c r="M235" s="137" t="str"/>
      <x:c r="N235" s="137" t="str"/>
      <x:c r="O235" s="137" t="str"/>
      <x:c r="P235" s="137" t="str"/>
      <x:c r="Q235" s="137" t="str"/>
      <x:c r="R235" s="137" t="str"/>
      <x:c r="S235" s="151" t="str"/>
      <x:c r="T235" s="151" t="str"/>
      <x:c r="U235" s="151" t="str"/>
      <x:c r="V235" s="151" t="str"/>
      <x:c r="W235" s="151" t="str"/>
      <x:c r="X235" s="151" t="str"/>
      <x:c r="Y235" s="151" t="str"/>
      <x:c r="Z235" s="151" t="str"/>
      <x:c r="AA235" s="151" t="str"/>
      <x:c r="AB235" s="151" t="str"/>
      <x:c r="AC235" s="151" t="str"/>
      <x:c r="AD235" s="151" t="str"/>
      <x:c r="AE235" s="151" t="str"/>
      <x:c r="AF235" s="151" t="str"/>
      <x:c r="AG235" s="151" t="str"/>
      <x:c r="AH235" s="151" t="str"/>
      <x:c r="AI235" s="151" t="str"/>
      <x:c r="AJ235" s="151" t="str"/>
      <x:c r="AK235" s="151" t="str"/>
      <x:c r="AL235" s="151" t="str"/>
      <x:c r="AM235" s="151" t="str"/>
      <x:c r="AN235" s="152" t="n">
        <x:f>IF(COUNTA(S235:AM235)=0,"",SUM(S235:AM235))</x:f>
        <x:v>0</x:v>
      </x:c>
      <x:c r="AO235" s="151" t="str"/>
      <x:c r="AP235" s="151" t="str"/>
      <x:c r="AQ235" s="151" t="str"/>
      <x:c r="AR235" s="151" t="str"/>
      <x:c r="AS235" s="196" t="str">
        <x:f>IF(AN235="","",IF(AO235="Cartons",IF(AP235*AQ235=AN235,"OK","CHECK CARTONS / SIZES"),IF(AR235=AN235,"OK","CHECK TOTAL / SIZES")))</x:f>
      </x:c>
      <x:c r="AT235" s="137" t="str"/>
      <x:c r="AU235" s="137" t="str"/>
      <x:c r="AV235" s="137" t="str"/>
      <x:c r="AW235" s="137" t="str"/>
    </x:row>
    <x:row r="236">
      <x:c r="A236" s="137" t="str"/>
      <x:c r="B236" s="137" t="str"/>
      <x:c r="C236" s="137" t="str"/>
      <x:c r="D236" s="137" t="str"/>
      <x:c r="E236" s="138" t="str"/>
      <x:c r="F236" s="138" t="str"/>
      <x:c r="G236" s="137" t="str"/>
      <x:c r="H236" s="137" t="str"/>
      <x:c r="I236" s="137" t="str"/>
      <x:c r="J236" s="137" t="str"/>
      <x:c r="K236" s="137" t="str"/>
      <x:c r="L236" s="137" t="str"/>
      <x:c r="M236" s="137" t="str"/>
      <x:c r="N236" s="137" t="str"/>
      <x:c r="O236" s="137" t="str"/>
      <x:c r="P236" s="137" t="str"/>
      <x:c r="Q236" s="137" t="str"/>
      <x:c r="R236" s="137" t="str"/>
      <x:c r="S236" s="151" t="str"/>
      <x:c r="T236" s="151" t="str"/>
      <x:c r="U236" s="151" t="str"/>
      <x:c r="V236" s="151" t="str"/>
      <x:c r="W236" s="151" t="str"/>
      <x:c r="X236" s="151" t="str"/>
      <x:c r="Y236" s="151" t="str"/>
      <x:c r="Z236" s="151" t="str"/>
      <x:c r="AA236" s="151" t="str"/>
      <x:c r="AB236" s="151" t="str"/>
      <x:c r="AC236" s="151" t="str"/>
      <x:c r="AD236" s="151" t="str"/>
      <x:c r="AE236" s="151" t="str"/>
      <x:c r="AF236" s="151" t="str"/>
      <x:c r="AG236" s="151" t="str"/>
      <x:c r="AH236" s="151" t="str"/>
      <x:c r="AI236" s="151" t="str"/>
      <x:c r="AJ236" s="151" t="str"/>
      <x:c r="AK236" s="151" t="str"/>
      <x:c r="AL236" s="151" t="str"/>
      <x:c r="AM236" s="151" t="str"/>
      <x:c r="AN236" s="152" t="n">
        <x:f>IF(COUNTA(S236:AM236)=0,"",SUM(S236:AM236))</x:f>
        <x:v>0</x:v>
      </x:c>
      <x:c r="AO236" s="151" t="str"/>
      <x:c r="AP236" s="151" t="str"/>
      <x:c r="AQ236" s="151" t="str"/>
      <x:c r="AR236" s="151" t="str"/>
      <x:c r="AS236" s="196" t="str">
        <x:f>IF(AN236="","",IF(AO236="Cartons",IF(AP236*AQ236=AN236,"OK","CHECK CARTONS / SIZES"),IF(AR236=AN236,"OK","CHECK TOTAL / SIZES")))</x:f>
      </x:c>
      <x:c r="AT236" s="137" t="str"/>
      <x:c r="AU236" s="137" t="str"/>
      <x:c r="AV236" s="137" t="str"/>
      <x:c r="AW236" s="137" t="str"/>
    </x:row>
    <x:row r="237">
      <x:c r="A237" s="137" t="str"/>
      <x:c r="B237" s="137" t="str"/>
      <x:c r="C237" s="137" t="str"/>
      <x:c r="D237" s="137" t="str"/>
      <x:c r="E237" s="138" t="str"/>
      <x:c r="F237" s="138" t="str"/>
      <x:c r="G237" s="137" t="str"/>
      <x:c r="H237" s="137" t="str"/>
      <x:c r="I237" s="137" t="str"/>
      <x:c r="J237" s="137" t="str"/>
      <x:c r="K237" s="137" t="str"/>
      <x:c r="L237" s="137" t="str"/>
      <x:c r="M237" s="137" t="str"/>
      <x:c r="N237" s="137" t="str"/>
      <x:c r="O237" s="137" t="str"/>
      <x:c r="P237" s="137" t="str"/>
      <x:c r="Q237" s="137" t="str"/>
      <x:c r="R237" s="137" t="str"/>
      <x:c r="S237" s="151" t="str"/>
      <x:c r="T237" s="151" t="str"/>
      <x:c r="U237" s="151" t="str"/>
      <x:c r="V237" s="151" t="str"/>
      <x:c r="W237" s="151" t="str"/>
      <x:c r="X237" s="151" t="str"/>
      <x:c r="Y237" s="151" t="str"/>
      <x:c r="Z237" s="151" t="str"/>
      <x:c r="AA237" s="151" t="str"/>
      <x:c r="AB237" s="151" t="str"/>
      <x:c r="AC237" s="151" t="str"/>
      <x:c r="AD237" s="151" t="str"/>
      <x:c r="AE237" s="151" t="str"/>
      <x:c r="AF237" s="151" t="str"/>
      <x:c r="AG237" s="151" t="str"/>
      <x:c r="AH237" s="151" t="str"/>
      <x:c r="AI237" s="151" t="str"/>
      <x:c r="AJ237" s="151" t="str"/>
      <x:c r="AK237" s="151" t="str"/>
      <x:c r="AL237" s="151" t="str"/>
      <x:c r="AM237" s="151" t="str"/>
      <x:c r="AN237" s="152" t="n">
        <x:f>IF(COUNTA(S237:AM237)=0,"",SUM(S237:AM237))</x:f>
        <x:v>0</x:v>
      </x:c>
      <x:c r="AO237" s="151" t="str"/>
      <x:c r="AP237" s="151" t="str"/>
      <x:c r="AQ237" s="151" t="str"/>
      <x:c r="AR237" s="151" t="str"/>
      <x:c r="AS237" s="196" t="str">
        <x:f>IF(AN237="","",IF(AO237="Cartons",IF(AP237*AQ237=AN237,"OK","CHECK CARTONS / SIZES"),IF(AR237=AN237,"OK","CHECK TOTAL / SIZES")))</x:f>
      </x:c>
      <x:c r="AT237" s="137" t="str"/>
      <x:c r="AU237" s="137" t="str"/>
      <x:c r="AV237" s="137" t="str"/>
      <x:c r="AW237" s="137" t="str"/>
    </x:row>
    <x:row r="238">
      <x:c r="A238" s="137" t="str"/>
      <x:c r="B238" s="137" t="str"/>
      <x:c r="C238" s="137" t="str"/>
      <x:c r="D238" s="137" t="str"/>
      <x:c r="E238" s="138" t="str"/>
      <x:c r="F238" s="138" t="str"/>
      <x:c r="G238" s="137" t="str"/>
      <x:c r="H238" s="137" t="str"/>
      <x:c r="I238" s="137" t="str"/>
      <x:c r="J238" s="137" t="str"/>
      <x:c r="K238" s="137" t="str"/>
      <x:c r="L238" s="137" t="str"/>
      <x:c r="M238" s="137" t="str"/>
      <x:c r="N238" s="137" t="str"/>
      <x:c r="O238" s="137" t="str"/>
      <x:c r="P238" s="137" t="str"/>
      <x:c r="Q238" s="137" t="str"/>
      <x:c r="R238" s="137" t="str"/>
      <x:c r="S238" s="151" t="str"/>
      <x:c r="T238" s="151" t="str"/>
      <x:c r="U238" s="151" t="str"/>
      <x:c r="V238" s="151" t="str"/>
      <x:c r="W238" s="151" t="str"/>
      <x:c r="X238" s="151" t="str"/>
      <x:c r="Y238" s="151" t="str"/>
      <x:c r="Z238" s="151" t="str"/>
      <x:c r="AA238" s="151" t="str"/>
      <x:c r="AB238" s="151" t="str"/>
      <x:c r="AC238" s="151" t="str"/>
      <x:c r="AD238" s="151" t="str"/>
      <x:c r="AE238" s="151" t="str"/>
      <x:c r="AF238" s="151" t="str"/>
      <x:c r="AG238" s="151" t="str"/>
      <x:c r="AH238" s="151" t="str"/>
      <x:c r="AI238" s="151" t="str"/>
      <x:c r="AJ238" s="151" t="str"/>
      <x:c r="AK238" s="151" t="str"/>
      <x:c r="AL238" s="151" t="str"/>
      <x:c r="AM238" s="151" t="str"/>
      <x:c r="AN238" s="152" t="n">
        <x:f>IF(COUNTA(S238:AM238)=0,"",SUM(S238:AM238))</x:f>
        <x:v>0</x:v>
      </x:c>
      <x:c r="AO238" s="151" t="str"/>
      <x:c r="AP238" s="151" t="str"/>
      <x:c r="AQ238" s="151" t="str"/>
      <x:c r="AR238" s="151" t="str"/>
      <x:c r="AS238" s="196" t="str">
        <x:f>IF(AN238="","",IF(AO238="Cartons",IF(AP238*AQ238=AN238,"OK","CHECK CARTONS / SIZES"),IF(AR238=AN238,"OK","CHECK TOTAL / SIZES")))</x:f>
      </x:c>
      <x:c r="AT238" s="137" t="str"/>
      <x:c r="AU238" s="137" t="str"/>
      <x:c r="AV238" s="137" t="str"/>
      <x:c r="AW238" s="137" t="str"/>
    </x:row>
    <x:row r="239">
      <x:c r="A239" s="137" t="str"/>
      <x:c r="B239" s="137" t="str"/>
      <x:c r="C239" s="137" t="str"/>
      <x:c r="D239" s="137" t="str"/>
      <x:c r="E239" s="138" t="str"/>
      <x:c r="F239" s="138" t="str"/>
      <x:c r="G239" s="137" t="str"/>
      <x:c r="H239" s="137" t="str"/>
      <x:c r="I239" s="137" t="str"/>
      <x:c r="J239" s="137" t="str"/>
      <x:c r="K239" s="137" t="str"/>
      <x:c r="L239" s="137" t="str"/>
      <x:c r="M239" s="137" t="str"/>
      <x:c r="N239" s="137" t="str"/>
      <x:c r="O239" s="137" t="str"/>
      <x:c r="P239" s="137" t="str"/>
      <x:c r="Q239" s="137" t="str"/>
      <x:c r="R239" s="137" t="str"/>
      <x:c r="S239" s="151" t="str"/>
      <x:c r="T239" s="151" t="str"/>
      <x:c r="U239" s="151" t="str"/>
      <x:c r="V239" s="151" t="str"/>
      <x:c r="W239" s="151" t="str"/>
      <x:c r="X239" s="151" t="str"/>
      <x:c r="Y239" s="151" t="str"/>
      <x:c r="Z239" s="151" t="str"/>
      <x:c r="AA239" s="151" t="str"/>
      <x:c r="AB239" s="151" t="str"/>
      <x:c r="AC239" s="151" t="str"/>
      <x:c r="AD239" s="151" t="str"/>
      <x:c r="AE239" s="151" t="str"/>
      <x:c r="AF239" s="151" t="str"/>
      <x:c r="AG239" s="151" t="str"/>
      <x:c r="AH239" s="151" t="str"/>
      <x:c r="AI239" s="151" t="str"/>
      <x:c r="AJ239" s="151" t="str"/>
      <x:c r="AK239" s="151" t="str"/>
      <x:c r="AL239" s="151" t="str"/>
      <x:c r="AM239" s="151" t="str"/>
      <x:c r="AN239" s="152" t="n">
        <x:f>IF(COUNTA(S239:AM239)=0,"",SUM(S239:AM239))</x:f>
        <x:v>0</x:v>
      </x:c>
      <x:c r="AO239" s="151" t="str"/>
      <x:c r="AP239" s="151" t="str"/>
      <x:c r="AQ239" s="151" t="str"/>
      <x:c r="AR239" s="151" t="str"/>
      <x:c r="AS239" s="196" t="str">
        <x:f>IF(AN239="","",IF(AO239="Cartons",IF(AP239*AQ239=AN239,"OK","CHECK CARTONS / SIZES"),IF(AR239=AN239,"OK","CHECK TOTAL / SIZES")))</x:f>
      </x:c>
      <x:c r="AT239" s="137" t="str"/>
      <x:c r="AU239" s="137" t="str"/>
      <x:c r="AV239" s="137" t="str"/>
      <x:c r="AW239" s="137" t="str"/>
    </x:row>
    <x:row r="240">
      <x:c r="A240" s="137" t="str"/>
      <x:c r="B240" s="137" t="str"/>
      <x:c r="C240" s="137" t="str"/>
      <x:c r="D240" s="137" t="str"/>
      <x:c r="E240" s="138" t="str"/>
      <x:c r="F240" s="138" t="str"/>
      <x:c r="G240" s="137" t="str"/>
      <x:c r="H240" s="137" t="str"/>
      <x:c r="I240" s="137" t="str"/>
      <x:c r="J240" s="137" t="str"/>
      <x:c r="K240" s="137" t="str"/>
      <x:c r="L240" s="137" t="str"/>
      <x:c r="M240" s="137" t="str"/>
      <x:c r="N240" s="137" t="str"/>
      <x:c r="O240" s="137" t="str"/>
      <x:c r="P240" s="137" t="str"/>
      <x:c r="Q240" s="137" t="str"/>
      <x:c r="R240" s="137" t="str"/>
      <x:c r="S240" s="151" t="str"/>
      <x:c r="T240" s="151" t="str"/>
      <x:c r="U240" s="151" t="str"/>
      <x:c r="V240" s="151" t="str"/>
      <x:c r="W240" s="151" t="str"/>
      <x:c r="X240" s="151" t="str"/>
      <x:c r="Y240" s="151" t="str"/>
      <x:c r="Z240" s="151" t="str"/>
      <x:c r="AA240" s="151" t="str"/>
      <x:c r="AB240" s="151" t="str"/>
      <x:c r="AC240" s="151" t="str"/>
      <x:c r="AD240" s="151" t="str"/>
      <x:c r="AE240" s="151" t="str"/>
      <x:c r="AF240" s="151" t="str"/>
      <x:c r="AG240" s="151" t="str"/>
      <x:c r="AH240" s="151" t="str"/>
      <x:c r="AI240" s="151" t="str"/>
      <x:c r="AJ240" s="151" t="str"/>
      <x:c r="AK240" s="151" t="str"/>
      <x:c r="AL240" s="151" t="str"/>
      <x:c r="AM240" s="151" t="str"/>
      <x:c r="AN240" s="152" t="n">
        <x:f>IF(COUNTA(S240:AM240)=0,"",SUM(S240:AM240))</x:f>
        <x:v>0</x:v>
      </x:c>
      <x:c r="AO240" s="151" t="str"/>
      <x:c r="AP240" s="151" t="str"/>
      <x:c r="AQ240" s="151" t="str"/>
      <x:c r="AR240" s="151" t="str"/>
      <x:c r="AS240" s="196" t="str">
        <x:f>IF(AN240="","",IF(AO240="Cartons",IF(AP240*AQ240=AN240,"OK","CHECK CARTONS / SIZES"),IF(AR240=AN240,"OK","CHECK TOTAL / SIZES")))</x:f>
      </x:c>
      <x:c r="AT240" s="137" t="str"/>
      <x:c r="AU240" s="137" t="str"/>
      <x:c r="AV240" s="137" t="str"/>
      <x:c r="AW240" s="137" t="str"/>
    </x:row>
    <x:row r="241">
      <x:c r="A241" s="137" t="str"/>
      <x:c r="B241" s="137" t="str"/>
      <x:c r="C241" s="137" t="str"/>
      <x:c r="D241" s="137" t="str"/>
      <x:c r="E241" s="138" t="str"/>
      <x:c r="F241" s="138" t="str"/>
      <x:c r="G241" s="137" t="str"/>
      <x:c r="H241" s="137" t="str"/>
      <x:c r="I241" s="137" t="str"/>
      <x:c r="J241" s="137" t="str"/>
      <x:c r="K241" s="137" t="str"/>
      <x:c r="L241" s="137" t="str"/>
      <x:c r="M241" s="137" t="str"/>
      <x:c r="N241" s="137" t="str"/>
      <x:c r="O241" s="137" t="str"/>
      <x:c r="P241" s="137" t="str"/>
      <x:c r="Q241" s="137" t="str"/>
      <x:c r="R241" s="137" t="str"/>
      <x:c r="S241" s="151" t="str"/>
      <x:c r="T241" s="151" t="str"/>
      <x:c r="U241" s="151" t="str"/>
      <x:c r="V241" s="151" t="str"/>
      <x:c r="W241" s="151" t="str"/>
      <x:c r="X241" s="151" t="str"/>
      <x:c r="Y241" s="151" t="str"/>
      <x:c r="Z241" s="151" t="str"/>
      <x:c r="AA241" s="151" t="str"/>
      <x:c r="AB241" s="151" t="str"/>
      <x:c r="AC241" s="151" t="str"/>
      <x:c r="AD241" s="151" t="str"/>
      <x:c r="AE241" s="151" t="str"/>
      <x:c r="AF241" s="151" t="str"/>
      <x:c r="AG241" s="151" t="str"/>
      <x:c r="AH241" s="151" t="str"/>
      <x:c r="AI241" s="151" t="str"/>
      <x:c r="AJ241" s="151" t="str"/>
      <x:c r="AK241" s="151" t="str"/>
      <x:c r="AL241" s="151" t="str"/>
      <x:c r="AM241" s="151" t="str"/>
      <x:c r="AN241" s="152" t="n">
        <x:f>IF(COUNTA(S241:AM241)=0,"",SUM(S241:AM241))</x:f>
        <x:v>0</x:v>
      </x:c>
      <x:c r="AO241" s="151" t="str"/>
      <x:c r="AP241" s="151" t="str"/>
      <x:c r="AQ241" s="151" t="str"/>
      <x:c r="AR241" s="151" t="str"/>
      <x:c r="AS241" s="196" t="str">
        <x:f>IF(AN241="","",IF(AO241="Cartons",IF(AP241*AQ241=AN241,"OK","CHECK CARTONS / SIZES"),IF(AR241=AN241,"OK","CHECK TOTAL / SIZES")))</x:f>
      </x:c>
      <x:c r="AT241" s="137" t="str"/>
      <x:c r="AU241" s="137" t="str"/>
      <x:c r="AV241" s="137" t="str"/>
      <x:c r="AW241" s="137" t="str"/>
    </x:row>
    <x:row r="242">
      <x:c r="A242" s="137" t="str"/>
      <x:c r="B242" s="137" t="str"/>
      <x:c r="C242" s="137" t="str"/>
      <x:c r="D242" s="137" t="str"/>
      <x:c r="E242" s="138" t="str"/>
      <x:c r="F242" s="138" t="str"/>
      <x:c r="G242" s="137" t="str"/>
      <x:c r="H242" s="137" t="str"/>
      <x:c r="I242" s="137" t="str"/>
      <x:c r="J242" s="137" t="str"/>
      <x:c r="K242" s="137" t="str"/>
      <x:c r="L242" s="137" t="str"/>
      <x:c r="M242" s="137" t="str"/>
      <x:c r="N242" s="137" t="str"/>
      <x:c r="O242" s="137" t="str"/>
      <x:c r="P242" s="137" t="str"/>
      <x:c r="Q242" s="137" t="str"/>
      <x:c r="R242" s="137" t="str"/>
      <x:c r="S242" s="151" t="str"/>
      <x:c r="T242" s="151" t="str"/>
      <x:c r="U242" s="151" t="str"/>
      <x:c r="V242" s="151" t="str"/>
      <x:c r="W242" s="151" t="str"/>
      <x:c r="X242" s="151" t="str"/>
      <x:c r="Y242" s="151" t="str"/>
      <x:c r="Z242" s="151" t="str"/>
      <x:c r="AA242" s="151" t="str"/>
      <x:c r="AB242" s="151" t="str"/>
      <x:c r="AC242" s="151" t="str"/>
      <x:c r="AD242" s="151" t="str"/>
      <x:c r="AE242" s="151" t="str"/>
      <x:c r="AF242" s="151" t="str"/>
      <x:c r="AG242" s="151" t="str"/>
      <x:c r="AH242" s="151" t="str"/>
      <x:c r="AI242" s="151" t="str"/>
      <x:c r="AJ242" s="151" t="str"/>
      <x:c r="AK242" s="151" t="str"/>
      <x:c r="AL242" s="151" t="str"/>
      <x:c r="AM242" s="151" t="str"/>
      <x:c r="AN242" s="152" t="n">
        <x:f>IF(COUNTA(S242:AM242)=0,"",SUM(S242:AM242))</x:f>
        <x:v>0</x:v>
      </x:c>
      <x:c r="AO242" s="151" t="str"/>
      <x:c r="AP242" s="151" t="str"/>
      <x:c r="AQ242" s="151" t="str"/>
      <x:c r="AR242" s="151" t="str"/>
      <x:c r="AS242" s="196" t="str">
        <x:f>IF(AN242="","",IF(AO242="Cartons",IF(AP242*AQ242=AN242,"OK","CHECK CARTONS / SIZES"),IF(AR242=AN242,"OK","CHECK TOTAL / SIZES")))</x:f>
      </x:c>
      <x:c r="AT242" s="137" t="str"/>
      <x:c r="AU242" s="137" t="str"/>
      <x:c r="AV242" s="137" t="str"/>
      <x:c r="AW242" s="137" t="str"/>
    </x:row>
    <x:row r="243">
      <x:c r="A243" s="137" t="str"/>
      <x:c r="B243" s="137" t="str"/>
      <x:c r="C243" s="137" t="str"/>
      <x:c r="D243" s="137" t="str"/>
      <x:c r="E243" s="138" t="str"/>
      <x:c r="F243" s="138" t="str"/>
      <x:c r="G243" s="137" t="str"/>
      <x:c r="H243" s="137" t="str"/>
      <x:c r="I243" s="137" t="str"/>
      <x:c r="J243" s="137" t="str"/>
      <x:c r="K243" s="137" t="str"/>
      <x:c r="L243" s="137" t="str"/>
      <x:c r="M243" s="137" t="str"/>
      <x:c r="N243" s="137" t="str"/>
      <x:c r="O243" s="137" t="str"/>
      <x:c r="P243" s="137" t="str"/>
      <x:c r="Q243" s="137" t="str"/>
      <x:c r="R243" s="137" t="str"/>
      <x:c r="S243" s="151" t="str"/>
      <x:c r="T243" s="151" t="str"/>
      <x:c r="U243" s="151" t="str"/>
      <x:c r="V243" s="151" t="str"/>
      <x:c r="W243" s="151" t="str"/>
      <x:c r="X243" s="151" t="str"/>
      <x:c r="Y243" s="151" t="str"/>
      <x:c r="Z243" s="151" t="str"/>
      <x:c r="AA243" s="151" t="str"/>
      <x:c r="AB243" s="151" t="str"/>
      <x:c r="AC243" s="151" t="str"/>
      <x:c r="AD243" s="151" t="str"/>
      <x:c r="AE243" s="151" t="str"/>
      <x:c r="AF243" s="151" t="str"/>
      <x:c r="AG243" s="151" t="str"/>
      <x:c r="AH243" s="151" t="str"/>
      <x:c r="AI243" s="151" t="str"/>
      <x:c r="AJ243" s="151" t="str"/>
      <x:c r="AK243" s="151" t="str"/>
      <x:c r="AL243" s="151" t="str"/>
      <x:c r="AM243" s="151" t="str"/>
      <x:c r="AN243" s="152" t="n">
        <x:f>IF(COUNTA(S243:AM243)=0,"",SUM(S243:AM243))</x:f>
        <x:v>0</x:v>
      </x:c>
      <x:c r="AO243" s="151" t="str"/>
      <x:c r="AP243" s="151" t="str"/>
      <x:c r="AQ243" s="151" t="str"/>
      <x:c r="AR243" s="151" t="str"/>
      <x:c r="AS243" s="196" t="str">
        <x:f>IF(AN243="","",IF(AO243="Cartons",IF(AP243*AQ243=AN243,"OK","CHECK CARTONS / SIZES"),IF(AR243=AN243,"OK","CHECK TOTAL / SIZES")))</x:f>
      </x:c>
      <x:c r="AT243" s="137" t="str"/>
      <x:c r="AU243" s="137" t="str"/>
      <x:c r="AV243" s="137" t="str"/>
      <x:c r="AW243" s="137" t="str"/>
    </x:row>
    <x:row r="244">
      <x:c r="A244" s="137" t="str"/>
      <x:c r="B244" s="137" t="str"/>
      <x:c r="C244" s="137" t="str"/>
      <x:c r="D244" s="137" t="str"/>
      <x:c r="E244" s="138" t="str"/>
      <x:c r="F244" s="138" t="str"/>
      <x:c r="G244" s="137" t="str"/>
      <x:c r="H244" s="137" t="str"/>
      <x:c r="I244" s="137" t="str"/>
      <x:c r="J244" s="137" t="str"/>
      <x:c r="K244" s="137" t="str"/>
      <x:c r="L244" s="137" t="str"/>
      <x:c r="M244" s="137" t="str"/>
      <x:c r="N244" s="137" t="str"/>
      <x:c r="O244" s="137" t="str"/>
      <x:c r="P244" s="137" t="str"/>
      <x:c r="Q244" s="137" t="str"/>
      <x:c r="R244" s="137" t="str"/>
      <x:c r="S244" s="151" t="str"/>
      <x:c r="T244" s="151" t="str"/>
      <x:c r="U244" s="151" t="str"/>
      <x:c r="V244" s="151" t="str"/>
      <x:c r="W244" s="151" t="str"/>
      <x:c r="X244" s="151" t="str"/>
      <x:c r="Y244" s="151" t="str"/>
      <x:c r="Z244" s="151" t="str"/>
      <x:c r="AA244" s="151" t="str"/>
      <x:c r="AB244" s="151" t="str"/>
      <x:c r="AC244" s="151" t="str"/>
      <x:c r="AD244" s="151" t="str"/>
      <x:c r="AE244" s="151" t="str"/>
      <x:c r="AF244" s="151" t="str"/>
      <x:c r="AG244" s="151" t="str"/>
      <x:c r="AH244" s="151" t="str"/>
      <x:c r="AI244" s="151" t="str"/>
      <x:c r="AJ244" s="151" t="str"/>
      <x:c r="AK244" s="151" t="str"/>
      <x:c r="AL244" s="151" t="str"/>
      <x:c r="AM244" s="151" t="str"/>
      <x:c r="AN244" s="152" t="n">
        <x:f>IF(COUNTA(S244:AM244)=0,"",SUM(S244:AM244))</x:f>
        <x:v>0</x:v>
      </x:c>
      <x:c r="AO244" s="151" t="str"/>
      <x:c r="AP244" s="151" t="str"/>
      <x:c r="AQ244" s="151" t="str"/>
      <x:c r="AR244" s="151" t="str"/>
      <x:c r="AS244" s="196" t="str">
        <x:f>IF(AN244="","",IF(AO244="Cartons",IF(AP244*AQ244=AN244,"OK","CHECK CARTONS / SIZES"),IF(AR244=AN244,"OK","CHECK TOTAL / SIZES")))</x:f>
      </x:c>
      <x:c r="AT244" s="137" t="str"/>
      <x:c r="AU244" s="137" t="str"/>
      <x:c r="AV244" s="137" t="str"/>
      <x:c r="AW244" s="137" t="str"/>
    </x:row>
    <x:row r="245">
      <x:c r="A245" s="137" t="str"/>
      <x:c r="B245" s="137" t="str"/>
      <x:c r="C245" s="137" t="str"/>
      <x:c r="D245" s="137" t="str"/>
      <x:c r="E245" s="138" t="str"/>
      <x:c r="F245" s="138" t="str"/>
      <x:c r="G245" s="137" t="str"/>
      <x:c r="H245" s="137" t="str"/>
      <x:c r="I245" s="137" t="str"/>
      <x:c r="J245" s="137" t="str"/>
      <x:c r="K245" s="137" t="str"/>
      <x:c r="L245" s="137" t="str"/>
      <x:c r="M245" s="137" t="str"/>
      <x:c r="N245" s="137" t="str"/>
      <x:c r="O245" s="137" t="str"/>
      <x:c r="P245" s="137" t="str"/>
      <x:c r="Q245" s="137" t="str"/>
      <x:c r="R245" s="137" t="str"/>
      <x:c r="S245" s="151" t="str"/>
      <x:c r="T245" s="151" t="str"/>
      <x:c r="U245" s="151" t="str"/>
      <x:c r="V245" s="151" t="str"/>
      <x:c r="W245" s="151" t="str"/>
      <x:c r="X245" s="151" t="str"/>
      <x:c r="Y245" s="151" t="str"/>
      <x:c r="Z245" s="151" t="str"/>
      <x:c r="AA245" s="151" t="str"/>
      <x:c r="AB245" s="151" t="str"/>
      <x:c r="AC245" s="151" t="str"/>
      <x:c r="AD245" s="151" t="str"/>
      <x:c r="AE245" s="151" t="str"/>
      <x:c r="AF245" s="151" t="str"/>
      <x:c r="AG245" s="151" t="str"/>
      <x:c r="AH245" s="151" t="str"/>
      <x:c r="AI245" s="151" t="str"/>
      <x:c r="AJ245" s="151" t="str"/>
      <x:c r="AK245" s="151" t="str"/>
      <x:c r="AL245" s="151" t="str"/>
      <x:c r="AM245" s="151" t="str"/>
      <x:c r="AN245" s="152" t="n">
        <x:f>IF(COUNTA(S245:AM245)=0,"",SUM(S245:AM245))</x:f>
        <x:v>0</x:v>
      </x:c>
      <x:c r="AO245" s="151" t="str"/>
      <x:c r="AP245" s="151" t="str"/>
      <x:c r="AQ245" s="151" t="str"/>
      <x:c r="AR245" s="151" t="str"/>
      <x:c r="AS245" s="196" t="str">
        <x:f>IF(AN245="","",IF(AO245="Cartons",IF(AP245*AQ245=AN245,"OK","CHECK CARTONS / SIZES"),IF(AR245=AN245,"OK","CHECK TOTAL / SIZES")))</x:f>
      </x:c>
      <x:c r="AT245" s="137" t="str"/>
      <x:c r="AU245" s="137" t="str"/>
      <x:c r="AV245" s="137" t="str"/>
      <x:c r="AW245" s="137" t="str"/>
    </x:row>
    <x:row r="246">
      <x:c r="A246" s="137" t="str"/>
      <x:c r="B246" s="137" t="str"/>
      <x:c r="C246" s="137" t="str"/>
      <x:c r="D246" s="137" t="str"/>
      <x:c r="E246" s="138" t="str"/>
      <x:c r="F246" s="138" t="str"/>
      <x:c r="G246" s="137" t="str"/>
      <x:c r="H246" s="137" t="str"/>
      <x:c r="I246" s="137" t="str"/>
      <x:c r="J246" s="137" t="str"/>
      <x:c r="K246" s="137" t="str"/>
      <x:c r="L246" s="137" t="str"/>
      <x:c r="M246" s="137" t="str"/>
      <x:c r="N246" s="137" t="str"/>
      <x:c r="O246" s="137" t="str"/>
      <x:c r="P246" s="137" t="str"/>
      <x:c r="Q246" s="137" t="str"/>
      <x:c r="R246" s="137" t="str"/>
      <x:c r="S246" s="151" t="str"/>
      <x:c r="T246" s="151" t="str"/>
      <x:c r="U246" s="151" t="str"/>
      <x:c r="V246" s="151" t="str"/>
      <x:c r="W246" s="151" t="str"/>
      <x:c r="X246" s="151" t="str"/>
      <x:c r="Y246" s="151" t="str"/>
      <x:c r="Z246" s="151" t="str"/>
      <x:c r="AA246" s="151" t="str"/>
      <x:c r="AB246" s="151" t="str"/>
      <x:c r="AC246" s="151" t="str"/>
      <x:c r="AD246" s="151" t="str"/>
      <x:c r="AE246" s="151" t="str"/>
      <x:c r="AF246" s="151" t="str"/>
      <x:c r="AG246" s="151" t="str"/>
      <x:c r="AH246" s="151" t="str"/>
      <x:c r="AI246" s="151" t="str"/>
      <x:c r="AJ246" s="151" t="str"/>
      <x:c r="AK246" s="151" t="str"/>
      <x:c r="AL246" s="151" t="str"/>
      <x:c r="AM246" s="151" t="str"/>
      <x:c r="AN246" s="152" t="n">
        <x:f>IF(COUNTA(S246:AM246)=0,"",SUM(S246:AM246))</x:f>
        <x:v>0</x:v>
      </x:c>
      <x:c r="AO246" s="151" t="str"/>
      <x:c r="AP246" s="151" t="str"/>
      <x:c r="AQ246" s="151" t="str"/>
      <x:c r="AR246" s="151" t="str"/>
      <x:c r="AS246" s="196" t="str">
        <x:f>IF(AN246="","",IF(AO246="Cartons",IF(AP246*AQ246=AN246,"OK","CHECK CARTONS / SIZES"),IF(AR246=AN246,"OK","CHECK TOTAL / SIZES")))</x:f>
      </x:c>
      <x:c r="AT246" s="137" t="str"/>
      <x:c r="AU246" s="137" t="str"/>
      <x:c r="AV246" s="137" t="str"/>
      <x:c r="AW246" s="137" t="str"/>
    </x:row>
    <x:row r="247">
      <x:c r="A247" s="137" t="str"/>
      <x:c r="B247" s="137" t="str"/>
      <x:c r="C247" s="137" t="str"/>
      <x:c r="D247" s="137" t="str"/>
      <x:c r="E247" s="138" t="str"/>
      <x:c r="F247" s="138" t="str"/>
      <x:c r="G247" s="137" t="str"/>
      <x:c r="H247" s="137" t="str"/>
      <x:c r="I247" s="137" t="str"/>
      <x:c r="J247" s="137" t="str"/>
      <x:c r="K247" s="137" t="str"/>
      <x:c r="L247" s="137" t="str"/>
      <x:c r="M247" s="137" t="str"/>
      <x:c r="N247" s="137" t="str"/>
      <x:c r="O247" s="137" t="str"/>
      <x:c r="P247" s="137" t="str"/>
      <x:c r="Q247" s="137" t="str"/>
      <x:c r="R247" s="137" t="str"/>
      <x:c r="S247" s="151" t="str"/>
      <x:c r="T247" s="151" t="str"/>
      <x:c r="U247" s="151" t="str"/>
      <x:c r="V247" s="151" t="str"/>
      <x:c r="W247" s="151" t="str"/>
      <x:c r="X247" s="151" t="str"/>
      <x:c r="Y247" s="151" t="str"/>
      <x:c r="Z247" s="151" t="str"/>
      <x:c r="AA247" s="151" t="str"/>
      <x:c r="AB247" s="151" t="str"/>
      <x:c r="AC247" s="151" t="str"/>
      <x:c r="AD247" s="151" t="str"/>
      <x:c r="AE247" s="151" t="str"/>
      <x:c r="AF247" s="151" t="str"/>
      <x:c r="AG247" s="151" t="str"/>
      <x:c r="AH247" s="151" t="str"/>
      <x:c r="AI247" s="151" t="str"/>
      <x:c r="AJ247" s="151" t="str"/>
      <x:c r="AK247" s="151" t="str"/>
      <x:c r="AL247" s="151" t="str"/>
      <x:c r="AM247" s="151" t="str"/>
      <x:c r="AN247" s="152" t="n">
        <x:f>IF(COUNTA(S247:AM247)=0,"",SUM(S247:AM247))</x:f>
        <x:v>0</x:v>
      </x:c>
      <x:c r="AO247" s="151" t="str"/>
      <x:c r="AP247" s="151" t="str"/>
      <x:c r="AQ247" s="151" t="str"/>
      <x:c r="AR247" s="151" t="str"/>
      <x:c r="AS247" s="196" t="str">
        <x:f>IF(AN247="","",IF(AO247="Cartons",IF(AP247*AQ247=AN247,"OK","CHECK CARTONS / SIZES"),IF(AR247=AN247,"OK","CHECK TOTAL / SIZES")))</x:f>
      </x:c>
      <x:c r="AT247" s="137" t="str"/>
      <x:c r="AU247" s="137" t="str"/>
      <x:c r="AV247" s="137" t="str"/>
      <x:c r="AW247" s="137" t="str"/>
    </x:row>
    <x:row r="248">
      <x:c r="A248" s="137" t="str"/>
      <x:c r="B248" s="137" t="str"/>
      <x:c r="C248" s="137" t="str"/>
      <x:c r="D248" s="137" t="str"/>
      <x:c r="E248" s="138" t="str"/>
      <x:c r="F248" s="138" t="str"/>
      <x:c r="G248" s="137" t="str"/>
      <x:c r="H248" s="137" t="str"/>
      <x:c r="I248" s="137" t="str"/>
      <x:c r="J248" s="137" t="str"/>
      <x:c r="K248" s="137" t="str"/>
      <x:c r="L248" s="137" t="str"/>
      <x:c r="M248" s="137" t="str"/>
      <x:c r="N248" s="137" t="str"/>
      <x:c r="O248" s="137" t="str"/>
      <x:c r="P248" s="137" t="str"/>
      <x:c r="Q248" s="137" t="str"/>
      <x:c r="R248" s="137" t="str"/>
      <x:c r="S248" s="151" t="str"/>
      <x:c r="T248" s="151" t="str"/>
      <x:c r="U248" s="151" t="str"/>
      <x:c r="V248" s="151" t="str"/>
      <x:c r="W248" s="151" t="str"/>
      <x:c r="X248" s="151" t="str"/>
      <x:c r="Y248" s="151" t="str"/>
      <x:c r="Z248" s="151" t="str"/>
      <x:c r="AA248" s="151" t="str"/>
      <x:c r="AB248" s="151" t="str"/>
      <x:c r="AC248" s="151" t="str"/>
      <x:c r="AD248" s="151" t="str"/>
      <x:c r="AE248" s="151" t="str"/>
      <x:c r="AF248" s="151" t="str"/>
      <x:c r="AG248" s="151" t="str"/>
      <x:c r="AH248" s="151" t="str"/>
      <x:c r="AI248" s="151" t="str"/>
      <x:c r="AJ248" s="151" t="str"/>
      <x:c r="AK248" s="151" t="str"/>
      <x:c r="AL248" s="151" t="str"/>
      <x:c r="AM248" s="151" t="str"/>
      <x:c r="AN248" s="152" t="n">
        <x:f>IF(COUNTA(S248:AM248)=0,"",SUM(S248:AM248))</x:f>
        <x:v>0</x:v>
      </x:c>
      <x:c r="AO248" s="151" t="str"/>
      <x:c r="AP248" s="151" t="str"/>
      <x:c r="AQ248" s="151" t="str"/>
      <x:c r="AR248" s="151" t="str"/>
      <x:c r="AS248" s="196" t="str">
        <x:f>IF(AN248="","",IF(AO248="Cartons",IF(AP248*AQ248=AN248,"OK","CHECK CARTONS / SIZES"),IF(AR248=AN248,"OK","CHECK TOTAL / SIZES")))</x:f>
      </x:c>
      <x:c r="AT248" s="137" t="str"/>
      <x:c r="AU248" s="137" t="str"/>
      <x:c r="AV248" s="137" t="str"/>
      <x:c r="AW248" s="137" t="str"/>
    </x:row>
    <x:row r="249">
      <x:c r="A249" s="137" t="str"/>
      <x:c r="B249" s="137" t="str"/>
      <x:c r="C249" s="137" t="str"/>
      <x:c r="D249" s="137" t="str"/>
      <x:c r="E249" s="138" t="str"/>
      <x:c r="F249" s="138" t="str"/>
      <x:c r="G249" s="137" t="str"/>
      <x:c r="H249" s="137" t="str"/>
      <x:c r="I249" s="137" t="str"/>
      <x:c r="J249" s="137" t="str"/>
      <x:c r="K249" s="137" t="str"/>
      <x:c r="L249" s="137" t="str"/>
      <x:c r="M249" s="137" t="str"/>
      <x:c r="N249" s="137" t="str"/>
      <x:c r="O249" s="137" t="str"/>
      <x:c r="P249" s="137" t="str"/>
      <x:c r="Q249" s="137" t="str"/>
      <x:c r="R249" s="137" t="str"/>
      <x:c r="S249" s="151" t="str"/>
      <x:c r="T249" s="151" t="str"/>
      <x:c r="U249" s="151" t="str"/>
      <x:c r="V249" s="151" t="str"/>
      <x:c r="W249" s="151" t="str"/>
      <x:c r="X249" s="151" t="str"/>
      <x:c r="Y249" s="151" t="str"/>
      <x:c r="Z249" s="151" t="str"/>
      <x:c r="AA249" s="151" t="str"/>
      <x:c r="AB249" s="151" t="str"/>
      <x:c r="AC249" s="151" t="str"/>
      <x:c r="AD249" s="151" t="str"/>
      <x:c r="AE249" s="151" t="str"/>
      <x:c r="AF249" s="151" t="str"/>
      <x:c r="AG249" s="151" t="str"/>
      <x:c r="AH249" s="151" t="str"/>
      <x:c r="AI249" s="151" t="str"/>
      <x:c r="AJ249" s="151" t="str"/>
      <x:c r="AK249" s="151" t="str"/>
      <x:c r="AL249" s="151" t="str"/>
      <x:c r="AM249" s="151" t="str"/>
      <x:c r="AN249" s="152" t="n">
        <x:f>IF(COUNTA(S249:AM249)=0,"",SUM(S249:AM249))</x:f>
        <x:v>0</x:v>
      </x:c>
      <x:c r="AO249" s="151" t="str"/>
      <x:c r="AP249" s="151" t="str"/>
      <x:c r="AQ249" s="151" t="str"/>
      <x:c r="AR249" s="151" t="str"/>
      <x:c r="AS249" s="196" t="str">
        <x:f>IF(AN249="","",IF(AO249="Cartons",IF(AP249*AQ249=AN249,"OK","CHECK CARTONS / SIZES"),IF(AR249=AN249,"OK","CHECK TOTAL / SIZES")))</x:f>
      </x:c>
      <x:c r="AT249" s="137" t="str"/>
      <x:c r="AU249" s="137" t="str"/>
      <x:c r="AV249" s="137" t="str"/>
      <x:c r="AW249" s="137" t="str"/>
    </x:row>
    <x:row r="250">
      <x:c r="A250" s="137" t="str"/>
      <x:c r="B250" s="137" t="str"/>
      <x:c r="C250" s="137" t="str"/>
      <x:c r="D250" s="137" t="str"/>
      <x:c r="E250" s="138" t="str"/>
      <x:c r="F250" s="138" t="str"/>
      <x:c r="G250" s="137" t="str"/>
      <x:c r="H250" s="137" t="str"/>
      <x:c r="I250" s="137" t="str"/>
      <x:c r="J250" s="137" t="str"/>
      <x:c r="K250" s="137" t="str"/>
      <x:c r="L250" s="137" t="str"/>
      <x:c r="M250" s="137" t="str"/>
      <x:c r="N250" s="137" t="str"/>
      <x:c r="O250" s="137" t="str"/>
      <x:c r="P250" s="137" t="str"/>
      <x:c r="Q250" s="137" t="str"/>
      <x:c r="R250" s="137" t="str"/>
      <x:c r="S250" s="151" t="str"/>
      <x:c r="T250" s="151" t="str"/>
      <x:c r="U250" s="151" t="str"/>
      <x:c r="V250" s="151" t="str"/>
      <x:c r="W250" s="151" t="str"/>
      <x:c r="X250" s="151" t="str"/>
      <x:c r="Y250" s="151" t="str"/>
      <x:c r="Z250" s="151" t="str"/>
      <x:c r="AA250" s="151" t="str"/>
      <x:c r="AB250" s="151" t="str"/>
      <x:c r="AC250" s="151" t="str"/>
      <x:c r="AD250" s="151" t="str"/>
      <x:c r="AE250" s="151" t="str"/>
      <x:c r="AF250" s="151" t="str"/>
      <x:c r="AG250" s="151" t="str"/>
      <x:c r="AH250" s="151" t="str"/>
      <x:c r="AI250" s="151" t="str"/>
      <x:c r="AJ250" s="151" t="str"/>
      <x:c r="AK250" s="151" t="str"/>
      <x:c r="AL250" s="151" t="str"/>
      <x:c r="AM250" s="151" t="str"/>
      <x:c r="AN250" s="152" t="n">
        <x:f>IF(COUNTA(S250:AM250)=0,"",SUM(S250:AM250))</x:f>
        <x:v>0</x:v>
      </x:c>
      <x:c r="AO250" s="151" t="str"/>
      <x:c r="AP250" s="151" t="str"/>
      <x:c r="AQ250" s="151" t="str"/>
      <x:c r="AR250" s="151" t="str"/>
      <x:c r="AS250" s="196" t="str">
        <x:f>IF(AN250="","",IF(AO250="Cartons",IF(AP250*AQ250=AN250,"OK","CHECK CARTONS / SIZES"),IF(AR250=AN250,"OK","CHECK TOTAL / SIZES")))</x:f>
      </x:c>
      <x:c r="AT250" s="137" t="str"/>
      <x:c r="AU250" s="137" t="str"/>
      <x:c r="AV250" s="137" t="str"/>
      <x:c r="AW250" s="137" t="str"/>
    </x:row>
    <x:row r="251">
      <x:c r="A251" s="137" t="str"/>
      <x:c r="B251" s="137" t="str"/>
      <x:c r="C251" s="137" t="str"/>
      <x:c r="D251" s="137" t="str"/>
      <x:c r="E251" s="138" t="str"/>
      <x:c r="F251" s="138" t="str"/>
      <x:c r="G251" s="137" t="str"/>
      <x:c r="H251" s="137" t="str"/>
      <x:c r="I251" s="137" t="str"/>
      <x:c r="J251" s="137" t="str"/>
      <x:c r="K251" s="137" t="str"/>
      <x:c r="L251" s="137" t="str"/>
      <x:c r="M251" s="137" t="str"/>
      <x:c r="N251" s="137" t="str"/>
      <x:c r="O251" s="137" t="str"/>
      <x:c r="P251" s="137" t="str"/>
      <x:c r="Q251" s="137" t="str"/>
      <x:c r="R251" s="137" t="str"/>
      <x:c r="S251" s="151" t="str"/>
      <x:c r="T251" s="151" t="str"/>
      <x:c r="U251" s="151" t="str"/>
      <x:c r="V251" s="151" t="str"/>
      <x:c r="W251" s="151" t="str"/>
      <x:c r="X251" s="151" t="str"/>
      <x:c r="Y251" s="151" t="str"/>
      <x:c r="Z251" s="151" t="str"/>
      <x:c r="AA251" s="151" t="str"/>
      <x:c r="AB251" s="151" t="str"/>
      <x:c r="AC251" s="151" t="str"/>
      <x:c r="AD251" s="151" t="str"/>
      <x:c r="AE251" s="151" t="str"/>
      <x:c r="AF251" s="151" t="str"/>
      <x:c r="AG251" s="151" t="str"/>
      <x:c r="AH251" s="151" t="str"/>
      <x:c r="AI251" s="151" t="str"/>
      <x:c r="AJ251" s="151" t="str"/>
      <x:c r="AK251" s="151" t="str"/>
      <x:c r="AL251" s="151" t="str"/>
      <x:c r="AM251" s="151" t="str"/>
      <x:c r="AN251" s="152" t="n">
        <x:f>IF(COUNTA(S251:AM251)=0,"",SUM(S251:AM251))</x:f>
        <x:v>0</x:v>
      </x:c>
      <x:c r="AO251" s="151" t="str"/>
      <x:c r="AP251" s="151" t="str"/>
      <x:c r="AQ251" s="151" t="str"/>
      <x:c r="AR251" s="151" t="str"/>
      <x:c r="AS251" s="196" t="str">
        <x:f>IF(AN251="","",IF(AO251="Cartons",IF(AP251*AQ251=AN251,"OK","CHECK CARTONS / SIZES"),IF(AR251=AN251,"OK","CHECK TOTAL / SIZES")))</x:f>
      </x:c>
      <x:c r="AT251" s="137" t="str"/>
      <x:c r="AU251" s="137" t="str"/>
      <x:c r="AV251" s="137" t="str"/>
      <x:c r="AW251" s="137" t="str"/>
    </x:row>
    <x:row r="252">
      <x:c r="A252" s="137" t="str"/>
      <x:c r="B252" s="137" t="str"/>
      <x:c r="C252" s="137" t="str"/>
      <x:c r="D252" s="137" t="str"/>
      <x:c r="E252" s="138" t="str"/>
      <x:c r="F252" s="138" t="str"/>
      <x:c r="G252" s="137" t="str"/>
      <x:c r="H252" s="137" t="str"/>
      <x:c r="I252" s="137" t="str"/>
      <x:c r="J252" s="137" t="str"/>
      <x:c r="K252" s="137" t="str"/>
      <x:c r="L252" s="137" t="str"/>
      <x:c r="M252" s="137" t="str"/>
      <x:c r="N252" s="137" t="str"/>
      <x:c r="O252" s="137" t="str"/>
      <x:c r="P252" s="137" t="str"/>
      <x:c r="Q252" s="137" t="str"/>
      <x:c r="R252" s="137" t="str"/>
      <x:c r="S252" s="151" t="str"/>
      <x:c r="T252" s="151" t="str"/>
      <x:c r="U252" s="151" t="str"/>
      <x:c r="V252" s="151" t="str"/>
      <x:c r="W252" s="151" t="str"/>
      <x:c r="X252" s="151" t="str"/>
      <x:c r="Y252" s="151" t="str"/>
      <x:c r="Z252" s="151" t="str"/>
      <x:c r="AA252" s="151" t="str"/>
      <x:c r="AB252" s="151" t="str"/>
      <x:c r="AC252" s="151" t="str"/>
      <x:c r="AD252" s="151" t="str"/>
      <x:c r="AE252" s="151" t="str"/>
      <x:c r="AF252" s="151" t="str"/>
      <x:c r="AG252" s="151" t="str"/>
      <x:c r="AH252" s="151" t="str"/>
      <x:c r="AI252" s="151" t="str"/>
      <x:c r="AJ252" s="151" t="str"/>
      <x:c r="AK252" s="151" t="str"/>
      <x:c r="AL252" s="151" t="str"/>
      <x:c r="AM252" s="151" t="str"/>
      <x:c r="AN252" s="152" t="n">
        <x:f>IF(COUNTA(S252:AM252)=0,"",SUM(S252:AM252))</x:f>
        <x:v>0</x:v>
      </x:c>
      <x:c r="AO252" s="151" t="str"/>
      <x:c r="AP252" s="151" t="str"/>
      <x:c r="AQ252" s="151" t="str"/>
      <x:c r="AR252" s="151" t="str"/>
      <x:c r="AS252" s="196" t="str">
        <x:f>IF(AN252="","",IF(AO252="Cartons",IF(AP252*AQ252=AN252,"OK","CHECK CARTONS / SIZES"),IF(AR252=AN252,"OK","CHECK TOTAL / SIZES")))</x:f>
      </x:c>
      <x:c r="AT252" s="137" t="str"/>
      <x:c r="AU252" s="137" t="str"/>
      <x:c r="AV252" s="137" t="str"/>
      <x:c r="AW252" s="137" t="str"/>
    </x:row>
    <x:row r="253">
      <x:c r="A253" s="137" t="str"/>
      <x:c r="B253" s="137" t="str"/>
      <x:c r="C253" s="137" t="str"/>
      <x:c r="D253" s="137" t="str"/>
      <x:c r="E253" s="138" t="str"/>
      <x:c r="F253" s="138" t="str"/>
      <x:c r="G253" s="137" t="str"/>
      <x:c r="H253" s="137" t="str"/>
      <x:c r="I253" s="137" t="str"/>
      <x:c r="J253" s="137" t="str"/>
      <x:c r="K253" s="137" t="str"/>
      <x:c r="L253" s="137" t="str"/>
      <x:c r="M253" s="137" t="str"/>
      <x:c r="N253" s="137" t="str"/>
      <x:c r="O253" s="137" t="str"/>
      <x:c r="P253" s="137" t="str"/>
      <x:c r="Q253" s="137" t="str"/>
      <x:c r="R253" s="137" t="str"/>
      <x:c r="S253" s="151" t="str"/>
      <x:c r="T253" s="151" t="str"/>
      <x:c r="U253" s="151" t="str"/>
      <x:c r="V253" s="151" t="str"/>
      <x:c r="W253" s="151" t="str"/>
      <x:c r="X253" s="151" t="str"/>
      <x:c r="Y253" s="151" t="str"/>
      <x:c r="Z253" s="151" t="str"/>
      <x:c r="AA253" s="151" t="str"/>
      <x:c r="AB253" s="151" t="str"/>
      <x:c r="AC253" s="151" t="str"/>
      <x:c r="AD253" s="151" t="str"/>
      <x:c r="AE253" s="151" t="str"/>
      <x:c r="AF253" s="151" t="str"/>
      <x:c r="AG253" s="151" t="str"/>
      <x:c r="AH253" s="151" t="str"/>
      <x:c r="AI253" s="151" t="str"/>
      <x:c r="AJ253" s="151" t="str"/>
      <x:c r="AK253" s="151" t="str"/>
      <x:c r="AL253" s="151" t="str"/>
      <x:c r="AM253" s="151" t="str"/>
      <x:c r="AN253" s="152" t="n">
        <x:f>IF(COUNTA(S253:AM253)=0,"",SUM(S253:AM253))</x:f>
        <x:v>0</x:v>
      </x:c>
      <x:c r="AO253" s="151" t="str"/>
      <x:c r="AP253" s="151" t="str"/>
      <x:c r="AQ253" s="151" t="str"/>
      <x:c r="AR253" s="151" t="str"/>
      <x:c r="AS253" s="196" t="str">
        <x:f>IF(AN253="","",IF(AO253="Cartons",IF(AP253*AQ253=AN253,"OK","CHECK CARTONS / SIZES"),IF(AR253=AN253,"OK","CHECK TOTAL / SIZES")))</x:f>
      </x:c>
      <x:c r="AT253" s="137" t="str"/>
      <x:c r="AU253" s="137" t="str"/>
      <x:c r="AV253" s="137" t="str"/>
      <x:c r="AW253" s="137" t="str"/>
    </x:row>
    <x:row r="254">
      <x:c r="A254" s="137" t="str"/>
      <x:c r="B254" s="137" t="str"/>
      <x:c r="C254" s="137" t="str"/>
      <x:c r="D254" s="137" t="str"/>
      <x:c r="E254" s="138" t="str"/>
      <x:c r="F254" s="138" t="str"/>
      <x:c r="G254" s="137" t="str"/>
      <x:c r="H254" s="137" t="str"/>
      <x:c r="I254" s="137" t="str"/>
      <x:c r="J254" s="137" t="str"/>
      <x:c r="K254" s="137" t="str"/>
      <x:c r="L254" s="137" t="str"/>
      <x:c r="M254" s="137" t="str"/>
      <x:c r="N254" s="137" t="str"/>
      <x:c r="O254" s="137" t="str"/>
      <x:c r="P254" s="137" t="str"/>
      <x:c r="Q254" s="137" t="str"/>
      <x:c r="R254" s="137" t="str"/>
      <x:c r="S254" s="151" t="str"/>
      <x:c r="T254" s="151" t="str"/>
      <x:c r="U254" s="151" t="str"/>
      <x:c r="V254" s="151" t="str"/>
      <x:c r="W254" s="151" t="str"/>
      <x:c r="X254" s="151" t="str"/>
      <x:c r="Y254" s="151" t="str"/>
      <x:c r="Z254" s="151" t="str"/>
      <x:c r="AA254" s="151" t="str"/>
      <x:c r="AB254" s="151" t="str"/>
      <x:c r="AC254" s="151" t="str"/>
      <x:c r="AD254" s="151" t="str"/>
      <x:c r="AE254" s="151" t="str"/>
      <x:c r="AF254" s="151" t="str"/>
      <x:c r="AG254" s="151" t="str"/>
      <x:c r="AH254" s="151" t="str"/>
      <x:c r="AI254" s="151" t="str"/>
      <x:c r="AJ254" s="151" t="str"/>
      <x:c r="AK254" s="151" t="str"/>
      <x:c r="AL254" s="151" t="str"/>
      <x:c r="AM254" s="151" t="str"/>
      <x:c r="AN254" s="152" t="n">
        <x:f>IF(COUNTA(S254:AM254)=0,"",SUM(S254:AM254))</x:f>
        <x:v>0</x:v>
      </x:c>
      <x:c r="AO254" s="151" t="str"/>
      <x:c r="AP254" s="151" t="str"/>
      <x:c r="AQ254" s="151" t="str"/>
      <x:c r="AR254" s="151" t="str"/>
      <x:c r="AS254" s="196" t="str">
        <x:f>IF(AN254="","",IF(AO254="Cartons",IF(AP254*AQ254=AN254,"OK","CHECK CARTONS / SIZES"),IF(AR254=AN254,"OK","CHECK TOTAL / SIZES")))</x:f>
      </x:c>
      <x:c r="AT254" s="137" t="str"/>
      <x:c r="AU254" s="137" t="str"/>
      <x:c r="AV254" s="137" t="str"/>
      <x:c r="AW254" s="137" t="str"/>
    </x:row>
    <x:row r="255">
      <x:c r="A255" s="137" t="str"/>
      <x:c r="B255" s="137" t="str"/>
      <x:c r="C255" s="137" t="str"/>
      <x:c r="D255" s="137" t="str"/>
      <x:c r="E255" s="138" t="str"/>
      <x:c r="F255" s="138" t="str"/>
      <x:c r="G255" s="137" t="str"/>
      <x:c r="H255" s="137" t="str"/>
      <x:c r="I255" s="137" t="str"/>
      <x:c r="J255" s="137" t="str"/>
      <x:c r="K255" s="137" t="str"/>
      <x:c r="L255" s="137" t="str"/>
      <x:c r="M255" s="137" t="str"/>
      <x:c r="N255" s="137" t="str"/>
      <x:c r="O255" s="137" t="str"/>
      <x:c r="P255" s="137" t="str"/>
      <x:c r="Q255" s="137" t="str"/>
      <x:c r="R255" s="137" t="str"/>
      <x:c r="S255" s="151" t="str"/>
      <x:c r="T255" s="151" t="str"/>
      <x:c r="U255" s="151" t="str"/>
      <x:c r="V255" s="151" t="str"/>
      <x:c r="W255" s="151" t="str"/>
      <x:c r="X255" s="151" t="str"/>
      <x:c r="Y255" s="151" t="str"/>
      <x:c r="Z255" s="151" t="str"/>
      <x:c r="AA255" s="151" t="str"/>
      <x:c r="AB255" s="151" t="str"/>
      <x:c r="AC255" s="151" t="str"/>
      <x:c r="AD255" s="151" t="str"/>
      <x:c r="AE255" s="151" t="str"/>
      <x:c r="AF255" s="151" t="str"/>
      <x:c r="AG255" s="151" t="str"/>
      <x:c r="AH255" s="151" t="str"/>
      <x:c r="AI255" s="151" t="str"/>
      <x:c r="AJ255" s="151" t="str"/>
      <x:c r="AK255" s="151" t="str"/>
      <x:c r="AL255" s="151" t="str"/>
      <x:c r="AM255" s="151" t="str"/>
      <x:c r="AN255" s="152" t="n">
        <x:f>IF(COUNTA(S255:AM255)=0,"",SUM(S255:AM255))</x:f>
        <x:v>0</x:v>
      </x:c>
      <x:c r="AO255" s="151" t="str"/>
      <x:c r="AP255" s="151" t="str"/>
      <x:c r="AQ255" s="151" t="str"/>
      <x:c r="AR255" s="151" t="str"/>
      <x:c r="AS255" s="196" t="str">
        <x:f>IF(AN255="","",IF(AO255="Cartons",IF(AP255*AQ255=AN255,"OK","CHECK CARTONS / SIZES"),IF(AR255=AN255,"OK","CHECK TOTAL / SIZES")))</x:f>
      </x:c>
      <x:c r="AT255" s="137" t="str"/>
      <x:c r="AU255" s="137" t="str"/>
      <x:c r="AV255" s="137" t="str"/>
      <x:c r="AW255" s="137" t="str"/>
    </x:row>
    <x:row r="256">
      <x:c r="A256" s="137" t="str"/>
      <x:c r="B256" s="137" t="str"/>
      <x:c r="C256" s="137" t="str"/>
      <x:c r="D256" s="137" t="str"/>
      <x:c r="E256" s="138" t="str"/>
      <x:c r="F256" s="138" t="str"/>
      <x:c r="G256" s="137" t="str"/>
      <x:c r="H256" s="137" t="str"/>
      <x:c r="I256" s="137" t="str"/>
      <x:c r="J256" s="137" t="str"/>
      <x:c r="K256" s="137" t="str"/>
      <x:c r="L256" s="137" t="str"/>
      <x:c r="M256" s="137" t="str"/>
      <x:c r="N256" s="137" t="str"/>
      <x:c r="O256" s="137" t="str"/>
      <x:c r="P256" s="137" t="str"/>
      <x:c r="Q256" s="137" t="str"/>
      <x:c r="R256" s="137" t="str"/>
      <x:c r="S256" s="151" t="str"/>
      <x:c r="T256" s="151" t="str"/>
      <x:c r="U256" s="151" t="str"/>
      <x:c r="V256" s="151" t="str"/>
      <x:c r="W256" s="151" t="str"/>
      <x:c r="X256" s="151" t="str"/>
      <x:c r="Y256" s="151" t="str"/>
      <x:c r="Z256" s="151" t="str"/>
      <x:c r="AA256" s="151" t="str"/>
      <x:c r="AB256" s="151" t="str"/>
      <x:c r="AC256" s="151" t="str"/>
      <x:c r="AD256" s="151" t="str"/>
      <x:c r="AE256" s="151" t="str"/>
      <x:c r="AF256" s="151" t="str"/>
      <x:c r="AG256" s="151" t="str"/>
      <x:c r="AH256" s="151" t="str"/>
      <x:c r="AI256" s="151" t="str"/>
      <x:c r="AJ256" s="151" t="str"/>
      <x:c r="AK256" s="151" t="str"/>
      <x:c r="AL256" s="151" t="str"/>
      <x:c r="AM256" s="151" t="str"/>
      <x:c r="AN256" s="152" t="n">
        <x:f>IF(COUNTA(S256:AM256)=0,"",SUM(S256:AM256))</x:f>
        <x:v>0</x:v>
      </x:c>
      <x:c r="AO256" s="151" t="str"/>
      <x:c r="AP256" s="151" t="str"/>
      <x:c r="AQ256" s="151" t="str"/>
      <x:c r="AR256" s="151" t="str"/>
      <x:c r="AS256" s="196" t="str">
        <x:f>IF(AN256="","",IF(AO256="Cartons",IF(AP256*AQ256=AN256,"OK","CHECK CARTONS / SIZES"),IF(AR256=AN256,"OK","CHECK TOTAL / SIZES")))</x:f>
      </x:c>
      <x:c r="AT256" s="137" t="str"/>
      <x:c r="AU256" s="137" t="str"/>
      <x:c r="AV256" s="137" t="str"/>
      <x:c r="AW256" s="137" t="str"/>
    </x:row>
    <x:row r="257">
      <x:c r="A257" s="137" t="str"/>
      <x:c r="B257" s="137" t="str"/>
      <x:c r="C257" s="137" t="str"/>
      <x:c r="D257" s="137" t="str"/>
      <x:c r="E257" s="138" t="str"/>
      <x:c r="F257" s="138" t="str"/>
      <x:c r="G257" s="137" t="str"/>
      <x:c r="H257" s="137" t="str"/>
      <x:c r="I257" s="137" t="str"/>
      <x:c r="J257" s="137" t="str"/>
      <x:c r="K257" s="137" t="str"/>
      <x:c r="L257" s="137" t="str"/>
      <x:c r="M257" s="137" t="str"/>
      <x:c r="N257" s="137" t="str"/>
      <x:c r="O257" s="137" t="str"/>
      <x:c r="P257" s="137" t="str"/>
      <x:c r="Q257" s="137" t="str"/>
      <x:c r="R257" s="137" t="str"/>
      <x:c r="S257" s="151" t="str"/>
      <x:c r="T257" s="151" t="str"/>
      <x:c r="U257" s="151" t="str"/>
      <x:c r="V257" s="151" t="str"/>
      <x:c r="W257" s="151" t="str"/>
      <x:c r="X257" s="151" t="str"/>
      <x:c r="Y257" s="151" t="str"/>
      <x:c r="Z257" s="151" t="str"/>
      <x:c r="AA257" s="151" t="str"/>
      <x:c r="AB257" s="151" t="str"/>
      <x:c r="AC257" s="151" t="str"/>
      <x:c r="AD257" s="151" t="str"/>
      <x:c r="AE257" s="151" t="str"/>
      <x:c r="AF257" s="151" t="str"/>
      <x:c r="AG257" s="151" t="str"/>
      <x:c r="AH257" s="151" t="str"/>
      <x:c r="AI257" s="151" t="str"/>
      <x:c r="AJ257" s="151" t="str"/>
      <x:c r="AK257" s="151" t="str"/>
      <x:c r="AL257" s="151" t="str"/>
      <x:c r="AM257" s="151" t="str"/>
      <x:c r="AN257" s="152" t="n">
        <x:f>IF(COUNTA(S257:AM257)=0,"",SUM(S257:AM257))</x:f>
        <x:v>0</x:v>
      </x:c>
      <x:c r="AO257" s="151" t="str"/>
      <x:c r="AP257" s="151" t="str"/>
      <x:c r="AQ257" s="151" t="str"/>
      <x:c r="AR257" s="151" t="str"/>
      <x:c r="AS257" s="196" t="str">
        <x:f>IF(AN257="","",IF(AO257="Cartons",IF(AP257*AQ257=AN257,"OK","CHECK CARTONS / SIZES"),IF(AR257=AN257,"OK","CHECK TOTAL / SIZES")))</x:f>
      </x:c>
      <x:c r="AT257" s="137" t="str"/>
      <x:c r="AU257" s="137" t="str"/>
      <x:c r="AV257" s="137" t="str"/>
      <x:c r="AW257" s="137" t="str"/>
    </x:row>
    <x:row r="258">
      <x:c r="A258" s="137" t="str"/>
      <x:c r="B258" s="137" t="str"/>
      <x:c r="C258" s="137" t="str"/>
      <x:c r="D258" s="137" t="str"/>
      <x:c r="E258" s="138" t="str"/>
      <x:c r="F258" s="138" t="str"/>
      <x:c r="G258" s="137" t="str"/>
      <x:c r="H258" s="137" t="str"/>
      <x:c r="I258" s="137" t="str"/>
      <x:c r="J258" s="137" t="str"/>
      <x:c r="K258" s="137" t="str"/>
      <x:c r="L258" s="137" t="str"/>
      <x:c r="M258" s="137" t="str"/>
      <x:c r="N258" s="137" t="str"/>
      <x:c r="O258" s="137" t="str"/>
      <x:c r="P258" s="137" t="str"/>
      <x:c r="Q258" s="137" t="str"/>
      <x:c r="R258" s="137" t="str"/>
      <x:c r="S258" s="151" t="str"/>
      <x:c r="T258" s="151" t="str"/>
      <x:c r="U258" s="151" t="str"/>
      <x:c r="V258" s="151" t="str"/>
      <x:c r="W258" s="151" t="str"/>
      <x:c r="X258" s="151" t="str"/>
      <x:c r="Y258" s="151" t="str"/>
      <x:c r="Z258" s="151" t="str"/>
      <x:c r="AA258" s="151" t="str"/>
      <x:c r="AB258" s="151" t="str"/>
      <x:c r="AC258" s="151" t="str"/>
      <x:c r="AD258" s="151" t="str"/>
      <x:c r="AE258" s="151" t="str"/>
      <x:c r="AF258" s="151" t="str"/>
      <x:c r="AG258" s="151" t="str"/>
      <x:c r="AH258" s="151" t="str"/>
      <x:c r="AI258" s="151" t="str"/>
      <x:c r="AJ258" s="151" t="str"/>
      <x:c r="AK258" s="151" t="str"/>
      <x:c r="AL258" s="151" t="str"/>
      <x:c r="AM258" s="151" t="str"/>
      <x:c r="AN258" s="152" t="n">
        <x:f>IF(COUNTA(S258:AM258)=0,"",SUM(S258:AM258))</x:f>
        <x:v>0</x:v>
      </x:c>
      <x:c r="AO258" s="151" t="str"/>
      <x:c r="AP258" s="151" t="str"/>
      <x:c r="AQ258" s="151" t="str"/>
      <x:c r="AR258" s="151" t="str"/>
      <x:c r="AS258" s="196" t="str">
        <x:f>IF(AN258="","",IF(AO258="Cartons",IF(AP258*AQ258=AN258,"OK","CHECK CARTONS / SIZES"),IF(AR258=AN258,"OK","CHECK TOTAL / SIZES")))</x:f>
      </x:c>
      <x:c r="AT258" s="137" t="str"/>
      <x:c r="AU258" s="137" t="str"/>
      <x:c r="AV258" s="137" t="str"/>
      <x:c r="AW258" s="137" t="str"/>
    </x:row>
    <x:row r="259">
      <x:c r="A259" s="137" t="str"/>
      <x:c r="B259" s="137" t="str"/>
      <x:c r="C259" s="137" t="str"/>
      <x:c r="D259" s="137" t="str"/>
      <x:c r="E259" s="138" t="str"/>
      <x:c r="F259" s="138" t="str"/>
      <x:c r="G259" s="137" t="str"/>
      <x:c r="H259" s="137" t="str"/>
      <x:c r="I259" s="137" t="str"/>
      <x:c r="J259" s="137" t="str"/>
      <x:c r="K259" s="137" t="str"/>
      <x:c r="L259" s="137" t="str"/>
      <x:c r="M259" s="137" t="str"/>
      <x:c r="N259" s="137" t="str"/>
      <x:c r="O259" s="137" t="str"/>
      <x:c r="P259" s="137" t="str"/>
      <x:c r="Q259" s="137" t="str"/>
      <x:c r="R259" s="137" t="str"/>
      <x:c r="S259" s="151" t="str"/>
      <x:c r="T259" s="151" t="str"/>
      <x:c r="U259" s="151" t="str"/>
      <x:c r="V259" s="151" t="str"/>
      <x:c r="W259" s="151" t="str"/>
      <x:c r="X259" s="151" t="str"/>
      <x:c r="Y259" s="151" t="str"/>
      <x:c r="Z259" s="151" t="str"/>
      <x:c r="AA259" s="151" t="str"/>
      <x:c r="AB259" s="151" t="str"/>
      <x:c r="AC259" s="151" t="str"/>
      <x:c r="AD259" s="151" t="str"/>
      <x:c r="AE259" s="151" t="str"/>
      <x:c r="AF259" s="151" t="str"/>
      <x:c r="AG259" s="151" t="str"/>
      <x:c r="AH259" s="151" t="str"/>
      <x:c r="AI259" s="151" t="str"/>
      <x:c r="AJ259" s="151" t="str"/>
      <x:c r="AK259" s="151" t="str"/>
      <x:c r="AL259" s="151" t="str"/>
      <x:c r="AM259" s="151" t="str"/>
      <x:c r="AN259" s="152" t="n">
        <x:f>IF(COUNTA(S259:AM259)=0,"",SUM(S259:AM259))</x:f>
        <x:v>0</x:v>
      </x:c>
      <x:c r="AO259" s="151" t="str"/>
      <x:c r="AP259" s="151" t="str"/>
      <x:c r="AQ259" s="151" t="str"/>
      <x:c r="AR259" s="151" t="str"/>
      <x:c r="AS259" s="196" t="str">
        <x:f>IF(AN259="","",IF(AO259="Cartons",IF(AP259*AQ259=AN259,"OK","CHECK CARTONS / SIZES"),IF(AR259=AN259,"OK","CHECK TOTAL / SIZES")))</x:f>
      </x:c>
      <x:c r="AT259" s="137" t="str"/>
      <x:c r="AU259" s="137" t="str"/>
      <x:c r="AV259" s="137" t="str"/>
      <x:c r="AW259" s="137" t="str"/>
    </x:row>
    <x:row r="260">
      <x:c r="A260" s="137" t="str"/>
      <x:c r="B260" s="137" t="str"/>
      <x:c r="C260" s="137" t="str"/>
      <x:c r="D260" s="137" t="str"/>
      <x:c r="E260" s="138" t="str"/>
      <x:c r="F260" s="138" t="str"/>
      <x:c r="G260" s="137" t="str"/>
      <x:c r="H260" s="137" t="str"/>
      <x:c r="I260" s="137" t="str"/>
      <x:c r="J260" s="137" t="str"/>
      <x:c r="K260" s="137" t="str"/>
      <x:c r="L260" s="137" t="str"/>
      <x:c r="M260" s="137" t="str"/>
      <x:c r="N260" s="137" t="str"/>
      <x:c r="O260" s="137" t="str"/>
      <x:c r="P260" s="137" t="str"/>
      <x:c r="Q260" s="137" t="str"/>
      <x:c r="R260" s="137" t="str"/>
      <x:c r="S260" s="151" t="str"/>
      <x:c r="T260" s="151" t="str"/>
      <x:c r="U260" s="151" t="str"/>
      <x:c r="V260" s="151" t="str"/>
      <x:c r="W260" s="151" t="str"/>
      <x:c r="X260" s="151" t="str"/>
      <x:c r="Y260" s="151" t="str"/>
      <x:c r="Z260" s="151" t="str"/>
      <x:c r="AA260" s="151" t="str"/>
      <x:c r="AB260" s="151" t="str"/>
      <x:c r="AC260" s="151" t="str"/>
      <x:c r="AD260" s="151" t="str"/>
      <x:c r="AE260" s="151" t="str"/>
      <x:c r="AF260" s="151" t="str"/>
      <x:c r="AG260" s="151" t="str"/>
      <x:c r="AH260" s="151" t="str"/>
      <x:c r="AI260" s="151" t="str"/>
      <x:c r="AJ260" s="151" t="str"/>
      <x:c r="AK260" s="151" t="str"/>
      <x:c r="AL260" s="151" t="str"/>
      <x:c r="AM260" s="151" t="str"/>
      <x:c r="AN260" s="152" t="n">
        <x:f>IF(COUNTA(S260:AM260)=0,"",SUM(S260:AM260))</x:f>
        <x:v>0</x:v>
      </x:c>
      <x:c r="AO260" s="151" t="str"/>
      <x:c r="AP260" s="151" t="str"/>
      <x:c r="AQ260" s="151" t="str"/>
      <x:c r="AR260" s="151" t="str"/>
      <x:c r="AS260" s="196" t="str">
        <x:f>IF(AN260="","",IF(AO260="Cartons",IF(AP260*AQ260=AN260,"OK","CHECK CARTONS / SIZES"),IF(AR260=AN260,"OK","CHECK TOTAL / SIZES")))</x:f>
      </x:c>
      <x:c r="AT260" s="137" t="str"/>
      <x:c r="AU260" s="137" t="str"/>
      <x:c r="AV260" s="137" t="str"/>
      <x:c r="AW260" s="137" t="str"/>
    </x:row>
    <x:row r="261">
      <x:c r="A261" s="137" t="str"/>
      <x:c r="B261" s="137" t="str"/>
      <x:c r="C261" s="137" t="str"/>
      <x:c r="D261" s="137" t="str"/>
      <x:c r="E261" s="138" t="str"/>
      <x:c r="F261" s="138" t="str"/>
      <x:c r="G261" s="137" t="str"/>
      <x:c r="H261" s="137" t="str"/>
      <x:c r="I261" s="137" t="str"/>
      <x:c r="J261" s="137" t="str"/>
      <x:c r="K261" s="137" t="str"/>
      <x:c r="L261" s="137" t="str"/>
      <x:c r="M261" s="137" t="str"/>
      <x:c r="N261" s="137" t="str"/>
      <x:c r="O261" s="137" t="str"/>
      <x:c r="P261" s="137" t="str"/>
      <x:c r="Q261" s="137" t="str"/>
      <x:c r="R261" s="137" t="str"/>
      <x:c r="S261" s="151" t="str"/>
      <x:c r="T261" s="151" t="str"/>
      <x:c r="U261" s="151" t="str"/>
      <x:c r="V261" s="151" t="str"/>
      <x:c r="W261" s="151" t="str"/>
      <x:c r="X261" s="151" t="str"/>
      <x:c r="Y261" s="151" t="str"/>
      <x:c r="Z261" s="151" t="str"/>
      <x:c r="AA261" s="151" t="str"/>
      <x:c r="AB261" s="151" t="str"/>
      <x:c r="AC261" s="151" t="str"/>
      <x:c r="AD261" s="151" t="str"/>
      <x:c r="AE261" s="151" t="str"/>
      <x:c r="AF261" s="151" t="str"/>
      <x:c r="AG261" s="151" t="str"/>
      <x:c r="AH261" s="151" t="str"/>
      <x:c r="AI261" s="151" t="str"/>
      <x:c r="AJ261" s="151" t="str"/>
      <x:c r="AK261" s="151" t="str"/>
      <x:c r="AL261" s="151" t="str"/>
      <x:c r="AM261" s="151" t="str"/>
      <x:c r="AN261" s="152" t="n">
        <x:f>IF(COUNTA(S261:AM261)=0,"",SUM(S261:AM261))</x:f>
        <x:v>0</x:v>
      </x:c>
      <x:c r="AO261" s="151" t="str"/>
      <x:c r="AP261" s="151" t="str"/>
      <x:c r="AQ261" s="151" t="str"/>
      <x:c r="AR261" s="151" t="str"/>
      <x:c r="AS261" s="196" t="str">
        <x:f>IF(AN261="","",IF(AO261="Cartons",IF(AP261*AQ261=AN261,"OK","CHECK CARTONS / SIZES"),IF(AR261=AN261,"OK","CHECK TOTAL / SIZES")))</x:f>
      </x:c>
      <x:c r="AT261" s="137" t="str"/>
      <x:c r="AU261" s="137" t="str"/>
      <x:c r="AV261" s="137" t="str"/>
      <x:c r="AW261" s="137" t="str"/>
    </x:row>
    <x:row r="262">
      <x:c r="A262" s="137" t="str"/>
      <x:c r="B262" s="137" t="str"/>
      <x:c r="C262" s="137" t="str"/>
      <x:c r="D262" s="137" t="str"/>
      <x:c r="E262" s="138" t="str"/>
      <x:c r="F262" s="138" t="str"/>
      <x:c r="G262" s="137" t="str"/>
      <x:c r="H262" s="137" t="str"/>
      <x:c r="I262" s="137" t="str"/>
      <x:c r="J262" s="137" t="str"/>
      <x:c r="K262" s="137" t="str"/>
      <x:c r="L262" s="137" t="str"/>
      <x:c r="M262" s="137" t="str"/>
      <x:c r="N262" s="137" t="str"/>
      <x:c r="O262" s="137" t="str"/>
      <x:c r="P262" s="137" t="str"/>
      <x:c r="Q262" s="137" t="str"/>
      <x:c r="R262" s="137" t="str"/>
      <x:c r="S262" s="151" t="str"/>
      <x:c r="T262" s="151" t="str"/>
      <x:c r="U262" s="151" t="str"/>
      <x:c r="V262" s="151" t="str"/>
      <x:c r="W262" s="151" t="str"/>
      <x:c r="X262" s="151" t="str"/>
      <x:c r="Y262" s="151" t="str"/>
      <x:c r="Z262" s="151" t="str"/>
      <x:c r="AA262" s="151" t="str"/>
      <x:c r="AB262" s="151" t="str"/>
      <x:c r="AC262" s="151" t="str"/>
      <x:c r="AD262" s="151" t="str"/>
      <x:c r="AE262" s="151" t="str"/>
      <x:c r="AF262" s="151" t="str"/>
      <x:c r="AG262" s="151" t="str"/>
      <x:c r="AH262" s="151" t="str"/>
      <x:c r="AI262" s="151" t="str"/>
      <x:c r="AJ262" s="151" t="str"/>
      <x:c r="AK262" s="151" t="str"/>
      <x:c r="AL262" s="151" t="str"/>
      <x:c r="AM262" s="151" t="str"/>
      <x:c r="AN262" s="152" t="n">
        <x:f>IF(COUNTA(S262:AM262)=0,"",SUM(S262:AM262))</x:f>
        <x:v>0</x:v>
      </x:c>
      <x:c r="AO262" s="151" t="str"/>
      <x:c r="AP262" s="151" t="str"/>
      <x:c r="AQ262" s="151" t="str"/>
      <x:c r="AR262" s="151" t="str"/>
      <x:c r="AS262" s="196" t="str">
        <x:f>IF(AN262="","",IF(AO262="Cartons",IF(AP262*AQ262=AN262,"OK","CHECK CARTONS / SIZES"),IF(AR262=AN262,"OK","CHECK TOTAL / SIZES")))</x:f>
      </x:c>
      <x:c r="AT262" s="137" t="str"/>
      <x:c r="AU262" s="137" t="str"/>
      <x:c r="AV262" s="137" t="str"/>
      <x:c r="AW262" s="137" t="str"/>
    </x:row>
    <x:row r="263">
      <x:c r="A263" s="137" t="str"/>
      <x:c r="B263" s="137" t="str"/>
      <x:c r="C263" s="137" t="str"/>
      <x:c r="D263" s="137" t="str"/>
      <x:c r="E263" s="138" t="str"/>
      <x:c r="F263" s="138" t="str"/>
      <x:c r="G263" s="137" t="str"/>
      <x:c r="H263" s="137" t="str"/>
      <x:c r="I263" s="137" t="str"/>
      <x:c r="J263" s="137" t="str"/>
      <x:c r="K263" s="137" t="str"/>
      <x:c r="L263" s="137" t="str"/>
      <x:c r="M263" s="137" t="str"/>
      <x:c r="N263" s="137" t="str"/>
      <x:c r="O263" s="137" t="str"/>
      <x:c r="P263" s="137" t="str"/>
      <x:c r="Q263" s="137" t="str"/>
      <x:c r="R263" s="137" t="str"/>
      <x:c r="S263" s="151" t="str"/>
      <x:c r="T263" s="151" t="str"/>
      <x:c r="U263" s="151" t="str"/>
      <x:c r="V263" s="151" t="str"/>
      <x:c r="W263" s="151" t="str"/>
      <x:c r="X263" s="151" t="str"/>
      <x:c r="Y263" s="151" t="str"/>
      <x:c r="Z263" s="151" t="str"/>
      <x:c r="AA263" s="151" t="str"/>
      <x:c r="AB263" s="151" t="str"/>
      <x:c r="AC263" s="151" t="str"/>
      <x:c r="AD263" s="151" t="str"/>
      <x:c r="AE263" s="151" t="str"/>
      <x:c r="AF263" s="151" t="str"/>
      <x:c r="AG263" s="151" t="str"/>
      <x:c r="AH263" s="151" t="str"/>
      <x:c r="AI263" s="151" t="str"/>
      <x:c r="AJ263" s="151" t="str"/>
      <x:c r="AK263" s="151" t="str"/>
      <x:c r="AL263" s="151" t="str"/>
      <x:c r="AM263" s="151" t="str"/>
      <x:c r="AN263" s="152" t="n">
        <x:f>IF(COUNTA(S263:AM263)=0,"",SUM(S263:AM263))</x:f>
        <x:v>0</x:v>
      </x:c>
      <x:c r="AO263" s="151" t="str"/>
      <x:c r="AP263" s="151" t="str"/>
      <x:c r="AQ263" s="151" t="str"/>
      <x:c r="AR263" s="151" t="str"/>
      <x:c r="AS263" s="196" t="str">
        <x:f>IF(AN263="","",IF(AO263="Cartons",IF(AP263*AQ263=AN263,"OK","CHECK CARTONS / SIZES"),IF(AR263=AN263,"OK","CHECK TOTAL / SIZES")))</x:f>
      </x:c>
      <x:c r="AT263" s="137" t="str"/>
      <x:c r="AU263" s="137" t="str"/>
      <x:c r="AV263" s="137" t="str"/>
      <x:c r="AW263" s="137" t="str"/>
    </x:row>
    <x:row r="264">
      <x:c r="A264" s="137" t="str"/>
      <x:c r="B264" s="137" t="str"/>
      <x:c r="C264" s="137" t="str"/>
      <x:c r="D264" s="137" t="str"/>
      <x:c r="E264" s="138" t="str"/>
      <x:c r="F264" s="138" t="str"/>
      <x:c r="G264" s="137" t="str"/>
      <x:c r="H264" s="137" t="str"/>
      <x:c r="I264" s="137" t="str"/>
      <x:c r="J264" s="137" t="str"/>
      <x:c r="K264" s="137" t="str"/>
      <x:c r="L264" s="137" t="str"/>
      <x:c r="M264" s="137" t="str"/>
      <x:c r="N264" s="137" t="str"/>
      <x:c r="O264" s="137" t="str"/>
      <x:c r="P264" s="137" t="str"/>
      <x:c r="Q264" s="137" t="str"/>
      <x:c r="R264" s="137" t="str"/>
      <x:c r="S264" s="151" t="str"/>
      <x:c r="T264" s="151" t="str"/>
      <x:c r="U264" s="151" t="str"/>
      <x:c r="V264" s="151" t="str"/>
      <x:c r="W264" s="151" t="str"/>
      <x:c r="X264" s="151" t="str"/>
      <x:c r="Y264" s="151" t="str"/>
      <x:c r="Z264" s="151" t="str"/>
      <x:c r="AA264" s="151" t="str"/>
      <x:c r="AB264" s="151" t="str"/>
      <x:c r="AC264" s="151" t="str"/>
      <x:c r="AD264" s="151" t="str"/>
      <x:c r="AE264" s="151" t="str"/>
      <x:c r="AF264" s="151" t="str"/>
      <x:c r="AG264" s="151" t="str"/>
      <x:c r="AH264" s="151" t="str"/>
      <x:c r="AI264" s="151" t="str"/>
      <x:c r="AJ264" s="151" t="str"/>
      <x:c r="AK264" s="151" t="str"/>
      <x:c r="AL264" s="151" t="str"/>
      <x:c r="AM264" s="151" t="str"/>
      <x:c r="AN264" s="152" t="n">
        <x:f>IF(COUNTA(S264:AM264)=0,"",SUM(S264:AM264))</x:f>
        <x:v>0</x:v>
      </x:c>
      <x:c r="AO264" s="151" t="str"/>
      <x:c r="AP264" s="151" t="str"/>
      <x:c r="AQ264" s="151" t="str"/>
      <x:c r="AR264" s="151" t="str"/>
      <x:c r="AS264" s="196" t="str">
        <x:f>IF(AN264="","",IF(AO264="Cartons",IF(AP264*AQ264=AN264,"OK","CHECK CARTONS / SIZES"),IF(AR264=AN264,"OK","CHECK TOTAL / SIZES")))</x:f>
      </x:c>
      <x:c r="AT264" s="137" t="str"/>
      <x:c r="AU264" s="137" t="str"/>
      <x:c r="AV264" s="137" t="str"/>
      <x:c r="AW264" s="137" t="str"/>
    </x:row>
    <x:row r="265">
      <x:c r="A265" s="137" t="str"/>
      <x:c r="B265" s="137" t="str"/>
      <x:c r="C265" s="137" t="str"/>
      <x:c r="D265" s="137" t="str"/>
      <x:c r="E265" s="138" t="str"/>
      <x:c r="F265" s="138" t="str"/>
      <x:c r="G265" s="137" t="str"/>
      <x:c r="H265" s="137" t="str"/>
      <x:c r="I265" s="137" t="str"/>
      <x:c r="J265" s="137" t="str"/>
      <x:c r="K265" s="137" t="str"/>
      <x:c r="L265" s="137" t="str"/>
      <x:c r="M265" s="137" t="str"/>
      <x:c r="N265" s="137" t="str"/>
      <x:c r="O265" s="137" t="str"/>
      <x:c r="P265" s="137" t="str"/>
      <x:c r="Q265" s="137" t="str"/>
      <x:c r="R265" s="137" t="str"/>
      <x:c r="S265" s="151" t="str"/>
      <x:c r="T265" s="151" t="str"/>
      <x:c r="U265" s="151" t="str"/>
      <x:c r="V265" s="151" t="str"/>
      <x:c r="W265" s="151" t="str"/>
      <x:c r="X265" s="151" t="str"/>
      <x:c r="Y265" s="151" t="str"/>
      <x:c r="Z265" s="151" t="str"/>
      <x:c r="AA265" s="151" t="str"/>
      <x:c r="AB265" s="151" t="str"/>
      <x:c r="AC265" s="151" t="str"/>
      <x:c r="AD265" s="151" t="str"/>
      <x:c r="AE265" s="151" t="str"/>
      <x:c r="AF265" s="151" t="str"/>
      <x:c r="AG265" s="151" t="str"/>
      <x:c r="AH265" s="151" t="str"/>
      <x:c r="AI265" s="151" t="str"/>
      <x:c r="AJ265" s="151" t="str"/>
      <x:c r="AK265" s="151" t="str"/>
      <x:c r="AL265" s="151" t="str"/>
      <x:c r="AM265" s="151" t="str"/>
      <x:c r="AN265" s="152" t="n">
        <x:f>IF(COUNTA(S265:AM265)=0,"",SUM(S265:AM265))</x:f>
        <x:v>0</x:v>
      </x:c>
      <x:c r="AO265" s="151" t="str"/>
      <x:c r="AP265" s="151" t="str"/>
      <x:c r="AQ265" s="151" t="str"/>
      <x:c r="AR265" s="151" t="str"/>
      <x:c r="AS265" s="196" t="str">
        <x:f>IF(AN265="","",IF(AO265="Cartons",IF(AP265*AQ265=AN265,"OK","CHECK CARTONS / SIZES"),IF(AR265=AN265,"OK","CHECK TOTAL / SIZES")))</x:f>
      </x:c>
      <x:c r="AT265" s="137" t="str"/>
      <x:c r="AU265" s="137" t="str"/>
      <x:c r="AV265" s="137" t="str"/>
      <x:c r="AW265" s="137" t="str"/>
    </x:row>
    <x:row r="266">
      <x:c r="A266" s="137" t="str"/>
      <x:c r="B266" s="137" t="str"/>
      <x:c r="C266" s="137" t="str"/>
      <x:c r="D266" s="137" t="str"/>
      <x:c r="E266" s="138" t="str"/>
      <x:c r="F266" s="138" t="str"/>
      <x:c r="G266" s="137" t="str"/>
      <x:c r="H266" s="137" t="str"/>
      <x:c r="I266" s="137" t="str"/>
      <x:c r="J266" s="137" t="str"/>
      <x:c r="K266" s="137" t="str"/>
      <x:c r="L266" s="137" t="str"/>
      <x:c r="M266" s="137" t="str"/>
      <x:c r="N266" s="137" t="str"/>
      <x:c r="O266" s="137" t="str"/>
      <x:c r="P266" s="137" t="str"/>
      <x:c r="Q266" s="137" t="str"/>
      <x:c r="R266" s="137" t="str"/>
      <x:c r="S266" s="151" t="str"/>
      <x:c r="T266" s="151" t="str"/>
      <x:c r="U266" s="151" t="str"/>
      <x:c r="V266" s="151" t="str"/>
      <x:c r="W266" s="151" t="str"/>
      <x:c r="X266" s="151" t="str"/>
      <x:c r="Y266" s="151" t="str"/>
      <x:c r="Z266" s="151" t="str"/>
      <x:c r="AA266" s="151" t="str"/>
      <x:c r="AB266" s="151" t="str"/>
      <x:c r="AC266" s="151" t="str"/>
      <x:c r="AD266" s="151" t="str"/>
      <x:c r="AE266" s="151" t="str"/>
      <x:c r="AF266" s="151" t="str"/>
      <x:c r="AG266" s="151" t="str"/>
      <x:c r="AH266" s="151" t="str"/>
      <x:c r="AI266" s="151" t="str"/>
      <x:c r="AJ266" s="151" t="str"/>
      <x:c r="AK266" s="151" t="str"/>
      <x:c r="AL266" s="151" t="str"/>
      <x:c r="AM266" s="151" t="str"/>
      <x:c r="AN266" s="152" t="n">
        <x:f>IF(COUNTA(S266:AM266)=0,"",SUM(S266:AM266))</x:f>
        <x:v>0</x:v>
      </x:c>
      <x:c r="AO266" s="151" t="str"/>
      <x:c r="AP266" s="151" t="str"/>
      <x:c r="AQ266" s="151" t="str"/>
      <x:c r="AR266" s="151" t="str"/>
      <x:c r="AS266" s="196" t="str">
        <x:f>IF(AN266="","",IF(AO266="Cartons",IF(AP266*AQ266=AN266,"OK","CHECK CARTONS / SIZES"),IF(AR266=AN266,"OK","CHECK TOTAL / SIZES")))</x:f>
      </x:c>
      <x:c r="AT266" s="137" t="str"/>
      <x:c r="AU266" s="137" t="str"/>
      <x:c r="AV266" s="137" t="str"/>
      <x:c r="AW266" s="137" t="str"/>
    </x:row>
    <x:row r="267">
      <x:c r="A267" s="137" t="str"/>
      <x:c r="B267" s="137" t="str"/>
      <x:c r="C267" s="137" t="str"/>
      <x:c r="D267" s="137" t="str"/>
      <x:c r="E267" s="138" t="str"/>
      <x:c r="F267" s="138" t="str"/>
      <x:c r="G267" s="137" t="str"/>
      <x:c r="H267" s="137" t="str"/>
      <x:c r="I267" s="137" t="str"/>
      <x:c r="J267" s="137" t="str"/>
      <x:c r="K267" s="137" t="str"/>
      <x:c r="L267" s="137" t="str"/>
      <x:c r="M267" s="137" t="str"/>
      <x:c r="N267" s="137" t="str"/>
      <x:c r="O267" s="137" t="str"/>
      <x:c r="P267" s="137" t="str"/>
      <x:c r="Q267" s="137" t="str"/>
      <x:c r="R267" s="137" t="str"/>
      <x:c r="S267" s="151" t="str"/>
      <x:c r="T267" s="151" t="str"/>
      <x:c r="U267" s="151" t="str"/>
      <x:c r="V267" s="151" t="str"/>
      <x:c r="W267" s="151" t="str"/>
      <x:c r="X267" s="151" t="str"/>
      <x:c r="Y267" s="151" t="str"/>
      <x:c r="Z267" s="151" t="str"/>
      <x:c r="AA267" s="151" t="str"/>
      <x:c r="AB267" s="151" t="str"/>
      <x:c r="AC267" s="151" t="str"/>
      <x:c r="AD267" s="151" t="str"/>
      <x:c r="AE267" s="151" t="str"/>
      <x:c r="AF267" s="151" t="str"/>
      <x:c r="AG267" s="151" t="str"/>
      <x:c r="AH267" s="151" t="str"/>
      <x:c r="AI267" s="151" t="str"/>
      <x:c r="AJ267" s="151" t="str"/>
      <x:c r="AK267" s="151" t="str"/>
      <x:c r="AL267" s="151" t="str"/>
      <x:c r="AM267" s="151" t="str"/>
      <x:c r="AN267" s="152" t="n">
        <x:f>IF(COUNTA(S267:AM267)=0,"",SUM(S267:AM267))</x:f>
        <x:v>0</x:v>
      </x:c>
      <x:c r="AO267" s="151" t="str"/>
      <x:c r="AP267" s="151" t="str"/>
      <x:c r="AQ267" s="151" t="str"/>
      <x:c r="AR267" s="151" t="str"/>
      <x:c r="AS267" s="196" t="str">
        <x:f>IF(AN267="","",IF(AO267="Cartons",IF(AP267*AQ267=AN267,"OK","CHECK CARTONS / SIZES"),IF(AR267=AN267,"OK","CHECK TOTAL / SIZES")))</x:f>
      </x:c>
      <x:c r="AT267" s="137" t="str"/>
      <x:c r="AU267" s="137" t="str"/>
      <x:c r="AV267" s="137" t="str"/>
      <x:c r="AW267" s="137" t="str"/>
    </x:row>
    <x:row r="268">
      <x:c r="A268" s="137" t="str"/>
      <x:c r="B268" s="137" t="str"/>
      <x:c r="C268" s="137" t="str"/>
      <x:c r="D268" s="137" t="str"/>
      <x:c r="E268" s="138" t="str"/>
      <x:c r="F268" s="138" t="str"/>
      <x:c r="G268" s="137" t="str"/>
      <x:c r="H268" s="137" t="str"/>
      <x:c r="I268" s="137" t="str"/>
      <x:c r="J268" s="137" t="str"/>
      <x:c r="K268" s="137" t="str"/>
      <x:c r="L268" s="137" t="str"/>
      <x:c r="M268" s="137" t="str"/>
      <x:c r="N268" s="137" t="str"/>
      <x:c r="O268" s="137" t="str"/>
      <x:c r="P268" s="137" t="str"/>
      <x:c r="Q268" s="137" t="str"/>
      <x:c r="R268" s="137" t="str"/>
      <x:c r="S268" s="151" t="str"/>
      <x:c r="T268" s="151" t="str"/>
      <x:c r="U268" s="151" t="str"/>
      <x:c r="V268" s="151" t="str"/>
      <x:c r="W268" s="151" t="str"/>
      <x:c r="X268" s="151" t="str"/>
      <x:c r="Y268" s="151" t="str"/>
      <x:c r="Z268" s="151" t="str"/>
      <x:c r="AA268" s="151" t="str"/>
      <x:c r="AB268" s="151" t="str"/>
      <x:c r="AC268" s="151" t="str"/>
      <x:c r="AD268" s="151" t="str"/>
      <x:c r="AE268" s="151" t="str"/>
      <x:c r="AF268" s="151" t="str"/>
      <x:c r="AG268" s="151" t="str"/>
      <x:c r="AH268" s="151" t="str"/>
      <x:c r="AI268" s="151" t="str"/>
      <x:c r="AJ268" s="151" t="str"/>
      <x:c r="AK268" s="151" t="str"/>
      <x:c r="AL268" s="151" t="str"/>
      <x:c r="AM268" s="151" t="str"/>
      <x:c r="AN268" s="152" t="n">
        <x:f>IF(COUNTA(S268:AM268)=0,"",SUM(S268:AM268))</x:f>
        <x:v>0</x:v>
      </x:c>
      <x:c r="AO268" s="151" t="str"/>
      <x:c r="AP268" s="151" t="str"/>
      <x:c r="AQ268" s="151" t="str"/>
      <x:c r="AR268" s="151" t="str"/>
      <x:c r="AS268" s="196" t="str">
        <x:f>IF(AN268="","",IF(AO268="Cartons",IF(AP268*AQ268=AN268,"OK","CHECK CARTONS / SIZES"),IF(AR268=AN268,"OK","CHECK TOTAL / SIZES")))</x:f>
      </x:c>
      <x:c r="AT268" s="137" t="str"/>
      <x:c r="AU268" s="137" t="str"/>
      <x:c r="AV268" s="137" t="str"/>
      <x:c r="AW268" s="137" t="str"/>
    </x:row>
    <x:row r="269">
      <x:c r="A269" s="137" t="str"/>
      <x:c r="B269" s="137" t="str"/>
      <x:c r="C269" s="137" t="str"/>
      <x:c r="D269" s="137" t="str"/>
      <x:c r="E269" s="138" t="str"/>
      <x:c r="F269" s="138" t="str"/>
      <x:c r="G269" s="137" t="str"/>
      <x:c r="H269" s="137" t="str"/>
      <x:c r="I269" s="137" t="str"/>
      <x:c r="J269" s="137" t="str"/>
      <x:c r="K269" s="137" t="str"/>
      <x:c r="L269" s="137" t="str"/>
      <x:c r="M269" s="137" t="str"/>
      <x:c r="N269" s="137" t="str"/>
      <x:c r="O269" s="137" t="str"/>
      <x:c r="P269" s="137" t="str"/>
      <x:c r="Q269" s="137" t="str"/>
      <x:c r="R269" s="137" t="str"/>
      <x:c r="S269" s="151" t="str"/>
      <x:c r="T269" s="151" t="str"/>
      <x:c r="U269" s="151" t="str"/>
      <x:c r="V269" s="151" t="str"/>
      <x:c r="W269" s="151" t="str"/>
      <x:c r="X269" s="151" t="str"/>
      <x:c r="Y269" s="151" t="str"/>
      <x:c r="Z269" s="151" t="str"/>
      <x:c r="AA269" s="151" t="str"/>
      <x:c r="AB269" s="151" t="str"/>
      <x:c r="AC269" s="151" t="str"/>
      <x:c r="AD269" s="151" t="str"/>
      <x:c r="AE269" s="151" t="str"/>
      <x:c r="AF269" s="151" t="str"/>
      <x:c r="AG269" s="151" t="str"/>
      <x:c r="AH269" s="151" t="str"/>
      <x:c r="AI269" s="151" t="str"/>
      <x:c r="AJ269" s="151" t="str"/>
      <x:c r="AK269" s="151" t="str"/>
      <x:c r="AL269" s="151" t="str"/>
      <x:c r="AM269" s="151" t="str"/>
      <x:c r="AN269" s="152" t="n">
        <x:f>IF(COUNTA(S269:AM269)=0,"",SUM(S269:AM269))</x:f>
        <x:v>0</x:v>
      </x:c>
      <x:c r="AO269" s="151" t="str"/>
      <x:c r="AP269" s="151" t="str"/>
      <x:c r="AQ269" s="151" t="str"/>
      <x:c r="AR269" s="151" t="str"/>
      <x:c r="AS269" s="196" t="str">
        <x:f>IF(AN269="","",IF(AO269="Cartons",IF(AP269*AQ269=AN269,"OK","CHECK CARTONS / SIZES"),IF(AR269=AN269,"OK","CHECK TOTAL / SIZES")))</x:f>
      </x:c>
      <x:c r="AT269" s="137" t="str"/>
      <x:c r="AU269" s="137" t="str"/>
      <x:c r="AV269" s="137" t="str"/>
      <x:c r="AW269" s="137" t="str"/>
    </x:row>
    <x:row r="270">
      <x:c r="A270" s="137" t="str"/>
      <x:c r="B270" s="137" t="str"/>
      <x:c r="C270" s="137" t="str"/>
      <x:c r="D270" s="137" t="str"/>
      <x:c r="E270" s="138" t="str"/>
      <x:c r="F270" s="138" t="str"/>
      <x:c r="G270" s="137" t="str"/>
      <x:c r="H270" s="137" t="str"/>
      <x:c r="I270" s="137" t="str"/>
      <x:c r="J270" s="137" t="str"/>
      <x:c r="K270" s="137" t="str"/>
      <x:c r="L270" s="137" t="str"/>
      <x:c r="M270" s="137" t="str"/>
      <x:c r="N270" s="137" t="str"/>
      <x:c r="O270" s="137" t="str"/>
      <x:c r="P270" s="137" t="str"/>
      <x:c r="Q270" s="137" t="str"/>
      <x:c r="R270" s="137" t="str"/>
      <x:c r="S270" s="151" t="str"/>
      <x:c r="T270" s="151" t="str"/>
      <x:c r="U270" s="151" t="str"/>
      <x:c r="V270" s="151" t="str"/>
      <x:c r="W270" s="151" t="str"/>
      <x:c r="X270" s="151" t="str"/>
      <x:c r="Y270" s="151" t="str"/>
      <x:c r="Z270" s="151" t="str"/>
      <x:c r="AA270" s="151" t="str"/>
      <x:c r="AB270" s="151" t="str"/>
      <x:c r="AC270" s="151" t="str"/>
      <x:c r="AD270" s="151" t="str"/>
      <x:c r="AE270" s="151" t="str"/>
      <x:c r="AF270" s="151" t="str"/>
      <x:c r="AG270" s="151" t="str"/>
      <x:c r="AH270" s="151" t="str"/>
      <x:c r="AI270" s="151" t="str"/>
      <x:c r="AJ270" s="151" t="str"/>
      <x:c r="AK270" s="151" t="str"/>
      <x:c r="AL270" s="151" t="str"/>
      <x:c r="AM270" s="151" t="str"/>
      <x:c r="AN270" s="152" t="n">
        <x:f>IF(COUNTA(S270:AM270)=0,"",SUM(S270:AM270))</x:f>
        <x:v>0</x:v>
      </x:c>
      <x:c r="AO270" s="151" t="str"/>
      <x:c r="AP270" s="151" t="str"/>
      <x:c r="AQ270" s="151" t="str"/>
      <x:c r="AR270" s="151" t="str"/>
      <x:c r="AS270" s="196" t="str">
        <x:f>IF(AN270="","",IF(AO270="Cartons",IF(AP270*AQ270=AN270,"OK","CHECK CARTONS / SIZES"),IF(AR270=AN270,"OK","CHECK TOTAL / SIZES")))</x:f>
      </x:c>
      <x:c r="AT270" s="137" t="str"/>
      <x:c r="AU270" s="137" t="str"/>
      <x:c r="AV270" s="137" t="str"/>
      <x:c r="AW270" s="137" t="str"/>
    </x:row>
    <x:row r="271">
      <x:c r="A271" s="137" t="str"/>
      <x:c r="B271" s="137" t="str"/>
      <x:c r="C271" s="137" t="str"/>
      <x:c r="D271" s="137" t="str"/>
      <x:c r="E271" s="138" t="str"/>
      <x:c r="F271" s="138" t="str"/>
      <x:c r="G271" s="137" t="str"/>
      <x:c r="H271" s="137" t="str"/>
      <x:c r="I271" s="137" t="str"/>
      <x:c r="J271" s="137" t="str"/>
      <x:c r="K271" s="137" t="str"/>
      <x:c r="L271" s="137" t="str"/>
      <x:c r="M271" s="137" t="str"/>
      <x:c r="N271" s="137" t="str"/>
      <x:c r="O271" s="137" t="str"/>
      <x:c r="P271" s="137" t="str"/>
      <x:c r="Q271" s="137" t="str"/>
      <x:c r="R271" s="137" t="str"/>
      <x:c r="S271" s="151" t="str"/>
      <x:c r="T271" s="151" t="str"/>
      <x:c r="U271" s="151" t="str"/>
      <x:c r="V271" s="151" t="str"/>
      <x:c r="W271" s="151" t="str"/>
      <x:c r="X271" s="151" t="str"/>
      <x:c r="Y271" s="151" t="str"/>
      <x:c r="Z271" s="151" t="str"/>
      <x:c r="AA271" s="151" t="str"/>
      <x:c r="AB271" s="151" t="str"/>
      <x:c r="AC271" s="151" t="str"/>
      <x:c r="AD271" s="151" t="str"/>
      <x:c r="AE271" s="151" t="str"/>
      <x:c r="AF271" s="151" t="str"/>
      <x:c r="AG271" s="151" t="str"/>
      <x:c r="AH271" s="151" t="str"/>
      <x:c r="AI271" s="151" t="str"/>
      <x:c r="AJ271" s="151" t="str"/>
      <x:c r="AK271" s="151" t="str"/>
      <x:c r="AL271" s="151" t="str"/>
      <x:c r="AM271" s="151" t="str"/>
      <x:c r="AN271" s="152" t="n">
        <x:f>IF(COUNTA(S271:AM271)=0,"",SUM(S271:AM271))</x:f>
        <x:v>0</x:v>
      </x:c>
      <x:c r="AO271" s="151" t="str"/>
      <x:c r="AP271" s="151" t="str"/>
      <x:c r="AQ271" s="151" t="str"/>
      <x:c r="AR271" s="151" t="str"/>
      <x:c r="AS271" s="196" t="str">
        <x:f>IF(AN271="","",IF(AO271="Cartons",IF(AP271*AQ271=AN271,"OK","CHECK CARTONS / SIZES"),IF(AR271=AN271,"OK","CHECK TOTAL / SIZES")))</x:f>
      </x:c>
      <x:c r="AT271" s="137" t="str"/>
      <x:c r="AU271" s="137" t="str"/>
      <x:c r="AV271" s="137" t="str"/>
      <x:c r="AW271" s="137" t="str"/>
    </x:row>
    <x:row r="272">
      <x:c r="A272" s="137" t="str"/>
      <x:c r="B272" s="137" t="str"/>
      <x:c r="C272" s="137" t="str"/>
      <x:c r="D272" s="137" t="str"/>
      <x:c r="E272" s="138" t="str"/>
      <x:c r="F272" s="138" t="str"/>
      <x:c r="G272" s="137" t="str"/>
      <x:c r="H272" s="137" t="str"/>
      <x:c r="I272" s="137" t="str"/>
      <x:c r="J272" s="137" t="str"/>
      <x:c r="K272" s="137" t="str"/>
      <x:c r="L272" s="137" t="str"/>
      <x:c r="M272" s="137" t="str"/>
      <x:c r="N272" s="137" t="str"/>
      <x:c r="O272" s="137" t="str"/>
      <x:c r="P272" s="137" t="str"/>
      <x:c r="Q272" s="137" t="str"/>
      <x:c r="R272" s="137" t="str"/>
      <x:c r="S272" s="151" t="str"/>
      <x:c r="T272" s="151" t="str"/>
      <x:c r="U272" s="151" t="str"/>
      <x:c r="V272" s="151" t="str"/>
      <x:c r="W272" s="151" t="str"/>
      <x:c r="X272" s="151" t="str"/>
      <x:c r="Y272" s="151" t="str"/>
      <x:c r="Z272" s="151" t="str"/>
      <x:c r="AA272" s="151" t="str"/>
      <x:c r="AB272" s="151" t="str"/>
      <x:c r="AC272" s="151" t="str"/>
      <x:c r="AD272" s="151" t="str"/>
      <x:c r="AE272" s="151" t="str"/>
      <x:c r="AF272" s="151" t="str"/>
      <x:c r="AG272" s="151" t="str"/>
      <x:c r="AH272" s="151" t="str"/>
      <x:c r="AI272" s="151" t="str"/>
      <x:c r="AJ272" s="151" t="str"/>
      <x:c r="AK272" s="151" t="str"/>
      <x:c r="AL272" s="151" t="str"/>
      <x:c r="AM272" s="151" t="str"/>
      <x:c r="AN272" s="152" t="n">
        <x:f>IF(COUNTA(S272:AM272)=0,"",SUM(S272:AM272))</x:f>
        <x:v>0</x:v>
      </x:c>
      <x:c r="AO272" s="151" t="str"/>
      <x:c r="AP272" s="151" t="str"/>
      <x:c r="AQ272" s="151" t="str"/>
      <x:c r="AR272" s="151" t="str"/>
      <x:c r="AS272" s="196" t="str">
        <x:f>IF(AN272="","",IF(AO272="Cartons",IF(AP272*AQ272=AN272,"OK","CHECK CARTONS / SIZES"),IF(AR272=AN272,"OK","CHECK TOTAL / SIZES")))</x:f>
      </x:c>
      <x:c r="AT272" s="137" t="str"/>
      <x:c r="AU272" s="137" t="str"/>
      <x:c r="AV272" s="137" t="str"/>
      <x:c r="AW272" s="137" t="str"/>
    </x:row>
    <x:row r="273">
      <x:c r="A273" s="137" t="str"/>
      <x:c r="B273" s="137" t="str"/>
      <x:c r="C273" s="137" t="str"/>
      <x:c r="D273" s="137" t="str"/>
      <x:c r="E273" s="138" t="str"/>
      <x:c r="F273" s="138" t="str"/>
      <x:c r="G273" s="137" t="str"/>
      <x:c r="H273" s="137" t="str"/>
      <x:c r="I273" s="137" t="str"/>
      <x:c r="J273" s="137" t="str"/>
      <x:c r="K273" s="137" t="str"/>
      <x:c r="L273" s="137" t="str"/>
      <x:c r="M273" s="137" t="str"/>
      <x:c r="N273" s="137" t="str"/>
      <x:c r="O273" s="137" t="str"/>
      <x:c r="P273" s="137" t="str"/>
      <x:c r="Q273" s="137" t="str"/>
      <x:c r="R273" s="137" t="str"/>
      <x:c r="S273" s="151" t="str"/>
      <x:c r="T273" s="151" t="str"/>
      <x:c r="U273" s="151" t="str"/>
      <x:c r="V273" s="151" t="str"/>
      <x:c r="W273" s="151" t="str"/>
      <x:c r="X273" s="151" t="str"/>
      <x:c r="Y273" s="151" t="str"/>
      <x:c r="Z273" s="151" t="str"/>
      <x:c r="AA273" s="151" t="str"/>
      <x:c r="AB273" s="151" t="str"/>
      <x:c r="AC273" s="151" t="str"/>
      <x:c r="AD273" s="151" t="str"/>
      <x:c r="AE273" s="151" t="str"/>
      <x:c r="AF273" s="151" t="str"/>
      <x:c r="AG273" s="151" t="str"/>
      <x:c r="AH273" s="151" t="str"/>
      <x:c r="AI273" s="151" t="str"/>
      <x:c r="AJ273" s="151" t="str"/>
      <x:c r="AK273" s="151" t="str"/>
      <x:c r="AL273" s="151" t="str"/>
      <x:c r="AM273" s="151" t="str"/>
      <x:c r="AN273" s="152" t="n">
        <x:f>IF(COUNTA(S273:AM273)=0,"",SUM(S273:AM273))</x:f>
        <x:v>0</x:v>
      </x:c>
      <x:c r="AO273" s="151" t="str"/>
      <x:c r="AP273" s="151" t="str"/>
      <x:c r="AQ273" s="151" t="str"/>
      <x:c r="AR273" s="151" t="str"/>
      <x:c r="AS273" s="196" t="str">
        <x:f>IF(AN273="","",IF(AO273="Cartons",IF(AP273*AQ273=AN273,"OK","CHECK CARTONS / SIZES"),IF(AR273=AN273,"OK","CHECK TOTAL / SIZES")))</x:f>
      </x:c>
      <x:c r="AT273" s="137" t="str"/>
      <x:c r="AU273" s="137" t="str"/>
      <x:c r="AV273" s="137" t="str"/>
      <x:c r="AW273" s="137" t="str"/>
    </x:row>
    <x:row r="274">
      <x:c r="A274" s="137" t="str"/>
      <x:c r="B274" s="137" t="str"/>
      <x:c r="C274" s="137" t="str"/>
      <x:c r="D274" s="137" t="str"/>
      <x:c r="E274" s="138" t="str"/>
      <x:c r="F274" s="138" t="str"/>
      <x:c r="G274" s="137" t="str"/>
      <x:c r="H274" s="137" t="str"/>
      <x:c r="I274" s="137" t="str"/>
      <x:c r="J274" s="137" t="str"/>
      <x:c r="K274" s="137" t="str"/>
      <x:c r="L274" s="137" t="str"/>
      <x:c r="M274" s="137" t="str"/>
      <x:c r="N274" s="137" t="str"/>
      <x:c r="O274" s="137" t="str"/>
      <x:c r="P274" s="137" t="str"/>
      <x:c r="Q274" s="137" t="str"/>
      <x:c r="R274" s="137" t="str"/>
      <x:c r="S274" s="151" t="str"/>
      <x:c r="T274" s="151" t="str"/>
      <x:c r="U274" s="151" t="str"/>
      <x:c r="V274" s="151" t="str"/>
      <x:c r="W274" s="151" t="str"/>
      <x:c r="X274" s="151" t="str"/>
      <x:c r="Y274" s="151" t="str"/>
      <x:c r="Z274" s="151" t="str"/>
      <x:c r="AA274" s="151" t="str"/>
      <x:c r="AB274" s="151" t="str"/>
      <x:c r="AC274" s="151" t="str"/>
      <x:c r="AD274" s="151" t="str"/>
      <x:c r="AE274" s="151" t="str"/>
      <x:c r="AF274" s="151" t="str"/>
      <x:c r="AG274" s="151" t="str"/>
      <x:c r="AH274" s="151" t="str"/>
      <x:c r="AI274" s="151" t="str"/>
      <x:c r="AJ274" s="151" t="str"/>
      <x:c r="AK274" s="151" t="str"/>
      <x:c r="AL274" s="151" t="str"/>
      <x:c r="AM274" s="151" t="str"/>
      <x:c r="AN274" s="152" t="n">
        <x:f>IF(COUNTA(S274:AM274)=0,"",SUM(S274:AM274))</x:f>
        <x:v>0</x:v>
      </x:c>
      <x:c r="AO274" s="151" t="str"/>
      <x:c r="AP274" s="151" t="str"/>
      <x:c r="AQ274" s="151" t="str"/>
      <x:c r="AR274" s="151" t="str"/>
      <x:c r="AS274" s="196" t="str">
        <x:f>IF(AN274="","",IF(AO274="Cartons",IF(AP274*AQ274=AN274,"OK","CHECK CARTONS / SIZES"),IF(AR274=AN274,"OK","CHECK TOTAL / SIZES")))</x:f>
      </x:c>
      <x:c r="AT274" s="137" t="str"/>
      <x:c r="AU274" s="137" t="str"/>
      <x:c r="AV274" s="137" t="str"/>
      <x:c r="AW274" s="137" t="str"/>
    </x:row>
    <x:row r="275">
      <x:c r="A275" s="137" t="str"/>
      <x:c r="B275" s="137" t="str"/>
      <x:c r="C275" s="137" t="str"/>
      <x:c r="D275" s="137" t="str"/>
      <x:c r="E275" s="138" t="str"/>
      <x:c r="F275" s="138" t="str"/>
      <x:c r="G275" s="137" t="str"/>
      <x:c r="H275" s="137" t="str"/>
      <x:c r="I275" s="137" t="str"/>
      <x:c r="J275" s="137" t="str"/>
      <x:c r="K275" s="137" t="str"/>
      <x:c r="L275" s="137" t="str"/>
      <x:c r="M275" s="137" t="str"/>
      <x:c r="N275" s="137" t="str"/>
      <x:c r="O275" s="137" t="str"/>
      <x:c r="P275" s="137" t="str"/>
      <x:c r="Q275" s="137" t="str"/>
      <x:c r="R275" s="137" t="str"/>
      <x:c r="S275" s="151" t="str"/>
      <x:c r="T275" s="151" t="str"/>
      <x:c r="U275" s="151" t="str"/>
      <x:c r="V275" s="151" t="str"/>
      <x:c r="W275" s="151" t="str"/>
      <x:c r="X275" s="151" t="str"/>
      <x:c r="Y275" s="151" t="str"/>
      <x:c r="Z275" s="151" t="str"/>
      <x:c r="AA275" s="151" t="str"/>
      <x:c r="AB275" s="151" t="str"/>
      <x:c r="AC275" s="151" t="str"/>
      <x:c r="AD275" s="151" t="str"/>
      <x:c r="AE275" s="151" t="str"/>
      <x:c r="AF275" s="151" t="str"/>
      <x:c r="AG275" s="151" t="str"/>
      <x:c r="AH275" s="151" t="str"/>
      <x:c r="AI275" s="151" t="str"/>
      <x:c r="AJ275" s="151" t="str"/>
      <x:c r="AK275" s="151" t="str"/>
      <x:c r="AL275" s="151" t="str"/>
      <x:c r="AM275" s="151" t="str"/>
      <x:c r="AN275" s="152" t="n">
        <x:f>IF(COUNTA(S275:AM275)=0,"",SUM(S275:AM275))</x:f>
        <x:v>0</x:v>
      </x:c>
      <x:c r="AO275" s="151" t="str"/>
      <x:c r="AP275" s="151" t="str"/>
      <x:c r="AQ275" s="151" t="str"/>
      <x:c r="AR275" s="151" t="str"/>
      <x:c r="AS275" s="196" t="str">
        <x:f>IF(AN275="","",IF(AO275="Cartons",IF(AP275*AQ275=AN275,"OK","CHECK CARTONS / SIZES"),IF(AR275=AN275,"OK","CHECK TOTAL / SIZES")))</x:f>
      </x:c>
      <x:c r="AT275" s="137" t="str"/>
      <x:c r="AU275" s="137" t="str"/>
      <x:c r="AV275" s="137" t="str"/>
      <x:c r="AW275" s="137" t="str"/>
    </x:row>
    <x:row r="276">
      <x:c r="A276" s="137" t="str"/>
      <x:c r="B276" s="137" t="str"/>
      <x:c r="C276" s="137" t="str"/>
      <x:c r="D276" s="137" t="str"/>
      <x:c r="E276" s="138" t="str"/>
      <x:c r="F276" s="138" t="str"/>
      <x:c r="G276" s="137" t="str"/>
      <x:c r="H276" s="137" t="str"/>
      <x:c r="I276" s="137" t="str"/>
      <x:c r="J276" s="137" t="str"/>
      <x:c r="K276" s="137" t="str"/>
      <x:c r="L276" s="137" t="str"/>
      <x:c r="M276" s="137" t="str"/>
      <x:c r="N276" s="137" t="str"/>
      <x:c r="O276" s="137" t="str"/>
      <x:c r="P276" s="137" t="str"/>
      <x:c r="Q276" s="137" t="str"/>
      <x:c r="R276" s="137" t="str"/>
      <x:c r="S276" s="151" t="str"/>
      <x:c r="T276" s="151" t="str"/>
      <x:c r="U276" s="151" t="str"/>
      <x:c r="V276" s="151" t="str"/>
      <x:c r="W276" s="151" t="str"/>
      <x:c r="X276" s="151" t="str"/>
      <x:c r="Y276" s="151" t="str"/>
      <x:c r="Z276" s="151" t="str"/>
      <x:c r="AA276" s="151" t="str"/>
      <x:c r="AB276" s="151" t="str"/>
      <x:c r="AC276" s="151" t="str"/>
      <x:c r="AD276" s="151" t="str"/>
      <x:c r="AE276" s="151" t="str"/>
      <x:c r="AF276" s="151" t="str"/>
      <x:c r="AG276" s="151" t="str"/>
      <x:c r="AH276" s="151" t="str"/>
      <x:c r="AI276" s="151" t="str"/>
      <x:c r="AJ276" s="151" t="str"/>
      <x:c r="AK276" s="151" t="str"/>
      <x:c r="AL276" s="151" t="str"/>
      <x:c r="AM276" s="151" t="str"/>
      <x:c r="AN276" s="152" t="n">
        <x:f>IF(COUNTA(S276:AM276)=0,"",SUM(S276:AM276))</x:f>
        <x:v>0</x:v>
      </x:c>
      <x:c r="AO276" s="151" t="str"/>
      <x:c r="AP276" s="151" t="str"/>
      <x:c r="AQ276" s="151" t="str"/>
      <x:c r="AR276" s="151" t="str"/>
      <x:c r="AS276" s="196" t="str">
        <x:f>IF(AN276="","",IF(AO276="Cartons",IF(AP276*AQ276=AN276,"OK","CHECK CARTONS / SIZES"),IF(AR276=AN276,"OK","CHECK TOTAL / SIZES")))</x:f>
      </x:c>
      <x:c r="AT276" s="137" t="str"/>
      <x:c r="AU276" s="137" t="str"/>
      <x:c r="AV276" s="137" t="str"/>
      <x:c r="AW276" s="137" t="str"/>
    </x:row>
    <x:row r="277">
      <x:c r="A277" s="137" t="str"/>
      <x:c r="B277" s="137" t="str"/>
      <x:c r="C277" s="137" t="str"/>
      <x:c r="D277" s="137" t="str"/>
      <x:c r="E277" s="138" t="str"/>
      <x:c r="F277" s="138" t="str"/>
      <x:c r="G277" s="137" t="str"/>
      <x:c r="H277" s="137" t="str"/>
      <x:c r="I277" s="137" t="str"/>
      <x:c r="J277" s="137" t="str"/>
      <x:c r="K277" s="137" t="str"/>
      <x:c r="L277" s="137" t="str"/>
      <x:c r="M277" s="137" t="str"/>
      <x:c r="N277" s="137" t="str"/>
      <x:c r="O277" s="137" t="str"/>
      <x:c r="P277" s="137" t="str"/>
      <x:c r="Q277" s="137" t="str"/>
      <x:c r="R277" s="137" t="str"/>
      <x:c r="S277" s="151" t="str"/>
      <x:c r="T277" s="151" t="str"/>
      <x:c r="U277" s="151" t="str"/>
      <x:c r="V277" s="151" t="str"/>
      <x:c r="W277" s="151" t="str"/>
      <x:c r="X277" s="151" t="str"/>
      <x:c r="Y277" s="151" t="str"/>
      <x:c r="Z277" s="151" t="str"/>
      <x:c r="AA277" s="151" t="str"/>
      <x:c r="AB277" s="151" t="str"/>
      <x:c r="AC277" s="151" t="str"/>
      <x:c r="AD277" s="151" t="str"/>
      <x:c r="AE277" s="151" t="str"/>
      <x:c r="AF277" s="151" t="str"/>
      <x:c r="AG277" s="151" t="str"/>
      <x:c r="AH277" s="151" t="str"/>
      <x:c r="AI277" s="151" t="str"/>
      <x:c r="AJ277" s="151" t="str"/>
      <x:c r="AK277" s="151" t="str"/>
      <x:c r="AL277" s="151" t="str"/>
      <x:c r="AM277" s="151" t="str"/>
      <x:c r="AN277" s="152" t="n">
        <x:f>IF(COUNTA(S277:AM277)=0,"",SUM(S277:AM277))</x:f>
        <x:v>0</x:v>
      </x:c>
      <x:c r="AO277" s="151" t="str"/>
      <x:c r="AP277" s="151" t="str"/>
      <x:c r="AQ277" s="151" t="str"/>
      <x:c r="AR277" s="151" t="str"/>
      <x:c r="AS277" s="196" t="str">
        <x:f>IF(AN277="","",IF(AO277="Cartons",IF(AP277*AQ277=AN277,"OK","CHECK CARTONS / SIZES"),IF(AR277=AN277,"OK","CHECK TOTAL / SIZES")))</x:f>
      </x:c>
      <x:c r="AT277" s="137" t="str"/>
      <x:c r="AU277" s="137" t="str"/>
      <x:c r="AV277" s="137" t="str"/>
      <x:c r="AW277" s="137" t="str"/>
    </x:row>
    <x:row r="278">
      <x:c r="A278" s="137" t="str"/>
      <x:c r="B278" s="137" t="str"/>
      <x:c r="C278" s="137" t="str"/>
      <x:c r="D278" s="137" t="str"/>
      <x:c r="E278" s="138" t="str"/>
      <x:c r="F278" s="138" t="str"/>
      <x:c r="G278" s="137" t="str"/>
      <x:c r="H278" s="137" t="str"/>
      <x:c r="I278" s="137" t="str"/>
      <x:c r="J278" s="137" t="str"/>
      <x:c r="K278" s="137" t="str"/>
      <x:c r="L278" s="137" t="str"/>
      <x:c r="M278" s="137" t="str"/>
      <x:c r="N278" s="137" t="str"/>
      <x:c r="O278" s="137" t="str"/>
      <x:c r="P278" s="137" t="str"/>
      <x:c r="Q278" s="137" t="str"/>
      <x:c r="R278" s="137" t="str"/>
      <x:c r="S278" s="151" t="str"/>
      <x:c r="T278" s="151" t="str"/>
      <x:c r="U278" s="151" t="str"/>
      <x:c r="V278" s="151" t="str"/>
      <x:c r="W278" s="151" t="str"/>
      <x:c r="X278" s="151" t="str"/>
      <x:c r="Y278" s="151" t="str"/>
      <x:c r="Z278" s="151" t="str"/>
      <x:c r="AA278" s="151" t="str"/>
      <x:c r="AB278" s="151" t="str"/>
      <x:c r="AC278" s="151" t="str"/>
      <x:c r="AD278" s="151" t="str"/>
      <x:c r="AE278" s="151" t="str"/>
      <x:c r="AF278" s="151" t="str"/>
      <x:c r="AG278" s="151" t="str"/>
      <x:c r="AH278" s="151" t="str"/>
      <x:c r="AI278" s="151" t="str"/>
      <x:c r="AJ278" s="151" t="str"/>
      <x:c r="AK278" s="151" t="str"/>
      <x:c r="AL278" s="151" t="str"/>
      <x:c r="AM278" s="151" t="str"/>
      <x:c r="AN278" s="152" t="n">
        <x:f>IF(COUNTA(S278:AM278)=0,"",SUM(S278:AM278))</x:f>
        <x:v>0</x:v>
      </x:c>
      <x:c r="AO278" s="151" t="str"/>
      <x:c r="AP278" s="151" t="str"/>
      <x:c r="AQ278" s="151" t="str"/>
      <x:c r="AR278" s="151" t="str"/>
      <x:c r="AS278" s="196" t="str">
        <x:f>IF(AN278="","",IF(AO278="Cartons",IF(AP278*AQ278=AN278,"OK","CHECK CARTONS / SIZES"),IF(AR278=AN278,"OK","CHECK TOTAL / SIZES")))</x:f>
      </x:c>
      <x:c r="AT278" s="137" t="str"/>
      <x:c r="AU278" s="137" t="str"/>
      <x:c r="AV278" s="137" t="str"/>
      <x:c r="AW278" s="137" t="str"/>
    </x:row>
    <x:row r="279">
      <x:c r="A279" s="137" t="str"/>
      <x:c r="B279" s="137" t="str"/>
      <x:c r="C279" s="137" t="str"/>
      <x:c r="D279" s="137" t="str"/>
      <x:c r="E279" s="138" t="str"/>
      <x:c r="F279" s="138" t="str"/>
      <x:c r="G279" s="137" t="str"/>
      <x:c r="H279" s="137" t="str"/>
      <x:c r="I279" s="137" t="str"/>
      <x:c r="J279" s="137" t="str"/>
      <x:c r="K279" s="137" t="str"/>
      <x:c r="L279" s="137" t="str"/>
      <x:c r="M279" s="137" t="str"/>
      <x:c r="N279" s="137" t="str"/>
      <x:c r="O279" s="137" t="str"/>
      <x:c r="P279" s="137" t="str"/>
      <x:c r="Q279" s="137" t="str"/>
      <x:c r="R279" s="137" t="str"/>
      <x:c r="S279" s="151" t="str"/>
      <x:c r="T279" s="151" t="str"/>
      <x:c r="U279" s="151" t="str"/>
      <x:c r="V279" s="151" t="str"/>
      <x:c r="W279" s="151" t="str"/>
      <x:c r="X279" s="151" t="str"/>
      <x:c r="Y279" s="151" t="str"/>
      <x:c r="Z279" s="151" t="str"/>
      <x:c r="AA279" s="151" t="str"/>
      <x:c r="AB279" s="151" t="str"/>
      <x:c r="AC279" s="151" t="str"/>
      <x:c r="AD279" s="151" t="str"/>
      <x:c r="AE279" s="151" t="str"/>
      <x:c r="AF279" s="151" t="str"/>
      <x:c r="AG279" s="151" t="str"/>
      <x:c r="AH279" s="151" t="str"/>
      <x:c r="AI279" s="151" t="str"/>
      <x:c r="AJ279" s="151" t="str"/>
      <x:c r="AK279" s="151" t="str"/>
      <x:c r="AL279" s="151" t="str"/>
      <x:c r="AM279" s="151" t="str"/>
      <x:c r="AN279" s="152" t="n">
        <x:f>IF(COUNTA(S279:AM279)=0,"",SUM(S279:AM279))</x:f>
        <x:v>0</x:v>
      </x:c>
      <x:c r="AO279" s="151" t="str"/>
      <x:c r="AP279" s="151" t="str"/>
      <x:c r="AQ279" s="151" t="str"/>
      <x:c r="AR279" s="151" t="str"/>
      <x:c r="AS279" s="196" t="str">
        <x:f>IF(AN279="","",IF(AO279="Cartons",IF(AP279*AQ279=AN279,"OK","CHECK CARTONS / SIZES"),IF(AR279=AN279,"OK","CHECK TOTAL / SIZES")))</x:f>
      </x:c>
      <x:c r="AT279" s="137" t="str"/>
      <x:c r="AU279" s="137" t="str"/>
      <x:c r="AV279" s="137" t="str"/>
      <x:c r="AW279" s="137" t="str"/>
    </x:row>
    <x:row r="280">
      <x:c r="A280" s="137" t="str"/>
      <x:c r="B280" s="137" t="str"/>
      <x:c r="C280" s="137" t="str"/>
      <x:c r="D280" s="137" t="str"/>
      <x:c r="E280" s="138" t="str"/>
      <x:c r="F280" s="138" t="str"/>
      <x:c r="G280" s="137" t="str"/>
      <x:c r="H280" s="137" t="str"/>
      <x:c r="I280" s="137" t="str"/>
      <x:c r="J280" s="137" t="str"/>
      <x:c r="K280" s="137" t="str"/>
      <x:c r="L280" s="137" t="str"/>
      <x:c r="M280" s="137" t="str"/>
      <x:c r="N280" s="137" t="str"/>
      <x:c r="O280" s="137" t="str"/>
      <x:c r="P280" s="137" t="str"/>
      <x:c r="Q280" s="137" t="str"/>
      <x:c r="R280" s="137" t="str"/>
      <x:c r="S280" s="151" t="str"/>
      <x:c r="T280" s="151" t="str"/>
      <x:c r="U280" s="151" t="str"/>
      <x:c r="V280" s="151" t="str"/>
      <x:c r="W280" s="151" t="str"/>
      <x:c r="X280" s="151" t="str"/>
      <x:c r="Y280" s="151" t="str"/>
      <x:c r="Z280" s="151" t="str"/>
      <x:c r="AA280" s="151" t="str"/>
      <x:c r="AB280" s="151" t="str"/>
      <x:c r="AC280" s="151" t="str"/>
      <x:c r="AD280" s="151" t="str"/>
      <x:c r="AE280" s="151" t="str"/>
      <x:c r="AF280" s="151" t="str"/>
      <x:c r="AG280" s="151" t="str"/>
      <x:c r="AH280" s="151" t="str"/>
      <x:c r="AI280" s="151" t="str"/>
      <x:c r="AJ280" s="151" t="str"/>
      <x:c r="AK280" s="151" t="str"/>
      <x:c r="AL280" s="151" t="str"/>
      <x:c r="AM280" s="151" t="str"/>
      <x:c r="AN280" s="152" t="n">
        <x:f>IF(COUNTA(S280:AM280)=0,"",SUM(S280:AM280))</x:f>
        <x:v>0</x:v>
      </x:c>
      <x:c r="AO280" s="151" t="str"/>
      <x:c r="AP280" s="151" t="str"/>
      <x:c r="AQ280" s="151" t="str"/>
      <x:c r="AR280" s="151" t="str"/>
      <x:c r="AS280" s="196" t="str">
        <x:f>IF(AN280="","",IF(AO280="Cartons",IF(AP280*AQ280=AN280,"OK","CHECK CARTONS / SIZES"),IF(AR280=AN280,"OK","CHECK TOTAL / SIZES")))</x:f>
      </x:c>
      <x:c r="AT280" s="137" t="str"/>
      <x:c r="AU280" s="137" t="str"/>
      <x:c r="AV280" s="137" t="str"/>
      <x:c r="AW280" s="137" t="str"/>
    </x:row>
    <x:row r="281">
      <x:c r="A281" s="137" t="str"/>
      <x:c r="B281" s="137" t="str"/>
      <x:c r="C281" s="137" t="str"/>
      <x:c r="D281" s="137" t="str"/>
      <x:c r="E281" s="138" t="str"/>
      <x:c r="F281" s="138" t="str"/>
      <x:c r="G281" s="137" t="str"/>
      <x:c r="H281" s="137" t="str"/>
      <x:c r="I281" s="137" t="str"/>
      <x:c r="J281" s="137" t="str"/>
      <x:c r="K281" s="137" t="str"/>
      <x:c r="L281" s="137" t="str"/>
      <x:c r="M281" s="137" t="str"/>
      <x:c r="N281" s="137" t="str"/>
      <x:c r="O281" s="137" t="str"/>
      <x:c r="P281" s="137" t="str"/>
      <x:c r="Q281" s="137" t="str"/>
      <x:c r="R281" s="137" t="str"/>
      <x:c r="S281" s="151" t="str"/>
      <x:c r="T281" s="151" t="str"/>
      <x:c r="U281" s="151" t="str"/>
      <x:c r="V281" s="151" t="str"/>
      <x:c r="W281" s="151" t="str"/>
      <x:c r="X281" s="151" t="str"/>
      <x:c r="Y281" s="151" t="str"/>
      <x:c r="Z281" s="151" t="str"/>
      <x:c r="AA281" s="151" t="str"/>
      <x:c r="AB281" s="151" t="str"/>
      <x:c r="AC281" s="151" t="str"/>
      <x:c r="AD281" s="151" t="str"/>
      <x:c r="AE281" s="151" t="str"/>
      <x:c r="AF281" s="151" t="str"/>
      <x:c r="AG281" s="151" t="str"/>
      <x:c r="AH281" s="151" t="str"/>
      <x:c r="AI281" s="151" t="str"/>
      <x:c r="AJ281" s="151" t="str"/>
      <x:c r="AK281" s="151" t="str"/>
      <x:c r="AL281" s="151" t="str"/>
      <x:c r="AM281" s="151" t="str"/>
      <x:c r="AN281" s="152" t="n">
        <x:f>IF(COUNTA(S281:AM281)=0,"",SUM(S281:AM281))</x:f>
        <x:v>0</x:v>
      </x:c>
      <x:c r="AO281" s="151" t="str"/>
      <x:c r="AP281" s="151" t="str"/>
      <x:c r="AQ281" s="151" t="str"/>
      <x:c r="AR281" s="151" t="str"/>
      <x:c r="AS281" s="196" t="str">
        <x:f>IF(AN281="","",IF(AO281="Cartons",IF(AP281*AQ281=AN281,"OK","CHECK CARTONS / SIZES"),IF(AR281=AN281,"OK","CHECK TOTAL / SIZES")))</x:f>
      </x:c>
      <x:c r="AT281" s="137" t="str"/>
      <x:c r="AU281" s="137" t="str"/>
      <x:c r="AV281" s="137" t="str"/>
      <x:c r="AW281" s="137" t="str"/>
    </x:row>
    <x:row r="282">
      <x:c r="A282" s="137" t="str"/>
      <x:c r="B282" s="137" t="str"/>
      <x:c r="C282" s="137" t="str"/>
      <x:c r="D282" s="137" t="str"/>
      <x:c r="E282" s="138" t="str"/>
      <x:c r="F282" s="138" t="str"/>
      <x:c r="G282" s="137" t="str"/>
      <x:c r="H282" s="137" t="str"/>
      <x:c r="I282" s="137" t="str"/>
      <x:c r="J282" s="137" t="str"/>
      <x:c r="K282" s="137" t="str"/>
      <x:c r="L282" s="137" t="str"/>
      <x:c r="M282" s="137" t="str"/>
      <x:c r="N282" s="137" t="str"/>
      <x:c r="O282" s="137" t="str"/>
      <x:c r="P282" s="137" t="str"/>
      <x:c r="Q282" s="137" t="str"/>
      <x:c r="R282" s="137" t="str"/>
      <x:c r="S282" s="151" t="str"/>
      <x:c r="T282" s="151" t="str"/>
      <x:c r="U282" s="151" t="str"/>
      <x:c r="V282" s="151" t="str"/>
      <x:c r="W282" s="151" t="str"/>
      <x:c r="X282" s="151" t="str"/>
      <x:c r="Y282" s="151" t="str"/>
      <x:c r="Z282" s="151" t="str"/>
      <x:c r="AA282" s="151" t="str"/>
      <x:c r="AB282" s="151" t="str"/>
      <x:c r="AC282" s="151" t="str"/>
      <x:c r="AD282" s="151" t="str"/>
      <x:c r="AE282" s="151" t="str"/>
      <x:c r="AF282" s="151" t="str"/>
      <x:c r="AG282" s="151" t="str"/>
      <x:c r="AH282" s="151" t="str"/>
      <x:c r="AI282" s="151" t="str"/>
      <x:c r="AJ282" s="151" t="str"/>
      <x:c r="AK282" s="151" t="str"/>
      <x:c r="AL282" s="151" t="str"/>
      <x:c r="AM282" s="151" t="str"/>
      <x:c r="AN282" s="152" t="n">
        <x:f>IF(COUNTA(S282:AM282)=0,"",SUM(S282:AM282))</x:f>
        <x:v>0</x:v>
      </x:c>
      <x:c r="AO282" s="151" t="str"/>
      <x:c r="AP282" s="151" t="str"/>
      <x:c r="AQ282" s="151" t="str"/>
      <x:c r="AR282" s="151" t="str"/>
      <x:c r="AS282" s="196" t="str">
        <x:f>IF(AN282="","",IF(AO282="Cartons",IF(AP282*AQ282=AN282,"OK","CHECK CARTONS / SIZES"),IF(AR282=AN282,"OK","CHECK TOTAL / SIZES")))</x:f>
      </x:c>
      <x:c r="AT282" s="137" t="str"/>
      <x:c r="AU282" s="137" t="str"/>
      <x:c r="AV282" s="137" t="str"/>
      <x:c r="AW282" s="137" t="str"/>
    </x:row>
    <x:row r="283">
      <x:c r="A283" s="137" t="str"/>
      <x:c r="B283" s="137" t="str"/>
      <x:c r="C283" s="137" t="str"/>
      <x:c r="D283" s="137" t="str"/>
      <x:c r="E283" s="138" t="str"/>
      <x:c r="F283" s="138" t="str"/>
      <x:c r="G283" s="137" t="str"/>
      <x:c r="H283" s="137" t="str"/>
      <x:c r="I283" s="137" t="str"/>
      <x:c r="J283" s="137" t="str"/>
      <x:c r="K283" s="137" t="str"/>
      <x:c r="L283" s="137" t="str"/>
      <x:c r="M283" s="137" t="str"/>
      <x:c r="N283" s="137" t="str"/>
      <x:c r="O283" s="137" t="str"/>
      <x:c r="P283" s="137" t="str"/>
      <x:c r="Q283" s="137" t="str"/>
      <x:c r="R283" s="137" t="str"/>
      <x:c r="S283" s="151" t="str"/>
      <x:c r="T283" s="151" t="str"/>
      <x:c r="U283" s="151" t="str"/>
      <x:c r="V283" s="151" t="str"/>
      <x:c r="W283" s="151" t="str"/>
      <x:c r="X283" s="151" t="str"/>
      <x:c r="Y283" s="151" t="str"/>
      <x:c r="Z283" s="151" t="str"/>
      <x:c r="AA283" s="151" t="str"/>
      <x:c r="AB283" s="151" t="str"/>
      <x:c r="AC283" s="151" t="str"/>
      <x:c r="AD283" s="151" t="str"/>
      <x:c r="AE283" s="151" t="str"/>
      <x:c r="AF283" s="151" t="str"/>
      <x:c r="AG283" s="151" t="str"/>
      <x:c r="AH283" s="151" t="str"/>
      <x:c r="AI283" s="151" t="str"/>
      <x:c r="AJ283" s="151" t="str"/>
      <x:c r="AK283" s="151" t="str"/>
      <x:c r="AL283" s="151" t="str"/>
      <x:c r="AM283" s="151" t="str"/>
      <x:c r="AN283" s="152" t="n">
        <x:f>IF(COUNTA(S283:AM283)=0,"",SUM(S283:AM283))</x:f>
        <x:v>0</x:v>
      </x:c>
      <x:c r="AO283" s="151" t="str"/>
      <x:c r="AP283" s="151" t="str"/>
      <x:c r="AQ283" s="151" t="str"/>
      <x:c r="AR283" s="151" t="str"/>
      <x:c r="AS283" s="196" t="str">
        <x:f>IF(AN283="","",IF(AO283="Cartons",IF(AP283*AQ283=AN283,"OK","CHECK CARTONS / SIZES"),IF(AR283=AN283,"OK","CHECK TOTAL / SIZES")))</x:f>
      </x:c>
      <x:c r="AT283" s="137" t="str"/>
      <x:c r="AU283" s="137" t="str"/>
      <x:c r="AV283" s="137" t="str"/>
      <x:c r="AW283" s="137" t="str"/>
    </x:row>
    <x:row r="284">
      <x:c r="A284" s="137" t="str"/>
      <x:c r="B284" s="137" t="str"/>
      <x:c r="C284" s="137" t="str"/>
      <x:c r="D284" s="137" t="str"/>
      <x:c r="E284" s="138" t="str"/>
      <x:c r="F284" s="138" t="str"/>
      <x:c r="G284" s="137" t="str"/>
      <x:c r="H284" s="137" t="str"/>
      <x:c r="I284" s="137" t="str"/>
      <x:c r="J284" s="137" t="str"/>
      <x:c r="K284" s="137" t="str"/>
      <x:c r="L284" s="137" t="str"/>
      <x:c r="M284" s="137" t="str"/>
      <x:c r="N284" s="137" t="str"/>
      <x:c r="O284" s="137" t="str"/>
      <x:c r="P284" s="137" t="str"/>
      <x:c r="Q284" s="137" t="str"/>
      <x:c r="R284" s="137" t="str"/>
      <x:c r="S284" s="151" t="str"/>
      <x:c r="T284" s="151" t="str"/>
      <x:c r="U284" s="151" t="str"/>
      <x:c r="V284" s="151" t="str"/>
      <x:c r="W284" s="151" t="str"/>
      <x:c r="X284" s="151" t="str"/>
      <x:c r="Y284" s="151" t="str"/>
      <x:c r="Z284" s="151" t="str"/>
      <x:c r="AA284" s="151" t="str"/>
      <x:c r="AB284" s="151" t="str"/>
      <x:c r="AC284" s="151" t="str"/>
      <x:c r="AD284" s="151" t="str"/>
      <x:c r="AE284" s="151" t="str"/>
      <x:c r="AF284" s="151" t="str"/>
      <x:c r="AG284" s="151" t="str"/>
      <x:c r="AH284" s="151" t="str"/>
      <x:c r="AI284" s="151" t="str"/>
      <x:c r="AJ284" s="151" t="str"/>
      <x:c r="AK284" s="151" t="str"/>
      <x:c r="AL284" s="151" t="str"/>
      <x:c r="AM284" s="151" t="str"/>
      <x:c r="AN284" s="152" t="n">
        <x:f>IF(COUNTA(S284:AM284)=0,"",SUM(S284:AM284))</x:f>
        <x:v>0</x:v>
      </x:c>
      <x:c r="AO284" s="151" t="str"/>
      <x:c r="AP284" s="151" t="str"/>
      <x:c r="AQ284" s="151" t="str"/>
      <x:c r="AR284" s="151" t="str"/>
      <x:c r="AS284" s="196" t="str">
        <x:f>IF(AN284="","",IF(AO284="Cartons",IF(AP284*AQ284=AN284,"OK","CHECK CARTONS / SIZES"),IF(AR284=AN284,"OK","CHECK TOTAL / SIZES")))</x:f>
      </x:c>
      <x:c r="AT284" s="137" t="str"/>
      <x:c r="AU284" s="137" t="str"/>
      <x:c r="AV284" s="137" t="str"/>
      <x:c r="AW284" s="137" t="str"/>
    </x:row>
    <x:row r="285">
      <x:c r="A285" s="137" t="str"/>
      <x:c r="B285" s="137" t="str"/>
      <x:c r="C285" s="137" t="str"/>
      <x:c r="D285" s="137" t="str"/>
      <x:c r="E285" s="138" t="str"/>
      <x:c r="F285" s="138" t="str"/>
      <x:c r="G285" s="137" t="str"/>
      <x:c r="H285" s="137" t="str"/>
      <x:c r="I285" s="137" t="str"/>
      <x:c r="J285" s="137" t="str"/>
      <x:c r="K285" s="137" t="str"/>
      <x:c r="L285" s="137" t="str"/>
      <x:c r="M285" s="137" t="str"/>
      <x:c r="N285" s="137" t="str"/>
      <x:c r="O285" s="137" t="str"/>
      <x:c r="P285" s="137" t="str"/>
      <x:c r="Q285" s="137" t="str"/>
      <x:c r="R285" s="137" t="str"/>
      <x:c r="S285" s="151" t="str"/>
      <x:c r="T285" s="151" t="str"/>
      <x:c r="U285" s="151" t="str"/>
      <x:c r="V285" s="151" t="str"/>
      <x:c r="W285" s="151" t="str"/>
      <x:c r="X285" s="151" t="str"/>
      <x:c r="Y285" s="151" t="str"/>
      <x:c r="Z285" s="151" t="str"/>
      <x:c r="AA285" s="151" t="str"/>
      <x:c r="AB285" s="151" t="str"/>
      <x:c r="AC285" s="151" t="str"/>
      <x:c r="AD285" s="151" t="str"/>
      <x:c r="AE285" s="151" t="str"/>
      <x:c r="AF285" s="151" t="str"/>
      <x:c r="AG285" s="151" t="str"/>
      <x:c r="AH285" s="151" t="str"/>
      <x:c r="AI285" s="151" t="str"/>
      <x:c r="AJ285" s="151" t="str"/>
      <x:c r="AK285" s="151" t="str"/>
      <x:c r="AL285" s="151" t="str"/>
      <x:c r="AM285" s="151" t="str"/>
      <x:c r="AN285" s="152" t="n">
        <x:f>IF(COUNTA(S285:AM285)=0,"",SUM(S285:AM285))</x:f>
        <x:v>0</x:v>
      </x:c>
      <x:c r="AO285" s="151" t="str"/>
      <x:c r="AP285" s="151" t="str"/>
      <x:c r="AQ285" s="151" t="str"/>
      <x:c r="AR285" s="151" t="str"/>
      <x:c r="AS285" s="196" t="str">
        <x:f>IF(AN285="","",IF(AO285="Cartons",IF(AP285*AQ285=AN285,"OK","CHECK CARTONS / SIZES"),IF(AR285=AN285,"OK","CHECK TOTAL / SIZES")))</x:f>
      </x:c>
      <x:c r="AT285" s="137" t="str"/>
      <x:c r="AU285" s="137" t="str"/>
      <x:c r="AV285" s="137" t="str"/>
      <x:c r="AW285" s="137" t="str"/>
    </x:row>
    <x:row r="286">
      <x:c r="A286" s="137" t="str"/>
      <x:c r="B286" s="137" t="str"/>
      <x:c r="C286" s="137" t="str"/>
      <x:c r="D286" s="137" t="str"/>
      <x:c r="E286" s="138" t="str"/>
      <x:c r="F286" s="138" t="str"/>
      <x:c r="G286" s="137" t="str"/>
      <x:c r="H286" s="137" t="str"/>
      <x:c r="I286" s="137" t="str"/>
      <x:c r="J286" s="137" t="str"/>
      <x:c r="K286" s="137" t="str"/>
      <x:c r="L286" s="137" t="str"/>
      <x:c r="M286" s="137" t="str"/>
      <x:c r="N286" s="137" t="str"/>
      <x:c r="O286" s="137" t="str"/>
      <x:c r="P286" s="137" t="str"/>
      <x:c r="Q286" s="137" t="str"/>
      <x:c r="R286" s="137" t="str"/>
      <x:c r="S286" s="151" t="str"/>
      <x:c r="T286" s="151" t="str"/>
      <x:c r="U286" s="151" t="str"/>
      <x:c r="V286" s="151" t="str"/>
      <x:c r="W286" s="151" t="str"/>
      <x:c r="X286" s="151" t="str"/>
      <x:c r="Y286" s="151" t="str"/>
      <x:c r="Z286" s="151" t="str"/>
      <x:c r="AA286" s="151" t="str"/>
      <x:c r="AB286" s="151" t="str"/>
      <x:c r="AC286" s="151" t="str"/>
      <x:c r="AD286" s="151" t="str"/>
      <x:c r="AE286" s="151" t="str"/>
      <x:c r="AF286" s="151" t="str"/>
      <x:c r="AG286" s="151" t="str"/>
      <x:c r="AH286" s="151" t="str"/>
      <x:c r="AI286" s="151" t="str"/>
      <x:c r="AJ286" s="151" t="str"/>
      <x:c r="AK286" s="151" t="str"/>
      <x:c r="AL286" s="151" t="str"/>
      <x:c r="AM286" s="151" t="str"/>
      <x:c r="AN286" s="152" t="n">
        <x:f>IF(COUNTA(S286:AM286)=0,"",SUM(S286:AM286))</x:f>
        <x:v>0</x:v>
      </x:c>
      <x:c r="AO286" s="151" t="str"/>
      <x:c r="AP286" s="151" t="str"/>
      <x:c r="AQ286" s="151" t="str"/>
      <x:c r="AR286" s="151" t="str"/>
      <x:c r="AS286" s="196" t="str">
        <x:f>IF(AN286="","",IF(AO286="Cartons",IF(AP286*AQ286=AN286,"OK","CHECK CARTONS / SIZES"),IF(AR286=AN286,"OK","CHECK TOTAL / SIZES")))</x:f>
      </x:c>
      <x:c r="AT286" s="137" t="str"/>
      <x:c r="AU286" s="137" t="str"/>
      <x:c r="AV286" s="137" t="str"/>
      <x:c r="AW286" s="137" t="str"/>
    </x:row>
    <x:row r="287">
      <x:c r="A287" s="137" t="str"/>
      <x:c r="B287" s="137" t="str"/>
      <x:c r="C287" s="137" t="str"/>
      <x:c r="D287" s="137" t="str"/>
      <x:c r="E287" s="138" t="str"/>
      <x:c r="F287" s="138" t="str"/>
      <x:c r="G287" s="137" t="str"/>
      <x:c r="H287" s="137" t="str"/>
      <x:c r="I287" s="137" t="str"/>
      <x:c r="J287" s="137" t="str"/>
      <x:c r="K287" s="137" t="str"/>
      <x:c r="L287" s="137" t="str"/>
      <x:c r="M287" s="137" t="str"/>
      <x:c r="N287" s="137" t="str"/>
      <x:c r="O287" s="137" t="str"/>
      <x:c r="P287" s="137" t="str"/>
      <x:c r="Q287" s="137" t="str"/>
      <x:c r="R287" s="137" t="str"/>
      <x:c r="S287" s="151" t="str"/>
      <x:c r="T287" s="151" t="str"/>
      <x:c r="U287" s="151" t="str"/>
      <x:c r="V287" s="151" t="str"/>
      <x:c r="W287" s="151" t="str"/>
      <x:c r="X287" s="151" t="str"/>
      <x:c r="Y287" s="151" t="str"/>
      <x:c r="Z287" s="151" t="str"/>
      <x:c r="AA287" s="151" t="str"/>
      <x:c r="AB287" s="151" t="str"/>
      <x:c r="AC287" s="151" t="str"/>
      <x:c r="AD287" s="151" t="str"/>
      <x:c r="AE287" s="151" t="str"/>
      <x:c r="AF287" s="151" t="str"/>
      <x:c r="AG287" s="151" t="str"/>
      <x:c r="AH287" s="151" t="str"/>
      <x:c r="AI287" s="151" t="str"/>
      <x:c r="AJ287" s="151" t="str"/>
      <x:c r="AK287" s="151" t="str"/>
      <x:c r="AL287" s="151" t="str"/>
      <x:c r="AM287" s="151" t="str"/>
      <x:c r="AN287" s="152" t="n">
        <x:f>IF(COUNTA(S287:AM287)=0,"",SUM(S287:AM287))</x:f>
        <x:v>0</x:v>
      </x:c>
      <x:c r="AO287" s="151" t="str"/>
      <x:c r="AP287" s="151" t="str"/>
      <x:c r="AQ287" s="151" t="str"/>
      <x:c r="AR287" s="151" t="str"/>
      <x:c r="AS287" s="196" t="str">
        <x:f>IF(AN287="","",IF(AO287="Cartons",IF(AP287*AQ287=AN287,"OK","CHECK CARTONS / SIZES"),IF(AR287=AN287,"OK","CHECK TOTAL / SIZES")))</x:f>
      </x:c>
      <x:c r="AT287" s="137" t="str"/>
      <x:c r="AU287" s="137" t="str"/>
      <x:c r="AV287" s="137" t="str"/>
      <x:c r="AW287" s="137" t="str"/>
    </x:row>
    <x:row r="288">
      <x:c r="A288" s="137" t="str"/>
      <x:c r="B288" s="137" t="str"/>
      <x:c r="C288" s="137" t="str"/>
      <x:c r="D288" s="137" t="str"/>
      <x:c r="E288" s="138" t="str"/>
      <x:c r="F288" s="138" t="str"/>
      <x:c r="G288" s="137" t="str"/>
      <x:c r="H288" s="137" t="str"/>
      <x:c r="I288" s="137" t="str"/>
      <x:c r="J288" s="137" t="str"/>
      <x:c r="K288" s="137" t="str"/>
      <x:c r="L288" s="137" t="str"/>
      <x:c r="M288" s="137" t="str"/>
      <x:c r="N288" s="137" t="str"/>
      <x:c r="O288" s="137" t="str"/>
      <x:c r="P288" s="137" t="str"/>
      <x:c r="Q288" s="137" t="str"/>
      <x:c r="R288" s="137" t="str"/>
      <x:c r="S288" s="151" t="str"/>
      <x:c r="T288" s="151" t="str"/>
      <x:c r="U288" s="151" t="str"/>
      <x:c r="V288" s="151" t="str"/>
      <x:c r="W288" s="151" t="str"/>
      <x:c r="X288" s="151" t="str"/>
      <x:c r="Y288" s="151" t="str"/>
      <x:c r="Z288" s="151" t="str"/>
      <x:c r="AA288" s="151" t="str"/>
      <x:c r="AB288" s="151" t="str"/>
      <x:c r="AC288" s="151" t="str"/>
      <x:c r="AD288" s="151" t="str"/>
      <x:c r="AE288" s="151" t="str"/>
      <x:c r="AF288" s="151" t="str"/>
      <x:c r="AG288" s="151" t="str"/>
      <x:c r="AH288" s="151" t="str"/>
      <x:c r="AI288" s="151" t="str"/>
      <x:c r="AJ288" s="151" t="str"/>
      <x:c r="AK288" s="151" t="str"/>
      <x:c r="AL288" s="151" t="str"/>
      <x:c r="AM288" s="151" t="str"/>
      <x:c r="AN288" s="152" t="n">
        <x:f>IF(COUNTA(S288:AM288)=0,"",SUM(S288:AM288))</x:f>
        <x:v>0</x:v>
      </x:c>
      <x:c r="AO288" s="151" t="str"/>
      <x:c r="AP288" s="151" t="str"/>
      <x:c r="AQ288" s="151" t="str"/>
      <x:c r="AR288" s="151" t="str"/>
      <x:c r="AS288" s="196" t="str">
        <x:f>IF(AN288="","",IF(AO288="Cartons",IF(AP288*AQ288=AN288,"OK","CHECK CARTONS / SIZES"),IF(AR288=AN288,"OK","CHECK TOTAL / SIZES")))</x:f>
      </x:c>
      <x:c r="AT288" s="137" t="str"/>
      <x:c r="AU288" s="137" t="str"/>
      <x:c r="AV288" s="137" t="str"/>
      <x:c r="AW288" s="137" t="str"/>
    </x:row>
    <x:row r="289">
      <x:c r="A289" s="137" t="str"/>
      <x:c r="B289" s="137" t="str"/>
      <x:c r="C289" s="137" t="str"/>
      <x:c r="D289" s="137" t="str"/>
      <x:c r="E289" s="138" t="str"/>
      <x:c r="F289" s="138" t="str"/>
      <x:c r="G289" s="137" t="str"/>
      <x:c r="H289" s="137" t="str"/>
      <x:c r="I289" s="137" t="str"/>
      <x:c r="J289" s="137" t="str"/>
      <x:c r="K289" s="137" t="str"/>
      <x:c r="L289" s="137" t="str"/>
      <x:c r="M289" s="137" t="str"/>
      <x:c r="N289" s="137" t="str"/>
      <x:c r="O289" s="137" t="str"/>
      <x:c r="P289" s="137" t="str"/>
      <x:c r="Q289" s="137" t="str"/>
      <x:c r="R289" s="137" t="str"/>
      <x:c r="S289" s="151" t="str"/>
      <x:c r="T289" s="151" t="str"/>
      <x:c r="U289" s="151" t="str"/>
      <x:c r="V289" s="151" t="str"/>
      <x:c r="W289" s="151" t="str"/>
      <x:c r="X289" s="151" t="str"/>
      <x:c r="Y289" s="151" t="str"/>
      <x:c r="Z289" s="151" t="str"/>
      <x:c r="AA289" s="151" t="str"/>
      <x:c r="AB289" s="151" t="str"/>
      <x:c r="AC289" s="151" t="str"/>
      <x:c r="AD289" s="151" t="str"/>
      <x:c r="AE289" s="151" t="str"/>
      <x:c r="AF289" s="151" t="str"/>
      <x:c r="AG289" s="151" t="str"/>
      <x:c r="AH289" s="151" t="str"/>
      <x:c r="AI289" s="151" t="str"/>
      <x:c r="AJ289" s="151" t="str"/>
      <x:c r="AK289" s="151" t="str"/>
      <x:c r="AL289" s="151" t="str"/>
      <x:c r="AM289" s="151" t="str"/>
      <x:c r="AN289" s="152" t="n">
        <x:f>IF(COUNTA(S289:AM289)=0,"",SUM(S289:AM289))</x:f>
        <x:v>0</x:v>
      </x:c>
      <x:c r="AO289" s="151" t="str"/>
      <x:c r="AP289" s="151" t="str"/>
      <x:c r="AQ289" s="151" t="str"/>
      <x:c r="AR289" s="151" t="str"/>
      <x:c r="AS289" s="196" t="str">
        <x:f>IF(AN289="","",IF(AO289="Cartons",IF(AP289*AQ289=AN289,"OK","CHECK CARTONS / SIZES"),IF(AR289=AN289,"OK","CHECK TOTAL / SIZES")))</x:f>
      </x:c>
      <x:c r="AT289" s="137" t="str"/>
      <x:c r="AU289" s="137" t="str"/>
      <x:c r="AV289" s="137" t="str"/>
      <x:c r="AW289" s="137" t="str"/>
    </x:row>
    <x:row r="290">
      <x:c r="A290" s="137" t="str"/>
      <x:c r="B290" s="137" t="str"/>
      <x:c r="C290" s="137" t="str"/>
      <x:c r="D290" s="137" t="str"/>
      <x:c r="E290" s="138" t="str"/>
      <x:c r="F290" s="138" t="str"/>
      <x:c r="G290" s="137" t="str"/>
      <x:c r="H290" s="137" t="str"/>
      <x:c r="I290" s="137" t="str"/>
      <x:c r="J290" s="137" t="str"/>
      <x:c r="K290" s="137" t="str"/>
      <x:c r="L290" s="137" t="str"/>
      <x:c r="M290" s="137" t="str"/>
      <x:c r="N290" s="137" t="str"/>
      <x:c r="O290" s="137" t="str"/>
      <x:c r="P290" s="137" t="str"/>
      <x:c r="Q290" s="137" t="str"/>
      <x:c r="R290" s="137" t="str"/>
      <x:c r="S290" s="151" t="str"/>
      <x:c r="T290" s="151" t="str"/>
      <x:c r="U290" s="151" t="str"/>
      <x:c r="V290" s="151" t="str"/>
      <x:c r="W290" s="151" t="str"/>
      <x:c r="X290" s="151" t="str"/>
      <x:c r="Y290" s="151" t="str"/>
      <x:c r="Z290" s="151" t="str"/>
      <x:c r="AA290" s="151" t="str"/>
      <x:c r="AB290" s="151" t="str"/>
      <x:c r="AC290" s="151" t="str"/>
      <x:c r="AD290" s="151" t="str"/>
      <x:c r="AE290" s="151" t="str"/>
      <x:c r="AF290" s="151" t="str"/>
      <x:c r="AG290" s="151" t="str"/>
      <x:c r="AH290" s="151" t="str"/>
      <x:c r="AI290" s="151" t="str"/>
      <x:c r="AJ290" s="151" t="str"/>
      <x:c r="AK290" s="151" t="str"/>
      <x:c r="AL290" s="151" t="str"/>
      <x:c r="AM290" s="151" t="str"/>
      <x:c r="AN290" s="152" t="n">
        <x:f>IF(COUNTA(S290:AM290)=0,"",SUM(S290:AM290))</x:f>
        <x:v>0</x:v>
      </x:c>
      <x:c r="AO290" s="151" t="str"/>
      <x:c r="AP290" s="151" t="str"/>
      <x:c r="AQ290" s="151" t="str"/>
      <x:c r="AR290" s="151" t="str"/>
      <x:c r="AS290" s="196" t="str">
        <x:f>IF(AN290="","",IF(AO290="Cartons",IF(AP290*AQ290=AN290,"OK","CHECK CARTONS / SIZES"),IF(AR290=AN290,"OK","CHECK TOTAL / SIZES")))</x:f>
      </x:c>
      <x:c r="AT290" s="137" t="str"/>
      <x:c r="AU290" s="137" t="str"/>
      <x:c r="AV290" s="137" t="str"/>
      <x:c r="AW290" s="137" t="str"/>
    </x:row>
    <x:row r="291">
      <x:c r="A291" s="137" t="str"/>
      <x:c r="B291" s="137" t="str"/>
      <x:c r="C291" s="137" t="str"/>
      <x:c r="D291" s="137" t="str"/>
      <x:c r="E291" s="138" t="str"/>
      <x:c r="F291" s="138" t="str"/>
      <x:c r="G291" s="137" t="str"/>
      <x:c r="H291" s="137" t="str"/>
      <x:c r="I291" s="137" t="str"/>
      <x:c r="J291" s="137" t="str"/>
      <x:c r="K291" s="137" t="str"/>
      <x:c r="L291" s="137" t="str"/>
      <x:c r="M291" s="137" t="str"/>
      <x:c r="N291" s="137" t="str"/>
      <x:c r="O291" s="137" t="str"/>
      <x:c r="P291" s="137" t="str"/>
      <x:c r="Q291" s="137" t="str"/>
      <x:c r="R291" s="137" t="str"/>
      <x:c r="S291" s="151" t="str"/>
      <x:c r="T291" s="151" t="str"/>
      <x:c r="U291" s="151" t="str"/>
      <x:c r="V291" s="151" t="str"/>
      <x:c r="W291" s="151" t="str"/>
      <x:c r="X291" s="151" t="str"/>
      <x:c r="Y291" s="151" t="str"/>
      <x:c r="Z291" s="151" t="str"/>
      <x:c r="AA291" s="151" t="str"/>
      <x:c r="AB291" s="151" t="str"/>
      <x:c r="AC291" s="151" t="str"/>
      <x:c r="AD291" s="151" t="str"/>
      <x:c r="AE291" s="151" t="str"/>
      <x:c r="AF291" s="151" t="str"/>
      <x:c r="AG291" s="151" t="str"/>
      <x:c r="AH291" s="151" t="str"/>
      <x:c r="AI291" s="151" t="str"/>
      <x:c r="AJ291" s="151" t="str"/>
      <x:c r="AK291" s="151" t="str"/>
      <x:c r="AL291" s="151" t="str"/>
      <x:c r="AM291" s="151" t="str"/>
      <x:c r="AN291" s="152" t="n">
        <x:f>IF(COUNTA(S291:AM291)=0,"",SUM(S291:AM291))</x:f>
        <x:v>0</x:v>
      </x:c>
      <x:c r="AO291" s="151" t="str"/>
      <x:c r="AP291" s="151" t="str"/>
      <x:c r="AQ291" s="151" t="str"/>
      <x:c r="AR291" s="151" t="str"/>
      <x:c r="AS291" s="196" t="str">
        <x:f>IF(AN291="","",IF(AO291="Cartons",IF(AP291*AQ291=AN291,"OK","CHECK CARTONS / SIZES"),IF(AR291=AN291,"OK","CHECK TOTAL / SIZES")))</x:f>
      </x:c>
      <x:c r="AT291" s="137" t="str"/>
      <x:c r="AU291" s="137" t="str"/>
      <x:c r="AV291" s="137" t="str"/>
      <x:c r="AW291" s="137" t="str"/>
    </x:row>
    <x:row r="292">
      <x:c r="A292" s="137" t="str"/>
      <x:c r="B292" s="137" t="str"/>
      <x:c r="C292" s="137" t="str"/>
      <x:c r="D292" s="137" t="str"/>
      <x:c r="E292" s="138" t="str"/>
      <x:c r="F292" s="138" t="str"/>
      <x:c r="G292" s="137" t="str"/>
      <x:c r="H292" s="137" t="str"/>
      <x:c r="I292" s="137" t="str"/>
      <x:c r="J292" s="137" t="str"/>
      <x:c r="K292" s="137" t="str"/>
      <x:c r="L292" s="137" t="str"/>
      <x:c r="M292" s="137" t="str"/>
      <x:c r="N292" s="137" t="str"/>
      <x:c r="O292" s="137" t="str"/>
      <x:c r="P292" s="137" t="str"/>
      <x:c r="Q292" s="137" t="str"/>
      <x:c r="R292" s="137" t="str"/>
      <x:c r="S292" s="151" t="str"/>
      <x:c r="T292" s="151" t="str"/>
      <x:c r="U292" s="151" t="str"/>
      <x:c r="V292" s="151" t="str"/>
      <x:c r="W292" s="151" t="str"/>
      <x:c r="X292" s="151" t="str"/>
      <x:c r="Y292" s="151" t="str"/>
      <x:c r="Z292" s="151" t="str"/>
      <x:c r="AA292" s="151" t="str"/>
      <x:c r="AB292" s="151" t="str"/>
      <x:c r="AC292" s="151" t="str"/>
      <x:c r="AD292" s="151" t="str"/>
      <x:c r="AE292" s="151" t="str"/>
      <x:c r="AF292" s="151" t="str"/>
      <x:c r="AG292" s="151" t="str"/>
      <x:c r="AH292" s="151" t="str"/>
      <x:c r="AI292" s="151" t="str"/>
      <x:c r="AJ292" s="151" t="str"/>
      <x:c r="AK292" s="151" t="str"/>
      <x:c r="AL292" s="151" t="str"/>
      <x:c r="AM292" s="151" t="str"/>
      <x:c r="AN292" s="152" t="n">
        <x:f>IF(COUNTA(S292:AM292)=0,"",SUM(S292:AM292))</x:f>
        <x:v>0</x:v>
      </x:c>
      <x:c r="AO292" s="151" t="str"/>
      <x:c r="AP292" s="151" t="str"/>
      <x:c r="AQ292" s="151" t="str"/>
      <x:c r="AR292" s="151" t="str"/>
      <x:c r="AS292" s="196" t="str">
        <x:f>IF(AN292="","",IF(AO292="Cartons",IF(AP292*AQ292=AN292,"OK","CHECK CARTONS / SIZES"),IF(AR292=AN292,"OK","CHECK TOTAL / SIZES")))</x:f>
      </x:c>
      <x:c r="AT292" s="137" t="str"/>
      <x:c r="AU292" s="137" t="str"/>
      <x:c r="AV292" s="137" t="str"/>
      <x:c r="AW292" s="137" t="str"/>
    </x:row>
    <x:row r="293">
      <x:c r="A293" s="137" t="str"/>
      <x:c r="B293" s="137" t="str"/>
      <x:c r="C293" s="137" t="str"/>
      <x:c r="D293" s="137" t="str"/>
      <x:c r="E293" s="138" t="str"/>
      <x:c r="F293" s="138" t="str"/>
      <x:c r="G293" s="137" t="str"/>
      <x:c r="H293" s="137" t="str"/>
      <x:c r="I293" s="137" t="str"/>
      <x:c r="J293" s="137" t="str"/>
      <x:c r="K293" s="137" t="str"/>
      <x:c r="L293" s="137" t="str"/>
      <x:c r="M293" s="137" t="str"/>
      <x:c r="N293" s="137" t="str"/>
      <x:c r="O293" s="137" t="str"/>
      <x:c r="P293" s="137" t="str"/>
      <x:c r="Q293" s="137" t="str"/>
      <x:c r="R293" s="137" t="str"/>
      <x:c r="S293" s="151" t="str"/>
      <x:c r="T293" s="151" t="str"/>
      <x:c r="U293" s="151" t="str"/>
      <x:c r="V293" s="151" t="str"/>
      <x:c r="W293" s="151" t="str"/>
      <x:c r="X293" s="151" t="str"/>
      <x:c r="Y293" s="151" t="str"/>
      <x:c r="Z293" s="151" t="str"/>
      <x:c r="AA293" s="151" t="str"/>
      <x:c r="AB293" s="151" t="str"/>
      <x:c r="AC293" s="151" t="str"/>
      <x:c r="AD293" s="151" t="str"/>
      <x:c r="AE293" s="151" t="str"/>
      <x:c r="AF293" s="151" t="str"/>
      <x:c r="AG293" s="151" t="str"/>
      <x:c r="AH293" s="151" t="str"/>
      <x:c r="AI293" s="151" t="str"/>
      <x:c r="AJ293" s="151" t="str"/>
      <x:c r="AK293" s="151" t="str"/>
      <x:c r="AL293" s="151" t="str"/>
      <x:c r="AM293" s="151" t="str"/>
      <x:c r="AN293" s="152" t="n">
        <x:f>IF(COUNTA(S293:AM293)=0,"",SUM(S293:AM293))</x:f>
        <x:v>0</x:v>
      </x:c>
      <x:c r="AO293" s="151" t="str"/>
      <x:c r="AP293" s="151" t="str"/>
      <x:c r="AQ293" s="151" t="str"/>
      <x:c r="AR293" s="151" t="str"/>
      <x:c r="AS293" s="196" t="str">
        <x:f>IF(AN293="","",IF(AO293="Cartons",IF(AP293*AQ293=AN293,"OK","CHECK CARTONS / SIZES"),IF(AR293=AN293,"OK","CHECK TOTAL / SIZES")))</x:f>
      </x:c>
      <x:c r="AT293" s="137" t="str"/>
      <x:c r="AU293" s="137" t="str"/>
      <x:c r="AV293" s="137" t="str"/>
      <x:c r="AW293" s="137" t="str"/>
    </x:row>
    <x:row r="294">
      <x:c r="A294" s="137" t="str"/>
      <x:c r="B294" s="137" t="str"/>
      <x:c r="C294" s="137" t="str"/>
      <x:c r="D294" s="137" t="str"/>
      <x:c r="E294" s="138" t="str"/>
      <x:c r="F294" s="138" t="str"/>
      <x:c r="G294" s="137" t="str"/>
      <x:c r="H294" s="137" t="str"/>
      <x:c r="I294" s="137" t="str"/>
      <x:c r="J294" s="137" t="str"/>
      <x:c r="K294" s="137" t="str"/>
      <x:c r="L294" s="137" t="str"/>
      <x:c r="M294" s="137" t="str"/>
      <x:c r="N294" s="137" t="str"/>
      <x:c r="O294" s="137" t="str"/>
      <x:c r="P294" s="137" t="str"/>
      <x:c r="Q294" s="137" t="str"/>
      <x:c r="R294" s="137" t="str"/>
      <x:c r="S294" s="151" t="str"/>
      <x:c r="T294" s="151" t="str"/>
      <x:c r="U294" s="151" t="str"/>
      <x:c r="V294" s="151" t="str"/>
      <x:c r="W294" s="151" t="str"/>
      <x:c r="X294" s="151" t="str"/>
      <x:c r="Y294" s="151" t="str"/>
      <x:c r="Z294" s="151" t="str"/>
      <x:c r="AA294" s="151" t="str"/>
      <x:c r="AB294" s="151" t="str"/>
      <x:c r="AC294" s="151" t="str"/>
      <x:c r="AD294" s="151" t="str"/>
      <x:c r="AE294" s="151" t="str"/>
      <x:c r="AF294" s="151" t="str"/>
      <x:c r="AG294" s="151" t="str"/>
      <x:c r="AH294" s="151" t="str"/>
      <x:c r="AI294" s="151" t="str"/>
      <x:c r="AJ294" s="151" t="str"/>
      <x:c r="AK294" s="151" t="str"/>
      <x:c r="AL294" s="151" t="str"/>
      <x:c r="AM294" s="151" t="str"/>
      <x:c r="AN294" s="152" t="n">
        <x:f>IF(COUNTA(S294:AM294)=0,"",SUM(S294:AM294))</x:f>
        <x:v>0</x:v>
      </x:c>
      <x:c r="AO294" s="151" t="str"/>
      <x:c r="AP294" s="151" t="str"/>
      <x:c r="AQ294" s="151" t="str"/>
      <x:c r="AR294" s="151" t="str"/>
      <x:c r="AS294" s="196" t="str">
        <x:f>IF(AN294="","",IF(AO294="Cartons",IF(AP294*AQ294=AN294,"OK","CHECK CARTONS / SIZES"),IF(AR294=AN294,"OK","CHECK TOTAL / SIZES")))</x:f>
      </x:c>
      <x:c r="AT294" s="137" t="str"/>
      <x:c r="AU294" s="137" t="str"/>
      <x:c r="AV294" s="137" t="str"/>
      <x:c r="AW294" s="137" t="str"/>
    </x:row>
    <x:row r="295">
      <x:c r="A295" s="137" t="str"/>
      <x:c r="B295" s="137" t="str"/>
      <x:c r="C295" s="137" t="str"/>
      <x:c r="D295" s="137" t="str"/>
      <x:c r="E295" s="138" t="str"/>
      <x:c r="F295" s="138" t="str"/>
      <x:c r="G295" s="137" t="str"/>
      <x:c r="H295" s="137" t="str"/>
      <x:c r="I295" s="137" t="str"/>
      <x:c r="J295" s="137" t="str"/>
      <x:c r="K295" s="137" t="str"/>
      <x:c r="L295" s="137" t="str"/>
      <x:c r="M295" s="137" t="str"/>
      <x:c r="N295" s="137" t="str"/>
      <x:c r="O295" s="137" t="str"/>
      <x:c r="P295" s="137" t="str"/>
      <x:c r="Q295" s="137" t="str"/>
      <x:c r="R295" s="137" t="str"/>
      <x:c r="S295" s="151" t="str"/>
      <x:c r="T295" s="151" t="str"/>
      <x:c r="U295" s="151" t="str"/>
      <x:c r="V295" s="151" t="str"/>
      <x:c r="W295" s="151" t="str"/>
      <x:c r="X295" s="151" t="str"/>
      <x:c r="Y295" s="151" t="str"/>
      <x:c r="Z295" s="151" t="str"/>
      <x:c r="AA295" s="151" t="str"/>
      <x:c r="AB295" s="151" t="str"/>
      <x:c r="AC295" s="151" t="str"/>
      <x:c r="AD295" s="151" t="str"/>
      <x:c r="AE295" s="151" t="str"/>
      <x:c r="AF295" s="151" t="str"/>
      <x:c r="AG295" s="151" t="str"/>
      <x:c r="AH295" s="151" t="str"/>
      <x:c r="AI295" s="151" t="str"/>
      <x:c r="AJ295" s="151" t="str"/>
      <x:c r="AK295" s="151" t="str"/>
      <x:c r="AL295" s="151" t="str"/>
      <x:c r="AM295" s="151" t="str"/>
      <x:c r="AN295" s="152" t="n">
        <x:f>IF(COUNTA(S295:AM295)=0,"",SUM(S295:AM295))</x:f>
        <x:v>0</x:v>
      </x:c>
      <x:c r="AO295" s="151" t="str"/>
      <x:c r="AP295" s="151" t="str"/>
      <x:c r="AQ295" s="151" t="str"/>
      <x:c r="AR295" s="151" t="str"/>
      <x:c r="AS295" s="196" t="str">
        <x:f>IF(AN295="","",IF(AO295="Cartons",IF(AP295*AQ295=AN295,"OK","CHECK CARTONS / SIZES"),IF(AR295=AN295,"OK","CHECK TOTAL / SIZES")))</x:f>
      </x:c>
      <x:c r="AT295" s="137" t="str"/>
      <x:c r="AU295" s="137" t="str"/>
      <x:c r="AV295" s="137" t="str"/>
      <x:c r="AW295" s="137" t="str"/>
    </x:row>
    <x:row r="296">
      <x:c r="A296" s="137" t="str"/>
      <x:c r="B296" s="137" t="str"/>
      <x:c r="C296" s="137" t="str"/>
      <x:c r="D296" s="137" t="str"/>
      <x:c r="E296" s="138" t="str"/>
      <x:c r="F296" s="138" t="str"/>
      <x:c r="G296" s="137" t="str"/>
      <x:c r="H296" s="137" t="str"/>
      <x:c r="I296" s="137" t="str"/>
      <x:c r="J296" s="137" t="str"/>
      <x:c r="K296" s="137" t="str"/>
      <x:c r="L296" s="137" t="str"/>
      <x:c r="M296" s="137" t="str"/>
      <x:c r="N296" s="137" t="str"/>
      <x:c r="O296" s="137" t="str"/>
      <x:c r="P296" s="137" t="str"/>
      <x:c r="Q296" s="137" t="str"/>
      <x:c r="R296" s="137" t="str"/>
      <x:c r="S296" s="151" t="str"/>
      <x:c r="T296" s="151" t="str"/>
      <x:c r="U296" s="151" t="str"/>
      <x:c r="V296" s="151" t="str"/>
      <x:c r="W296" s="151" t="str"/>
      <x:c r="X296" s="151" t="str"/>
      <x:c r="Y296" s="151" t="str"/>
      <x:c r="Z296" s="151" t="str"/>
      <x:c r="AA296" s="151" t="str"/>
      <x:c r="AB296" s="151" t="str"/>
      <x:c r="AC296" s="151" t="str"/>
      <x:c r="AD296" s="151" t="str"/>
      <x:c r="AE296" s="151" t="str"/>
      <x:c r="AF296" s="151" t="str"/>
      <x:c r="AG296" s="151" t="str"/>
      <x:c r="AH296" s="151" t="str"/>
      <x:c r="AI296" s="151" t="str"/>
      <x:c r="AJ296" s="151" t="str"/>
      <x:c r="AK296" s="151" t="str"/>
      <x:c r="AL296" s="151" t="str"/>
      <x:c r="AM296" s="151" t="str"/>
      <x:c r="AN296" s="152" t="n">
        <x:f>IF(COUNTA(S296:AM296)=0,"",SUM(S296:AM296))</x:f>
        <x:v>0</x:v>
      </x:c>
      <x:c r="AO296" s="151" t="str"/>
      <x:c r="AP296" s="151" t="str"/>
      <x:c r="AQ296" s="151" t="str"/>
      <x:c r="AR296" s="151" t="str"/>
      <x:c r="AS296" s="196" t="str">
        <x:f>IF(AN296="","",IF(AO296="Cartons",IF(AP296*AQ296=AN296,"OK","CHECK CARTONS / SIZES"),IF(AR296=AN296,"OK","CHECK TOTAL / SIZES")))</x:f>
      </x:c>
      <x:c r="AT296" s="137" t="str"/>
      <x:c r="AU296" s="137" t="str"/>
      <x:c r="AV296" s="137" t="str"/>
      <x:c r="AW296" s="137" t="str"/>
    </x:row>
    <x:row r="297">
      <x:c r="A297" s="137" t="str"/>
      <x:c r="B297" s="137" t="str"/>
      <x:c r="C297" s="137" t="str"/>
      <x:c r="D297" s="137" t="str"/>
      <x:c r="E297" s="138" t="str"/>
      <x:c r="F297" s="138" t="str"/>
      <x:c r="G297" s="137" t="str"/>
      <x:c r="H297" s="137" t="str"/>
      <x:c r="I297" s="137" t="str"/>
      <x:c r="J297" s="137" t="str"/>
      <x:c r="K297" s="137" t="str"/>
      <x:c r="L297" s="137" t="str"/>
      <x:c r="M297" s="137" t="str"/>
      <x:c r="N297" s="137" t="str"/>
      <x:c r="O297" s="137" t="str"/>
      <x:c r="P297" s="137" t="str"/>
      <x:c r="Q297" s="137" t="str"/>
      <x:c r="R297" s="137" t="str"/>
      <x:c r="S297" s="151" t="str"/>
      <x:c r="T297" s="151" t="str"/>
      <x:c r="U297" s="151" t="str"/>
      <x:c r="V297" s="151" t="str"/>
      <x:c r="W297" s="151" t="str"/>
      <x:c r="X297" s="151" t="str"/>
      <x:c r="Y297" s="151" t="str"/>
      <x:c r="Z297" s="151" t="str"/>
      <x:c r="AA297" s="151" t="str"/>
      <x:c r="AB297" s="151" t="str"/>
      <x:c r="AC297" s="151" t="str"/>
      <x:c r="AD297" s="151" t="str"/>
      <x:c r="AE297" s="151" t="str"/>
      <x:c r="AF297" s="151" t="str"/>
      <x:c r="AG297" s="151" t="str"/>
      <x:c r="AH297" s="151" t="str"/>
      <x:c r="AI297" s="151" t="str"/>
      <x:c r="AJ297" s="151" t="str"/>
      <x:c r="AK297" s="151" t="str"/>
      <x:c r="AL297" s="151" t="str"/>
      <x:c r="AM297" s="151" t="str"/>
      <x:c r="AN297" s="152" t="n">
        <x:f>IF(COUNTA(S297:AM297)=0,"",SUM(S297:AM297))</x:f>
        <x:v>0</x:v>
      </x:c>
      <x:c r="AO297" s="151" t="str"/>
      <x:c r="AP297" s="151" t="str"/>
      <x:c r="AQ297" s="151" t="str"/>
      <x:c r="AR297" s="151" t="str"/>
      <x:c r="AS297" s="196" t="str">
        <x:f>IF(AN297="","",IF(AO297="Cartons",IF(AP297*AQ297=AN297,"OK","CHECK CARTONS / SIZES"),IF(AR297=AN297,"OK","CHECK TOTAL / SIZES")))</x:f>
      </x:c>
      <x:c r="AT297" s="137" t="str"/>
      <x:c r="AU297" s="137" t="str"/>
      <x:c r="AV297" s="137" t="str"/>
      <x:c r="AW297" s="137" t="str"/>
    </x:row>
    <x:row r="298">
      <x:c r="A298" s="137" t="str"/>
      <x:c r="B298" s="137" t="str"/>
      <x:c r="C298" s="137" t="str"/>
      <x:c r="D298" s="137" t="str"/>
      <x:c r="E298" s="138" t="str"/>
      <x:c r="F298" s="138" t="str"/>
      <x:c r="G298" s="137" t="str"/>
      <x:c r="H298" s="137" t="str"/>
      <x:c r="I298" s="137" t="str"/>
      <x:c r="J298" s="137" t="str"/>
      <x:c r="K298" s="137" t="str"/>
      <x:c r="L298" s="137" t="str"/>
      <x:c r="M298" s="137" t="str"/>
      <x:c r="N298" s="137" t="str"/>
      <x:c r="O298" s="137" t="str"/>
      <x:c r="P298" s="137" t="str"/>
      <x:c r="Q298" s="137" t="str"/>
      <x:c r="R298" s="137" t="str"/>
      <x:c r="S298" s="151" t="str"/>
      <x:c r="T298" s="151" t="str"/>
      <x:c r="U298" s="151" t="str"/>
      <x:c r="V298" s="151" t="str"/>
      <x:c r="W298" s="151" t="str"/>
      <x:c r="X298" s="151" t="str"/>
      <x:c r="Y298" s="151" t="str"/>
      <x:c r="Z298" s="151" t="str"/>
      <x:c r="AA298" s="151" t="str"/>
      <x:c r="AB298" s="151" t="str"/>
      <x:c r="AC298" s="151" t="str"/>
      <x:c r="AD298" s="151" t="str"/>
      <x:c r="AE298" s="151" t="str"/>
      <x:c r="AF298" s="151" t="str"/>
      <x:c r="AG298" s="151" t="str"/>
      <x:c r="AH298" s="151" t="str"/>
      <x:c r="AI298" s="151" t="str"/>
      <x:c r="AJ298" s="151" t="str"/>
      <x:c r="AK298" s="151" t="str"/>
      <x:c r="AL298" s="151" t="str"/>
      <x:c r="AM298" s="151" t="str"/>
      <x:c r="AN298" s="152" t="n">
        <x:f>IF(COUNTA(S298:AM298)=0,"",SUM(S298:AM298))</x:f>
        <x:v>0</x:v>
      </x:c>
      <x:c r="AO298" s="151" t="str"/>
      <x:c r="AP298" s="151" t="str"/>
      <x:c r="AQ298" s="151" t="str"/>
      <x:c r="AR298" s="151" t="str"/>
      <x:c r="AS298" s="196" t="str">
        <x:f>IF(AN298="","",IF(AO298="Cartons",IF(AP298*AQ298=AN298,"OK","CHECK CARTONS / SIZES"),IF(AR298=AN298,"OK","CHECK TOTAL / SIZES")))</x:f>
      </x:c>
      <x:c r="AT298" s="137" t="str"/>
      <x:c r="AU298" s="137" t="str"/>
      <x:c r="AV298" s="137" t="str"/>
      <x:c r="AW298" s="137" t="str"/>
    </x:row>
    <x:row r="299">
      <x:c r="A299" s="137" t="str"/>
      <x:c r="B299" s="137" t="str"/>
      <x:c r="C299" s="137" t="str"/>
      <x:c r="D299" s="137" t="str"/>
      <x:c r="E299" s="138" t="str"/>
      <x:c r="F299" s="138" t="str"/>
      <x:c r="G299" s="137" t="str"/>
      <x:c r="H299" s="137" t="str"/>
      <x:c r="I299" s="137" t="str"/>
      <x:c r="J299" s="137" t="str"/>
      <x:c r="K299" s="137" t="str"/>
      <x:c r="L299" s="137" t="str"/>
      <x:c r="M299" s="137" t="str"/>
      <x:c r="N299" s="137" t="str"/>
      <x:c r="O299" s="137" t="str"/>
      <x:c r="P299" s="137" t="str"/>
      <x:c r="Q299" s="137" t="str"/>
      <x:c r="R299" s="137" t="str"/>
      <x:c r="S299" s="151" t="str"/>
      <x:c r="T299" s="151" t="str"/>
      <x:c r="U299" s="151" t="str"/>
      <x:c r="V299" s="151" t="str"/>
      <x:c r="W299" s="151" t="str"/>
      <x:c r="X299" s="151" t="str"/>
      <x:c r="Y299" s="151" t="str"/>
      <x:c r="Z299" s="151" t="str"/>
      <x:c r="AA299" s="151" t="str"/>
      <x:c r="AB299" s="151" t="str"/>
      <x:c r="AC299" s="151" t="str"/>
      <x:c r="AD299" s="151" t="str"/>
      <x:c r="AE299" s="151" t="str"/>
      <x:c r="AF299" s="151" t="str"/>
      <x:c r="AG299" s="151" t="str"/>
      <x:c r="AH299" s="151" t="str"/>
      <x:c r="AI299" s="151" t="str"/>
      <x:c r="AJ299" s="151" t="str"/>
      <x:c r="AK299" s="151" t="str"/>
      <x:c r="AL299" s="151" t="str"/>
      <x:c r="AM299" s="151" t="str"/>
      <x:c r="AN299" s="152" t="n">
        <x:f>IF(COUNTA(S299:AM299)=0,"",SUM(S299:AM299))</x:f>
        <x:v>0</x:v>
      </x:c>
      <x:c r="AO299" s="151" t="str"/>
      <x:c r="AP299" s="151" t="str"/>
      <x:c r="AQ299" s="151" t="str"/>
      <x:c r="AR299" s="151" t="str"/>
      <x:c r="AS299" s="196" t="str">
        <x:f>IF(AN299="","",IF(AO299="Cartons",IF(AP299*AQ299=AN299,"OK","CHECK CARTONS / SIZES"),IF(AR299=AN299,"OK","CHECK TOTAL / SIZES")))</x:f>
      </x:c>
      <x:c r="AT299" s="137" t="str"/>
      <x:c r="AU299" s="137" t="str"/>
      <x:c r="AV299" s="137" t="str"/>
      <x:c r="AW299" s="137" t="str"/>
    </x:row>
    <x:row r="300">
      <x:c r="A300" s="137" t="str"/>
      <x:c r="B300" s="137" t="str"/>
      <x:c r="C300" s="137" t="str"/>
      <x:c r="D300" s="137" t="str"/>
      <x:c r="E300" s="138" t="str"/>
      <x:c r="F300" s="138" t="str"/>
      <x:c r="G300" s="137" t="str"/>
      <x:c r="H300" s="137" t="str"/>
      <x:c r="I300" s="137" t="str"/>
      <x:c r="J300" s="137" t="str"/>
      <x:c r="K300" s="137" t="str"/>
      <x:c r="L300" s="137" t="str"/>
      <x:c r="M300" s="137" t="str"/>
      <x:c r="N300" s="137" t="str"/>
      <x:c r="O300" s="137" t="str"/>
      <x:c r="P300" s="137" t="str"/>
      <x:c r="Q300" s="137" t="str"/>
      <x:c r="R300" s="137" t="str"/>
      <x:c r="S300" s="151" t="str"/>
      <x:c r="T300" s="151" t="str"/>
      <x:c r="U300" s="151" t="str"/>
      <x:c r="V300" s="151" t="str"/>
      <x:c r="W300" s="151" t="str"/>
      <x:c r="X300" s="151" t="str"/>
      <x:c r="Y300" s="151" t="str"/>
      <x:c r="Z300" s="151" t="str"/>
      <x:c r="AA300" s="151" t="str"/>
      <x:c r="AB300" s="151" t="str"/>
      <x:c r="AC300" s="151" t="str"/>
      <x:c r="AD300" s="151" t="str"/>
      <x:c r="AE300" s="151" t="str"/>
      <x:c r="AF300" s="151" t="str"/>
      <x:c r="AG300" s="151" t="str"/>
      <x:c r="AH300" s="151" t="str"/>
      <x:c r="AI300" s="151" t="str"/>
      <x:c r="AJ300" s="151" t="str"/>
      <x:c r="AK300" s="151" t="str"/>
      <x:c r="AL300" s="151" t="str"/>
      <x:c r="AM300" s="151" t="str"/>
      <x:c r="AN300" s="152" t="n">
        <x:f>IF(COUNTA(S300:AM300)=0,"",SUM(S300:AM300))</x:f>
        <x:v>0</x:v>
      </x:c>
      <x:c r="AO300" s="151" t="str"/>
      <x:c r="AP300" s="151" t="str"/>
      <x:c r="AQ300" s="151" t="str"/>
      <x:c r="AR300" s="151" t="str"/>
      <x:c r="AS300" s="196" t="str">
        <x:f>IF(AN300="","",IF(AO300="Cartons",IF(AP300*AQ300=AN300,"OK","CHECK CARTONS / SIZES"),IF(AR300=AN300,"OK","CHECK TOTAL / SIZES")))</x:f>
      </x:c>
      <x:c r="AT300" s="137" t="str"/>
      <x:c r="AU300" s="137" t="str"/>
      <x:c r="AV300" s="137" t="str"/>
      <x:c r="AW300" s="137" t="str"/>
    </x:row>
    <x:row r="301">
      <x:c r="A301" s="137" t="str"/>
      <x:c r="B301" s="137" t="str"/>
      <x:c r="C301" s="137" t="str"/>
      <x:c r="D301" s="137" t="str"/>
      <x:c r="E301" s="138" t="str"/>
      <x:c r="F301" s="138" t="str"/>
      <x:c r="G301" s="137" t="str"/>
      <x:c r="H301" s="137" t="str"/>
      <x:c r="I301" s="137" t="str"/>
      <x:c r="J301" s="137" t="str"/>
      <x:c r="K301" s="137" t="str"/>
      <x:c r="L301" s="137" t="str"/>
      <x:c r="M301" s="137" t="str"/>
      <x:c r="N301" s="137" t="str"/>
      <x:c r="O301" s="137" t="str"/>
      <x:c r="P301" s="137" t="str"/>
      <x:c r="Q301" s="137" t="str"/>
      <x:c r="R301" s="137" t="str"/>
      <x:c r="S301" s="151" t="str"/>
      <x:c r="T301" s="151" t="str"/>
      <x:c r="U301" s="151" t="str"/>
      <x:c r="V301" s="151" t="str"/>
      <x:c r="W301" s="151" t="str"/>
      <x:c r="X301" s="151" t="str"/>
      <x:c r="Y301" s="151" t="str"/>
      <x:c r="Z301" s="151" t="str"/>
      <x:c r="AA301" s="151" t="str"/>
      <x:c r="AB301" s="151" t="str"/>
      <x:c r="AC301" s="151" t="str"/>
      <x:c r="AD301" s="151" t="str"/>
      <x:c r="AE301" s="151" t="str"/>
      <x:c r="AF301" s="151" t="str"/>
      <x:c r="AG301" s="151" t="str"/>
      <x:c r="AH301" s="151" t="str"/>
      <x:c r="AI301" s="151" t="str"/>
      <x:c r="AJ301" s="151" t="str"/>
      <x:c r="AK301" s="151" t="str"/>
      <x:c r="AL301" s="151" t="str"/>
      <x:c r="AM301" s="151" t="str"/>
      <x:c r="AN301" s="152" t="n">
        <x:f>IF(COUNTA(S301:AM301)=0,"",SUM(S301:AM301))</x:f>
        <x:v>0</x:v>
      </x:c>
      <x:c r="AO301" s="151" t="str"/>
      <x:c r="AP301" s="151" t="str"/>
      <x:c r="AQ301" s="151" t="str"/>
      <x:c r="AR301" s="151" t="str"/>
      <x:c r="AS301" s="196" t="str">
        <x:f>IF(AN301="","",IF(AO301="Cartons",IF(AP301*AQ301=AN301,"OK","CHECK CARTONS / SIZES"),IF(AR301=AN301,"OK","CHECK TOTAL / SIZES")))</x:f>
      </x:c>
      <x:c r="AT301" s="137" t="str"/>
      <x:c r="AU301" s="137" t="str"/>
      <x:c r="AV301" s="137" t="str"/>
      <x:c r="AW301" s="137" t="str"/>
    </x:row>
    <x:row r="302">
      <x:c r="A302" s="137" t="str"/>
      <x:c r="B302" s="137" t="str"/>
      <x:c r="C302" s="137" t="str"/>
      <x:c r="D302" s="137" t="str"/>
      <x:c r="E302" s="138" t="str"/>
      <x:c r="F302" s="138" t="str"/>
      <x:c r="G302" s="137" t="str"/>
      <x:c r="H302" s="137" t="str"/>
      <x:c r="I302" s="137" t="str"/>
      <x:c r="J302" s="137" t="str"/>
      <x:c r="K302" s="137" t="str"/>
      <x:c r="L302" s="137" t="str"/>
      <x:c r="M302" s="137" t="str"/>
      <x:c r="N302" s="137" t="str"/>
      <x:c r="O302" s="137" t="str"/>
      <x:c r="P302" s="137" t="str"/>
      <x:c r="Q302" s="137" t="str"/>
      <x:c r="R302" s="137" t="str"/>
      <x:c r="S302" s="151" t="str"/>
      <x:c r="T302" s="151" t="str"/>
      <x:c r="U302" s="151" t="str"/>
      <x:c r="V302" s="151" t="str"/>
      <x:c r="W302" s="151" t="str"/>
      <x:c r="X302" s="151" t="str"/>
      <x:c r="Y302" s="151" t="str"/>
      <x:c r="Z302" s="151" t="str"/>
      <x:c r="AA302" s="151" t="str"/>
      <x:c r="AB302" s="151" t="str"/>
      <x:c r="AC302" s="151" t="str"/>
      <x:c r="AD302" s="151" t="str"/>
      <x:c r="AE302" s="151" t="str"/>
      <x:c r="AF302" s="151" t="str"/>
      <x:c r="AG302" s="151" t="str"/>
      <x:c r="AH302" s="151" t="str"/>
      <x:c r="AI302" s="151" t="str"/>
      <x:c r="AJ302" s="151" t="str"/>
      <x:c r="AK302" s="151" t="str"/>
      <x:c r="AL302" s="151" t="str"/>
      <x:c r="AM302" s="151" t="str"/>
      <x:c r="AN302" s="152" t="n">
        <x:f>IF(COUNTA(S302:AM302)=0,"",SUM(S302:AM302))</x:f>
        <x:v>0</x:v>
      </x:c>
      <x:c r="AO302" s="151" t="str"/>
      <x:c r="AP302" s="151" t="str"/>
      <x:c r="AQ302" s="151" t="str"/>
      <x:c r="AR302" s="151" t="str"/>
      <x:c r="AS302" s="196" t="str">
        <x:f>IF(AN302="","",IF(AO302="Cartons",IF(AP302*AQ302=AN302,"OK","CHECK CARTONS / SIZES"),IF(AR302=AN302,"OK","CHECK TOTAL / SIZES")))</x:f>
      </x:c>
      <x:c r="AT302" s="137" t="str"/>
      <x:c r="AU302" s="137" t="str"/>
      <x:c r="AV302" s="137" t="str"/>
      <x:c r="AW302" s="137" t="str"/>
    </x:row>
    <x:row r="303">
      <x:c r="A303" s="137" t="str"/>
      <x:c r="B303" s="137" t="str"/>
      <x:c r="C303" s="137" t="str"/>
      <x:c r="D303" s="137" t="str"/>
      <x:c r="E303" s="138" t="str"/>
      <x:c r="F303" s="138" t="str"/>
      <x:c r="G303" s="137" t="str"/>
      <x:c r="H303" s="137" t="str"/>
      <x:c r="I303" s="137" t="str"/>
      <x:c r="J303" s="137" t="str"/>
      <x:c r="K303" s="137" t="str"/>
      <x:c r="L303" s="137" t="str"/>
      <x:c r="M303" s="137" t="str"/>
      <x:c r="N303" s="137" t="str"/>
      <x:c r="O303" s="137" t="str"/>
      <x:c r="P303" s="137" t="str"/>
      <x:c r="Q303" s="137" t="str"/>
      <x:c r="R303" s="137" t="str"/>
      <x:c r="S303" s="151" t="str"/>
      <x:c r="T303" s="151" t="str"/>
      <x:c r="U303" s="151" t="str"/>
      <x:c r="V303" s="151" t="str"/>
      <x:c r="W303" s="151" t="str"/>
      <x:c r="X303" s="151" t="str"/>
      <x:c r="Y303" s="151" t="str"/>
      <x:c r="Z303" s="151" t="str"/>
      <x:c r="AA303" s="151" t="str"/>
      <x:c r="AB303" s="151" t="str"/>
      <x:c r="AC303" s="151" t="str"/>
      <x:c r="AD303" s="151" t="str"/>
      <x:c r="AE303" s="151" t="str"/>
      <x:c r="AF303" s="151" t="str"/>
      <x:c r="AG303" s="151" t="str"/>
      <x:c r="AH303" s="151" t="str"/>
      <x:c r="AI303" s="151" t="str"/>
      <x:c r="AJ303" s="151" t="str"/>
      <x:c r="AK303" s="151" t="str"/>
      <x:c r="AL303" s="151" t="str"/>
      <x:c r="AM303" s="151" t="str"/>
      <x:c r="AN303" s="152" t="n">
        <x:f>IF(COUNTA(S303:AM303)=0,"",SUM(S303:AM303))</x:f>
        <x:v>0</x:v>
      </x:c>
      <x:c r="AO303" s="151" t="str"/>
      <x:c r="AP303" s="151" t="str"/>
      <x:c r="AQ303" s="151" t="str"/>
      <x:c r="AR303" s="151" t="str"/>
      <x:c r="AS303" s="196" t="str">
        <x:f>IF(AN303="","",IF(AO303="Cartons",IF(AP303*AQ303=AN303,"OK","CHECK CARTONS / SIZES"),IF(AR303=AN303,"OK","CHECK TOTAL / SIZES")))</x:f>
      </x:c>
      <x:c r="AT303" s="137" t="str"/>
      <x:c r="AU303" s="137" t="str"/>
      <x:c r="AV303" s="137" t="str"/>
      <x:c r="AW303" s="137" t="str"/>
    </x:row>
    <x:row r="304">
      <x:c r="A304" s="139" t="str"/>
      <x:c r="B304" s="139" t="str"/>
      <x:c r="C304" s="139" t="str"/>
      <x:c r="D304" s="139" t="str"/>
      <x:c r="E304" s="145" t="str"/>
      <x:c r="F304" s="145" t="str"/>
      <x:c r="G304" s="139" t="str"/>
      <x:c r="H304" s="139" t="str"/>
      <x:c r="I304" s="139" t="str"/>
      <x:c r="J304" s="139" t="str"/>
      <x:c r="K304" s="139" t="str"/>
      <x:c r="L304" s="139" t="str"/>
      <x:c r="M304" s="139" t="str"/>
      <x:c r="N304" s="139" t="str"/>
      <x:c r="O304" s="139" t="str"/>
      <x:c r="P304" s="139" t="str"/>
      <x:c r="Q304" s="139" t="str"/>
      <x:c r="R304" s="139" t="str"/>
      <x:c r="S304" s="155" t="str"/>
      <x:c r="T304" s="155" t="str"/>
      <x:c r="U304" s="155" t="str"/>
      <x:c r="V304" s="155" t="str"/>
      <x:c r="W304" s="155" t="str"/>
      <x:c r="X304" s="155" t="str"/>
      <x:c r="Y304" s="155" t="str"/>
      <x:c r="Z304" s="155" t="str"/>
      <x:c r="AA304" s="155" t="str"/>
      <x:c r="AB304" s="155" t="str"/>
      <x:c r="AC304" s="155" t="str"/>
      <x:c r="AD304" s="155" t="str"/>
      <x:c r="AE304" s="155" t="str"/>
      <x:c r="AF304" s="155" t="str"/>
      <x:c r="AG304" s="155" t="str"/>
      <x:c r="AH304" s="155" t="str"/>
      <x:c r="AI304" s="155" t="str"/>
      <x:c r="AJ304" s="155" t="str"/>
      <x:c r="AK304" s="155" t="str"/>
      <x:c r="AL304" s="155" t="str"/>
      <x:c r="AM304" s="155" t="str"/>
      <x:c r="AN304" s="156" t="n">
        <x:f>IF(COUNTA(S304:AM304)=0,"",SUM(S304:AM304))</x:f>
        <x:v>0</x:v>
      </x:c>
      <x:c r="AO304" s="155" t="str"/>
      <x:c r="AP304" s="155" t="str"/>
      <x:c r="AQ304" s="155" t="str"/>
      <x:c r="AR304" s="155" t="str"/>
      <x:c r="AS304" s="197" t="str">
        <x:f>IF(AN304="","",IF(AO304="Cartons",IF(AP304*AQ304=AN304,"OK","CHECK CARTONS / SIZES"),IF(AR304=AN304,"OK","CHECK TOTAL / SIZES")))</x:f>
      </x:c>
      <x:c r="AT304" s="139" t="str"/>
      <x:c r="AU304" s="139" t="str"/>
      <x:c r="AV304" s="139" t="str"/>
      <x:c r="AW304" s="139" t="str"/>
    </x:row>
  </x:sheetData>
  <x:mergeCells>
    <x:mergeCell ref="A1:AW1"/>
    <x:mergeCell ref="A2:AW2"/>
    <x:mergeCell ref="A3:AW3"/>
  </x:mergeCells>
  <x:conditionalFormatting sqref="AS5:AS304">
    <x:cfRule type="containsText" dxfId="60" priority="1" operator="containsText" text="OK"/>
    <x:cfRule type="containsText" dxfId="61" priority="2" operator="containsText" text="CHECK"/>
  </x:conditionalFormatting>
  <x:dataValidations count="7">
    <x:dataValidation type="list" sqref="H5:H304">
      <x:formula1>'Lists - Do Not Edit'!$S$2:$S$17</x:formula1>
    </x:dataValidation>
    <x:dataValidation type="list" sqref="G5:G304">
      <x:formula1>"1 - Urgent,2 - Normal,3 - Low"</x:formula1>
    </x:dataValidation>
    <x:dataValidation type="list" sqref="K5:K304">
      <x:formula1>"In-house,Outside"</x:formula1>
    </x:dataValidation>
    <x:dataValidation type="list" sqref="L5:L304">
      <x:formula1>"Yes,No"</x:formula1>
    </x:dataValidation>
    <x:dataValidation type="list" sqref="Q5:Q304">
      <x:formula1>'Lists - Do Not Edit'!$B$2:$B$12</x:formula1>
    </x:dataValidation>
    <x:dataValidation type="list" sqref="R5:R304">
      <x:formula1>"Draft,Open,In Production,Partially Packed,Partially Dispatched,Completed,Closed Short,On Hold,Cancelled"</x:formula1>
    </x:dataValidation>
    <x:dataValidation type="list" sqref="AO5:AO304">
      <x:formula1>"Pairs,Cartons"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907bd088c0418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2" hidden="0" customWidth="1"/>
    <x:col min="5" max="5" width="22" hidden="0" customWidth="1"/>
    <x:col min="6" max="6" width="22" hidden="0" customWidth="1"/>
    <x:col min="7" max="7" width="12" hidden="0" customWidth="1"/>
    <x:col min="8" max="8" width="16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  <x:col min="15" max="15" width="18" hidden="0" customWidth="1"/>
    <x:col min="16" max="16" width="16" hidden="0" customWidth="1"/>
    <x:col min="17" max="17" width="18" hidden="0" customWidth="1"/>
    <x:col min="18" max="18" width="12" hidden="0" customWidth="1"/>
    <x:col min="19" max="19" width="18" hidden="0" customWidth="1"/>
    <x:col min="20" max="20" width="20" hidden="0" customWidth="1"/>
    <x:col min="21" max="21" width="34" hidden="0" customWidth="1"/>
    <x:col min="22" max="22" width="34" hidden="0" customWidth="1"/>
    <x:col min="23" max="23" width="20" hidden="0" customWidth="1"/>
    <x:col min="24" max="24" width="20" hidden="0" customWidth="1"/>
    <x:col min="25" max="25" width="20" hidden="0" customWidth="1"/>
  </x:cols>
  <x:sheetData>
    <x:row r="1" ht="30" customHeight="1">
      <x:c r="A1" s="140" t="str">
        <x:v>Daily / Shift Production Plan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  <x:c r="U1" s="122"/>
      <x:c r="V1" s="122"/>
      <x:c r="W1" s="122"/>
      <x:c r="X1" s="122"/>
      <x:c r="Y1" s="122"/>
    </x:row>
    <x:row r="2" ht="34" customHeight="1">
      <x:c r="A2" s="123" t="str">
        <x:v>Publish the intended machine sequence before production starts. Replanning must retain the previous date/quantity and explain the pipeline effect.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  <x:c r="W2" s="123"/>
      <x:c r="X2" s="123"/>
      <x:c r="Y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  <x:c r="T3" s="124"/>
      <x:c r="U3" s="124"/>
      <x:c r="V3" s="124"/>
      <x:c r="W3" s="124"/>
      <x:c r="X3" s="124"/>
      <x:c r="Y3" s="124"/>
    </x:row>
    <x:row r="4" ht="34" customHeight="1">
      <x:c r="A4" s="141" t="str">
        <x:v>Plan ID</x:v>
      </x:c>
      <x:c r="B4" s="142" t="str">
        <x:v>Plan Version</x:v>
      </x:c>
      <x:c r="C4" s="142" t="str">
        <x:v>Plan Date</x:v>
      </x:c>
      <x:c r="D4" s="142" t="str">
        <x:v>Shift</x:v>
      </x:c>
      <x:c r="E4" s="142" t="str">
        <x:v>Work Centre Code</x:v>
      </x:c>
      <x:c r="F4" s="142" t="str">
        <x:v>Machine / Line ID</x:v>
      </x:c>
      <x:c r="G4" s="142" t="str">
        <x:v>Sequence</x:v>
      </x:c>
      <x:c r="H4" s="142" t="str">
        <x:v>PI No</x:v>
      </x:c>
      <x:c r="I4" s="142" t="str">
        <x:v>Order ID</x:v>
      </x:c>
      <x:c r="J4" s="142" t="str">
        <x:v>Article Code</x:v>
      </x:c>
      <x:c r="K4" s="142" t="str">
        <x:v>Article Type</x:v>
      </x:c>
      <x:c r="L4" s="142" t="str">
        <x:v>Stage</x:v>
      </x:c>
      <x:c r="M4" s="142" t="str">
        <x:v>Planned Start Time</x:v>
      </x:c>
      <x:c r="N4" s="142" t="str">
        <x:v>Planned End Time</x:v>
      </x:c>
      <x:c r="O4" s="142" t="str">
        <x:v>Planned Pairs</x:v>
      </x:c>
      <x:c r="P4" s="142" t="str">
        <x:v>Setup Minutes</x:v>
      </x:c>
      <x:c r="Q4" s="142" t="str">
        <x:v>Plan Status</x:v>
      </x:c>
      <x:c r="R4" s="142" t="str">
        <x:v>Locked?</x:v>
      </x:c>
      <x:c r="S4" s="142" t="str">
        <x:v>Previous Plan Date</x:v>
      </x:c>
      <x:c r="T4" s="142" t="str">
        <x:v>Previous Planned Pairs</x:v>
      </x:c>
      <x:c r="U4" s="142" t="str">
        <x:v>Reason for Change</x:v>
      </x:c>
      <x:c r="V4" s="142" t="str">
        <x:v>Expected Pipeline Effect</x:v>
      </x:c>
      <x:c r="W4" s="142" t="str">
        <x:v>Planner</x:v>
      </x:c>
      <x:c r="X4" s="142" t="str">
        <x:v>Approved By</x:v>
      </x:c>
      <x:c r="Y4" s="143" t="str">
        <x:v>Updated Timestamp</x:v>
      </x:c>
    </x:row>
    <x:row r="5">
      <x:c r="A5" s="136" t="str"/>
      <x:c r="B5" s="136" t="str"/>
      <x:c r="C5" s="144" t="str"/>
      <x:c r="D5" s="136" t="str"/>
      <x:c r="E5" s="136" t="str"/>
      <x:c r="F5" s="136" t="str"/>
      <x:c r="G5" s="136" t="str"/>
      <x:c r="H5" s="136" t="str"/>
      <x:c r="I5" s="136" t="str"/>
      <x:c r="J5" s="136" t="str"/>
      <x:c r="K5" s="136" t="str"/>
      <x:c r="L5" s="136" t="str"/>
      <x:c r="M5" s="158" t="str"/>
      <x:c r="N5" s="158" t="str"/>
      <x:c r="O5" s="136" t="str"/>
      <x:c r="P5" s="136" t="str"/>
      <x:c r="Q5" s="136" t="str"/>
      <x:c r="R5" s="136" t="str"/>
      <x:c r="S5" s="144" t="str"/>
      <x:c r="T5" s="136" t="str"/>
      <x:c r="U5" s="136" t="str"/>
      <x:c r="V5" s="136" t="str"/>
      <x:c r="W5" s="136" t="str"/>
      <x:c r="X5" s="136" t="str"/>
      <x:c r="Y5" s="198" t="str"/>
    </x:row>
    <x:row r="6">
      <x:c r="A6" s="137" t="str"/>
      <x:c r="B6" s="137" t="str"/>
      <x:c r="C6" s="138" t="str"/>
      <x:c r="D6" s="137" t="str"/>
      <x:c r="E6" s="137" t="str"/>
      <x:c r="F6" s="137" t="str"/>
      <x:c r="G6" s="137" t="str"/>
      <x:c r="H6" s="137" t="str"/>
      <x:c r="I6" s="137" t="str"/>
      <x:c r="J6" s="137" t="str"/>
      <x:c r="K6" s="137" t="str"/>
      <x:c r="L6" s="137" t="str"/>
      <x:c r="M6" s="160" t="str"/>
      <x:c r="N6" s="160" t="str"/>
      <x:c r="O6" s="137" t="str"/>
      <x:c r="P6" s="137" t="str"/>
      <x:c r="Q6" s="137" t="str"/>
      <x:c r="R6" s="137" t="str"/>
      <x:c r="S6" s="138" t="str"/>
      <x:c r="T6" s="137" t="str"/>
      <x:c r="U6" s="137" t="str"/>
      <x:c r="V6" s="137" t="str"/>
      <x:c r="W6" s="137" t="str"/>
      <x:c r="X6" s="137" t="str"/>
      <x:c r="Y6" s="199" t="str"/>
    </x:row>
    <x:row r="7">
      <x:c r="A7" s="137" t="str"/>
      <x:c r="B7" s="137" t="str"/>
      <x:c r="C7" s="138" t="str"/>
      <x:c r="D7" s="137" t="str"/>
      <x:c r="E7" s="137" t="str"/>
      <x:c r="F7" s="137" t="str"/>
      <x:c r="G7" s="137" t="str"/>
      <x:c r="H7" s="137" t="str"/>
      <x:c r="I7" s="137" t="str"/>
      <x:c r="J7" s="137" t="str"/>
      <x:c r="K7" s="137" t="str"/>
      <x:c r="L7" s="137" t="str"/>
      <x:c r="M7" s="160" t="str"/>
      <x:c r="N7" s="160" t="str"/>
      <x:c r="O7" s="137" t="str"/>
      <x:c r="P7" s="137" t="str"/>
      <x:c r="Q7" s="137" t="str"/>
      <x:c r="R7" s="137" t="str"/>
      <x:c r="S7" s="138" t="str"/>
      <x:c r="T7" s="137" t="str"/>
      <x:c r="U7" s="137" t="str"/>
      <x:c r="V7" s="137" t="str"/>
      <x:c r="W7" s="137" t="str"/>
      <x:c r="X7" s="137" t="str"/>
      <x:c r="Y7" s="199" t="str"/>
    </x:row>
    <x:row r="8">
      <x:c r="A8" s="137" t="str"/>
      <x:c r="B8" s="137" t="str"/>
      <x:c r="C8" s="138" t="str"/>
      <x:c r="D8" s="137" t="str"/>
      <x:c r="E8" s="137" t="str"/>
      <x:c r="F8" s="137" t="str"/>
      <x:c r="G8" s="137" t="str"/>
      <x:c r="H8" s="137" t="str"/>
      <x:c r="I8" s="137" t="str"/>
      <x:c r="J8" s="137" t="str"/>
      <x:c r="K8" s="137" t="str"/>
      <x:c r="L8" s="137" t="str"/>
      <x:c r="M8" s="160" t="str"/>
      <x:c r="N8" s="160" t="str"/>
      <x:c r="O8" s="137" t="str"/>
      <x:c r="P8" s="137" t="str"/>
      <x:c r="Q8" s="137" t="str"/>
      <x:c r="R8" s="137" t="str"/>
      <x:c r="S8" s="138" t="str"/>
      <x:c r="T8" s="137" t="str"/>
      <x:c r="U8" s="137" t="str"/>
      <x:c r="V8" s="137" t="str"/>
      <x:c r="W8" s="137" t="str"/>
      <x:c r="X8" s="137" t="str"/>
      <x:c r="Y8" s="199" t="str"/>
    </x:row>
    <x:row r="9">
      <x:c r="A9" s="137" t="str"/>
      <x:c r="B9" s="137" t="str"/>
      <x:c r="C9" s="138" t="str"/>
      <x:c r="D9" s="137" t="str"/>
      <x:c r="E9" s="137" t="str"/>
      <x:c r="F9" s="137" t="str"/>
      <x:c r="G9" s="137" t="str"/>
      <x:c r="H9" s="137" t="str"/>
      <x:c r="I9" s="137" t="str"/>
      <x:c r="J9" s="137" t="str"/>
      <x:c r="K9" s="137" t="str"/>
      <x:c r="L9" s="137" t="str"/>
      <x:c r="M9" s="160" t="str"/>
      <x:c r="N9" s="160" t="str"/>
      <x:c r="O9" s="137" t="str"/>
      <x:c r="P9" s="137" t="str"/>
      <x:c r="Q9" s="137" t="str"/>
      <x:c r="R9" s="137" t="str"/>
      <x:c r="S9" s="138" t="str"/>
      <x:c r="T9" s="137" t="str"/>
      <x:c r="U9" s="137" t="str"/>
      <x:c r="V9" s="137" t="str"/>
      <x:c r="W9" s="137" t="str"/>
      <x:c r="X9" s="137" t="str"/>
      <x:c r="Y9" s="199" t="str"/>
    </x:row>
    <x:row r="10">
      <x:c r="A10" s="137" t="str"/>
      <x:c r="B10" s="137" t="str"/>
      <x:c r="C10" s="138" t="str"/>
      <x:c r="D10" s="137" t="str"/>
      <x:c r="E10" s="137" t="str"/>
      <x:c r="F10" s="137" t="str"/>
      <x:c r="G10" s="137" t="str"/>
      <x:c r="H10" s="137" t="str"/>
      <x:c r="I10" s="137" t="str"/>
      <x:c r="J10" s="137" t="str"/>
      <x:c r="K10" s="137" t="str"/>
      <x:c r="L10" s="137" t="str"/>
      <x:c r="M10" s="160" t="str"/>
      <x:c r="N10" s="160" t="str"/>
      <x:c r="O10" s="137" t="str"/>
      <x:c r="P10" s="137" t="str"/>
      <x:c r="Q10" s="137" t="str"/>
      <x:c r="R10" s="137" t="str"/>
      <x:c r="S10" s="138" t="str"/>
      <x:c r="T10" s="137" t="str"/>
      <x:c r="U10" s="137" t="str"/>
      <x:c r="V10" s="137" t="str"/>
      <x:c r="W10" s="137" t="str"/>
      <x:c r="X10" s="137" t="str"/>
      <x:c r="Y10" s="199" t="str"/>
    </x:row>
    <x:row r="11">
      <x:c r="A11" s="137" t="str"/>
      <x:c r="B11" s="137" t="str"/>
      <x:c r="C11" s="138" t="str"/>
      <x:c r="D11" s="137" t="str"/>
      <x:c r="E11" s="137" t="str"/>
      <x:c r="F11" s="137" t="str"/>
      <x:c r="G11" s="137" t="str"/>
      <x:c r="H11" s="137" t="str"/>
      <x:c r="I11" s="137" t="str"/>
      <x:c r="J11" s="137" t="str"/>
      <x:c r="K11" s="137" t="str"/>
      <x:c r="L11" s="137" t="str"/>
      <x:c r="M11" s="160" t="str"/>
      <x:c r="N11" s="160" t="str"/>
      <x:c r="O11" s="137" t="str"/>
      <x:c r="P11" s="137" t="str"/>
      <x:c r="Q11" s="137" t="str"/>
      <x:c r="R11" s="137" t="str"/>
      <x:c r="S11" s="138" t="str"/>
      <x:c r="T11" s="137" t="str"/>
      <x:c r="U11" s="137" t="str"/>
      <x:c r="V11" s="137" t="str"/>
      <x:c r="W11" s="137" t="str"/>
      <x:c r="X11" s="137" t="str"/>
      <x:c r="Y11" s="199" t="str"/>
    </x:row>
    <x:row r="12">
      <x:c r="A12" s="137" t="str"/>
      <x:c r="B12" s="137" t="str"/>
      <x:c r="C12" s="138" t="str"/>
      <x:c r="D12" s="137" t="str"/>
      <x:c r="E12" s="137" t="str"/>
      <x:c r="F12" s="137" t="str"/>
      <x:c r="G12" s="137" t="str"/>
      <x:c r="H12" s="137" t="str"/>
      <x:c r="I12" s="137" t="str"/>
      <x:c r="J12" s="137" t="str"/>
      <x:c r="K12" s="137" t="str"/>
      <x:c r="L12" s="137" t="str"/>
      <x:c r="M12" s="160" t="str"/>
      <x:c r="N12" s="160" t="str"/>
      <x:c r="O12" s="137" t="str"/>
      <x:c r="P12" s="137" t="str"/>
      <x:c r="Q12" s="137" t="str"/>
      <x:c r="R12" s="137" t="str"/>
      <x:c r="S12" s="138" t="str"/>
      <x:c r="T12" s="137" t="str"/>
      <x:c r="U12" s="137" t="str"/>
      <x:c r="V12" s="137" t="str"/>
      <x:c r="W12" s="137" t="str"/>
      <x:c r="X12" s="137" t="str"/>
      <x:c r="Y12" s="199" t="str"/>
    </x:row>
    <x:row r="13">
      <x:c r="A13" s="137" t="str"/>
      <x:c r="B13" s="137" t="str"/>
      <x:c r="C13" s="138" t="str"/>
      <x:c r="D13" s="137" t="str"/>
      <x:c r="E13" s="137" t="str"/>
      <x:c r="F13" s="137" t="str"/>
      <x:c r="G13" s="137" t="str"/>
      <x:c r="H13" s="137" t="str"/>
      <x:c r="I13" s="137" t="str"/>
      <x:c r="J13" s="137" t="str"/>
      <x:c r="K13" s="137" t="str"/>
      <x:c r="L13" s="137" t="str"/>
      <x:c r="M13" s="160" t="str"/>
      <x:c r="N13" s="160" t="str"/>
      <x:c r="O13" s="137" t="str"/>
      <x:c r="P13" s="137" t="str"/>
      <x:c r="Q13" s="137" t="str"/>
      <x:c r="R13" s="137" t="str"/>
      <x:c r="S13" s="138" t="str"/>
      <x:c r="T13" s="137" t="str"/>
      <x:c r="U13" s="137" t="str"/>
      <x:c r="V13" s="137" t="str"/>
      <x:c r="W13" s="137" t="str"/>
      <x:c r="X13" s="137" t="str"/>
      <x:c r="Y13" s="199" t="str"/>
    </x:row>
    <x:row r="14">
      <x:c r="A14" s="137" t="str"/>
      <x:c r="B14" s="137" t="str"/>
      <x:c r="C14" s="138" t="str"/>
      <x:c r="D14" s="137" t="str"/>
      <x:c r="E14" s="137" t="str"/>
      <x:c r="F14" s="137" t="str"/>
      <x:c r="G14" s="137" t="str"/>
      <x:c r="H14" s="137" t="str"/>
      <x:c r="I14" s="137" t="str"/>
      <x:c r="J14" s="137" t="str"/>
      <x:c r="K14" s="137" t="str"/>
      <x:c r="L14" s="137" t="str"/>
      <x:c r="M14" s="160" t="str"/>
      <x:c r="N14" s="160" t="str"/>
      <x:c r="O14" s="137" t="str"/>
      <x:c r="P14" s="137" t="str"/>
      <x:c r="Q14" s="137" t="str"/>
      <x:c r="R14" s="137" t="str"/>
      <x:c r="S14" s="138" t="str"/>
      <x:c r="T14" s="137" t="str"/>
      <x:c r="U14" s="137" t="str"/>
      <x:c r="V14" s="137" t="str"/>
      <x:c r="W14" s="137" t="str"/>
      <x:c r="X14" s="137" t="str"/>
      <x:c r="Y14" s="199" t="str"/>
    </x:row>
    <x:row r="15">
      <x:c r="A15" s="137" t="str"/>
      <x:c r="B15" s="137" t="str"/>
      <x:c r="C15" s="138" t="str"/>
      <x:c r="D15" s="137" t="str"/>
      <x:c r="E15" s="137" t="str"/>
      <x:c r="F15" s="137" t="str"/>
      <x:c r="G15" s="137" t="str"/>
      <x:c r="H15" s="137" t="str"/>
      <x:c r="I15" s="137" t="str"/>
      <x:c r="J15" s="137" t="str"/>
      <x:c r="K15" s="137" t="str"/>
      <x:c r="L15" s="137" t="str"/>
      <x:c r="M15" s="160" t="str"/>
      <x:c r="N15" s="160" t="str"/>
      <x:c r="O15" s="137" t="str"/>
      <x:c r="P15" s="137" t="str"/>
      <x:c r="Q15" s="137" t="str"/>
      <x:c r="R15" s="137" t="str"/>
      <x:c r="S15" s="138" t="str"/>
      <x:c r="T15" s="137" t="str"/>
      <x:c r="U15" s="137" t="str"/>
      <x:c r="V15" s="137" t="str"/>
      <x:c r="W15" s="137" t="str"/>
      <x:c r="X15" s="137" t="str"/>
      <x:c r="Y15" s="199" t="str"/>
    </x:row>
    <x:row r="16">
      <x:c r="A16" s="137" t="str"/>
      <x:c r="B16" s="137" t="str"/>
      <x:c r="C16" s="138" t="str"/>
      <x:c r="D16" s="137" t="str"/>
      <x:c r="E16" s="137" t="str"/>
      <x:c r="F16" s="137" t="str"/>
      <x:c r="G16" s="137" t="str"/>
      <x:c r="H16" s="137" t="str"/>
      <x:c r="I16" s="137" t="str"/>
      <x:c r="J16" s="137" t="str"/>
      <x:c r="K16" s="137" t="str"/>
      <x:c r="L16" s="137" t="str"/>
      <x:c r="M16" s="160" t="str"/>
      <x:c r="N16" s="160" t="str"/>
      <x:c r="O16" s="137" t="str"/>
      <x:c r="P16" s="137" t="str"/>
      <x:c r="Q16" s="137" t="str"/>
      <x:c r="R16" s="137" t="str"/>
      <x:c r="S16" s="138" t="str"/>
      <x:c r="T16" s="137" t="str"/>
      <x:c r="U16" s="137" t="str"/>
      <x:c r="V16" s="137" t="str"/>
      <x:c r="W16" s="137" t="str"/>
      <x:c r="X16" s="137" t="str"/>
      <x:c r="Y16" s="199" t="str"/>
    </x:row>
    <x:row r="17">
      <x:c r="A17" s="137" t="str"/>
      <x:c r="B17" s="137" t="str"/>
      <x:c r="C17" s="138" t="str"/>
      <x:c r="D17" s="137" t="str"/>
      <x:c r="E17" s="137" t="str"/>
      <x:c r="F17" s="137" t="str"/>
      <x:c r="G17" s="137" t="str"/>
      <x:c r="H17" s="137" t="str"/>
      <x:c r="I17" s="137" t="str"/>
      <x:c r="J17" s="137" t="str"/>
      <x:c r="K17" s="137" t="str"/>
      <x:c r="L17" s="137" t="str"/>
      <x:c r="M17" s="160" t="str"/>
      <x:c r="N17" s="160" t="str"/>
      <x:c r="O17" s="137" t="str"/>
      <x:c r="P17" s="137" t="str"/>
      <x:c r="Q17" s="137" t="str"/>
      <x:c r="R17" s="137" t="str"/>
      <x:c r="S17" s="138" t="str"/>
      <x:c r="T17" s="137" t="str"/>
      <x:c r="U17" s="137" t="str"/>
      <x:c r="V17" s="137" t="str"/>
      <x:c r="W17" s="137" t="str"/>
      <x:c r="X17" s="137" t="str"/>
      <x:c r="Y17" s="199" t="str"/>
    </x:row>
    <x:row r="18">
      <x:c r="A18" s="137" t="str"/>
      <x:c r="B18" s="137" t="str"/>
      <x:c r="C18" s="138" t="str"/>
      <x:c r="D18" s="137" t="str"/>
      <x:c r="E18" s="137" t="str"/>
      <x:c r="F18" s="137" t="str"/>
      <x:c r="G18" s="137" t="str"/>
      <x:c r="H18" s="137" t="str"/>
      <x:c r="I18" s="137" t="str"/>
      <x:c r="J18" s="137" t="str"/>
      <x:c r="K18" s="137" t="str"/>
      <x:c r="L18" s="137" t="str"/>
      <x:c r="M18" s="160" t="str"/>
      <x:c r="N18" s="160" t="str"/>
      <x:c r="O18" s="137" t="str"/>
      <x:c r="P18" s="137" t="str"/>
      <x:c r="Q18" s="137" t="str"/>
      <x:c r="R18" s="137" t="str"/>
      <x:c r="S18" s="138" t="str"/>
      <x:c r="T18" s="137" t="str"/>
      <x:c r="U18" s="137" t="str"/>
      <x:c r="V18" s="137" t="str"/>
      <x:c r="W18" s="137" t="str"/>
      <x:c r="X18" s="137" t="str"/>
      <x:c r="Y18" s="199" t="str"/>
    </x:row>
    <x:row r="19">
      <x:c r="A19" s="137" t="str"/>
      <x:c r="B19" s="137" t="str"/>
      <x:c r="C19" s="138" t="str"/>
      <x:c r="D19" s="137" t="str"/>
      <x:c r="E19" s="137" t="str"/>
      <x:c r="F19" s="137" t="str"/>
      <x:c r="G19" s="137" t="str"/>
      <x:c r="H19" s="137" t="str"/>
      <x:c r="I19" s="137" t="str"/>
      <x:c r="J19" s="137" t="str"/>
      <x:c r="K19" s="137" t="str"/>
      <x:c r="L19" s="137" t="str"/>
      <x:c r="M19" s="160" t="str"/>
      <x:c r="N19" s="160" t="str"/>
      <x:c r="O19" s="137" t="str"/>
      <x:c r="P19" s="137" t="str"/>
      <x:c r="Q19" s="137" t="str"/>
      <x:c r="R19" s="137" t="str"/>
      <x:c r="S19" s="138" t="str"/>
      <x:c r="T19" s="137" t="str"/>
      <x:c r="U19" s="137" t="str"/>
      <x:c r="V19" s="137" t="str"/>
      <x:c r="W19" s="137" t="str"/>
      <x:c r="X19" s="137" t="str"/>
      <x:c r="Y19" s="199" t="str"/>
    </x:row>
    <x:row r="20">
      <x:c r="A20" s="137" t="str"/>
      <x:c r="B20" s="137" t="str"/>
      <x:c r="C20" s="138" t="str"/>
      <x:c r="D20" s="137" t="str"/>
      <x:c r="E20" s="137" t="str"/>
      <x:c r="F20" s="137" t="str"/>
      <x:c r="G20" s="137" t="str"/>
      <x:c r="H20" s="137" t="str"/>
      <x:c r="I20" s="137" t="str"/>
      <x:c r="J20" s="137" t="str"/>
      <x:c r="K20" s="137" t="str"/>
      <x:c r="L20" s="137" t="str"/>
      <x:c r="M20" s="160" t="str"/>
      <x:c r="N20" s="160" t="str"/>
      <x:c r="O20" s="137" t="str"/>
      <x:c r="P20" s="137" t="str"/>
      <x:c r="Q20" s="137" t="str"/>
      <x:c r="R20" s="137" t="str"/>
      <x:c r="S20" s="138" t="str"/>
      <x:c r="T20" s="137" t="str"/>
      <x:c r="U20" s="137" t="str"/>
      <x:c r="V20" s="137" t="str"/>
      <x:c r="W20" s="137" t="str"/>
      <x:c r="X20" s="137" t="str"/>
      <x:c r="Y20" s="199" t="str"/>
    </x:row>
    <x:row r="21">
      <x:c r="A21" s="137" t="str"/>
      <x:c r="B21" s="137" t="str"/>
      <x:c r="C21" s="138" t="str"/>
      <x:c r="D21" s="137" t="str"/>
      <x:c r="E21" s="137" t="str"/>
      <x:c r="F21" s="137" t="str"/>
      <x:c r="G21" s="137" t="str"/>
      <x:c r="H21" s="137" t="str"/>
      <x:c r="I21" s="137" t="str"/>
      <x:c r="J21" s="137" t="str"/>
      <x:c r="K21" s="137" t="str"/>
      <x:c r="L21" s="137" t="str"/>
      <x:c r="M21" s="160" t="str"/>
      <x:c r="N21" s="160" t="str"/>
      <x:c r="O21" s="137" t="str"/>
      <x:c r="P21" s="137" t="str"/>
      <x:c r="Q21" s="137" t="str"/>
      <x:c r="R21" s="137" t="str"/>
      <x:c r="S21" s="138" t="str"/>
      <x:c r="T21" s="137" t="str"/>
      <x:c r="U21" s="137" t="str"/>
      <x:c r="V21" s="137" t="str"/>
      <x:c r="W21" s="137" t="str"/>
      <x:c r="X21" s="137" t="str"/>
      <x:c r="Y21" s="199" t="str"/>
    </x:row>
    <x:row r="22">
      <x:c r="A22" s="137" t="str"/>
      <x:c r="B22" s="137" t="str"/>
      <x:c r="C22" s="138" t="str"/>
      <x:c r="D22" s="137" t="str"/>
      <x:c r="E22" s="137" t="str"/>
      <x:c r="F22" s="137" t="str"/>
      <x:c r="G22" s="137" t="str"/>
      <x:c r="H22" s="137" t="str"/>
      <x:c r="I22" s="137" t="str"/>
      <x:c r="J22" s="137" t="str"/>
      <x:c r="K22" s="137" t="str"/>
      <x:c r="L22" s="137" t="str"/>
      <x:c r="M22" s="160" t="str"/>
      <x:c r="N22" s="160" t="str"/>
      <x:c r="O22" s="137" t="str"/>
      <x:c r="P22" s="137" t="str"/>
      <x:c r="Q22" s="137" t="str"/>
      <x:c r="R22" s="137" t="str"/>
      <x:c r="S22" s="138" t="str"/>
      <x:c r="T22" s="137" t="str"/>
      <x:c r="U22" s="137" t="str"/>
      <x:c r="V22" s="137" t="str"/>
      <x:c r="W22" s="137" t="str"/>
      <x:c r="X22" s="137" t="str"/>
      <x:c r="Y22" s="199" t="str"/>
    </x:row>
    <x:row r="23">
      <x:c r="A23" s="137" t="str"/>
      <x:c r="B23" s="137" t="str"/>
      <x:c r="C23" s="138" t="str"/>
      <x:c r="D23" s="137" t="str"/>
      <x:c r="E23" s="137" t="str"/>
      <x:c r="F23" s="137" t="str"/>
      <x:c r="G23" s="137" t="str"/>
      <x:c r="H23" s="137" t="str"/>
      <x:c r="I23" s="137" t="str"/>
      <x:c r="J23" s="137" t="str"/>
      <x:c r="K23" s="137" t="str"/>
      <x:c r="L23" s="137" t="str"/>
      <x:c r="M23" s="160" t="str"/>
      <x:c r="N23" s="160" t="str"/>
      <x:c r="O23" s="137" t="str"/>
      <x:c r="P23" s="137" t="str"/>
      <x:c r="Q23" s="137" t="str"/>
      <x:c r="R23" s="137" t="str"/>
      <x:c r="S23" s="138" t="str"/>
      <x:c r="T23" s="137" t="str"/>
      <x:c r="U23" s="137" t="str"/>
      <x:c r="V23" s="137" t="str"/>
      <x:c r="W23" s="137" t="str"/>
      <x:c r="X23" s="137" t="str"/>
      <x:c r="Y23" s="199" t="str"/>
    </x:row>
    <x:row r="24">
      <x:c r="A24" s="137" t="str"/>
      <x:c r="B24" s="137" t="str"/>
      <x:c r="C24" s="138" t="str"/>
      <x:c r="D24" s="137" t="str"/>
      <x:c r="E24" s="137" t="str"/>
      <x:c r="F24" s="137" t="str"/>
      <x:c r="G24" s="137" t="str"/>
      <x:c r="H24" s="137" t="str"/>
      <x:c r="I24" s="137" t="str"/>
      <x:c r="J24" s="137" t="str"/>
      <x:c r="K24" s="137" t="str"/>
      <x:c r="L24" s="137" t="str"/>
      <x:c r="M24" s="160" t="str"/>
      <x:c r="N24" s="160" t="str"/>
      <x:c r="O24" s="137" t="str"/>
      <x:c r="P24" s="137" t="str"/>
      <x:c r="Q24" s="137" t="str"/>
      <x:c r="R24" s="137" t="str"/>
      <x:c r="S24" s="138" t="str"/>
      <x:c r="T24" s="137" t="str"/>
      <x:c r="U24" s="137" t="str"/>
      <x:c r="V24" s="137" t="str"/>
      <x:c r="W24" s="137" t="str"/>
      <x:c r="X24" s="137" t="str"/>
      <x:c r="Y24" s="199" t="str"/>
    </x:row>
    <x:row r="25">
      <x:c r="A25" s="137" t="str"/>
      <x:c r="B25" s="137" t="str"/>
      <x:c r="C25" s="138" t="str"/>
      <x:c r="D25" s="137" t="str"/>
      <x:c r="E25" s="137" t="str"/>
      <x:c r="F25" s="137" t="str"/>
      <x:c r="G25" s="137" t="str"/>
      <x:c r="H25" s="137" t="str"/>
      <x:c r="I25" s="137" t="str"/>
      <x:c r="J25" s="137" t="str"/>
      <x:c r="K25" s="137" t="str"/>
      <x:c r="L25" s="137" t="str"/>
      <x:c r="M25" s="160" t="str"/>
      <x:c r="N25" s="160" t="str"/>
      <x:c r="O25" s="137" t="str"/>
      <x:c r="P25" s="137" t="str"/>
      <x:c r="Q25" s="137" t="str"/>
      <x:c r="R25" s="137" t="str"/>
      <x:c r="S25" s="138" t="str"/>
      <x:c r="T25" s="137" t="str"/>
      <x:c r="U25" s="137" t="str"/>
      <x:c r="V25" s="137" t="str"/>
      <x:c r="W25" s="137" t="str"/>
      <x:c r="X25" s="137" t="str"/>
      <x:c r="Y25" s="199" t="str"/>
    </x:row>
    <x:row r="26">
      <x:c r="A26" s="137" t="str"/>
      <x:c r="B26" s="137" t="str"/>
      <x:c r="C26" s="138" t="str"/>
      <x:c r="D26" s="137" t="str"/>
      <x:c r="E26" s="137" t="str"/>
      <x:c r="F26" s="137" t="str"/>
      <x:c r="G26" s="137" t="str"/>
      <x:c r="H26" s="137" t="str"/>
      <x:c r="I26" s="137" t="str"/>
      <x:c r="J26" s="137" t="str"/>
      <x:c r="K26" s="137" t="str"/>
      <x:c r="L26" s="137" t="str"/>
      <x:c r="M26" s="160" t="str"/>
      <x:c r="N26" s="160" t="str"/>
      <x:c r="O26" s="137" t="str"/>
      <x:c r="P26" s="137" t="str"/>
      <x:c r="Q26" s="137" t="str"/>
      <x:c r="R26" s="137" t="str"/>
      <x:c r="S26" s="138" t="str"/>
      <x:c r="T26" s="137" t="str"/>
      <x:c r="U26" s="137" t="str"/>
      <x:c r="V26" s="137" t="str"/>
      <x:c r="W26" s="137" t="str"/>
      <x:c r="X26" s="137" t="str"/>
      <x:c r="Y26" s="199" t="str"/>
    </x:row>
    <x:row r="27">
      <x:c r="A27" s="137" t="str"/>
      <x:c r="B27" s="137" t="str"/>
      <x:c r="C27" s="138" t="str"/>
      <x:c r="D27" s="137" t="str"/>
      <x:c r="E27" s="137" t="str"/>
      <x:c r="F27" s="137" t="str"/>
      <x:c r="G27" s="137" t="str"/>
      <x:c r="H27" s="137" t="str"/>
      <x:c r="I27" s="137" t="str"/>
      <x:c r="J27" s="137" t="str"/>
      <x:c r="K27" s="137" t="str"/>
      <x:c r="L27" s="137" t="str"/>
      <x:c r="M27" s="160" t="str"/>
      <x:c r="N27" s="160" t="str"/>
      <x:c r="O27" s="137" t="str"/>
      <x:c r="P27" s="137" t="str"/>
      <x:c r="Q27" s="137" t="str"/>
      <x:c r="R27" s="137" t="str"/>
      <x:c r="S27" s="138" t="str"/>
      <x:c r="T27" s="137" t="str"/>
      <x:c r="U27" s="137" t="str"/>
      <x:c r="V27" s="137" t="str"/>
      <x:c r="W27" s="137" t="str"/>
      <x:c r="X27" s="137" t="str"/>
      <x:c r="Y27" s="199" t="str"/>
    </x:row>
    <x:row r="28">
      <x:c r="A28" s="137" t="str"/>
      <x:c r="B28" s="137" t="str"/>
      <x:c r="C28" s="138" t="str"/>
      <x:c r="D28" s="137" t="str"/>
      <x:c r="E28" s="137" t="str"/>
      <x:c r="F28" s="137" t="str"/>
      <x:c r="G28" s="137" t="str"/>
      <x:c r="H28" s="137" t="str"/>
      <x:c r="I28" s="137" t="str"/>
      <x:c r="J28" s="137" t="str"/>
      <x:c r="K28" s="137" t="str"/>
      <x:c r="L28" s="137" t="str"/>
      <x:c r="M28" s="160" t="str"/>
      <x:c r="N28" s="160" t="str"/>
      <x:c r="O28" s="137" t="str"/>
      <x:c r="P28" s="137" t="str"/>
      <x:c r="Q28" s="137" t="str"/>
      <x:c r="R28" s="137" t="str"/>
      <x:c r="S28" s="138" t="str"/>
      <x:c r="T28" s="137" t="str"/>
      <x:c r="U28" s="137" t="str"/>
      <x:c r="V28" s="137" t="str"/>
      <x:c r="W28" s="137" t="str"/>
      <x:c r="X28" s="137" t="str"/>
      <x:c r="Y28" s="199" t="str"/>
    </x:row>
    <x:row r="29">
      <x:c r="A29" s="137" t="str"/>
      <x:c r="B29" s="137" t="str"/>
      <x:c r="C29" s="138" t="str"/>
      <x:c r="D29" s="137" t="str"/>
      <x:c r="E29" s="137" t="str"/>
      <x:c r="F29" s="137" t="str"/>
      <x:c r="G29" s="137" t="str"/>
      <x:c r="H29" s="137" t="str"/>
      <x:c r="I29" s="137" t="str"/>
      <x:c r="J29" s="137" t="str"/>
      <x:c r="K29" s="137" t="str"/>
      <x:c r="L29" s="137" t="str"/>
      <x:c r="M29" s="160" t="str"/>
      <x:c r="N29" s="160" t="str"/>
      <x:c r="O29" s="137" t="str"/>
      <x:c r="P29" s="137" t="str"/>
      <x:c r="Q29" s="137" t="str"/>
      <x:c r="R29" s="137" t="str"/>
      <x:c r="S29" s="138" t="str"/>
      <x:c r="T29" s="137" t="str"/>
      <x:c r="U29" s="137" t="str"/>
      <x:c r="V29" s="137" t="str"/>
      <x:c r="W29" s="137" t="str"/>
      <x:c r="X29" s="137" t="str"/>
      <x:c r="Y29" s="199" t="str"/>
    </x:row>
    <x:row r="30">
      <x:c r="A30" s="137" t="str"/>
      <x:c r="B30" s="137" t="str"/>
      <x:c r="C30" s="138" t="str"/>
      <x:c r="D30" s="137" t="str"/>
      <x:c r="E30" s="137" t="str"/>
      <x:c r="F30" s="137" t="str"/>
      <x:c r="G30" s="137" t="str"/>
      <x:c r="H30" s="137" t="str"/>
      <x:c r="I30" s="137" t="str"/>
      <x:c r="J30" s="137" t="str"/>
      <x:c r="K30" s="137" t="str"/>
      <x:c r="L30" s="137" t="str"/>
      <x:c r="M30" s="160" t="str"/>
      <x:c r="N30" s="160" t="str"/>
      <x:c r="O30" s="137" t="str"/>
      <x:c r="P30" s="137" t="str"/>
      <x:c r="Q30" s="137" t="str"/>
      <x:c r="R30" s="137" t="str"/>
      <x:c r="S30" s="138" t="str"/>
      <x:c r="T30" s="137" t="str"/>
      <x:c r="U30" s="137" t="str"/>
      <x:c r="V30" s="137" t="str"/>
      <x:c r="W30" s="137" t="str"/>
      <x:c r="X30" s="137" t="str"/>
      <x:c r="Y30" s="199" t="str"/>
    </x:row>
    <x:row r="31">
      <x:c r="A31" s="137" t="str"/>
      <x:c r="B31" s="137" t="str"/>
      <x:c r="C31" s="138" t="str"/>
      <x:c r="D31" s="137" t="str"/>
      <x:c r="E31" s="137" t="str"/>
      <x:c r="F31" s="137" t="str"/>
      <x:c r="G31" s="137" t="str"/>
      <x:c r="H31" s="137" t="str"/>
      <x:c r="I31" s="137" t="str"/>
      <x:c r="J31" s="137" t="str"/>
      <x:c r="K31" s="137" t="str"/>
      <x:c r="L31" s="137" t="str"/>
      <x:c r="M31" s="160" t="str"/>
      <x:c r="N31" s="160" t="str"/>
      <x:c r="O31" s="137" t="str"/>
      <x:c r="P31" s="137" t="str"/>
      <x:c r="Q31" s="137" t="str"/>
      <x:c r="R31" s="137" t="str"/>
      <x:c r="S31" s="138" t="str"/>
      <x:c r="T31" s="137" t="str"/>
      <x:c r="U31" s="137" t="str"/>
      <x:c r="V31" s="137" t="str"/>
      <x:c r="W31" s="137" t="str"/>
      <x:c r="X31" s="137" t="str"/>
      <x:c r="Y31" s="199" t="str"/>
    </x:row>
    <x:row r="32">
      <x:c r="A32" s="137" t="str"/>
      <x:c r="B32" s="137" t="str"/>
      <x:c r="C32" s="138" t="str"/>
      <x:c r="D32" s="137" t="str"/>
      <x:c r="E32" s="137" t="str"/>
      <x:c r="F32" s="137" t="str"/>
      <x:c r="G32" s="137" t="str"/>
      <x:c r="H32" s="137" t="str"/>
      <x:c r="I32" s="137" t="str"/>
      <x:c r="J32" s="137" t="str"/>
      <x:c r="K32" s="137" t="str"/>
      <x:c r="L32" s="137" t="str"/>
      <x:c r="M32" s="160" t="str"/>
      <x:c r="N32" s="160" t="str"/>
      <x:c r="O32" s="137" t="str"/>
      <x:c r="P32" s="137" t="str"/>
      <x:c r="Q32" s="137" t="str"/>
      <x:c r="R32" s="137" t="str"/>
      <x:c r="S32" s="138" t="str"/>
      <x:c r="T32" s="137" t="str"/>
      <x:c r="U32" s="137" t="str"/>
      <x:c r="V32" s="137" t="str"/>
      <x:c r="W32" s="137" t="str"/>
      <x:c r="X32" s="137" t="str"/>
      <x:c r="Y32" s="199" t="str"/>
    </x:row>
    <x:row r="33">
      <x:c r="A33" s="137" t="str"/>
      <x:c r="B33" s="137" t="str"/>
      <x:c r="C33" s="138" t="str"/>
      <x:c r="D33" s="137" t="str"/>
      <x:c r="E33" s="137" t="str"/>
      <x:c r="F33" s="137" t="str"/>
      <x:c r="G33" s="137" t="str"/>
      <x:c r="H33" s="137" t="str"/>
      <x:c r="I33" s="137" t="str"/>
      <x:c r="J33" s="137" t="str"/>
      <x:c r="K33" s="137" t="str"/>
      <x:c r="L33" s="137" t="str"/>
      <x:c r="M33" s="160" t="str"/>
      <x:c r="N33" s="160" t="str"/>
      <x:c r="O33" s="137" t="str"/>
      <x:c r="P33" s="137" t="str"/>
      <x:c r="Q33" s="137" t="str"/>
      <x:c r="R33" s="137" t="str"/>
      <x:c r="S33" s="138" t="str"/>
      <x:c r="T33" s="137" t="str"/>
      <x:c r="U33" s="137" t="str"/>
      <x:c r="V33" s="137" t="str"/>
      <x:c r="W33" s="137" t="str"/>
      <x:c r="X33" s="137" t="str"/>
      <x:c r="Y33" s="199" t="str"/>
    </x:row>
    <x:row r="34">
      <x:c r="A34" s="137" t="str"/>
      <x:c r="B34" s="137" t="str"/>
      <x:c r="C34" s="138" t="str"/>
      <x:c r="D34" s="137" t="str"/>
      <x:c r="E34" s="137" t="str"/>
      <x:c r="F34" s="137" t="str"/>
      <x:c r="G34" s="137" t="str"/>
      <x:c r="H34" s="137" t="str"/>
      <x:c r="I34" s="137" t="str"/>
      <x:c r="J34" s="137" t="str"/>
      <x:c r="K34" s="137" t="str"/>
      <x:c r="L34" s="137" t="str"/>
      <x:c r="M34" s="160" t="str"/>
      <x:c r="N34" s="160" t="str"/>
      <x:c r="O34" s="137" t="str"/>
      <x:c r="P34" s="137" t="str"/>
      <x:c r="Q34" s="137" t="str"/>
      <x:c r="R34" s="137" t="str"/>
      <x:c r="S34" s="138" t="str"/>
      <x:c r="T34" s="137" t="str"/>
      <x:c r="U34" s="137" t="str"/>
      <x:c r="V34" s="137" t="str"/>
      <x:c r="W34" s="137" t="str"/>
      <x:c r="X34" s="137" t="str"/>
      <x:c r="Y34" s="199" t="str"/>
    </x:row>
    <x:row r="35">
      <x:c r="A35" s="137" t="str"/>
      <x:c r="B35" s="137" t="str"/>
      <x:c r="C35" s="138" t="str"/>
      <x:c r="D35" s="137" t="str"/>
      <x:c r="E35" s="137" t="str"/>
      <x:c r="F35" s="137" t="str"/>
      <x:c r="G35" s="137" t="str"/>
      <x:c r="H35" s="137" t="str"/>
      <x:c r="I35" s="137" t="str"/>
      <x:c r="J35" s="137" t="str"/>
      <x:c r="K35" s="137" t="str"/>
      <x:c r="L35" s="137" t="str"/>
      <x:c r="M35" s="160" t="str"/>
      <x:c r="N35" s="160" t="str"/>
      <x:c r="O35" s="137" t="str"/>
      <x:c r="P35" s="137" t="str"/>
      <x:c r="Q35" s="137" t="str"/>
      <x:c r="R35" s="137" t="str"/>
      <x:c r="S35" s="138" t="str"/>
      <x:c r="T35" s="137" t="str"/>
      <x:c r="U35" s="137" t="str"/>
      <x:c r="V35" s="137" t="str"/>
      <x:c r="W35" s="137" t="str"/>
      <x:c r="X35" s="137" t="str"/>
      <x:c r="Y35" s="199" t="str"/>
    </x:row>
    <x:row r="36">
      <x:c r="A36" s="137" t="str"/>
      <x:c r="B36" s="137" t="str"/>
      <x:c r="C36" s="138" t="str"/>
      <x:c r="D36" s="137" t="str"/>
      <x:c r="E36" s="137" t="str"/>
      <x:c r="F36" s="137" t="str"/>
      <x:c r="G36" s="137" t="str"/>
      <x:c r="H36" s="137" t="str"/>
      <x:c r="I36" s="137" t="str"/>
      <x:c r="J36" s="137" t="str"/>
      <x:c r="K36" s="137" t="str"/>
      <x:c r="L36" s="137" t="str"/>
      <x:c r="M36" s="160" t="str"/>
      <x:c r="N36" s="160" t="str"/>
      <x:c r="O36" s="137" t="str"/>
      <x:c r="P36" s="137" t="str"/>
      <x:c r="Q36" s="137" t="str"/>
      <x:c r="R36" s="137" t="str"/>
      <x:c r="S36" s="138" t="str"/>
      <x:c r="T36" s="137" t="str"/>
      <x:c r="U36" s="137" t="str"/>
      <x:c r="V36" s="137" t="str"/>
      <x:c r="W36" s="137" t="str"/>
      <x:c r="X36" s="137" t="str"/>
      <x:c r="Y36" s="199" t="str"/>
    </x:row>
    <x:row r="37">
      <x:c r="A37" s="137" t="str"/>
      <x:c r="B37" s="137" t="str"/>
      <x:c r="C37" s="138" t="str"/>
      <x:c r="D37" s="137" t="str"/>
      <x:c r="E37" s="137" t="str"/>
      <x:c r="F37" s="137" t="str"/>
      <x:c r="G37" s="137" t="str"/>
      <x:c r="H37" s="137" t="str"/>
      <x:c r="I37" s="137" t="str"/>
      <x:c r="J37" s="137" t="str"/>
      <x:c r="K37" s="137" t="str"/>
      <x:c r="L37" s="137" t="str"/>
      <x:c r="M37" s="160" t="str"/>
      <x:c r="N37" s="160" t="str"/>
      <x:c r="O37" s="137" t="str"/>
      <x:c r="P37" s="137" t="str"/>
      <x:c r="Q37" s="137" t="str"/>
      <x:c r="R37" s="137" t="str"/>
      <x:c r="S37" s="138" t="str"/>
      <x:c r="T37" s="137" t="str"/>
      <x:c r="U37" s="137" t="str"/>
      <x:c r="V37" s="137" t="str"/>
      <x:c r="W37" s="137" t="str"/>
      <x:c r="X37" s="137" t="str"/>
      <x:c r="Y37" s="199" t="str"/>
    </x:row>
    <x:row r="38">
      <x:c r="A38" s="137" t="str"/>
      <x:c r="B38" s="137" t="str"/>
      <x:c r="C38" s="138" t="str"/>
      <x:c r="D38" s="137" t="str"/>
      <x:c r="E38" s="137" t="str"/>
      <x:c r="F38" s="137" t="str"/>
      <x:c r="G38" s="137" t="str"/>
      <x:c r="H38" s="137" t="str"/>
      <x:c r="I38" s="137" t="str"/>
      <x:c r="J38" s="137" t="str"/>
      <x:c r="K38" s="137" t="str"/>
      <x:c r="L38" s="137" t="str"/>
      <x:c r="M38" s="160" t="str"/>
      <x:c r="N38" s="160" t="str"/>
      <x:c r="O38" s="137" t="str"/>
      <x:c r="P38" s="137" t="str"/>
      <x:c r="Q38" s="137" t="str"/>
      <x:c r="R38" s="137" t="str"/>
      <x:c r="S38" s="138" t="str"/>
      <x:c r="T38" s="137" t="str"/>
      <x:c r="U38" s="137" t="str"/>
      <x:c r="V38" s="137" t="str"/>
      <x:c r="W38" s="137" t="str"/>
      <x:c r="X38" s="137" t="str"/>
      <x:c r="Y38" s="199" t="str"/>
    </x:row>
    <x:row r="39">
      <x:c r="A39" s="137" t="str"/>
      <x:c r="B39" s="137" t="str"/>
      <x:c r="C39" s="138" t="str"/>
      <x:c r="D39" s="137" t="str"/>
      <x:c r="E39" s="137" t="str"/>
      <x:c r="F39" s="137" t="str"/>
      <x:c r="G39" s="137" t="str"/>
      <x:c r="H39" s="137" t="str"/>
      <x:c r="I39" s="137" t="str"/>
      <x:c r="J39" s="137" t="str"/>
      <x:c r="K39" s="137" t="str"/>
      <x:c r="L39" s="137" t="str"/>
      <x:c r="M39" s="160" t="str"/>
      <x:c r="N39" s="160" t="str"/>
      <x:c r="O39" s="137" t="str"/>
      <x:c r="P39" s="137" t="str"/>
      <x:c r="Q39" s="137" t="str"/>
      <x:c r="R39" s="137" t="str"/>
      <x:c r="S39" s="138" t="str"/>
      <x:c r="T39" s="137" t="str"/>
      <x:c r="U39" s="137" t="str"/>
      <x:c r="V39" s="137" t="str"/>
      <x:c r="W39" s="137" t="str"/>
      <x:c r="X39" s="137" t="str"/>
      <x:c r="Y39" s="199" t="str"/>
    </x:row>
    <x:row r="40">
      <x:c r="A40" s="137" t="str"/>
      <x:c r="B40" s="137" t="str"/>
      <x:c r="C40" s="138" t="str"/>
      <x:c r="D40" s="137" t="str"/>
      <x:c r="E40" s="137" t="str"/>
      <x:c r="F40" s="137" t="str"/>
      <x:c r="G40" s="137" t="str"/>
      <x:c r="H40" s="137" t="str"/>
      <x:c r="I40" s="137" t="str"/>
      <x:c r="J40" s="137" t="str"/>
      <x:c r="K40" s="137" t="str"/>
      <x:c r="L40" s="137" t="str"/>
      <x:c r="M40" s="160" t="str"/>
      <x:c r="N40" s="160" t="str"/>
      <x:c r="O40" s="137" t="str"/>
      <x:c r="P40" s="137" t="str"/>
      <x:c r="Q40" s="137" t="str"/>
      <x:c r="R40" s="137" t="str"/>
      <x:c r="S40" s="138" t="str"/>
      <x:c r="T40" s="137" t="str"/>
      <x:c r="U40" s="137" t="str"/>
      <x:c r="V40" s="137" t="str"/>
      <x:c r="W40" s="137" t="str"/>
      <x:c r="X40" s="137" t="str"/>
      <x:c r="Y40" s="199" t="str"/>
    </x:row>
    <x:row r="41">
      <x:c r="A41" s="137" t="str"/>
      <x:c r="B41" s="137" t="str"/>
      <x:c r="C41" s="138" t="str"/>
      <x:c r="D41" s="137" t="str"/>
      <x:c r="E41" s="137" t="str"/>
      <x:c r="F41" s="137" t="str"/>
      <x:c r="G41" s="137" t="str"/>
      <x:c r="H41" s="137" t="str"/>
      <x:c r="I41" s="137" t="str"/>
      <x:c r="J41" s="137" t="str"/>
      <x:c r="K41" s="137" t="str"/>
      <x:c r="L41" s="137" t="str"/>
      <x:c r="M41" s="160" t="str"/>
      <x:c r="N41" s="160" t="str"/>
      <x:c r="O41" s="137" t="str"/>
      <x:c r="P41" s="137" t="str"/>
      <x:c r="Q41" s="137" t="str"/>
      <x:c r="R41" s="137" t="str"/>
      <x:c r="S41" s="138" t="str"/>
      <x:c r="T41" s="137" t="str"/>
      <x:c r="U41" s="137" t="str"/>
      <x:c r="V41" s="137" t="str"/>
      <x:c r="W41" s="137" t="str"/>
      <x:c r="X41" s="137" t="str"/>
      <x:c r="Y41" s="199" t="str"/>
    </x:row>
    <x:row r="42">
      <x:c r="A42" s="137" t="str"/>
      <x:c r="B42" s="137" t="str"/>
      <x:c r="C42" s="138" t="str"/>
      <x:c r="D42" s="137" t="str"/>
      <x:c r="E42" s="137" t="str"/>
      <x:c r="F42" s="137" t="str"/>
      <x:c r="G42" s="137" t="str"/>
      <x:c r="H42" s="137" t="str"/>
      <x:c r="I42" s="137" t="str"/>
      <x:c r="J42" s="137" t="str"/>
      <x:c r="K42" s="137" t="str"/>
      <x:c r="L42" s="137" t="str"/>
      <x:c r="M42" s="160" t="str"/>
      <x:c r="N42" s="160" t="str"/>
      <x:c r="O42" s="137" t="str"/>
      <x:c r="P42" s="137" t="str"/>
      <x:c r="Q42" s="137" t="str"/>
      <x:c r="R42" s="137" t="str"/>
      <x:c r="S42" s="138" t="str"/>
      <x:c r="T42" s="137" t="str"/>
      <x:c r="U42" s="137" t="str"/>
      <x:c r="V42" s="137" t="str"/>
      <x:c r="W42" s="137" t="str"/>
      <x:c r="X42" s="137" t="str"/>
      <x:c r="Y42" s="199" t="str"/>
    </x:row>
    <x:row r="43">
      <x:c r="A43" s="137" t="str"/>
      <x:c r="B43" s="137" t="str"/>
      <x:c r="C43" s="138" t="str"/>
      <x:c r="D43" s="137" t="str"/>
      <x:c r="E43" s="137" t="str"/>
      <x:c r="F43" s="137" t="str"/>
      <x:c r="G43" s="137" t="str"/>
      <x:c r="H43" s="137" t="str"/>
      <x:c r="I43" s="137" t="str"/>
      <x:c r="J43" s="137" t="str"/>
      <x:c r="K43" s="137" t="str"/>
      <x:c r="L43" s="137" t="str"/>
      <x:c r="M43" s="160" t="str"/>
      <x:c r="N43" s="160" t="str"/>
      <x:c r="O43" s="137" t="str"/>
      <x:c r="P43" s="137" t="str"/>
      <x:c r="Q43" s="137" t="str"/>
      <x:c r="R43" s="137" t="str"/>
      <x:c r="S43" s="138" t="str"/>
      <x:c r="T43" s="137" t="str"/>
      <x:c r="U43" s="137" t="str"/>
      <x:c r="V43" s="137" t="str"/>
      <x:c r="W43" s="137" t="str"/>
      <x:c r="X43" s="137" t="str"/>
      <x:c r="Y43" s="199" t="str"/>
    </x:row>
    <x:row r="44">
      <x:c r="A44" s="137" t="str"/>
      <x:c r="B44" s="137" t="str"/>
      <x:c r="C44" s="138" t="str"/>
      <x:c r="D44" s="137" t="str"/>
      <x:c r="E44" s="137" t="str"/>
      <x:c r="F44" s="137" t="str"/>
      <x:c r="G44" s="137" t="str"/>
      <x:c r="H44" s="137" t="str"/>
      <x:c r="I44" s="137" t="str"/>
      <x:c r="J44" s="137" t="str"/>
      <x:c r="K44" s="137" t="str"/>
      <x:c r="L44" s="137" t="str"/>
      <x:c r="M44" s="160" t="str"/>
      <x:c r="N44" s="160" t="str"/>
      <x:c r="O44" s="137" t="str"/>
      <x:c r="P44" s="137" t="str"/>
      <x:c r="Q44" s="137" t="str"/>
      <x:c r="R44" s="137" t="str"/>
      <x:c r="S44" s="138" t="str"/>
      <x:c r="T44" s="137" t="str"/>
      <x:c r="U44" s="137" t="str"/>
      <x:c r="V44" s="137" t="str"/>
      <x:c r="W44" s="137" t="str"/>
      <x:c r="X44" s="137" t="str"/>
      <x:c r="Y44" s="199" t="str"/>
    </x:row>
    <x:row r="45">
      <x:c r="A45" s="137" t="str"/>
      <x:c r="B45" s="137" t="str"/>
      <x:c r="C45" s="138" t="str"/>
      <x:c r="D45" s="137" t="str"/>
      <x:c r="E45" s="137" t="str"/>
      <x:c r="F45" s="137" t="str"/>
      <x:c r="G45" s="137" t="str"/>
      <x:c r="H45" s="137" t="str"/>
      <x:c r="I45" s="137" t="str"/>
      <x:c r="J45" s="137" t="str"/>
      <x:c r="K45" s="137" t="str"/>
      <x:c r="L45" s="137" t="str"/>
      <x:c r="M45" s="160" t="str"/>
      <x:c r="N45" s="160" t="str"/>
      <x:c r="O45" s="137" t="str"/>
      <x:c r="P45" s="137" t="str"/>
      <x:c r="Q45" s="137" t="str"/>
      <x:c r="R45" s="137" t="str"/>
      <x:c r="S45" s="138" t="str"/>
      <x:c r="T45" s="137" t="str"/>
      <x:c r="U45" s="137" t="str"/>
      <x:c r="V45" s="137" t="str"/>
      <x:c r="W45" s="137" t="str"/>
      <x:c r="X45" s="137" t="str"/>
      <x:c r="Y45" s="199" t="str"/>
    </x:row>
    <x:row r="46">
      <x:c r="A46" s="137" t="str"/>
      <x:c r="B46" s="137" t="str"/>
      <x:c r="C46" s="138" t="str"/>
      <x:c r="D46" s="137" t="str"/>
      <x:c r="E46" s="137" t="str"/>
      <x:c r="F46" s="137" t="str"/>
      <x:c r="G46" s="137" t="str"/>
      <x:c r="H46" s="137" t="str"/>
      <x:c r="I46" s="137" t="str"/>
      <x:c r="J46" s="137" t="str"/>
      <x:c r="K46" s="137" t="str"/>
      <x:c r="L46" s="137" t="str"/>
      <x:c r="M46" s="160" t="str"/>
      <x:c r="N46" s="160" t="str"/>
      <x:c r="O46" s="137" t="str"/>
      <x:c r="P46" s="137" t="str"/>
      <x:c r="Q46" s="137" t="str"/>
      <x:c r="R46" s="137" t="str"/>
      <x:c r="S46" s="138" t="str"/>
      <x:c r="T46" s="137" t="str"/>
      <x:c r="U46" s="137" t="str"/>
      <x:c r="V46" s="137" t="str"/>
      <x:c r="W46" s="137" t="str"/>
      <x:c r="X46" s="137" t="str"/>
      <x:c r="Y46" s="199" t="str"/>
    </x:row>
    <x:row r="47">
      <x:c r="A47" s="137" t="str"/>
      <x:c r="B47" s="137" t="str"/>
      <x:c r="C47" s="138" t="str"/>
      <x:c r="D47" s="137" t="str"/>
      <x:c r="E47" s="137" t="str"/>
      <x:c r="F47" s="137" t="str"/>
      <x:c r="G47" s="137" t="str"/>
      <x:c r="H47" s="137" t="str"/>
      <x:c r="I47" s="137" t="str"/>
      <x:c r="J47" s="137" t="str"/>
      <x:c r="K47" s="137" t="str"/>
      <x:c r="L47" s="137" t="str"/>
      <x:c r="M47" s="160" t="str"/>
      <x:c r="N47" s="160" t="str"/>
      <x:c r="O47" s="137" t="str"/>
      <x:c r="P47" s="137" t="str"/>
      <x:c r="Q47" s="137" t="str"/>
      <x:c r="R47" s="137" t="str"/>
      <x:c r="S47" s="138" t="str"/>
      <x:c r="T47" s="137" t="str"/>
      <x:c r="U47" s="137" t="str"/>
      <x:c r="V47" s="137" t="str"/>
      <x:c r="W47" s="137" t="str"/>
      <x:c r="X47" s="137" t="str"/>
      <x:c r="Y47" s="199" t="str"/>
    </x:row>
    <x:row r="48">
      <x:c r="A48" s="137" t="str"/>
      <x:c r="B48" s="137" t="str"/>
      <x:c r="C48" s="138" t="str"/>
      <x:c r="D48" s="137" t="str"/>
      <x:c r="E48" s="137" t="str"/>
      <x:c r="F48" s="137" t="str"/>
      <x:c r="G48" s="137" t="str"/>
      <x:c r="H48" s="137" t="str"/>
      <x:c r="I48" s="137" t="str"/>
      <x:c r="J48" s="137" t="str"/>
      <x:c r="K48" s="137" t="str"/>
      <x:c r="L48" s="137" t="str"/>
      <x:c r="M48" s="160" t="str"/>
      <x:c r="N48" s="160" t="str"/>
      <x:c r="O48" s="137" t="str"/>
      <x:c r="P48" s="137" t="str"/>
      <x:c r="Q48" s="137" t="str"/>
      <x:c r="R48" s="137" t="str"/>
      <x:c r="S48" s="138" t="str"/>
      <x:c r="T48" s="137" t="str"/>
      <x:c r="U48" s="137" t="str"/>
      <x:c r="V48" s="137" t="str"/>
      <x:c r="W48" s="137" t="str"/>
      <x:c r="X48" s="137" t="str"/>
      <x:c r="Y48" s="199" t="str"/>
    </x:row>
    <x:row r="49">
      <x:c r="A49" s="137" t="str"/>
      <x:c r="B49" s="137" t="str"/>
      <x:c r="C49" s="138" t="str"/>
      <x:c r="D49" s="137" t="str"/>
      <x:c r="E49" s="137" t="str"/>
      <x:c r="F49" s="137" t="str"/>
      <x:c r="G49" s="137" t="str"/>
      <x:c r="H49" s="137" t="str"/>
      <x:c r="I49" s="137" t="str"/>
      <x:c r="J49" s="137" t="str"/>
      <x:c r="K49" s="137" t="str"/>
      <x:c r="L49" s="137" t="str"/>
      <x:c r="M49" s="160" t="str"/>
      <x:c r="N49" s="160" t="str"/>
      <x:c r="O49" s="137" t="str"/>
      <x:c r="P49" s="137" t="str"/>
      <x:c r="Q49" s="137" t="str"/>
      <x:c r="R49" s="137" t="str"/>
      <x:c r="S49" s="138" t="str"/>
      <x:c r="T49" s="137" t="str"/>
      <x:c r="U49" s="137" t="str"/>
      <x:c r="V49" s="137" t="str"/>
      <x:c r="W49" s="137" t="str"/>
      <x:c r="X49" s="137" t="str"/>
      <x:c r="Y49" s="199" t="str"/>
    </x:row>
    <x:row r="50">
      <x:c r="A50" s="137" t="str"/>
      <x:c r="B50" s="137" t="str"/>
      <x:c r="C50" s="138" t="str"/>
      <x:c r="D50" s="137" t="str"/>
      <x:c r="E50" s="137" t="str"/>
      <x:c r="F50" s="137" t="str"/>
      <x:c r="G50" s="137" t="str"/>
      <x:c r="H50" s="137" t="str"/>
      <x:c r="I50" s="137" t="str"/>
      <x:c r="J50" s="137" t="str"/>
      <x:c r="K50" s="137" t="str"/>
      <x:c r="L50" s="137" t="str"/>
      <x:c r="M50" s="160" t="str"/>
      <x:c r="N50" s="160" t="str"/>
      <x:c r="O50" s="137" t="str"/>
      <x:c r="P50" s="137" t="str"/>
      <x:c r="Q50" s="137" t="str"/>
      <x:c r="R50" s="137" t="str"/>
      <x:c r="S50" s="138" t="str"/>
      <x:c r="T50" s="137" t="str"/>
      <x:c r="U50" s="137" t="str"/>
      <x:c r="V50" s="137" t="str"/>
      <x:c r="W50" s="137" t="str"/>
      <x:c r="X50" s="137" t="str"/>
      <x:c r="Y50" s="199" t="str"/>
    </x:row>
    <x:row r="51">
      <x:c r="A51" s="137" t="str"/>
      <x:c r="B51" s="137" t="str"/>
      <x:c r="C51" s="138" t="str"/>
      <x:c r="D51" s="137" t="str"/>
      <x:c r="E51" s="137" t="str"/>
      <x:c r="F51" s="137" t="str"/>
      <x:c r="G51" s="137" t="str"/>
      <x:c r="H51" s="137" t="str"/>
      <x:c r="I51" s="137" t="str"/>
      <x:c r="J51" s="137" t="str"/>
      <x:c r="K51" s="137" t="str"/>
      <x:c r="L51" s="137" t="str"/>
      <x:c r="M51" s="160" t="str"/>
      <x:c r="N51" s="160" t="str"/>
      <x:c r="O51" s="137" t="str"/>
      <x:c r="P51" s="137" t="str"/>
      <x:c r="Q51" s="137" t="str"/>
      <x:c r="R51" s="137" t="str"/>
      <x:c r="S51" s="138" t="str"/>
      <x:c r="T51" s="137" t="str"/>
      <x:c r="U51" s="137" t="str"/>
      <x:c r="V51" s="137" t="str"/>
      <x:c r="W51" s="137" t="str"/>
      <x:c r="X51" s="137" t="str"/>
      <x:c r="Y51" s="199" t="str"/>
    </x:row>
    <x:row r="52">
      <x:c r="A52" s="137" t="str"/>
      <x:c r="B52" s="137" t="str"/>
      <x:c r="C52" s="138" t="str"/>
      <x:c r="D52" s="137" t="str"/>
      <x:c r="E52" s="137" t="str"/>
      <x:c r="F52" s="137" t="str"/>
      <x:c r="G52" s="137" t="str"/>
      <x:c r="H52" s="137" t="str"/>
      <x:c r="I52" s="137" t="str"/>
      <x:c r="J52" s="137" t="str"/>
      <x:c r="K52" s="137" t="str"/>
      <x:c r="L52" s="137" t="str"/>
      <x:c r="M52" s="160" t="str"/>
      <x:c r="N52" s="160" t="str"/>
      <x:c r="O52" s="137" t="str"/>
      <x:c r="P52" s="137" t="str"/>
      <x:c r="Q52" s="137" t="str"/>
      <x:c r="R52" s="137" t="str"/>
      <x:c r="S52" s="138" t="str"/>
      <x:c r="T52" s="137" t="str"/>
      <x:c r="U52" s="137" t="str"/>
      <x:c r="V52" s="137" t="str"/>
      <x:c r="W52" s="137" t="str"/>
      <x:c r="X52" s="137" t="str"/>
      <x:c r="Y52" s="199" t="str"/>
    </x:row>
    <x:row r="53">
      <x:c r="A53" s="137" t="str"/>
      <x:c r="B53" s="137" t="str"/>
      <x:c r="C53" s="138" t="str"/>
      <x:c r="D53" s="137" t="str"/>
      <x:c r="E53" s="137" t="str"/>
      <x:c r="F53" s="137" t="str"/>
      <x:c r="G53" s="137" t="str"/>
      <x:c r="H53" s="137" t="str"/>
      <x:c r="I53" s="137" t="str"/>
      <x:c r="J53" s="137" t="str"/>
      <x:c r="K53" s="137" t="str"/>
      <x:c r="L53" s="137" t="str"/>
      <x:c r="M53" s="160" t="str"/>
      <x:c r="N53" s="160" t="str"/>
      <x:c r="O53" s="137" t="str"/>
      <x:c r="P53" s="137" t="str"/>
      <x:c r="Q53" s="137" t="str"/>
      <x:c r="R53" s="137" t="str"/>
      <x:c r="S53" s="138" t="str"/>
      <x:c r="T53" s="137" t="str"/>
      <x:c r="U53" s="137" t="str"/>
      <x:c r="V53" s="137" t="str"/>
      <x:c r="W53" s="137" t="str"/>
      <x:c r="X53" s="137" t="str"/>
      <x:c r="Y53" s="199" t="str"/>
    </x:row>
    <x:row r="54">
      <x:c r="A54" s="137" t="str"/>
      <x:c r="B54" s="137" t="str"/>
      <x:c r="C54" s="138" t="str"/>
      <x:c r="D54" s="137" t="str"/>
      <x:c r="E54" s="137" t="str"/>
      <x:c r="F54" s="137" t="str"/>
      <x:c r="G54" s="137" t="str"/>
      <x:c r="H54" s="137" t="str"/>
      <x:c r="I54" s="137" t="str"/>
      <x:c r="J54" s="137" t="str"/>
      <x:c r="K54" s="137" t="str"/>
      <x:c r="L54" s="137" t="str"/>
      <x:c r="M54" s="160" t="str"/>
      <x:c r="N54" s="160" t="str"/>
      <x:c r="O54" s="137" t="str"/>
      <x:c r="P54" s="137" t="str"/>
      <x:c r="Q54" s="137" t="str"/>
      <x:c r="R54" s="137" t="str"/>
      <x:c r="S54" s="138" t="str"/>
      <x:c r="T54" s="137" t="str"/>
      <x:c r="U54" s="137" t="str"/>
      <x:c r="V54" s="137" t="str"/>
      <x:c r="W54" s="137" t="str"/>
      <x:c r="X54" s="137" t="str"/>
      <x:c r="Y54" s="199" t="str"/>
    </x:row>
    <x:row r="55">
      <x:c r="A55" s="137" t="str"/>
      <x:c r="B55" s="137" t="str"/>
      <x:c r="C55" s="138" t="str"/>
      <x:c r="D55" s="137" t="str"/>
      <x:c r="E55" s="137" t="str"/>
      <x:c r="F55" s="137" t="str"/>
      <x:c r="G55" s="137" t="str"/>
      <x:c r="H55" s="137" t="str"/>
      <x:c r="I55" s="137" t="str"/>
      <x:c r="J55" s="137" t="str"/>
      <x:c r="K55" s="137" t="str"/>
      <x:c r="L55" s="137" t="str"/>
      <x:c r="M55" s="160" t="str"/>
      <x:c r="N55" s="160" t="str"/>
      <x:c r="O55" s="137" t="str"/>
      <x:c r="P55" s="137" t="str"/>
      <x:c r="Q55" s="137" t="str"/>
      <x:c r="R55" s="137" t="str"/>
      <x:c r="S55" s="138" t="str"/>
      <x:c r="T55" s="137" t="str"/>
      <x:c r="U55" s="137" t="str"/>
      <x:c r="V55" s="137" t="str"/>
      <x:c r="W55" s="137" t="str"/>
      <x:c r="X55" s="137" t="str"/>
      <x:c r="Y55" s="199" t="str"/>
    </x:row>
    <x:row r="56">
      <x:c r="A56" s="137" t="str"/>
      <x:c r="B56" s="137" t="str"/>
      <x:c r="C56" s="138" t="str"/>
      <x:c r="D56" s="137" t="str"/>
      <x:c r="E56" s="137" t="str"/>
      <x:c r="F56" s="137" t="str"/>
      <x:c r="G56" s="137" t="str"/>
      <x:c r="H56" s="137" t="str"/>
      <x:c r="I56" s="137" t="str"/>
      <x:c r="J56" s="137" t="str"/>
      <x:c r="K56" s="137" t="str"/>
      <x:c r="L56" s="137" t="str"/>
      <x:c r="M56" s="160" t="str"/>
      <x:c r="N56" s="160" t="str"/>
      <x:c r="O56" s="137" t="str"/>
      <x:c r="P56" s="137" t="str"/>
      <x:c r="Q56" s="137" t="str"/>
      <x:c r="R56" s="137" t="str"/>
      <x:c r="S56" s="138" t="str"/>
      <x:c r="T56" s="137" t="str"/>
      <x:c r="U56" s="137" t="str"/>
      <x:c r="V56" s="137" t="str"/>
      <x:c r="W56" s="137" t="str"/>
      <x:c r="X56" s="137" t="str"/>
      <x:c r="Y56" s="199" t="str"/>
    </x:row>
    <x:row r="57">
      <x:c r="A57" s="137" t="str"/>
      <x:c r="B57" s="137" t="str"/>
      <x:c r="C57" s="138" t="str"/>
      <x:c r="D57" s="137" t="str"/>
      <x:c r="E57" s="137" t="str"/>
      <x:c r="F57" s="137" t="str"/>
      <x:c r="G57" s="137" t="str"/>
      <x:c r="H57" s="137" t="str"/>
      <x:c r="I57" s="137" t="str"/>
      <x:c r="J57" s="137" t="str"/>
      <x:c r="K57" s="137" t="str"/>
      <x:c r="L57" s="137" t="str"/>
      <x:c r="M57" s="160" t="str"/>
      <x:c r="N57" s="160" t="str"/>
      <x:c r="O57" s="137" t="str"/>
      <x:c r="P57" s="137" t="str"/>
      <x:c r="Q57" s="137" t="str"/>
      <x:c r="R57" s="137" t="str"/>
      <x:c r="S57" s="138" t="str"/>
      <x:c r="T57" s="137" t="str"/>
      <x:c r="U57" s="137" t="str"/>
      <x:c r="V57" s="137" t="str"/>
      <x:c r="W57" s="137" t="str"/>
      <x:c r="X57" s="137" t="str"/>
      <x:c r="Y57" s="199" t="str"/>
    </x:row>
    <x:row r="58">
      <x:c r="A58" s="137" t="str"/>
      <x:c r="B58" s="137" t="str"/>
      <x:c r="C58" s="138" t="str"/>
      <x:c r="D58" s="137" t="str"/>
      <x:c r="E58" s="137" t="str"/>
      <x:c r="F58" s="137" t="str"/>
      <x:c r="G58" s="137" t="str"/>
      <x:c r="H58" s="137" t="str"/>
      <x:c r="I58" s="137" t="str"/>
      <x:c r="J58" s="137" t="str"/>
      <x:c r="K58" s="137" t="str"/>
      <x:c r="L58" s="137" t="str"/>
      <x:c r="M58" s="160" t="str"/>
      <x:c r="N58" s="160" t="str"/>
      <x:c r="O58" s="137" t="str"/>
      <x:c r="P58" s="137" t="str"/>
      <x:c r="Q58" s="137" t="str"/>
      <x:c r="R58" s="137" t="str"/>
      <x:c r="S58" s="138" t="str"/>
      <x:c r="T58" s="137" t="str"/>
      <x:c r="U58" s="137" t="str"/>
      <x:c r="V58" s="137" t="str"/>
      <x:c r="W58" s="137" t="str"/>
      <x:c r="X58" s="137" t="str"/>
      <x:c r="Y58" s="199" t="str"/>
    </x:row>
    <x:row r="59">
      <x:c r="A59" s="137" t="str"/>
      <x:c r="B59" s="137" t="str"/>
      <x:c r="C59" s="138" t="str"/>
      <x:c r="D59" s="137" t="str"/>
      <x:c r="E59" s="137" t="str"/>
      <x:c r="F59" s="137" t="str"/>
      <x:c r="G59" s="137" t="str"/>
      <x:c r="H59" s="137" t="str"/>
      <x:c r="I59" s="137" t="str"/>
      <x:c r="J59" s="137" t="str"/>
      <x:c r="K59" s="137" t="str"/>
      <x:c r="L59" s="137" t="str"/>
      <x:c r="M59" s="160" t="str"/>
      <x:c r="N59" s="160" t="str"/>
      <x:c r="O59" s="137" t="str"/>
      <x:c r="P59" s="137" t="str"/>
      <x:c r="Q59" s="137" t="str"/>
      <x:c r="R59" s="137" t="str"/>
      <x:c r="S59" s="138" t="str"/>
      <x:c r="T59" s="137" t="str"/>
      <x:c r="U59" s="137" t="str"/>
      <x:c r="V59" s="137" t="str"/>
      <x:c r="W59" s="137" t="str"/>
      <x:c r="X59" s="137" t="str"/>
      <x:c r="Y59" s="199" t="str"/>
    </x:row>
    <x:row r="60">
      <x:c r="A60" s="137" t="str"/>
      <x:c r="B60" s="137" t="str"/>
      <x:c r="C60" s="138" t="str"/>
      <x:c r="D60" s="137" t="str"/>
      <x:c r="E60" s="137" t="str"/>
      <x:c r="F60" s="137" t="str"/>
      <x:c r="G60" s="137" t="str"/>
      <x:c r="H60" s="137" t="str"/>
      <x:c r="I60" s="137" t="str"/>
      <x:c r="J60" s="137" t="str"/>
      <x:c r="K60" s="137" t="str"/>
      <x:c r="L60" s="137" t="str"/>
      <x:c r="M60" s="160" t="str"/>
      <x:c r="N60" s="160" t="str"/>
      <x:c r="O60" s="137" t="str"/>
      <x:c r="P60" s="137" t="str"/>
      <x:c r="Q60" s="137" t="str"/>
      <x:c r="R60" s="137" t="str"/>
      <x:c r="S60" s="138" t="str"/>
      <x:c r="T60" s="137" t="str"/>
      <x:c r="U60" s="137" t="str"/>
      <x:c r="V60" s="137" t="str"/>
      <x:c r="W60" s="137" t="str"/>
      <x:c r="X60" s="137" t="str"/>
      <x:c r="Y60" s="199" t="str"/>
    </x:row>
    <x:row r="61">
      <x:c r="A61" s="137" t="str"/>
      <x:c r="B61" s="137" t="str"/>
      <x:c r="C61" s="138" t="str"/>
      <x:c r="D61" s="137" t="str"/>
      <x:c r="E61" s="137" t="str"/>
      <x:c r="F61" s="137" t="str"/>
      <x:c r="G61" s="137" t="str"/>
      <x:c r="H61" s="137" t="str"/>
      <x:c r="I61" s="137" t="str"/>
      <x:c r="J61" s="137" t="str"/>
      <x:c r="K61" s="137" t="str"/>
      <x:c r="L61" s="137" t="str"/>
      <x:c r="M61" s="160" t="str"/>
      <x:c r="N61" s="160" t="str"/>
      <x:c r="O61" s="137" t="str"/>
      <x:c r="P61" s="137" t="str"/>
      <x:c r="Q61" s="137" t="str"/>
      <x:c r="R61" s="137" t="str"/>
      <x:c r="S61" s="138" t="str"/>
      <x:c r="T61" s="137" t="str"/>
      <x:c r="U61" s="137" t="str"/>
      <x:c r="V61" s="137" t="str"/>
      <x:c r="W61" s="137" t="str"/>
      <x:c r="X61" s="137" t="str"/>
      <x:c r="Y61" s="199" t="str"/>
    </x:row>
    <x:row r="62">
      <x:c r="A62" s="137" t="str"/>
      <x:c r="B62" s="137" t="str"/>
      <x:c r="C62" s="138" t="str"/>
      <x:c r="D62" s="137" t="str"/>
      <x:c r="E62" s="137" t="str"/>
      <x:c r="F62" s="137" t="str"/>
      <x:c r="G62" s="137" t="str"/>
      <x:c r="H62" s="137" t="str"/>
      <x:c r="I62" s="137" t="str"/>
      <x:c r="J62" s="137" t="str"/>
      <x:c r="K62" s="137" t="str"/>
      <x:c r="L62" s="137" t="str"/>
      <x:c r="M62" s="160" t="str"/>
      <x:c r="N62" s="160" t="str"/>
      <x:c r="O62" s="137" t="str"/>
      <x:c r="P62" s="137" t="str"/>
      <x:c r="Q62" s="137" t="str"/>
      <x:c r="R62" s="137" t="str"/>
      <x:c r="S62" s="138" t="str"/>
      <x:c r="T62" s="137" t="str"/>
      <x:c r="U62" s="137" t="str"/>
      <x:c r="V62" s="137" t="str"/>
      <x:c r="W62" s="137" t="str"/>
      <x:c r="X62" s="137" t="str"/>
      <x:c r="Y62" s="199" t="str"/>
    </x:row>
    <x:row r="63">
      <x:c r="A63" s="137" t="str"/>
      <x:c r="B63" s="137" t="str"/>
      <x:c r="C63" s="138" t="str"/>
      <x:c r="D63" s="137" t="str"/>
      <x:c r="E63" s="137" t="str"/>
      <x:c r="F63" s="137" t="str"/>
      <x:c r="G63" s="137" t="str"/>
      <x:c r="H63" s="137" t="str"/>
      <x:c r="I63" s="137" t="str"/>
      <x:c r="J63" s="137" t="str"/>
      <x:c r="K63" s="137" t="str"/>
      <x:c r="L63" s="137" t="str"/>
      <x:c r="M63" s="160" t="str"/>
      <x:c r="N63" s="160" t="str"/>
      <x:c r="O63" s="137" t="str"/>
      <x:c r="P63" s="137" t="str"/>
      <x:c r="Q63" s="137" t="str"/>
      <x:c r="R63" s="137" t="str"/>
      <x:c r="S63" s="138" t="str"/>
      <x:c r="T63" s="137" t="str"/>
      <x:c r="U63" s="137" t="str"/>
      <x:c r="V63" s="137" t="str"/>
      <x:c r="W63" s="137" t="str"/>
      <x:c r="X63" s="137" t="str"/>
      <x:c r="Y63" s="199" t="str"/>
    </x:row>
    <x:row r="64">
      <x:c r="A64" s="137" t="str"/>
      <x:c r="B64" s="137" t="str"/>
      <x:c r="C64" s="138" t="str"/>
      <x:c r="D64" s="137" t="str"/>
      <x:c r="E64" s="137" t="str"/>
      <x:c r="F64" s="137" t="str"/>
      <x:c r="G64" s="137" t="str"/>
      <x:c r="H64" s="137" t="str"/>
      <x:c r="I64" s="137" t="str"/>
      <x:c r="J64" s="137" t="str"/>
      <x:c r="K64" s="137" t="str"/>
      <x:c r="L64" s="137" t="str"/>
      <x:c r="M64" s="160" t="str"/>
      <x:c r="N64" s="160" t="str"/>
      <x:c r="O64" s="137" t="str"/>
      <x:c r="P64" s="137" t="str"/>
      <x:c r="Q64" s="137" t="str"/>
      <x:c r="R64" s="137" t="str"/>
      <x:c r="S64" s="138" t="str"/>
      <x:c r="T64" s="137" t="str"/>
      <x:c r="U64" s="137" t="str"/>
      <x:c r="V64" s="137" t="str"/>
      <x:c r="W64" s="137" t="str"/>
      <x:c r="X64" s="137" t="str"/>
      <x:c r="Y64" s="199" t="str"/>
    </x:row>
    <x:row r="65">
      <x:c r="A65" s="137" t="str"/>
      <x:c r="B65" s="137" t="str"/>
      <x:c r="C65" s="138" t="str"/>
      <x:c r="D65" s="137" t="str"/>
      <x:c r="E65" s="137" t="str"/>
      <x:c r="F65" s="137" t="str"/>
      <x:c r="G65" s="137" t="str"/>
      <x:c r="H65" s="137" t="str"/>
      <x:c r="I65" s="137" t="str"/>
      <x:c r="J65" s="137" t="str"/>
      <x:c r="K65" s="137" t="str"/>
      <x:c r="L65" s="137" t="str"/>
      <x:c r="M65" s="160" t="str"/>
      <x:c r="N65" s="160" t="str"/>
      <x:c r="O65" s="137" t="str"/>
      <x:c r="P65" s="137" t="str"/>
      <x:c r="Q65" s="137" t="str"/>
      <x:c r="R65" s="137" t="str"/>
      <x:c r="S65" s="138" t="str"/>
      <x:c r="T65" s="137" t="str"/>
      <x:c r="U65" s="137" t="str"/>
      <x:c r="V65" s="137" t="str"/>
      <x:c r="W65" s="137" t="str"/>
      <x:c r="X65" s="137" t="str"/>
      <x:c r="Y65" s="199" t="str"/>
    </x:row>
    <x:row r="66">
      <x:c r="A66" s="137" t="str"/>
      <x:c r="B66" s="137" t="str"/>
      <x:c r="C66" s="138" t="str"/>
      <x:c r="D66" s="137" t="str"/>
      <x:c r="E66" s="137" t="str"/>
      <x:c r="F66" s="137" t="str"/>
      <x:c r="G66" s="137" t="str"/>
      <x:c r="H66" s="137" t="str"/>
      <x:c r="I66" s="137" t="str"/>
      <x:c r="J66" s="137" t="str"/>
      <x:c r="K66" s="137" t="str"/>
      <x:c r="L66" s="137" t="str"/>
      <x:c r="M66" s="160" t="str"/>
      <x:c r="N66" s="160" t="str"/>
      <x:c r="O66" s="137" t="str"/>
      <x:c r="P66" s="137" t="str"/>
      <x:c r="Q66" s="137" t="str"/>
      <x:c r="R66" s="137" t="str"/>
      <x:c r="S66" s="138" t="str"/>
      <x:c r="T66" s="137" t="str"/>
      <x:c r="U66" s="137" t="str"/>
      <x:c r="V66" s="137" t="str"/>
      <x:c r="W66" s="137" t="str"/>
      <x:c r="X66" s="137" t="str"/>
      <x:c r="Y66" s="199" t="str"/>
    </x:row>
    <x:row r="67">
      <x:c r="A67" s="137" t="str"/>
      <x:c r="B67" s="137" t="str"/>
      <x:c r="C67" s="138" t="str"/>
      <x:c r="D67" s="137" t="str"/>
      <x:c r="E67" s="137" t="str"/>
      <x:c r="F67" s="137" t="str"/>
      <x:c r="G67" s="137" t="str"/>
      <x:c r="H67" s="137" t="str"/>
      <x:c r="I67" s="137" t="str"/>
      <x:c r="J67" s="137" t="str"/>
      <x:c r="K67" s="137" t="str"/>
      <x:c r="L67" s="137" t="str"/>
      <x:c r="M67" s="160" t="str"/>
      <x:c r="N67" s="160" t="str"/>
      <x:c r="O67" s="137" t="str"/>
      <x:c r="P67" s="137" t="str"/>
      <x:c r="Q67" s="137" t="str"/>
      <x:c r="R67" s="137" t="str"/>
      <x:c r="S67" s="138" t="str"/>
      <x:c r="T67" s="137" t="str"/>
      <x:c r="U67" s="137" t="str"/>
      <x:c r="V67" s="137" t="str"/>
      <x:c r="W67" s="137" t="str"/>
      <x:c r="X67" s="137" t="str"/>
      <x:c r="Y67" s="199" t="str"/>
    </x:row>
    <x:row r="68">
      <x:c r="A68" s="137" t="str"/>
      <x:c r="B68" s="137" t="str"/>
      <x:c r="C68" s="138" t="str"/>
      <x:c r="D68" s="137" t="str"/>
      <x:c r="E68" s="137" t="str"/>
      <x:c r="F68" s="137" t="str"/>
      <x:c r="G68" s="137" t="str"/>
      <x:c r="H68" s="137" t="str"/>
      <x:c r="I68" s="137" t="str"/>
      <x:c r="J68" s="137" t="str"/>
      <x:c r="K68" s="137" t="str"/>
      <x:c r="L68" s="137" t="str"/>
      <x:c r="M68" s="160" t="str"/>
      <x:c r="N68" s="160" t="str"/>
      <x:c r="O68" s="137" t="str"/>
      <x:c r="P68" s="137" t="str"/>
      <x:c r="Q68" s="137" t="str"/>
      <x:c r="R68" s="137" t="str"/>
      <x:c r="S68" s="138" t="str"/>
      <x:c r="T68" s="137" t="str"/>
      <x:c r="U68" s="137" t="str"/>
      <x:c r="V68" s="137" t="str"/>
      <x:c r="W68" s="137" t="str"/>
      <x:c r="X68" s="137" t="str"/>
      <x:c r="Y68" s="199" t="str"/>
    </x:row>
    <x:row r="69">
      <x:c r="A69" s="137" t="str"/>
      <x:c r="B69" s="137" t="str"/>
      <x:c r="C69" s="138" t="str"/>
      <x:c r="D69" s="137" t="str"/>
      <x:c r="E69" s="137" t="str"/>
      <x:c r="F69" s="137" t="str"/>
      <x:c r="G69" s="137" t="str"/>
      <x:c r="H69" s="137" t="str"/>
      <x:c r="I69" s="137" t="str"/>
      <x:c r="J69" s="137" t="str"/>
      <x:c r="K69" s="137" t="str"/>
      <x:c r="L69" s="137" t="str"/>
      <x:c r="M69" s="160" t="str"/>
      <x:c r="N69" s="160" t="str"/>
      <x:c r="O69" s="137" t="str"/>
      <x:c r="P69" s="137" t="str"/>
      <x:c r="Q69" s="137" t="str"/>
      <x:c r="R69" s="137" t="str"/>
      <x:c r="S69" s="138" t="str"/>
      <x:c r="T69" s="137" t="str"/>
      <x:c r="U69" s="137" t="str"/>
      <x:c r="V69" s="137" t="str"/>
      <x:c r="W69" s="137" t="str"/>
      <x:c r="X69" s="137" t="str"/>
      <x:c r="Y69" s="199" t="str"/>
    </x:row>
    <x:row r="70">
      <x:c r="A70" s="137" t="str"/>
      <x:c r="B70" s="137" t="str"/>
      <x:c r="C70" s="138" t="str"/>
      <x:c r="D70" s="137" t="str"/>
      <x:c r="E70" s="137" t="str"/>
      <x:c r="F70" s="137" t="str"/>
      <x:c r="G70" s="137" t="str"/>
      <x:c r="H70" s="137" t="str"/>
      <x:c r="I70" s="137" t="str"/>
      <x:c r="J70" s="137" t="str"/>
      <x:c r="K70" s="137" t="str"/>
      <x:c r="L70" s="137" t="str"/>
      <x:c r="M70" s="160" t="str"/>
      <x:c r="N70" s="160" t="str"/>
      <x:c r="O70" s="137" t="str"/>
      <x:c r="P70" s="137" t="str"/>
      <x:c r="Q70" s="137" t="str"/>
      <x:c r="R70" s="137" t="str"/>
      <x:c r="S70" s="138" t="str"/>
      <x:c r="T70" s="137" t="str"/>
      <x:c r="U70" s="137" t="str"/>
      <x:c r="V70" s="137" t="str"/>
      <x:c r="W70" s="137" t="str"/>
      <x:c r="X70" s="137" t="str"/>
      <x:c r="Y70" s="199" t="str"/>
    </x:row>
    <x:row r="71">
      <x:c r="A71" s="137" t="str"/>
      <x:c r="B71" s="137" t="str"/>
      <x:c r="C71" s="138" t="str"/>
      <x:c r="D71" s="137" t="str"/>
      <x:c r="E71" s="137" t="str"/>
      <x:c r="F71" s="137" t="str"/>
      <x:c r="G71" s="137" t="str"/>
      <x:c r="H71" s="137" t="str"/>
      <x:c r="I71" s="137" t="str"/>
      <x:c r="J71" s="137" t="str"/>
      <x:c r="K71" s="137" t="str"/>
      <x:c r="L71" s="137" t="str"/>
      <x:c r="M71" s="160" t="str"/>
      <x:c r="N71" s="160" t="str"/>
      <x:c r="O71" s="137" t="str"/>
      <x:c r="P71" s="137" t="str"/>
      <x:c r="Q71" s="137" t="str"/>
      <x:c r="R71" s="137" t="str"/>
      <x:c r="S71" s="138" t="str"/>
      <x:c r="T71" s="137" t="str"/>
      <x:c r="U71" s="137" t="str"/>
      <x:c r="V71" s="137" t="str"/>
      <x:c r="W71" s="137" t="str"/>
      <x:c r="X71" s="137" t="str"/>
      <x:c r="Y71" s="199" t="str"/>
    </x:row>
    <x:row r="72">
      <x:c r="A72" s="137" t="str"/>
      <x:c r="B72" s="137" t="str"/>
      <x:c r="C72" s="138" t="str"/>
      <x:c r="D72" s="137" t="str"/>
      <x:c r="E72" s="137" t="str"/>
      <x:c r="F72" s="137" t="str"/>
      <x:c r="G72" s="137" t="str"/>
      <x:c r="H72" s="137" t="str"/>
      <x:c r="I72" s="137" t="str"/>
      <x:c r="J72" s="137" t="str"/>
      <x:c r="K72" s="137" t="str"/>
      <x:c r="L72" s="137" t="str"/>
      <x:c r="M72" s="160" t="str"/>
      <x:c r="N72" s="160" t="str"/>
      <x:c r="O72" s="137" t="str"/>
      <x:c r="P72" s="137" t="str"/>
      <x:c r="Q72" s="137" t="str"/>
      <x:c r="R72" s="137" t="str"/>
      <x:c r="S72" s="138" t="str"/>
      <x:c r="T72" s="137" t="str"/>
      <x:c r="U72" s="137" t="str"/>
      <x:c r="V72" s="137" t="str"/>
      <x:c r="W72" s="137" t="str"/>
      <x:c r="X72" s="137" t="str"/>
      <x:c r="Y72" s="199" t="str"/>
    </x:row>
    <x:row r="73">
      <x:c r="A73" s="137" t="str"/>
      <x:c r="B73" s="137" t="str"/>
      <x:c r="C73" s="138" t="str"/>
      <x:c r="D73" s="137" t="str"/>
      <x:c r="E73" s="137" t="str"/>
      <x:c r="F73" s="137" t="str"/>
      <x:c r="G73" s="137" t="str"/>
      <x:c r="H73" s="137" t="str"/>
      <x:c r="I73" s="137" t="str"/>
      <x:c r="J73" s="137" t="str"/>
      <x:c r="K73" s="137" t="str"/>
      <x:c r="L73" s="137" t="str"/>
      <x:c r="M73" s="160" t="str"/>
      <x:c r="N73" s="160" t="str"/>
      <x:c r="O73" s="137" t="str"/>
      <x:c r="P73" s="137" t="str"/>
      <x:c r="Q73" s="137" t="str"/>
      <x:c r="R73" s="137" t="str"/>
      <x:c r="S73" s="138" t="str"/>
      <x:c r="T73" s="137" t="str"/>
      <x:c r="U73" s="137" t="str"/>
      <x:c r="V73" s="137" t="str"/>
      <x:c r="W73" s="137" t="str"/>
      <x:c r="X73" s="137" t="str"/>
      <x:c r="Y73" s="199" t="str"/>
    </x:row>
    <x:row r="74">
      <x:c r="A74" s="137" t="str"/>
      <x:c r="B74" s="137" t="str"/>
      <x:c r="C74" s="138" t="str"/>
      <x:c r="D74" s="137" t="str"/>
      <x:c r="E74" s="137" t="str"/>
      <x:c r="F74" s="137" t="str"/>
      <x:c r="G74" s="137" t="str"/>
      <x:c r="H74" s="137" t="str"/>
      <x:c r="I74" s="137" t="str"/>
      <x:c r="J74" s="137" t="str"/>
      <x:c r="K74" s="137" t="str"/>
      <x:c r="L74" s="137" t="str"/>
      <x:c r="M74" s="160" t="str"/>
      <x:c r="N74" s="160" t="str"/>
      <x:c r="O74" s="137" t="str"/>
      <x:c r="P74" s="137" t="str"/>
      <x:c r="Q74" s="137" t="str"/>
      <x:c r="R74" s="137" t="str"/>
      <x:c r="S74" s="138" t="str"/>
      <x:c r="T74" s="137" t="str"/>
      <x:c r="U74" s="137" t="str"/>
      <x:c r="V74" s="137" t="str"/>
      <x:c r="W74" s="137" t="str"/>
      <x:c r="X74" s="137" t="str"/>
      <x:c r="Y74" s="199" t="str"/>
    </x:row>
    <x:row r="75">
      <x:c r="A75" s="137" t="str"/>
      <x:c r="B75" s="137" t="str"/>
      <x:c r="C75" s="138" t="str"/>
      <x:c r="D75" s="137" t="str"/>
      <x:c r="E75" s="137" t="str"/>
      <x:c r="F75" s="137" t="str"/>
      <x:c r="G75" s="137" t="str"/>
      <x:c r="H75" s="137" t="str"/>
      <x:c r="I75" s="137" t="str"/>
      <x:c r="J75" s="137" t="str"/>
      <x:c r="K75" s="137" t="str"/>
      <x:c r="L75" s="137" t="str"/>
      <x:c r="M75" s="160" t="str"/>
      <x:c r="N75" s="160" t="str"/>
      <x:c r="O75" s="137" t="str"/>
      <x:c r="P75" s="137" t="str"/>
      <x:c r="Q75" s="137" t="str"/>
      <x:c r="R75" s="137" t="str"/>
      <x:c r="S75" s="138" t="str"/>
      <x:c r="T75" s="137" t="str"/>
      <x:c r="U75" s="137" t="str"/>
      <x:c r="V75" s="137" t="str"/>
      <x:c r="W75" s="137" t="str"/>
      <x:c r="X75" s="137" t="str"/>
      <x:c r="Y75" s="199" t="str"/>
    </x:row>
    <x:row r="76">
      <x:c r="A76" s="137" t="str"/>
      <x:c r="B76" s="137" t="str"/>
      <x:c r="C76" s="138" t="str"/>
      <x:c r="D76" s="137" t="str"/>
      <x:c r="E76" s="137" t="str"/>
      <x:c r="F76" s="137" t="str"/>
      <x:c r="G76" s="137" t="str"/>
      <x:c r="H76" s="137" t="str"/>
      <x:c r="I76" s="137" t="str"/>
      <x:c r="J76" s="137" t="str"/>
      <x:c r="K76" s="137" t="str"/>
      <x:c r="L76" s="137" t="str"/>
      <x:c r="M76" s="160" t="str"/>
      <x:c r="N76" s="160" t="str"/>
      <x:c r="O76" s="137" t="str"/>
      <x:c r="P76" s="137" t="str"/>
      <x:c r="Q76" s="137" t="str"/>
      <x:c r="R76" s="137" t="str"/>
      <x:c r="S76" s="138" t="str"/>
      <x:c r="T76" s="137" t="str"/>
      <x:c r="U76" s="137" t="str"/>
      <x:c r="V76" s="137" t="str"/>
      <x:c r="W76" s="137" t="str"/>
      <x:c r="X76" s="137" t="str"/>
      <x:c r="Y76" s="199" t="str"/>
    </x:row>
    <x:row r="77">
      <x:c r="A77" s="137" t="str"/>
      <x:c r="B77" s="137" t="str"/>
      <x:c r="C77" s="138" t="str"/>
      <x:c r="D77" s="137" t="str"/>
      <x:c r="E77" s="137" t="str"/>
      <x:c r="F77" s="137" t="str"/>
      <x:c r="G77" s="137" t="str"/>
      <x:c r="H77" s="137" t="str"/>
      <x:c r="I77" s="137" t="str"/>
      <x:c r="J77" s="137" t="str"/>
      <x:c r="K77" s="137" t="str"/>
      <x:c r="L77" s="137" t="str"/>
      <x:c r="M77" s="160" t="str"/>
      <x:c r="N77" s="160" t="str"/>
      <x:c r="O77" s="137" t="str"/>
      <x:c r="P77" s="137" t="str"/>
      <x:c r="Q77" s="137" t="str"/>
      <x:c r="R77" s="137" t="str"/>
      <x:c r="S77" s="138" t="str"/>
      <x:c r="T77" s="137" t="str"/>
      <x:c r="U77" s="137" t="str"/>
      <x:c r="V77" s="137" t="str"/>
      <x:c r="W77" s="137" t="str"/>
      <x:c r="X77" s="137" t="str"/>
      <x:c r="Y77" s="199" t="str"/>
    </x:row>
    <x:row r="78">
      <x:c r="A78" s="137" t="str"/>
      <x:c r="B78" s="137" t="str"/>
      <x:c r="C78" s="138" t="str"/>
      <x:c r="D78" s="137" t="str"/>
      <x:c r="E78" s="137" t="str"/>
      <x:c r="F78" s="137" t="str"/>
      <x:c r="G78" s="137" t="str"/>
      <x:c r="H78" s="137" t="str"/>
      <x:c r="I78" s="137" t="str"/>
      <x:c r="J78" s="137" t="str"/>
      <x:c r="K78" s="137" t="str"/>
      <x:c r="L78" s="137" t="str"/>
      <x:c r="M78" s="160" t="str"/>
      <x:c r="N78" s="160" t="str"/>
      <x:c r="O78" s="137" t="str"/>
      <x:c r="P78" s="137" t="str"/>
      <x:c r="Q78" s="137" t="str"/>
      <x:c r="R78" s="137" t="str"/>
      <x:c r="S78" s="138" t="str"/>
      <x:c r="T78" s="137" t="str"/>
      <x:c r="U78" s="137" t="str"/>
      <x:c r="V78" s="137" t="str"/>
      <x:c r="W78" s="137" t="str"/>
      <x:c r="X78" s="137" t="str"/>
      <x:c r="Y78" s="199" t="str"/>
    </x:row>
    <x:row r="79">
      <x:c r="A79" s="137" t="str"/>
      <x:c r="B79" s="137" t="str"/>
      <x:c r="C79" s="138" t="str"/>
      <x:c r="D79" s="137" t="str"/>
      <x:c r="E79" s="137" t="str"/>
      <x:c r="F79" s="137" t="str"/>
      <x:c r="G79" s="137" t="str"/>
      <x:c r="H79" s="137" t="str"/>
      <x:c r="I79" s="137" t="str"/>
      <x:c r="J79" s="137" t="str"/>
      <x:c r="K79" s="137" t="str"/>
      <x:c r="L79" s="137" t="str"/>
      <x:c r="M79" s="160" t="str"/>
      <x:c r="N79" s="160" t="str"/>
      <x:c r="O79" s="137" t="str"/>
      <x:c r="P79" s="137" t="str"/>
      <x:c r="Q79" s="137" t="str"/>
      <x:c r="R79" s="137" t="str"/>
      <x:c r="S79" s="138" t="str"/>
      <x:c r="T79" s="137" t="str"/>
      <x:c r="U79" s="137" t="str"/>
      <x:c r="V79" s="137" t="str"/>
      <x:c r="W79" s="137" t="str"/>
      <x:c r="X79" s="137" t="str"/>
      <x:c r="Y79" s="199" t="str"/>
    </x:row>
    <x:row r="80">
      <x:c r="A80" s="137" t="str"/>
      <x:c r="B80" s="137" t="str"/>
      <x:c r="C80" s="138" t="str"/>
      <x:c r="D80" s="137" t="str"/>
      <x:c r="E80" s="137" t="str"/>
      <x:c r="F80" s="137" t="str"/>
      <x:c r="G80" s="137" t="str"/>
      <x:c r="H80" s="137" t="str"/>
      <x:c r="I80" s="137" t="str"/>
      <x:c r="J80" s="137" t="str"/>
      <x:c r="K80" s="137" t="str"/>
      <x:c r="L80" s="137" t="str"/>
      <x:c r="M80" s="160" t="str"/>
      <x:c r="N80" s="160" t="str"/>
      <x:c r="O80" s="137" t="str"/>
      <x:c r="P80" s="137" t="str"/>
      <x:c r="Q80" s="137" t="str"/>
      <x:c r="R80" s="137" t="str"/>
      <x:c r="S80" s="138" t="str"/>
      <x:c r="T80" s="137" t="str"/>
      <x:c r="U80" s="137" t="str"/>
      <x:c r="V80" s="137" t="str"/>
      <x:c r="W80" s="137" t="str"/>
      <x:c r="X80" s="137" t="str"/>
      <x:c r="Y80" s="199" t="str"/>
    </x:row>
    <x:row r="81">
      <x:c r="A81" s="137" t="str"/>
      <x:c r="B81" s="137" t="str"/>
      <x:c r="C81" s="138" t="str"/>
      <x:c r="D81" s="137" t="str"/>
      <x:c r="E81" s="137" t="str"/>
      <x:c r="F81" s="137" t="str"/>
      <x:c r="G81" s="137" t="str"/>
      <x:c r="H81" s="137" t="str"/>
      <x:c r="I81" s="137" t="str"/>
      <x:c r="J81" s="137" t="str"/>
      <x:c r="K81" s="137" t="str"/>
      <x:c r="L81" s="137" t="str"/>
      <x:c r="M81" s="160" t="str"/>
      <x:c r="N81" s="160" t="str"/>
      <x:c r="O81" s="137" t="str"/>
      <x:c r="P81" s="137" t="str"/>
      <x:c r="Q81" s="137" t="str"/>
      <x:c r="R81" s="137" t="str"/>
      <x:c r="S81" s="138" t="str"/>
      <x:c r="T81" s="137" t="str"/>
      <x:c r="U81" s="137" t="str"/>
      <x:c r="V81" s="137" t="str"/>
      <x:c r="W81" s="137" t="str"/>
      <x:c r="X81" s="137" t="str"/>
      <x:c r="Y81" s="199" t="str"/>
    </x:row>
    <x:row r="82">
      <x:c r="A82" s="137" t="str"/>
      <x:c r="B82" s="137" t="str"/>
      <x:c r="C82" s="138" t="str"/>
      <x:c r="D82" s="137" t="str"/>
      <x:c r="E82" s="137" t="str"/>
      <x:c r="F82" s="137" t="str"/>
      <x:c r="G82" s="137" t="str"/>
      <x:c r="H82" s="137" t="str"/>
      <x:c r="I82" s="137" t="str"/>
      <x:c r="J82" s="137" t="str"/>
      <x:c r="K82" s="137" t="str"/>
      <x:c r="L82" s="137" t="str"/>
      <x:c r="M82" s="160" t="str"/>
      <x:c r="N82" s="160" t="str"/>
      <x:c r="O82" s="137" t="str"/>
      <x:c r="P82" s="137" t="str"/>
      <x:c r="Q82" s="137" t="str"/>
      <x:c r="R82" s="137" t="str"/>
      <x:c r="S82" s="138" t="str"/>
      <x:c r="T82" s="137" t="str"/>
      <x:c r="U82" s="137" t="str"/>
      <x:c r="V82" s="137" t="str"/>
      <x:c r="W82" s="137" t="str"/>
      <x:c r="X82" s="137" t="str"/>
      <x:c r="Y82" s="199" t="str"/>
    </x:row>
    <x:row r="83">
      <x:c r="A83" s="137" t="str"/>
      <x:c r="B83" s="137" t="str"/>
      <x:c r="C83" s="138" t="str"/>
      <x:c r="D83" s="137" t="str"/>
      <x:c r="E83" s="137" t="str"/>
      <x:c r="F83" s="137" t="str"/>
      <x:c r="G83" s="137" t="str"/>
      <x:c r="H83" s="137" t="str"/>
      <x:c r="I83" s="137" t="str"/>
      <x:c r="J83" s="137" t="str"/>
      <x:c r="K83" s="137" t="str"/>
      <x:c r="L83" s="137" t="str"/>
      <x:c r="M83" s="160" t="str"/>
      <x:c r="N83" s="160" t="str"/>
      <x:c r="O83" s="137" t="str"/>
      <x:c r="P83" s="137" t="str"/>
      <x:c r="Q83" s="137" t="str"/>
      <x:c r="R83" s="137" t="str"/>
      <x:c r="S83" s="138" t="str"/>
      <x:c r="T83" s="137" t="str"/>
      <x:c r="U83" s="137" t="str"/>
      <x:c r="V83" s="137" t="str"/>
      <x:c r="W83" s="137" t="str"/>
      <x:c r="X83" s="137" t="str"/>
      <x:c r="Y83" s="199" t="str"/>
    </x:row>
    <x:row r="84">
      <x:c r="A84" s="137" t="str"/>
      <x:c r="B84" s="137" t="str"/>
      <x:c r="C84" s="138" t="str"/>
      <x:c r="D84" s="137" t="str"/>
      <x:c r="E84" s="137" t="str"/>
      <x:c r="F84" s="137" t="str"/>
      <x:c r="G84" s="137" t="str"/>
      <x:c r="H84" s="137" t="str"/>
      <x:c r="I84" s="137" t="str"/>
      <x:c r="J84" s="137" t="str"/>
      <x:c r="K84" s="137" t="str"/>
      <x:c r="L84" s="137" t="str"/>
      <x:c r="M84" s="160" t="str"/>
      <x:c r="N84" s="160" t="str"/>
      <x:c r="O84" s="137" t="str"/>
      <x:c r="P84" s="137" t="str"/>
      <x:c r="Q84" s="137" t="str"/>
      <x:c r="R84" s="137" t="str"/>
      <x:c r="S84" s="138" t="str"/>
      <x:c r="T84" s="137" t="str"/>
      <x:c r="U84" s="137" t="str"/>
      <x:c r="V84" s="137" t="str"/>
      <x:c r="W84" s="137" t="str"/>
      <x:c r="X84" s="137" t="str"/>
      <x:c r="Y84" s="199" t="str"/>
    </x:row>
    <x:row r="85">
      <x:c r="A85" s="137" t="str"/>
      <x:c r="B85" s="137" t="str"/>
      <x:c r="C85" s="138" t="str"/>
      <x:c r="D85" s="137" t="str"/>
      <x:c r="E85" s="137" t="str"/>
      <x:c r="F85" s="137" t="str"/>
      <x:c r="G85" s="137" t="str"/>
      <x:c r="H85" s="137" t="str"/>
      <x:c r="I85" s="137" t="str"/>
      <x:c r="J85" s="137" t="str"/>
      <x:c r="K85" s="137" t="str"/>
      <x:c r="L85" s="137" t="str"/>
      <x:c r="M85" s="160" t="str"/>
      <x:c r="N85" s="160" t="str"/>
      <x:c r="O85" s="137" t="str"/>
      <x:c r="P85" s="137" t="str"/>
      <x:c r="Q85" s="137" t="str"/>
      <x:c r="R85" s="137" t="str"/>
      <x:c r="S85" s="138" t="str"/>
      <x:c r="T85" s="137" t="str"/>
      <x:c r="U85" s="137" t="str"/>
      <x:c r="V85" s="137" t="str"/>
      <x:c r="W85" s="137" t="str"/>
      <x:c r="X85" s="137" t="str"/>
      <x:c r="Y85" s="199" t="str"/>
    </x:row>
    <x:row r="86">
      <x:c r="A86" s="137" t="str"/>
      <x:c r="B86" s="137" t="str"/>
      <x:c r="C86" s="138" t="str"/>
      <x:c r="D86" s="137" t="str"/>
      <x:c r="E86" s="137" t="str"/>
      <x:c r="F86" s="137" t="str"/>
      <x:c r="G86" s="137" t="str"/>
      <x:c r="H86" s="137" t="str"/>
      <x:c r="I86" s="137" t="str"/>
      <x:c r="J86" s="137" t="str"/>
      <x:c r="K86" s="137" t="str"/>
      <x:c r="L86" s="137" t="str"/>
      <x:c r="M86" s="160" t="str"/>
      <x:c r="N86" s="160" t="str"/>
      <x:c r="O86" s="137" t="str"/>
      <x:c r="P86" s="137" t="str"/>
      <x:c r="Q86" s="137" t="str"/>
      <x:c r="R86" s="137" t="str"/>
      <x:c r="S86" s="138" t="str"/>
      <x:c r="T86" s="137" t="str"/>
      <x:c r="U86" s="137" t="str"/>
      <x:c r="V86" s="137" t="str"/>
      <x:c r="W86" s="137" t="str"/>
      <x:c r="X86" s="137" t="str"/>
      <x:c r="Y86" s="199" t="str"/>
    </x:row>
    <x:row r="87">
      <x:c r="A87" s="137" t="str"/>
      <x:c r="B87" s="137" t="str"/>
      <x:c r="C87" s="138" t="str"/>
      <x:c r="D87" s="137" t="str"/>
      <x:c r="E87" s="137" t="str"/>
      <x:c r="F87" s="137" t="str"/>
      <x:c r="G87" s="137" t="str"/>
      <x:c r="H87" s="137" t="str"/>
      <x:c r="I87" s="137" t="str"/>
      <x:c r="J87" s="137" t="str"/>
      <x:c r="K87" s="137" t="str"/>
      <x:c r="L87" s="137" t="str"/>
      <x:c r="M87" s="160" t="str"/>
      <x:c r="N87" s="160" t="str"/>
      <x:c r="O87" s="137" t="str"/>
      <x:c r="P87" s="137" t="str"/>
      <x:c r="Q87" s="137" t="str"/>
      <x:c r="R87" s="137" t="str"/>
      <x:c r="S87" s="138" t="str"/>
      <x:c r="T87" s="137" t="str"/>
      <x:c r="U87" s="137" t="str"/>
      <x:c r="V87" s="137" t="str"/>
      <x:c r="W87" s="137" t="str"/>
      <x:c r="X87" s="137" t="str"/>
      <x:c r="Y87" s="199" t="str"/>
    </x:row>
    <x:row r="88">
      <x:c r="A88" s="137" t="str"/>
      <x:c r="B88" s="137" t="str"/>
      <x:c r="C88" s="138" t="str"/>
      <x:c r="D88" s="137" t="str"/>
      <x:c r="E88" s="137" t="str"/>
      <x:c r="F88" s="137" t="str"/>
      <x:c r="G88" s="137" t="str"/>
      <x:c r="H88" s="137" t="str"/>
      <x:c r="I88" s="137" t="str"/>
      <x:c r="J88" s="137" t="str"/>
      <x:c r="K88" s="137" t="str"/>
      <x:c r="L88" s="137" t="str"/>
      <x:c r="M88" s="160" t="str"/>
      <x:c r="N88" s="160" t="str"/>
      <x:c r="O88" s="137" t="str"/>
      <x:c r="P88" s="137" t="str"/>
      <x:c r="Q88" s="137" t="str"/>
      <x:c r="R88" s="137" t="str"/>
      <x:c r="S88" s="138" t="str"/>
      <x:c r="T88" s="137" t="str"/>
      <x:c r="U88" s="137" t="str"/>
      <x:c r="V88" s="137" t="str"/>
      <x:c r="W88" s="137" t="str"/>
      <x:c r="X88" s="137" t="str"/>
      <x:c r="Y88" s="199" t="str"/>
    </x:row>
    <x:row r="89">
      <x:c r="A89" s="137" t="str"/>
      <x:c r="B89" s="137" t="str"/>
      <x:c r="C89" s="138" t="str"/>
      <x:c r="D89" s="137" t="str"/>
      <x:c r="E89" s="137" t="str"/>
      <x:c r="F89" s="137" t="str"/>
      <x:c r="G89" s="137" t="str"/>
      <x:c r="H89" s="137" t="str"/>
      <x:c r="I89" s="137" t="str"/>
      <x:c r="J89" s="137" t="str"/>
      <x:c r="K89" s="137" t="str"/>
      <x:c r="L89" s="137" t="str"/>
      <x:c r="M89" s="160" t="str"/>
      <x:c r="N89" s="160" t="str"/>
      <x:c r="O89" s="137" t="str"/>
      <x:c r="P89" s="137" t="str"/>
      <x:c r="Q89" s="137" t="str"/>
      <x:c r="R89" s="137" t="str"/>
      <x:c r="S89" s="138" t="str"/>
      <x:c r="T89" s="137" t="str"/>
      <x:c r="U89" s="137" t="str"/>
      <x:c r="V89" s="137" t="str"/>
      <x:c r="W89" s="137" t="str"/>
      <x:c r="X89" s="137" t="str"/>
      <x:c r="Y89" s="199" t="str"/>
    </x:row>
    <x:row r="90">
      <x:c r="A90" s="137" t="str"/>
      <x:c r="B90" s="137" t="str"/>
      <x:c r="C90" s="138" t="str"/>
      <x:c r="D90" s="137" t="str"/>
      <x:c r="E90" s="137" t="str"/>
      <x:c r="F90" s="137" t="str"/>
      <x:c r="G90" s="137" t="str"/>
      <x:c r="H90" s="137" t="str"/>
      <x:c r="I90" s="137" t="str"/>
      <x:c r="J90" s="137" t="str"/>
      <x:c r="K90" s="137" t="str"/>
      <x:c r="L90" s="137" t="str"/>
      <x:c r="M90" s="160" t="str"/>
      <x:c r="N90" s="160" t="str"/>
      <x:c r="O90" s="137" t="str"/>
      <x:c r="P90" s="137" t="str"/>
      <x:c r="Q90" s="137" t="str"/>
      <x:c r="R90" s="137" t="str"/>
      <x:c r="S90" s="138" t="str"/>
      <x:c r="T90" s="137" t="str"/>
      <x:c r="U90" s="137" t="str"/>
      <x:c r="V90" s="137" t="str"/>
      <x:c r="W90" s="137" t="str"/>
      <x:c r="X90" s="137" t="str"/>
      <x:c r="Y90" s="199" t="str"/>
    </x:row>
    <x:row r="91">
      <x:c r="A91" s="137" t="str"/>
      <x:c r="B91" s="137" t="str"/>
      <x:c r="C91" s="138" t="str"/>
      <x:c r="D91" s="137" t="str"/>
      <x:c r="E91" s="137" t="str"/>
      <x:c r="F91" s="137" t="str"/>
      <x:c r="G91" s="137" t="str"/>
      <x:c r="H91" s="137" t="str"/>
      <x:c r="I91" s="137" t="str"/>
      <x:c r="J91" s="137" t="str"/>
      <x:c r="K91" s="137" t="str"/>
      <x:c r="L91" s="137" t="str"/>
      <x:c r="M91" s="160" t="str"/>
      <x:c r="N91" s="160" t="str"/>
      <x:c r="O91" s="137" t="str"/>
      <x:c r="P91" s="137" t="str"/>
      <x:c r="Q91" s="137" t="str"/>
      <x:c r="R91" s="137" t="str"/>
      <x:c r="S91" s="138" t="str"/>
      <x:c r="T91" s="137" t="str"/>
      <x:c r="U91" s="137" t="str"/>
      <x:c r="V91" s="137" t="str"/>
      <x:c r="W91" s="137" t="str"/>
      <x:c r="X91" s="137" t="str"/>
      <x:c r="Y91" s="199" t="str"/>
    </x:row>
    <x:row r="92">
      <x:c r="A92" s="137" t="str"/>
      <x:c r="B92" s="137" t="str"/>
      <x:c r="C92" s="138" t="str"/>
      <x:c r="D92" s="137" t="str"/>
      <x:c r="E92" s="137" t="str"/>
      <x:c r="F92" s="137" t="str"/>
      <x:c r="G92" s="137" t="str"/>
      <x:c r="H92" s="137" t="str"/>
      <x:c r="I92" s="137" t="str"/>
      <x:c r="J92" s="137" t="str"/>
      <x:c r="K92" s="137" t="str"/>
      <x:c r="L92" s="137" t="str"/>
      <x:c r="M92" s="160" t="str"/>
      <x:c r="N92" s="160" t="str"/>
      <x:c r="O92" s="137" t="str"/>
      <x:c r="P92" s="137" t="str"/>
      <x:c r="Q92" s="137" t="str"/>
      <x:c r="R92" s="137" t="str"/>
      <x:c r="S92" s="138" t="str"/>
      <x:c r="T92" s="137" t="str"/>
      <x:c r="U92" s="137" t="str"/>
      <x:c r="V92" s="137" t="str"/>
      <x:c r="W92" s="137" t="str"/>
      <x:c r="X92" s="137" t="str"/>
      <x:c r="Y92" s="199" t="str"/>
    </x:row>
    <x:row r="93">
      <x:c r="A93" s="137" t="str"/>
      <x:c r="B93" s="137" t="str"/>
      <x:c r="C93" s="138" t="str"/>
      <x:c r="D93" s="137" t="str"/>
      <x:c r="E93" s="137" t="str"/>
      <x:c r="F93" s="137" t="str"/>
      <x:c r="G93" s="137" t="str"/>
      <x:c r="H93" s="137" t="str"/>
      <x:c r="I93" s="137" t="str"/>
      <x:c r="J93" s="137" t="str"/>
      <x:c r="K93" s="137" t="str"/>
      <x:c r="L93" s="137" t="str"/>
      <x:c r="M93" s="160" t="str"/>
      <x:c r="N93" s="160" t="str"/>
      <x:c r="O93" s="137" t="str"/>
      <x:c r="P93" s="137" t="str"/>
      <x:c r="Q93" s="137" t="str"/>
      <x:c r="R93" s="137" t="str"/>
      <x:c r="S93" s="138" t="str"/>
      <x:c r="T93" s="137" t="str"/>
      <x:c r="U93" s="137" t="str"/>
      <x:c r="V93" s="137" t="str"/>
      <x:c r="W93" s="137" t="str"/>
      <x:c r="X93" s="137" t="str"/>
      <x:c r="Y93" s="199" t="str"/>
    </x:row>
    <x:row r="94">
      <x:c r="A94" s="137" t="str"/>
      <x:c r="B94" s="137" t="str"/>
      <x:c r="C94" s="138" t="str"/>
      <x:c r="D94" s="137" t="str"/>
      <x:c r="E94" s="137" t="str"/>
      <x:c r="F94" s="137" t="str"/>
      <x:c r="G94" s="137" t="str"/>
      <x:c r="H94" s="137" t="str"/>
      <x:c r="I94" s="137" t="str"/>
      <x:c r="J94" s="137" t="str"/>
      <x:c r="K94" s="137" t="str"/>
      <x:c r="L94" s="137" t="str"/>
      <x:c r="M94" s="160" t="str"/>
      <x:c r="N94" s="160" t="str"/>
      <x:c r="O94" s="137" t="str"/>
      <x:c r="P94" s="137" t="str"/>
      <x:c r="Q94" s="137" t="str"/>
      <x:c r="R94" s="137" t="str"/>
      <x:c r="S94" s="138" t="str"/>
      <x:c r="T94" s="137" t="str"/>
      <x:c r="U94" s="137" t="str"/>
      <x:c r="V94" s="137" t="str"/>
      <x:c r="W94" s="137" t="str"/>
      <x:c r="X94" s="137" t="str"/>
      <x:c r="Y94" s="199" t="str"/>
    </x:row>
    <x:row r="95">
      <x:c r="A95" s="137" t="str"/>
      <x:c r="B95" s="137" t="str"/>
      <x:c r="C95" s="138" t="str"/>
      <x:c r="D95" s="137" t="str"/>
      <x:c r="E95" s="137" t="str"/>
      <x:c r="F95" s="137" t="str"/>
      <x:c r="G95" s="137" t="str"/>
      <x:c r="H95" s="137" t="str"/>
      <x:c r="I95" s="137" t="str"/>
      <x:c r="J95" s="137" t="str"/>
      <x:c r="K95" s="137" t="str"/>
      <x:c r="L95" s="137" t="str"/>
      <x:c r="M95" s="160" t="str"/>
      <x:c r="N95" s="160" t="str"/>
      <x:c r="O95" s="137" t="str"/>
      <x:c r="P95" s="137" t="str"/>
      <x:c r="Q95" s="137" t="str"/>
      <x:c r="R95" s="137" t="str"/>
      <x:c r="S95" s="138" t="str"/>
      <x:c r="T95" s="137" t="str"/>
      <x:c r="U95" s="137" t="str"/>
      <x:c r="V95" s="137" t="str"/>
      <x:c r="W95" s="137" t="str"/>
      <x:c r="X95" s="137" t="str"/>
      <x:c r="Y95" s="199" t="str"/>
    </x:row>
    <x:row r="96">
      <x:c r="A96" s="137" t="str"/>
      <x:c r="B96" s="137" t="str"/>
      <x:c r="C96" s="138" t="str"/>
      <x:c r="D96" s="137" t="str"/>
      <x:c r="E96" s="137" t="str"/>
      <x:c r="F96" s="137" t="str"/>
      <x:c r="G96" s="137" t="str"/>
      <x:c r="H96" s="137" t="str"/>
      <x:c r="I96" s="137" t="str"/>
      <x:c r="J96" s="137" t="str"/>
      <x:c r="K96" s="137" t="str"/>
      <x:c r="L96" s="137" t="str"/>
      <x:c r="M96" s="160" t="str"/>
      <x:c r="N96" s="160" t="str"/>
      <x:c r="O96" s="137" t="str"/>
      <x:c r="P96" s="137" t="str"/>
      <x:c r="Q96" s="137" t="str"/>
      <x:c r="R96" s="137" t="str"/>
      <x:c r="S96" s="138" t="str"/>
      <x:c r="T96" s="137" t="str"/>
      <x:c r="U96" s="137" t="str"/>
      <x:c r="V96" s="137" t="str"/>
      <x:c r="W96" s="137" t="str"/>
      <x:c r="X96" s="137" t="str"/>
      <x:c r="Y96" s="199" t="str"/>
    </x:row>
    <x:row r="97">
      <x:c r="A97" s="137" t="str"/>
      <x:c r="B97" s="137" t="str"/>
      <x:c r="C97" s="138" t="str"/>
      <x:c r="D97" s="137" t="str"/>
      <x:c r="E97" s="137" t="str"/>
      <x:c r="F97" s="137" t="str"/>
      <x:c r="G97" s="137" t="str"/>
      <x:c r="H97" s="137" t="str"/>
      <x:c r="I97" s="137" t="str"/>
      <x:c r="J97" s="137" t="str"/>
      <x:c r="K97" s="137" t="str"/>
      <x:c r="L97" s="137" t="str"/>
      <x:c r="M97" s="160" t="str"/>
      <x:c r="N97" s="160" t="str"/>
      <x:c r="O97" s="137" t="str"/>
      <x:c r="P97" s="137" t="str"/>
      <x:c r="Q97" s="137" t="str"/>
      <x:c r="R97" s="137" t="str"/>
      <x:c r="S97" s="138" t="str"/>
      <x:c r="T97" s="137" t="str"/>
      <x:c r="U97" s="137" t="str"/>
      <x:c r="V97" s="137" t="str"/>
      <x:c r="W97" s="137" t="str"/>
      <x:c r="X97" s="137" t="str"/>
      <x:c r="Y97" s="199" t="str"/>
    </x:row>
    <x:row r="98">
      <x:c r="A98" s="137" t="str"/>
      <x:c r="B98" s="137" t="str"/>
      <x:c r="C98" s="138" t="str"/>
      <x:c r="D98" s="137" t="str"/>
      <x:c r="E98" s="137" t="str"/>
      <x:c r="F98" s="137" t="str"/>
      <x:c r="G98" s="137" t="str"/>
      <x:c r="H98" s="137" t="str"/>
      <x:c r="I98" s="137" t="str"/>
      <x:c r="J98" s="137" t="str"/>
      <x:c r="K98" s="137" t="str"/>
      <x:c r="L98" s="137" t="str"/>
      <x:c r="M98" s="160" t="str"/>
      <x:c r="N98" s="160" t="str"/>
      <x:c r="O98" s="137" t="str"/>
      <x:c r="P98" s="137" t="str"/>
      <x:c r="Q98" s="137" t="str"/>
      <x:c r="R98" s="137" t="str"/>
      <x:c r="S98" s="138" t="str"/>
      <x:c r="T98" s="137" t="str"/>
      <x:c r="U98" s="137" t="str"/>
      <x:c r="V98" s="137" t="str"/>
      <x:c r="W98" s="137" t="str"/>
      <x:c r="X98" s="137" t="str"/>
      <x:c r="Y98" s="199" t="str"/>
    </x:row>
    <x:row r="99">
      <x:c r="A99" s="137" t="str"/>
      <x:c r="B99" s="137" t="str"/>
      <x:c r="C99" s="138" t="str"/>
      <x:c r="D99" s="137" t="str"/>
      <x:c r="E99" s="137" t="str"/>
      <x:c r="F99" s="137" t="str"/>
      <x:c r="G99" s="137" t="str"/>
      <x:c r="H99" s="137" t="str"/>
      <x:c r="I99" s="137" t="str"/>
      <x:c r="J99" s="137" t="str"/>
      <x:c r="K99" s="137" t="str"/>
      <x:c r="L99" s="137" t="str"/>
      <x:c r="M99" s="160" t="str"/>
      <x:c r="N99" s="160" t="str"/>
      <x:c r="O99" s="137" t="str"/>
      <x:c r="P99" s="137" t="str"/>
      <x:c r="Q99" s="137" t="str"/>
      <x:c r="R99" s="137" t="str"/>
      <x:c r="S99" s="138" t="str"/>
      <x:c r="T99" s="137" t="str"/>
      <x:c r="U99" s="137" t="str"/>
      <x:c r="V99" s="137" t="str"/>
      <x:c r="W99" s="137" t="str"/>
      <x:c r="X99" s="137" t="str"/>
      <x:c r="Y99" s="199" t="str"/>
    </x:row>
    <x:row r="100">
      <x:c r="A100" s="137" t="str"/>
      <x:c r="B100" s="137" t="str"/>
      <x:c r="C100" s="138" t="str"/>
      <x:c r="D100" s="137" t="str"/>
      <x:c r="E100" s="137" t="str"/>
      <x:c r="F100" s="137" t="str"/>
      <x:c r="G100" s="137" t="str"/>
      <x:c r="H100" s="137" t="str"/>
      <x:c r="I100" s="137" t="str"/>
      <x:c r="J100" s="137" t="str"/>
      <x:c r="K100" s="137" t="str"/>
      <x:c r="L100" s="137" t="str"/>
      <x:c r="M100" s="160" t="str"/>
      <x:c r="N100" s="160" t="str"/>
      <x:c r="O100" s="137" t="str"/>
      <x:c r="P100" s="137" t="str"/>
      <x:c r="Q100" s="137" t="str"/>
      <x:c r="R100" s="137" t="str"/>
      <x:c r="S100" s="138" t="str"/>
      <x:c r="T100" s="137" t="str"/>
      <x:c r="U100" s="137" t="str"/>
      <x:c r="V100" s="137" t="str"/>
      <x:c r="W100" s="137" t="str"/>
      <x:c r="X100" s="137" t="str"/>
      <x:c r="Y100" s="199" t="str"/>
    </x:row>
    <x:row r="101">
      <x:c r="A101" s="137" t="str"/>
      <x:c r="B101" s="137" t="str"/>
      <x:c r="C101" s="138" t="str"/>
      <x:c r="D101" s="137" t="str"/>
      <x:c r="E101" s="137" t="str"/>
      <x:c r="F101" s="137" t="str"/>
      <x:c r="G101" s="137" t="str"/>
      <x:c r="H101" s="137" t="str"/>
      <x:c r="I101" s="137" t="str"/>
      <x:c r="J101" s="137" t="str"/>
      <x:c r="K101" s="137" t="str"/>
      <x:c r="L101" s="137" t="str"/>
      <x:c r="M101" s="160" t="str"/>
      <x:c r="N101" s="160" t="str"/>
      <x:c r="O101" s="137" t="str"/>
      <x:c r="P101" s="137" t="str"/>
      <x:c r="Q101" s="137" t="str"/>
      <x:c r="R101" s="137" t="str"/>
      <x:c r="S101" s="138" t="str"/>
      <x:c r="T101" s="137" t="str"/>
      <x:c r="U101" s="137" t="str"/>
      <x:c r="V101" s="137" t="str"/>
      <x:c r="W101" s="137" t="str"/>
      <x:c r="X101" s="137" t="str"/>
      <x:c r="Y101" s="199" t="str"/>
    </x:row>
    <x:row r="102">
      <x:c r="A102" s="137" t="str"/>
      <x:c r="B102" s="137" t="str"/>
      <x:c r="C102" s="138" t="str"/>
      <x:c r="D102" s="137" t="str"/>
      <x:c r="E102" s="137" t="str"/>
      <x:c r="F102" s="137" t="str"/>
      <x:c r="G102" s="137" t="str"/>
      <x:c r="H102" s="137" t="str"/>
      <x:c r="I102" s="137" t="str"/>
      <x:c r="J102" s="137" t="str"/>
      <x:c r="K102" s="137" t="str"/>
      <x:c r="L102" s="137" t="str"/>
      <x:c r="M102" s="160" t="str"/>
      <x:c r="N102" s="160" t="str"/>
      <x:c r="O102" s="137" t="str"/>
      <x:c r="P102" s="137" t="str"/>
      <x:c r="Q102" s="137" t="str"/>
      <x:c r="R102" s="137" t="str"/>
      <x:c r="S102" s="138" t="str"/>
      <x:c r="T102" s="137" t="str"/>
      <x:c r="U102" s="137" t="str"/>
      <x:c r="V102" s="137" t="str"/>
      <x:c r="W102" s="137" t="str"/>
      <x:c r="X102" s="137" t="str"/>
      <x:c r="Y102" s="199" t="str"/>
    </x:row>
    <x:row r="103">
      <x:c r="A103" s="137" t="str"/>
      <x:c r="B103" s="137" t="str"/>
      <x:c r="C103" s="138" t="str"/>
      <x:c r="D103" s="137" t="str"/>
      <x:c r="E103" s="137" t="str"/>
      <x:c r="F103" s="137" t="str"/>
      <x:c r="G103" s="137" t="str"/>
      <x:c r="H103" s="137" t="str"/>
      <x:c r="I103" s="137" t="str"/>
      <x:c r="J103" s="137" t="str"/>
      <x:c r="K103" s="137" t="str"/>
      <x:c r="L103" s="137" t="str"/>
      <x:c r="M103" s="160" t="str"/>
      <x:c r="N103" s="160" t="str"/>
      <x:c r="O103" s="137" t="str"/>
      <x:c r="P103" s="137" t="str"/>
      <x:c r="Q103" s="137" t="str"/>
      <x:c r="R103" s="137" t="str"/>
      <x:c r="S103" s="138" t="str"/>
      <x:c r="T103" s="137" t="str"/>
      <x:c r="U103" s="137" t="str"/>
      <x:c r="V103" s="137" t="str"/>
      <x:c r="W103" s="137" t="str"/>
      <x:c r="X103" s="137" t="str"/>
      <x:c r="Y103" s="199" t="str"/>
    </x:row>
    <x:row r="104">
      <x:c r="A104" s="137" t="str"/>
      <x:c r="B104" s="137" t="str"/>
      <x:c r="C104" s="138" t="str"/>
      <x:c r="D104" s="137" t="str"/>
      <x:c r="E104" s="137" t="str"/>
      <x:c r="F104" s="137" t="str"/>
      <x:c r="G104" s="137" t="str"/>
      <x:c r="H104" s="137" t="str"/>
      <x:c r="I104" s="137" t="str"/>
      <x:c r="J104" s="137" t="str"/>
      <x:c r="K104" s="137" t="str"/>
      <x:c r="L104" s="137" t="str"/>
      <x:c r="M104" s="160" t="str"/>
      <x:c r="N104" s="160" t="str"/>
      <x:c r="O104" s="137" t="str"/>
      <x:c r="P104" s="137" t="str"/>
      <x:c r="Q104" s="137" t="str"/>
      <x:c r="R104" s="137" t="str"/>
      <x:c r="S104" s="138" t="str"/>
      <x:c r="T104" s="137" t="str"/>
      <x:c r="U104" s="137" t="str"/>
      <x:c r="V104" s="137" t="str"/>
      <x:c r="W104" s="137" t="str"/>
      <x:c r="X104" s="137" t="str"/>
      <x:c r="Y104" s="199" t="str"/>
    </x:row>
    <x:row r="105">
      <x:c r="A105" s="137" t="str"/>
      <x:c r="B105" s="137" t="str"/>
      <x:c r="C105" s="138" t="str"/>
      <x:c r="D105" s="137" t="str"/>
      <x:c r="E105" s="137" t="str"/>
      <x:c r="F105" s="137" t="str"/>
      <x:c r="G105" s="137" t="str"/>
      <x:c r="H105" s="137" t="str"/>
      <x:c r="I105" s="137" t="str"/>
      <x:c r="J105" s="137" t="str"/>
      <x:c r="K105" s="137" t="str"/>
      <x:c r="L105" s="137" t="str"/>
      <x:c r="M105" s="160" t="str"/>
      <x:c r="N105" s="160" t="str"/>
      <x:c r="O105" s="137" t="str"/>
      <x:c r="P105" s="137" t="str"/>
      <x:c r="Q105" s="137" t="str"/>
      <x:c r="R105" s="137" t="str"/>
      <x:c r="S105" s="138" t="str"/>
      <x:c r="T105" s="137" t="str"/>
      <x:c r="U105" s="137" t="str"/>
      <x:c r="V105" s="137" t="str"/>
      <x:c r="W105" s="137" t="str"/>
      <x:c r="X105" s="137" t="str"/>
      <x:c r="Y105" s="199" t="str"/>
    </x:row>
    <x:row r="106">
      <x:c r="A106" s="137" t="str"/>
      <x:c r="B106" s="137" t="str"/>
      <x:c r="C106" s="138" t="str"/>
      <x:c r="D106" s="137" t="str"/>
      <x:c r="E106" s="137" t="str"/>
      <x:c r="F106" s="137" t="str"/>
      <x:c r="G106" s="137" t="str"/>
      <x:c r="H106" s="137" t="str"/>
      <x:c r="I106" s="137" t="str"/>
      <x:c r="J106" s="137" t="str"/>
      <x:c r="K106" s="137" t="str"/>
      <x:c r="L106" s="137" t="str"/>
      <x:c r="M106" s="160" t="str"/>
      <x:c r="N106" s="160" t="str"/>
      <x:c r="O106" s="137" t="str"/>
      <x:c r="P106" s="137" t="str"/>
      <x:c r="Q106" s="137" t="str"/>
      <x:c r="R106" s="137" t="str"/>
      <x:c r="S106" s="138" t="str"/>
      <x:c r="T106" s="137" t="str"/>
      <x:c r="U106" s="137" t="str"/>
      <x:c r="V106" s="137" t="str"/>
      <x:c r="W106" s="137" t="str"/>
      <x:c r="X106" s="137" t="str"/>
      <x:c r="Y106" s="199" t="str"/>
    </x:row>
    <x:row r="107">
      <x:c r="A107" s="137" t="str"/>
      <x:c r="B107" s="137" t="str"/>
      <x:c r="C107" s="138" t="str"/>
      <x:c r="D107" s="137" t="str"/>
      <x:c r="E107" s="137" t="str"/>
      <x:c r="F107" s="137" t="str"/>
      <x:c r="G107" s="137" t="str"/>
      <x:c r="H107" s="137" t="str"/>
      <x:c r="I107" s="137" t="str"/>
      <x:c r="J107" s="137" t="str"/>
      <x:c r="K107" s="137" t="str"/>
      <x:c r="L107" s="137" t="str"/>
      <x:c r="M107" s="160" t="str"/>
      <x:c r="N107" s="160" t="str"/>
      <x:c r="O107" s="137" t="str"/>
      <x:c r="P107" s="137" t="str"/>
      <x:c r="Q107" s="137" t="str"/>
      <x:c r="R107" s="137" t="str"/>
      <x:c r="S107" s="138" t="str"/>
      <x:c r="T107" s="137" t="str"/>
      <x:c r="U107" s="137" t="str"/>
      <x:c r="V107" s="137" t="str"/>
      <x:c r="W107" s="137" t="str"/>
      <x:c r="X107" s="137" t="str"/>
      <x:c r="Y107" s="199" t="str"/>
    </x:row>
    <x:row r="108">
      <x:c r="A108" s="137" t="str"/>
      <x:c r="B108" s="137" t="str"/>
      <x:c r="C108" s="138" t="str"/>
      <x:c r="D108" s="137" t="str"/>
      <x:c r="E108" s="137" t="str"/>
      <x:c r="F108" s="137" t="str"/>
      <x:c r="G108" s="137" t="str"/>
      <x:c r="H108" s="137" t="str"/>
      <x:c r="I108" s="137" t="str"/>
      <x:c r="J108" s="137" t="str"/>
      <x:c r="K108" s="137" t="str"/>
      <x:c r="L108" s="137" t="str"/>
      <x:c r="M108" s="160" t="str"/>
      <x:c r="N108" s="160" t="str"/>
      <x:c r="O108" s="137" t="str"/>
      <x:c r="P108" s="137" t="str"/>
      <x:c r="Q108" s="137" t="str"/>
      <x:c r="R108" s="137" t="str"/>
      <x:c r="S108" s="138" t="str"/>
      <x:c r="T108" s="137" t="str"/>
      <x:c r="U108" s="137" t="str"/>
      <x:c r="V108" s="137" t="str"/>
      <x:c r="W108" s="137" t="str"/>
      <x:c r="X108" s="137" t="str"/>
      <x:c r="Y108" s="199" t="str"/>
    </x:row>
    <x:row r="109">
      <x:c r="A109" s="137" t="str"/>
      <x:c r="B109" s="137" t="str"/>
      <x:c r="C109" s="138" t="str"/>
      <x:c r="D109" s="137" t="str"/>
      <x:c r="E109" s="137" t="str"/>
      <x:c r="F109" s="137" t="str"/>
      <x:c r="G109" s="137" t="str"/>
      <x:c r="H109" s="137" t="str"/>
      <x:c r="I109" s="137" t="str"/>
      <x:c r="J109" s="137" t="str"/>
      <x:c r="K109" s="137" t="str"/>
      <x:c r="L109" s="137" t="str"/>
      <x:c r="M109" s="160" t="str"/>
      <x:c r="N109" s="160" t="str"/>
      <x:c r="O109" s="137" t="str"/>
      <x:c r="P109" s="137" t="str"/>
      <x:c r="Q109" s="137" t="str"/>
      <x:c r="R109" s="137" t="str"/>
      <x:c r="S109" s="138" t="str"/>
      <x:c r="T109" s="137" t="str"/>
      <x:c r="U109" s="137" t="str"/>
      <x:c r="V109" s="137" t="str"/>
      <x:c r="W109" s="137" t="str"/>
      <x:c r="X109" s="137" t="str"/>
      <x:c r="Y109" s="199" t="str"/>
    </x:row>
    <x:row r="110">
      <x:c r="A110" s="137" t="str"/>
      <x:c r="B110" s="137" t="str"/>
      <x:c r="C110" s="138" t="str"/>
      <x:c r="D110" s="137" t="str"/>
      <x:c r="E110" s="137" t="str"/>
      <x:c r="F110" s="137" t="str"/>
      <x:c r="G110" s="137" t="str"/>
      <x:c r="H110" s="137" t="str"/>
      <x:c r="I110" s="137" t="str"/>
      <x:c r="J110" s="137" t="str"/>
      <x:c r="K110" s="137" t="str"/>
      <x:c r="L110" s="137" t="str"/>
      <x:c r="M110" s="160" t="str"/>
      <x:c r="N110" s="160" t="str"/>
      <x:c r="O110" s="137" t="str"/>
      <x:c r="P110" s="137" t="str"/>
      <x:c r="Q110" s="137" t="str"/>
      <x:c r="R110" s="137" t="str"/>
      <x:c r="S110" s="138" t="str"/>
      <x:c r="T110" s="137" t="str"/>
      <x:c r="U110" s="137" t="str"/>
      <x:c r="V110" s="137" t="str"/>
      <x:c r="W110" s="137" t="str"/>
      <x:c r="X110" s="137" t="str"/>
      <x:c r="Y110" s="199" t="str"/>
    </x:row>
    <x:row r="111">
      <x:c r="A111" s="137" t="str"/>
      <x:c r="B111" s="137" t="str"/>
      <x:c r="C111" s="138" t="str"/>
      <x:c r="D111" s="137" t="str"/>
      <x:c r="E111" s="137" t="str"/>
      <x:c r="F111" s="137" t="str"/>
      <x:c r="G111" s="137" t="str"/>
      <x:c r="H111" s="137" t="str"/>
      <x:c r="I111" s="137" t="str"/>
      <x:c r="J111" s="137" t="str"/>
      <x:c r="K111" s="137" t="str"/>
      <x:c r="L111" s="137" t="str"/>
      <x:c r="M111" s="160" t="str"/>
      <x:c r="N111" s="160" t="str"/>
      <x:c r="O111" s="137" t="str"/>
      <x:c r="P111" s="137" t="str"/>
      <x:c r="Q111" s="137" t="str"/>
      <x:c r="R111" s="137" t="str"/>
      <x:c r="S111" s="138" t="str"/>
      <x:c r="T111" s="137" t="str"/>
      <x:c r="U111" s="137" t="str"/>
      <x:c r="V111" s="137" t="str"/>
      <x:c r="W111" s="137" t="str"/>
      <x:c r="X111" s="137" t="str"/>
      <x:c r="Y111" s="199" t="str"/>
    </x:row>
    <x:row r="112">
      <x:c r="A112" s="137" t="str"/>
      <x:c r="B112" s="137" t="str"/>
      <x:c r="C112" s="138" t="str"/>
      <x:c r="D112" s="137" t="str"/>
      <x:c r="E112" s="137" t="str"/>
      <x:c r="F112" s="137" t="str"/>
      <x:c r="G112" s="137" t="str"/>
      <x:c r="H112" s="137" t="str"/>
      <x:c r="I112" s="137" t="str"/>
      <x:c r="J112" s="137" t="str"/>
      <x:c r="K112" s="137" t="str"/>
      <x:c r="L112" s="137" t="str"/>
      <x:c r="M112" s="160" t="str"/>
      <x:c r="N112" s="160" t="str"/>
      <x:c r="O112" s="137" t="str"/>
      <x:c r="P112" s="137" t="str"/>
      <x:c r="Q112" s="137" t="str"/>
      <x:c r="R112" s="137" t="str"/>
      <x:c r="S112" s="138" t="str"/>
      <x:c r="T112" s="137" t="str"/>
      <x:c r="U112" s="137" t="str"/>
      <x:c r="V112" s="137" t="str"/>
      <x:c r="W112" s="137" t="str"/>
      <x:c r="X112" s="137" t="str"/>
      <x:c r="Y112" s="199" t="str"/>
    </x:row>
    <x:row r="113">
      <x:c r="A113" s="137" t="str"/>
      <x:c r="B113" s="137" t="str"/>
      <x:c r="C113" s="138" t="str"/>
      <x:c r="D113" s="137" t="str"/>
      <x:c r="E113" s="137" t="str"/>
      <x:c r="F113" s="137" t="str"/>
      <x:c r="G113" s="137" t="str"/>
      <x:c r="H113" s="137" t="str"/>
      <x:c r="I113" s="137" t="str"/>
      <x:c r="J113" s="137" t="str"/>
      <x:c r="K113" s="137" t="str"/>
      <x:c r="L113" s="137" t="str"/>
      <x:c r="M113" s="160" t="str"/>
      <x:c r="N113" s="160" t="str"/>
      <x:c r="O113" s="137" t="str"/>
      <x:c r="P113" s="137" t="str"/>
      <x:c r="Q113" s="137" t="str"/>
      <x:c r="R113" s="137" t="str"/>
      <x:c r="S113" s="138" t="str"/>
      <x:c r="T113" s="137" t="str"/>
      <x:c r="U113" s="137" t="str"/>
      <x:c r="V113" s="137" t="str"/>
      <x:c r="W113" s="137" t="str"/>
      <x:c r="X113" s="137" t="str"/>
      <x:c r="Y113" s="199" t="str"/>
    </x:row>
    <x:row r="114">
      <x:c r="A114" s="137" t="str"/>
      <x:c r="B114" s="137" t="str"/>
      <x:c r="C114" s="138" t="str"/>
      <x:c r="D114" s="137" t="str"/>
      <x:c r="E114" s="137" t="str"/>
      <x:c r="F114" s="137" t="str"/>
      <x:c r="G114" s="137" t="str"/>
      <x:c r="H114" s="137" t="str"/>
      <x:c r="I114" s="137" t="str"/>
      <x:c r="J114" s="137" t="str"/>
      <x:c r="K114" s="137" t="str"/>
      <x:c r="L114" s="137" t="str"/>
      <x:c r="M114" s="160" t="str"/>
      <x:c r="N114" s="160" t="str"/>
      <x:c r="O114" s="137" t="str"/>
      <x:c r="P114" s="137" t="str"/>
      <x:c r="Q114" s="137" t="str"/>
      <x:c r="R114" s="137" t="str"/>
      <x:c r="S114" s="138" t="str"/>
      <x:c r="T114" s="137" t="str"/>
      <x:c r="U114" s="137" t="str"/>
      <x:c r="V114" s="137" t="str"/>
      <x:c r="W114" s="137" t="str"/>
      <x:c r="X114" s="137" t="str"/>
      <x:c r="Y114" s="199" t="str"/>
    </x:row>
    <x:row r="115">
      <x:c r="A115" s="137" t="str"/>
      <x:c r="B115" s="137" t="str"/>
      <x:c r="C115" s="138" t="str"/>
      <x:c r="D115" s="137" t="str"/>
      <x:c r="E115" s="137" t="str"/>
      <x:c r="F115" s="137" t="str"/>
      <x:c r="G115" s="137" t="str"/>
      <x:c r="H115" s="137" t="str"/>
      <x:c r="I115" s="137" t="str"/>
      <x:c r="J115" s="137" t="str"/>
      <x:c r="K115" s="137" t="str"/>
      <x:c r="L115" s="137" t="str"/>
      <x:c r="M115" s="160" t="str"/>
      <x:c r="N115" s="160" t="str"/>
      <x:c r="O115" s="137" t="str"/>
      <x:c r="P115" s="137" t="str"/>
      <x:c r="Q115" s="137" t="str"/>
      <x:c r="R115" s="137" t="str"/>
      <x:c r="S115" s="138" t="str"/>
      <x:c r="T115" s="137" t="str"/>
      <x:c r="U115" s="137" t="str"/>
      <x:c r="V115" s="137" t="str"/>
      <x:c r="W115" s="137" t="str"/>
      <x:c r="X115" s="137" t="str"/>
      <x:c r="Y115" s="199" t="str"/>
    </x:row>
    <x:row r="116">
      <x:c r="A116" s="137" t="str"/>
      <x:c r="B116" s="137" t="str"/>
      <x:c r="C116" s="138" t="str"/>
      <x:c r="D116" s="137" t="str"/>
      <x:c r="E116" s="137" t="str"/>
      <x:c r="F116" s="137" t="str"/>
      <x:c r="G116" s="137" t="str"/>
      <x:c r="H116" s="137" t="str"/>
      <x:c r="I116" s="137" t="str"/>
      <x:c r="J116" s="137" t="str"/>
      <x:c r="K116" s="137" t="str"/>
      <x:c r="L116" s="137" t="str"/>
      <x:c r="M116" s="160" t="str"/>
      <x:c r="N116" s="160" t="str"/>
      <x:c r="O116" s="137" t="str"/>
      <x:c r="P116" s="137" t="str"/>
      <x:c r="Q116" s="137" t="str"/>
      <x:c r="R116" s="137" t="str"/>
      <x:c r="S116" s="138" t="str"/>
      <x:c r="T116" s="137" t="str"/>
      <x:c r="U116" s="137" t="str"/>
      <x:c r="V116" s="137" t="str"/>
      <x:c r="W116" s="137" t="str"/>
      <x:c r="X116" s="137" t="str"/>
      <x:c r="Y116" s="199" t="str"/>
    </x:row>
    <x:row r="117">
      <x:c r="A117" s="137" t="str"/>
      <x:c r="B117" s="137" t="str"/>
      <x:c r="C117" s="138" t="str"/>
      <x:c r="D117" s="137" t="str"/>
      <x:c r="E117" s="137" t="str"/>
      <x:c r="F117" s="137" t="str"/>
      <x:c r="G117" s="137" t="str"/>
      <x:c r="H117" s="137" t="str"/>
      <x:c r="I117" s="137" t="str"/>
      <x:c r="J117" s="137" t="str"/>
      <x:c r="K117" s="137" t="str"/>
      <x:c r="L117" s="137" t="str"/>
      <x:c r="M117" s="160" t="str"/>
      <x:c r="N117" s="160" t="str"/>
      <x:c r="O117" s="137" t="str"/>
      <x:c r="P117" s="137" t="str"/>
      <x:c r="Q117" s="137" t="str"/>
      <x:c r="R117" s="137" t="str"/>
      <x:c r="S117" s="138" t="str"/>
      <x:c r="T117" s="137" t="str"/>
      <x:c r="U117" s="137" t="str"/>
      <x:c r="V117" s="137" t="str"/>
      <x:c r="W117" s="137" t="str"/>
      <x:c r="X117" s="137" t="str"/>
      <x:c r="Y117" s="199" t="str"/>
    </x:row>
    <x:row r="118">
      <x:c r="A118" s="137" t="str"/>
      <x:c r="B118" s="137" t="str"/>
      <x:c r="C118" s="138" t="str"/>
      <x:c r="D118" s="137" t="str"/>
      <x:c r="E118" s="137" t="str"/>
      <x:c r="F118" s="137" t="str"/>
      <x:c r="G118" s="137" t="str"/>
      <x:c r="H118" s="137" t="str"/>
      <x:c r="I118" s="137" t="str"/>
      <x:c r="J118" s="137" t="str"/>
      <x:c r="K118" s="137" t="str"/>
      <x:c r="L118" s="137" t="str"/>
      <x:c r="M118" s="160" t="str"/>
      <x:c r="N118" s="160" t="str"/>
      <x:c r="O118" s="137" t="str"/>
      <x:c r="P118" s="137" t="str"/>
      <x:c r="Q118" s="137" t="str"/>
      <x:c r="R118" s="137" t="str"/>
      <x:c r="S118" s="138" t="str"/>
      <x:c r="T118" s="137" t="str"/>
      <x:c r="U118" s="137" t="str"/>
      <x:c r="V118" s="137" t="str"/>
      <x:c r="W118" s="137" t="str"/>
      <x:c r="X118" s="137" t="str"/>
      <x:c r="Y118" s="199" t="str"/>
    </x:row>
    <x:row r="119">
      <x:c r="A119" s="137" t="str"/>
      <x:c r="B119" s="137" t="str"/>
      <x:c r="C119" s="138" t="str"/>
      <x:c r="D119" s="137" t="str"/>
      <x:c r="E119" s="137" t="str"/>
      <x:c r="F119" s="137" t="str"/>
      <x:c r="G119" s="137" t="str"/>
      <x:c r="H119" s="137" t="str"/>
      <x:c r="I119" s="137" t="str"/>
      <x:c r="J119" s="137" t="str"/>
      <x:c r="K119" s="137" t="str"/>
      <x:c r="L119" s="137" t="str"/>
      <x:c r="M119" s="160" t="str"/>
      <x:c r="N119" s="160" t="str"/>
      <x:c r="O119" s="137" t="str"/>
      <x:c r="P119" s="137" t="str"/>
      <x:c r="Q119" s="137" t="str"/>
      <x:c r="R119" s="137" t="str"/>
      <x:c r="S119" s="138" t="str"/>
      <x:c r="T119" s="137" t="str"/>
      <x:c r="U119" s="137" t="str"/>
      <x:c r="V119" s="137" t="str"/>
      <x:c r="W119" s="137" t="str"/>
      <x:c r="X119" s="137" t="str"/>
      <x:c r="Y119" s="199" t="str"/>
    </x:row>
    <x:row r="120">
      <x:c r="A120" s="137" t="str"/>
      <x:c r="B120" s="137" t="str"/>
      <x:c r="C120" s="138" t="str"/>
      <x:c r="D120" s="137" t="str"/>
      <x:c r="E120" s="137" t="str"/>
      <x:c r="F120" s="137" t="str"/>
      <x:c r="G120" s="137" t="str"/>
      <x:c r="H120" s="137" t="str"/>
      <x:c r="I120" s="137" t="str"/>
      <x:c r="J120" s="137" t="str"/>
      <x:c r="K120" s="137" t="str"/>
      <x:c r="L120" s="137" t="str"/>
      <x:c r="M120" s="160" t="str"/>
      <x:c r="N120" s="160" t="str"/>
      <x:c r="O120" s="137" t="str"/>
      <x:c r="P120" s="137" t="str"/>
      <x:c r="Q120" s="137" t="str"/>
      <x:c r="R120" s="137" t="str"/>
      <x:c r="S120" s="138" t="str"/>
      <x:c r="T120" s="137" t="str"/>
      <x:c r="U120" s="137" t="str"/>
      <x:c r="V120" s="137" t="str"/>
      <x:c r="W120" s="137" t="str"/>
      <x:c r="X120" s="137" t="str"/>
      <x:c r="Y120" s="199" t="str"/>
    </x:row>
    <x:row r="121">
      <x:c r="A121" s="137" t="str"/>
      <x:c r="B121" s="137" t="str"/>
      <x:c r="C121" s="138" t="str"/>
      <x:c r="D121" s="137" t="str"/>
      <x:c r="E121" s="137" t="str"/>
      <x:c r="F121" s="137" t="str"/>
      <x:c r="G121" s="137" t="str"/>
      <x:c r="H121" s="137" t="str"/>
      <x:c r="I121" s="137" t="str"/>
      <x:c r="J121" s="137" t="str"/>
      <x:c r="K121" s="137" t="str"/>
      <x:c r="L121" s="137" t="str"/>
      <x:c r="M121" s="160" t="str"/>
      <x:c r="N121" s="160" t="str"/>
      <x:c r="O121" s="137" t="str"/>
      <x:c r="P121" s="137" t="str"/>
      <x:c r="Q121" s="137" t="str"/>
      <x:c r="R121" s="137" t="str"/>
      <x:c r="S121" s="138" t="str"/>
      <x:c r="T121" s="137" t="str"/>
      <x:c r="U121" s="137" t="str"/>
      <x:c r="V121" s="137" t="str"/>
      <x:c r="W121" s="137" t="str"/>
      <x:c r="X121" s="137" t="str"/>
      <x:c r="Y121" s="199" t="str"/>
    </x:row>
    <x:row r="122">
      <x:c r="A122" s="137" t="str"/>
      <x:c r="B122" s="137" t="str"/>
      <x:c r="C122" s="138" t="str"/>
      <x:c r="D122" s="137" t="str"/>
      <x:c r="E122" s="137" t="str"/>
      <x:c r="F122" s="137" t="str"/>
      <x:c r="G122" s="137" t="str"/>
      <x:c r="H122" s="137" t="str"/>
      <x:c r="I122" s="137" t="str"/>
      <x:c r="J122" s="137" t="str"/>
      <x:c r="K122" s="137" t="str"/>
      <x:c r="L122" s="137" t="str"/>
      <x:c r="M122" s="160" t="str"/>
      <x:c r="N122" s="160" t="str"/>
      <x:c r="O122" s="137" t="str"/>
      <x:c r="P122" s="137" t="str"/>
      <x:c r="Q122" s="137" t="str"/>
      <x:c r="R122" s="137" t="str"/>
      <x:c r="S122" s="138" t="str"/>
      <x:c r="T122" s="137" t="str"/>
      <x:c r="U122" s="137" t="str"/>
      <x:c r="V122" s="137" t="str"/>
      <x:c r="W122" s="137" t="str"/>
      <x:c r="X122" s="137" t="str"/>
      <x:c r="Y122" s="199" t="str"/>
    </x:row>
    <x:row r="123">
      <x:c r="A123" s="137" t="str"/>
      <x:c r="B123" s="137" t="str"/>
      <x:c r="C123" s="138" t="str"/>
      <x:c r="D123" s="137" t="str"/>
      <x:c r="E123" s="137" t="str"/>
      <x:c r="F123" s="137" t="str"/>
      <x:c r="G123" s="137" t="str"/>
      <x:c r="H123" s="137" t="str"/>
      <x:c r="I123" s="137" t="str"/>
      <x:c r="J123" s="137" t="str"/>
      <x:c r="K123" s="137" t="str"/>
      <x:c r="L123" s="137" t="str"/>
      <x:c r="M123" s="160" t="str"/>
      <x:c r="N123" s="160" t="str"/>
      <x:c r="O123" s="137" t="str"/>
      <x:c r="P123" s="137" t="str"/>
      <x:c r="Q123" s="137" t="str"/>
      <x:c r="R123" s="137" t="str"/>
      <x:c r="S123" s="138" t="str"/>
      <x:c r="T123" s="137" t="str"/>
      <x:c r="U123" s="137" t="str"/>
      <x:c r="V123" s="137" t="str"/>
      <x:c r="W123" s="137" t="str"/>
      <x:c r="X123" s="137" t="str"/>
      <x:c r="Y123" s="199" t="str"/>
    </x:row>
    <x:row r="124">
      <x:c r="A124" s="137" t="str"/>
      <x:c r="B124" s="137" t="str"/>
      <x:c r="C124" s="138" t="str"/>
      <x:c r="D124" s="137" t="str"/>
      <x:c r="E124" s="137" t="str"/>
      <x:c r="F124" s="137" t="str"/>
      <x:c r="G124" s="137" t="str"/>
      <x:c r="H124" s="137" t="str"/>
      <x:c r="I124" s="137" t="str"/>
      <x:c r="J124" s="137" t="str"/>
      <x:c r="K124" s="137" t="str"/>
      <x:c r="L124" s="137" t="str"/>
      <x:c r="M124" s="160" t="str"/>
      <x:c r="N124" s="160" t="str"/>
      <x:c r="O124" s="137" t="str"/>
      <x:c r="P124" s="137" t="str"/>
      <x:c r="Q124" s="137" t="str"/>
      <x:c r="R124" s="137" t="str"/>
      <x:c r="S124" s="138" t="str"/>
      <x:c r="T124" s="137" t="str"/>
      <x:c r="U124" s="137" t="str"/>
      <x:c r="V124" s="137" t="str"/>
      <x:c r="W124" s="137" t="str"/>
      <x:c r="X124" s="137" t="str"/>
      <x:c r="Y124" s="199" t="str"/>
    </x:row>
    <x:row r="125">
      <x:c r="A125" s="137" t="str"/>
      <x:c r="B125" s="137" t="str"/>
      <x:c r="C125" s="138" t="str"/>
      <x:c r="D125" s="137" t="str"/>
      <x:c r="E125" s="137" t="str"/>
      <x:c r="F125" s="137" t="str"/>
      <x:c r="G125" s="137" t="str"/>
      <x:c r="H125" s="137" t="str"/>
      <x:c r="I125" s="137" t="str"/>
      <x:c r="J125" s="137" t="str"/>
      <x:c r="K125" s="137" t="str"/>
      <x:c r="L125" s="137" t="str"/>
      <x:c r="M125" s="160" t="str"/>
      <x:c r="N125" s="160" t="str"/>
      <x:c r="O125" s="137" t="str"/>
      <x:c r="P125" s="137" t="str"/>
      <x:c r="Q125" s="137" t="str"/>
      <x:c r="R125" s="137" t="str"/>
      <x:c r="S125" s="138" t="str"/>
      <x:c r="T125" s="137" t="str"/>
      <x:c r="U125" s="137" t="str"/>
      <x:c r="V125" s="137" t="str"/>
      <x:c r="W125" s="137" t="str"/>
      <x:c r="X125" s="137" t="str"/>
      <x:c r="Y125" s="199" t="str"/>
    </x:row>
    <x:row r="126">
      <x:c r="A126" s="137" t="str"/>
      <x:c r="B126" s="137" t="str"/>
      <x:c r="C126" s="138" t="str"/>
      <x:c r="D126" s="137" t="str"/>
      <x:c r="E126" s="137" t="str"/>
      <x:c r="F126" s="137" t="str"/>
      <x:c r="G126" s="137" t="str"/>
      <x:c r="H126" s="137" t="str"/>
      <x:c r="I126" s="137" t="str"/>
      <x:c r="J126" s="137" t="str"/>
      <x:c r="K126" s="137" t="str"/>
      <x:c r="L126" s="137" t="str"/>
      <x:c r="M126" s="160" t="str"/>
      <x:c r="N126" s="160" t="str"/>
      <x:c r="O126" s="137" t="str"/>
      <x:c r="P126" s="137" t="str"/>
      <x:c r="Q126" s="137" t="str"/>
      <x:c r="R126" s="137" t="str"/>
      <x:c r="S126" s="138" t="str"/>
      <x:c r="T126" s="137" t="str"/>
      <x:c r="U126" s="137" t="str"/>
      <x:c r="V126" s="137" t="str"/>
      <x:c r="W126" s="137" t="str"/>
      <x:c r="X126" s="137" t="str"/>
      <x:c r="Y126" s="199" t="str"/>
    </x:row>
    <x:row r="127">
      <x:c r="A127" s="137" t="str"/>
      <x:c r="B127" s="137" t="str"/>
      <x:c r="C127" s="138" t="str"/>
      <x:c r="D127" s="137" t="str"/>
      <x:c r="E127" s="137" t="str"/>
      <x:c r="F127" s="137" t="str"/>
      <x:c r="G127" s="137" t="str"/>
      <x:c r="H127" s="137" t="str"/>
      <x:c r="I127" s="137" t="str"/>
      <x:c r="J127" s="137" t="str"/>
      <x:c r="K127" s="137" t="str"/>
      <x:c r="L127" s="137" t="str"/>
      <x:c r="M127" s="160" t="str"/>
      <x:c r="N127" s="160" t="str"/>
      <x:c r="O127" s="137" t="str"/>
      <x:c r="P127" s="137" t="str"/>
      <x:c r="Q127" s="137" t="str"/>
      <x:c r="R127" s="137" t="str"/>
      <x:c r="S127" s="138" t="str"/>
      <x:c r="T127" s="137" t="str"/>
      <x:c r="U127" s="137" t="str"/>
      <x:c r="V127" s="137" t="str"/>
      <x:c r="W127" s="137" t="str"/>
      <x:c r="X127" s="137" t="str"/>
      <x:c r="Y127" s="199" t="str"/>
    </x:row>
    <x:row r="128">
      <x:c r="A128" s="137" t="str"/>
      <x:c r="B128" s="137" t="str"/>
      <x:c r="C128" s="138" t="str"/>
      <x:c r="D128" s="137" t="str"/>
      <x:c r="E128" s="137" t="str"/>
      <x:c r="F128" s="137" t="str"/>
      <x:c r="G128" s="137" t="str"/>
      <x:c r="H128" s="137" t="str"/>
      <x:c r="I128" s="137" t="str"/>
      <x:c r="J128" s="137" t="str"/>
      <x:c r="K128" s="137" t="str"/>
      <x:c r="L128" s="137" t="str"/>
      <x:c r="M128" s="160" t="str"/>
      <x:c r="N128" s="160" t="str"/>
      <x:c r="O128" s="137" t="str"/>
      <x:c r="P128" s="137" t="str"/>
      <x:c r="Q128" s="137" t="str"/>
      <x:c r="R128" s="137" t="str"/>
      <x:c r="S128" s="138" t="str"/>
      <x:c r="T128" s="137" t="str"/>
      <x:c r="U128" s="137" t="str"/>
      <x:c r="V128" s="137" t="str"/>
      <x:c r="W128" s="137" t="str"/>
      <x:c r="X128" s="137" t="str"/>
      <x:c r="Y128" s="199" t="str"/>
    </x:row>
    <x:row r="129">
      <x:c r="A129" s="137" t="str"/>
      <x:c r="B129" s="137" t="str"/>
      <x:c r="C129" s="138" t="str"/>
      <x:c r="D129" s="137" t="str"/>
      <x:c r="E129" s="137" t="str"/>
      <x:c r="F129" s="137" t="str"/>
      <x:c r="G129" s="137" t="str"/>
      <x:c r="H129" s="137" t="str"/>
      <x:c r="I129" s="137" t="str"/>
      <x:c r="J129" s="137" t="str"/>
      <x:c r="K129" s="137" t="str"/>
      <x:c r="L129" s="137" t="str"/>
      <x:c r="M129" s="160" t="str"/>
      <x:c r="N129" s="160" t="str"/>
      <x:c r="O129" s="137" t="str"/>
      <x:c r="P129" s="137" t="str"/>
      <x:c r="Q129" s="137" t="str"/>
      <x:c r="R129" s="137" t="str"/>
      <x:c r="S129" s="138" t="str"/>
      <x:c r="T129" s="137" t="str"/>
      <x:c r="U129" s="137" t="str"/>
      <x:c r="V129" s="137" t="str"/>
      <x:c r="W129" s="137" t="str"/>
      <x:c r="X129" s="137" t="str"/>
      <x:c r="Y129" s="199" t="str"/>
    </x:row>
    <x:row r="130">
      <x:c r="A130" s="137" t="str"/>
      <x:c r="B130" s="137" t="str"/>
      <x:c r="C130" s="138" t="str"/>
      <x:c r="D130" s="137" t="str"/>
      <x:c r="E130" s="137" t="str"/>
      <x:c r="F130" s="137" t="str"/>
      <x:c r="G130" s="137" t="str"/>
      <x:c r="H130" s="137" t="str"/>
      <x:c r="I130" s="137" t="str"/>
      <x:c r="J130" s="137" t="str"/>
      <x:c r="K130" s="137" t="str"/>
      <x:c r="L130" s="137" t="str"/>
      <x:c r="M130" s="160" t="str"/>
      <x:c r="N130" s="160" t="str"/>
      <x:c r="O130" s="137" t="str"/>
      <x:c r="P130" s="137" t="str"/>
      <x:c r="Q130" s="137" t="str"/>
      <x:c r="R130" s="137" t="str"/>
      <x:c r="S130" s="138" t="str"/>
      <x:c r="T130" s="137" t="str"/>
      <x:c r="U130" s="137" t="str"/>
      <x:c r="V130" s="137" t="str"/>
      <x:c r="W130" s="137" t="str"/>
      <x:c r="X130" s="137" t="str"/>
      <x:c r="Y130" s="199" t="str"/>
    </x:row>
    <x:row r="131">
      <x:c r="A131" s="137" t="str"/>
      <x:c r="B131" s="137" t="str"/>
      <x:c r="C131" s="138" t="str"/>
      <x:c r="D131" s="137" t="str"/>
      <x:c r="E131" s="137" t="str"/>
      <x:c r="F131" s="137" t="str"/>
      <x:c r="G131" s="137" t="str"/>
      <x:c r="H131" s="137" t="str"/>
      <x:c r="I131" s="137" t="str"/>
      <x:c r="J131" s="137" t="str"/>
      <x:c r="K131" s="137" t="str"/>
      <x:c r="L131" s="137" t="str"/>
      <x:c r="M131" s="160" t="str"/>
      <x:c r="N131" s="160" t="str"/>
      <x:c r="O131" s="137" t="str"/>
      <x:c r="P131" s="137" t="str"/>
      <x:c r="Q131" s="137" t="str"/>
      <x:c r="R131" s="137" t="str"/>
      <x:c r="S131" s="138" t="str"/>
      <x:c r="T131" s="137" t="str"/>
      <x:c r="U131" s="137" t="str"/>
      <x:c r="V131" s="137" t="str"/>
      <x:c r="W131" s="137" t="str"/>
      <x:c r="X131" s="137" t="str"/>
      <x:c r="Y131" s="199" t="str"/>
    </x:row>
    <x:row r="132">
      <x:c r="A132" s="137" t="str"/>
      <x:c r="B132" s="137" t="str"/>
      <x:c r="C132" s="138" t="str"/>
      <x:c r="D132" s="137" t="str"/>
      <x:c r="E132" s="137" t="str"/>
      <x:c r="F132" s="137" t="str"/>
      <x:c r="G132" s="137" t="str"/>
      <x:c r="H132" s="137" t="str"/>
      <x:c r="I132" s="137" t="str"/>
      <x:c r="J132" s="137" t="str"/>
      <x:c r="K132" s="137" t="str"/>
      <x:c r="L132" s="137" t="str"/>
      <x:c r="M132" s="160" t="str"/>
      <x:c r="N132" s="160" t="str"/>
      <x:c r="O132" s="137" t="str"/>
      <x:c r="P132" s="137" t="str"/>
      <x:c r="Q132" s="137" t="str"/>
      <x:c r="R132" s="137" t="str"/>
      <x:c r="S132" s="138" t="str"/>
      <x:c r="T132" s="137" t="str"/>
      <x:c r="U132" s="137" t="str"/>
      <x:c r="V132" s="137" t="str"/>
      <x:c r="W132" s="137" t="str"/>
      <x:c r="X132" s="137" t="str"/>
      <x:c r="Y132" s="199" t="str"/>
    </x:row>
    <x:row r="133">
      <x:c r="A133" s="137" t="str"/>
      <x:c r="B133" s="137" t="str"/>
      <x:c r="C133" s="138" t="str"/>
      <x:c r="D133" s="137" t="str"/>
      <x:c r="E133" s="137" t="str"/>
      <x:c r="F133" s="137" t="str"/>
      <x:c r="G133" s="137" t="str"/>
      <x:c r="H133" s="137" t="str"/>
      <x:c r="I133" s="137" t="str"/>
      <x:c r="J133" s="137" t="str"/>
      <x:c r="K133" s="137" t="str"/>
      <x:c r="L133" s="137" t="str"/>
      <x:c r="M133" s="160" t="str"/>
      <x:c r="N133" s="160" t="str"/>
      <x:c r="O133" s="137" t="str"/>
      <x:c r="P133" s="137" t="str"/>
      <x:c r="Q133" s="137" t="str"/>
      <x:c r="R133" s="137" t="str"/>
      <x:c r="S133" s="138" t="str"/>
      <x:c r="T133" s="137" t="str"/>
      <x:c r="U133" s="137" t="str"/>
      <x:c r="V133" s="137" t="str"/>
      <x:c r="W133" s="137" t="str"/>
      <x:c r="X133" s="137" t="str"/>
      <x:c r="Y133" s="199" t="str"/>
    </x:row>
    <x:row r="134">
      <x:c r="A134" s="137" t="str"/>
      <x:c r="B134" s="137" t="str"/>
      <x:c r="C134" s="138" t="str"/>
      <x:c r="D134" s="137" t="str"/>
      <x:c r="E134" s="137" t="str"/>
      <x:c r="F134" s="137" t="str"/>
      <x:c r="G134" s="137" t="str"/>
      <x:c r="H134" s="137" t="str"/>
      <x:c r="I134" s="137" t="str"/>
      <x:c r="J134" s="137" t="str"/>
      <x:c r="K134" s="137" t="str"/>
      <x:c r="L134" s="137" t="str"/>
      <x:c r="M134" s="160" t="str"/>
      <x:c r="N134" s="160" t="str"/>
      <x:c r="O134" s="137" t="str"/>
      <x:c r="P134" s="137" t="str"/>
      <x:c r="Q134" s="137" t="str"/>
      <x:c r="R134" s="137" t="str"/>
      <x:c r="S134" s="138" t="str"/>
      <x:c r="T134" s="137" t="str"/>
      <x:c r="U134" s="137" t="str"/>
      <x:c r="V134" s="137" t="str"/>
      <x:c r="W134" s="137" t="str"/>
      <x:c r="X134" s="137" t="str"/>
      <x:c r="Y134" s="199" t="str"/>
    </x:row>
    <x:row r="135">
      <x:c r="A135" s="137" t="str"/>
      <x:c r="B135" s="137" t="str"/>
      <x:c r="C135" s="138" t="str"/>
      <x:c r="D135" s="137" t="str"/>
      <x:c r="E135" s="137" t="str"/>
      <x:c r="F135" s="137" t="str"/>
      <x:c r="G135" s="137" t="str"/>
      <x:c r="H135" s="137" t="str"/>
      <x:c r="I135" s="137" t="str"/>
      <x:c r="J135" s="137" t="str"/>
      <x:c r="K135" s="137" t="str"/>
      <x:c r="L135" s="137" t="str"/>
      <x:c r="M135" s="160" t="str"/>
      <x:c r="N135" s="160" t="str"/>
      <x:c r="O135" s="137" t="str"/>
      <x:c r="P135" s="137" t="str"/>
      <x:c r="Q135" s="137" t="str"/>
      <x:c r="R135" s="137" t="str"/>
      <x:c r="S135" s="138" t="str"/>
      <x:c r="T135" s="137" t="str"/>
      <x:c r="U135" s="137" t="str"/>
      <x:c r="V135" s="137" t="str"/>
      <x:c r="W135" s="137" t="str"/>
      <x:c r="X135" s="137" t="str"/>
      <x:c r="Y135" s="199" t="str"/>
    </x:row>
    <x:row r="136">
      <x:c r="A136" s="137" t="str"/>
      <x:c r="B136" s="137" t="str"/>
      <x:c r="C136" s="138" t="str"/>
      <x:c r="D136" s="137" t="str"/>
      <x:c r="E136" s="137" t="str"/>
      <x:c r="F136" s="137" t="str"/>
      <x:c r="G136" s="137" t="str"/>
      <x:c r="H136" s="137" t="str"/>
      <x:c r="I136" s="137" t="str"/>
      <x:c r="J136" s="137" t="str"/>
      <x:c r="K136" s="137" t="str"/>
      <x:c r="L136" s="137" t="str"/>
      <x:c r="M136" s="160" t="str"/>
      <x:c r="N136" s="160" t="str"/>
      <x:c r="O136" s="137" t="str"/>
      <x:c r="P136" s="137" t="str"/>
      <x:c r="Q136" s="137" t="str"/>
      <x:c r="R136" s="137" t="str"/>
      <x:c r="S136" s="138" t="str"/>
      <x:c r="T136" s="137" t="str"/>
      <x:c r="U136" s="137" t="str"/>
      <x:c r="V136" s="137" t="str"/>
      <x:c r="W136" s="137" t="str"/>
      <x:c r="X136" s="137" t="str"/>
      <x:c r="Y136" s="199" t="str"/>
    </x:row>
    <x:row r="137">
      <x:c r="A137" s="137" t="str"/>
      <x:c r="B137" s="137" t="str"/>
      <x:c r="C137" s="138" t="str"/>
      <x:c r="D137" s="137" t="str"/>
      <x:c r="E137" s="137" t="str"/>
      <x:c r="F137" s="137" t="str"/>
      <x:c r="G137" s="137" t="str"/>
      <x:c r="H137" s="137" t="str"/>
      <x:c r="I137" s="137" t="str"/>
      <x:c r="J137" s="137" t="str"/>
      <x:c r="K137" s="137" t="str"/>
      <x:c r="L137" s="137" t="str"/>
      <x:c r="M137" s="160" t="str"/>
      <x:c r="N137" s="160" t="str"/>
      <x:c r="O137" s="137" t="str"/>
      <x:c r="P137" s="137" t="str"/>
      <x:c r="Q137" s="137" t="str"/>
      <x:c r="R137" s="137" t="str"/>
      <x:c r="S137" s="138" t="str"/>
      <x:c r="T137" s="137" t="str"/>
      <x:c r="U137" s="137" t="str"/>
      <x:c r="V137" s="137" t="str"/>
      <x:c r="W137" s="137" t="str"/>
      <x:c r="X137" s="137" t="str"/>
      <x:c r="Y137" s="199" t="str"/>
    </x:row>
    <x:row r="138">
      <x:c r="A138" s="137" t="str"/>
      <x:c r="B138" s="137" t="str"/>
      <x:c r="C138" s="138" t="str"/>
      <x:c r="D138" s="137" t="str"/>
      <x:c r="E138" s="137" t="str"/>
      <x:c r="F138" s="137" t="str"/>
      <x:c r="G138" s="137" t="str"/>
      <x:c r="H138" s="137" t="str"/>
      <x:c r="I138" s="137" t="str"/>
      <x:c r="J138" s="137" t="str"/>
      <x:c r="K138" s="137" t="str"/>
      <x:c r="L138" s="137" t="str"/>
      <x:c r="M138" s="160" t="str"/>
      <x:c r="N138" s="160" t="str"/>
      <x:c r="O138" s="137" t="str"/>
      <x:c r="P138" s="137" t="str"/>
      <x:c r="Q138" s="137" t="str"/>
      <x:c r="R138" s="137" t="str"/>
      <x:c r="S138" s="138" t="str"/>
      <x:c r="T138" s="137" t="str"/>
      <x:c r="U138" s="137" t="str"/>
      <x:c r="V138" s="137" t="str"/>
      <x:c r="W138" s="137" t="str"/>
      <x:c r="X138" s="137" t="str"/>
      <x:c r="Y138" s="199" t="str"/>
    </x:row>
    <x:row r="139">
      <x:c r="A139" s="137" t="str"/>
      <x:c r="B139" s="137" t="str"/>
      <x:c r="C139" s="138" t="str"/>
      <x:c r="D139" s="137" t="str"/>
      <x:c r="E139" s="137" t="str"/>
      <x:c r="F139" s="137" t="str"/>
      <x:c r="G139" s="137" t="str"/>
      <x:c r="H139" s="137" t="str"/>
      <x:c r="I139" s="137" t="str"/>
      <x:c r="J139" s="137" t="str"/>
      <x:c r="K139" s="137" t="str"/>
      <x:c r="L139" s="137" t="str"/>
      <x:c r="M139" s="160" t="str"/>
      <x:c r="N139" s="160" t="str"/>
      <x:c r="O139" s="137" t="str"/>
      <x:c r="P139" s="137" t="str"/>
      <x:c r="Q139" s="137" t="str"/>
      <x:c r="R139" s="137" t="str"/>
      <x:c r="S139" s="138" t="str"/>
      <x:c r="T139" s="137" t="str"/>
      <x:c r="U139" s="137" t="str"/>
      <x:c r="V139" s="137" t="str"/>
      <x:c r="W139" s="137" t="str"/>
      <x:c r="X139" s="137" t="str"/>
      <x:c r="Y139" s="199" t="str"/>
    </x:row>
    <x:row r="140">
      <x:c r="A140" s="137" t="str"/>
      <x:c r="B140" s="137" t="str"/>
      <x:c r="C140" s="138" t="str"/>
      <x:c r="D140" s="137" t="str"/>
      <x:c r="E140" s="137" t="str"/>
      <x:c r="F140" s="137" t="str"/>
      <x:c r="G140" s="137" t="str"/>
      <x:c r="H140" s="137" t="str"/>
      <x:c r="I140" s="137" t="str"/>
      <x:c r="J140" s="137" t="str"/>
      <x:c r="K140" s="137" t="str"/>
      <x:c r="L140" s="137" t="str"/>
      <x:c r="M140" s="160" t="str"/>
      <x:c r="N140" s="160" t="str"/>
      <x:c r="O140" s="137" t="str"/>
      <x:c r="P140" s="137" t="str"/>
      <x:c r="Q140" s="137" t="str"/>
      <x:c r="R140" s="137" t="str"/>
      <x:c r="S140" s="138" t="str"/>
      <x:c r="T140" s="137" t="str"/>
      <x:c r="U140" s="137" t="str"/>
      <x:c r="V140" s="137" t="str"/>
      <x:c r="W140" s="137" t="str"/>
      <x:c r="X140" s="137" t="str"/>
      <x:c r="Y140" s="199" t="str"/>
    </x:row>
    <x:row r="141">
      <x:c r="A141" s="137" t="str"/>
      <x:c r="B141" s="137" t="str"/>
      <x:c r="C141" s="138" t="str"/>
      <x:c r="D141" s="137" t="str"/>
      <x:c r="E141" s="137" t="str"/>
      <x:c r="F141" s="137" t="str"/>
      <x:c r="G141" s="137" t="str"/>
      <x:c r="H141" s="137" t="str"/>
      <x:c r="I141" s="137" t="str"/>
      <x:c r="J141" s="137" t="str"/>
      <x:c r="K141" s="137" t="str"/>
      <x:c r="L141" s="137" t="str"/>
      <x:c r="M141" s="160" t="str"/>
      <x:c r="N141" s="160" t="str"/>
      <x:c r="O141" s="137" t="str"/>
      <x:c r="P141" s="137" t="str"/>
      <x:c r="Q141" s="137" t="str"/>
      <x:c r="R141" s="137" t="str"/>
      <x:c r="S141" s="138" t="str"/>
      <x:c r="T141" s="137" t="str"/>
      <x:c r="U141" s="137" t="str"/>
      <x:c r="V141" s="137" t="str"/>
      <x:c r="W141" s="137" t="str"/>
      <x:c r="X141" s="137" t="str"/>
      <x:c r="Y141" s="199" t="str"/>
    </x:row>
    <x:row r="142">
      <x:c r="A142" s="137" t="str"/>
      <x:c r="B142" s="137" t="str"/>
      <x:c r="C142" s="138" t="str"/>
      <x:c r="D142" s="137" t="str"/>
      <x:c r="E142" s="137" t="str"/>
      <x:c r="F142" s="137" t="str"/>
      <x:c r="G142" s="137" t="str"/>
      <x:c r="H142" s="137" t="str"/>
      <x:c r="I142" s="137" t="str"/>
      <x:c r="J142" s="137" t="str"/>
      <x:c r="K142" s="137" t="str"/>
      <x:c r="L142" s="137" t="str"/>
      <x:c r="M142" s="160" t="str"/>
      <x:c r="N142" s="160" t="str"/>
      <x:c r="O142" s="137" t="str"/>
      <x:c r="P142" s="137" t="str"/>
      <x:c r="Q142" s="137" t="str"/>
      <x:c r="R142" s="137" t="str"/>
      <x:c r="S142" s="138" t="str"/>
      <x:c r="T142" s="137" t="str"/>
      <x:c r="U142" s="137" t="str"/>
      <x:c r="V142" s="137" t="str"/>
      <x:c r="W142" s="137" t="str"/>
      <x:c r="X142" s="137" t="str"/>
      <x:c r="Y142" s="199" t="str"/>
    </x:row>
    <x:row r="143">
      <x:c r="A143" s="137" t="str"/>
      <x:c r="B143" s="137" t="str"/>
      <x:c r="C143" s="138" t="str"/>
      <x:c r="D143" s="137" t="str"/>
      <x:c r="E143" s="137" t="str"/>
      <x:c r="F143" s="137" t="str"/>
      <x:c r="G143" s="137" t="str"/>
      <x:c r="H143" s="137" t="str"/>
      <x:c r="I143" s="137" t="str"/>
      <x:c r="J143" s="137" t="str"/>
      <x:c r="K143" s="137" t="str"/>
      <x:c r="L143" s="137" t="str"/>
      <x:c r="M143" s="160" t="str"/>
      <x:c r="N143" s="160" t="str"/>
      <x:c r="O143" s="137" t="str"/>
      <x:c r="P143" s="137" t="str"/>
      <x:c r="Q143" s="137" t="str"/>
      <x:c r="R143" s="137" t="str"/>
      <x:c r="S143" s="138" t="str"/>
      <x:c r="T143" s="137" t="str"/>
      <x:c r="U143" s="137" t="str"/>
      <x:c r="V143" s="137" t="str"/>
      <x:c r="W143" s="137" t="str"/>
      <x:c r="X143" s="137" t="str"/>
      <x:c r="Y143" s="199" t="str"/>
    </x:row>
    <x:row r="144">
      <x:c r="A144" s="137" t="str"/>
      <x:c r="B144" s="137" t="str"/>
      <x:c r="C144" s="138" t="str"/>
      <x:c r="D144" s="137" t="str"/>
      <x:c r="E144" s="137" t="str"/>
      <x:c r="F144" s="137" t="str"/>
      <x:c r="G144" s="137" t="str"/>
      <x:c r="H144" s="137" t="str"/>
      <x:c r="I144" s="137" t="str"/>
      <x:c r="J144" s="137" t="str"/>
      <x:c r="K144" s="137" t="str"/>
      <x:c r="L144" s="137" t="str"/>
      <x:c r="M144" s="160" t="str"/>
      <x:c r="N144" s="160" t="str"/>
      <x:c r="O144" s="137" t="str"/>
      <x:c r="P144" s="137" t="str"/>
      <x:c r="Q144" s="137" t="str"/>
      <x:c r="R144" s="137" t="str"/>
      <x:c r="S144" s="138" t="str"/>
      <x:c r="T144" s="137" t="str"/>
      <x:c r="U144" s="137" t="str"/>
      <x:c r="V144" s="137" t="str"/>
      <x:c r="W144" s="137" t="str"/>
      <x:c r="X144" s="137" t="str"/>
      <x:c r="Y144" s="199" t="str"/>
    </x:row>
    <x:row r="145">
      <x:c r="A145" s="137" t="str"/>
      <x:c r="B145" s="137" t="str"/>
      <x:c r="C145" s="138" t="str"/>
      <x:c r="D145" s="137" t="str"/>
      <x:c r="E145" s="137" t="str"/>
      <x:c r="F145" s="137" t="str"/>
      <x:c r="G145" s="137" t="str"/>
      <x:c r="H145" s="137" t="str"/>
      <x:c r="I145" s="137" t="str"/>
      <x:c r="J145" s="137" t="str"/>
      <x:c r="K145" s="137" t="str"/>
      <x:c r="L145" s="137" t="str"/>
      <x:c r="M145" s="160" t="str"/>
      <x:c r="N145" s="160" t="str"/>
      <x:c r="O145" s="137" t="str"/>
      <x:c r="P145" s="137" t="str"/>
      <x:c r="Q145" s="137" t="str"/>
      <x:c r="R145" s="137" t="str"/>
      <x:c r="S145" s="138" t="str"/>
      <x:c r="T145" s="137" t="str"/>
      <x:c r="U145" s="137" t="str"/>
      <x:c r="V145" s="137" t="str"/>
      <x:c r="W145" s="137" t="str"/>
      <x:c r="X145" s="137" t="str"/>
      <x:c r="Y145" s="199" t="str"/>
    </x:row>
    <x:row r="146">
      <x:c r="A146" s="137" t="str"/>
      <x:c r="B146" s="137" t="str"/>
      <x:c r="C146" s="138" t="str"/>
      <x:c r="D146" s="137" t="str"/>
      <x:c r="E146" s="137" t="str"/>
      <x:c r="F146" s="137" t="str"/>
      <x:c r="G146" s="137" t="str"/>
      <x:c r="H146" s="137" t="str"/>
      <x:c r="I146" s="137" t="str"/>
      <x:c r="J146" s="137" t="str"/>
      <x:c r="K146" s="137" t="str"/>
      <x:c r="L146" s="137" t="str"/>
      <x:c r="M146" s="160" t="str"/>
      <x:c r="N146" s="160" t="str"/>
      <x:c r="O146" s="137" t="str"/>
      <x:c r="P146" s="137" t="str"/>
      <x:c r="Q146" s="137" t="str"/>
      <x:c r="R146" s="137" t="str"/>
      <x:c r="S146" s="138" t="str"/>
      <x:c r="T146" s="137" t="str"/>
      <x:c r="U146" s="137" t="str"/>
      <x:c r="V146" s="137" t="str"/>
      <x:c r="W146" s="137" t="str"/>
      <x:c r="X146" s="137" t="str"/>
      <x:c r="Y146" s="199" t="str"/>
    </x:row>
    <x:row r="147">
      <x:c r="A147" s="137" t="str"/>
      <x:c r="B147" s="137" t="str"/>
      <x:c r="C147" s="138" t="str"/>
      <x:c r="D147" s="137" t="str"/>
      <x:c r="E147" s="137" t="str"/>
      <x:c r="F147" s="137" t="str"/>
      <x:c r="G147" s="137" t="str"/>
      <x:c r="H147" s="137" t="str"/>
      <x:c r="I147" s="137" t="str"/>
      <x:c r="J147" s="137" t="str"/>
      <x:c r="K147" s="137" t="str"/>
      <x:c r="L147" s="137" t="str"/>
      <x:c r="M147" s="160" t="str"/>
      <x:c r="N147" s="160" t="str"/>
      <x:c r="O147" s="137" t="str"/>
      <x:c r="P147" s="137" t="str"/>
      <x:c r="Q147" s="137" t="str"/>
      <x:c r="R147" s="137" t="str"/>
      <x:c r="S147" s="138" t="str"/>
      <x:c r="T147" s="137" t="str"/>
      <x:c r="U147" s="137" t="str"/>
      <x:c r="V147" s="137" t="str"/>
      <x:c r="W147" s="137" t="str"/>
      <x:c r="X147" s="137" t="str"/>
      <x:c r="Y147" s="199" t="str"/>
    </x:row>
    <x:row r="148">
      <x:c r="A148" s="137" t="str"/>
      <x:c r="B148" s="137" t="str"/>
      <x:c r="C148" s="138" t="str"/>
      <x:c r="D148" s="137" t="str"/>
      <x:c r="E148" s="137" t="str"/>
      <x:c r="F148" s="137" t="str"/>
      <x:c r="G148" s="137" t="str"/>
      <x:c r="H148" s="137" t="str"/>
      <x:c r="I148" s="137" t="str"/>
      <x:c r="J148" s="137" t="str"/>
      <x:c r="K148" s="137" t="str"/>
      <x:c r="L148" s="137" t="str"/>
      <x:c r="M148" s="160" t="str"/>
      <x:c r="N148" s="160" t="str"/>
      <x:c r="O148" s="137" t="str"/>
      <x:c r="P148" s="137" t="str"/>
      <x:c r="Q148" s="137" t="str"/>
      <x:c r="R148" s="137" t="str"/>
      <x:c r="S148" s="138" t="str"/>
      <x:c r="T148" s="137" t="str"/>
      <x:c r="U148" s="137" t="str"/>
      <x:c r="V148" s="137" t="str"/>
      <x:c r="W148" s="137" t="str"/>
      <x:c r="X148" s="137" t="str"/>
      <x:c r="Y148" s="199" t="str"/>
    </x:row>
    <x:row r="149">
      <x:c r="A149" s="137" t="str"/>
      <x:c r="B149" s="137" t="str"/>
      <x:c r="C149" s="138" t="str"/>
      <x:c r="D149" s="137" t="str"/>
      <x:c r="E149" s="137" t="str"/>
      <x:c r="F149" s="137" t="str"/>
      <x:c r="G149" s="137" t="str"/>
      <x:c r="H149" s="137" t="str"/>
      <x:c r="I149" s="137" t="str"/>
      <x:c r="J149" s="137" t="str"/>
      <x:c r="K149" s="137" t="str"/>
      <x:c r="L149" s="137" t="str"/>
      <x:c r="M149" s="160" t="str"/>
      <x:c r="N149" s="160" t="str"/>
      <x:c r="O149" s="137" t="str"/>
      <x:c r="P149" s="137" t="str"/>
      <x:c r="Q149" s="137" t="str"/>
      <x:c r="R149" s="137" t="str"/>
      <x:c r="S149" s="138" t="str"/>
      <x:c r="T149" s="137" t="str"/>
      <x:c r="U149" s="137" t="str"/>
      <x:c r="V149" s="137" t="str"/>
      <x:c r="W149" s="137" t="str"/>
      <x:c r="X149" s="137" t="str"/>
      <x:c r="Y149" s="199" t="str"/>
    </x:row>
    <x:row r="150">
      <x:c r="A150" s="137" t="str"/>
      <x:c r="B150" s="137" t="str"/>
      <x:c r="C150" s="138" t="str"/>
      <x:c r="D150" s="137" t="str"/>
      <x:c r="E150" s="137" t="str"/>
      <x:c r="F150" s="137" t="str"/>
      <x:c r="G150" s="137" t="str"/>
      <x:c r="H150" s="137" t="str"/>
      <x:c r="I150" s="137" t="str"/>
      <x:c r="J150" s="137" t="str"/>
      <x:c r="K150" s="137" t="str"/>
      <x:c r="L150" s="137" t="str"/>
      <x:c r="M150" s="160" t="str"/>
      <x:c r="N150" s="160" t="str"/>
      <x:c r="O150" s="137" t="str"/>
      <x:c r="P150" s="137" t="str"/>
      <x:c r="Q150" s="137" t="str"/>
      <x:c r="R150" s="137" t="str"/>
      <x:c r="S150" s="138" t="str"/>
      <x:c r="T150" s="137" t="str"/>
      <x:c r="U150" s="137" t="str"/>
      <x:c r="V150" s="137" t="str"/>
      <x:c r="W150" s="137" t="str"/>
      <x:c r="X150" s="137" t="str"/>
      <x:c r="Y150" s="199" t="str"/>
    </x:row>
    <x:row r="151">
      <x:c r="A151" s="137" t="str"/>
      <x:c r="B151" s="137" t="str"/>
      <x:c r="C151" s="138" t="str"/>
      <x:c r="D151" s="137" t="str"/>
      <x:c r="E151" s="137" t="str"/>
      <x:c r="F151" s="137" t="str"/>
      <x:c r="G151" s="137" t="str"/>
      <x:c r="H151" s="137" t="str"/>
      <x:c r="I151" s="137" t="str"/>
      <x:c r="J151" s="137" t="str"/>
      <x:c r="K151" s="137" t="str"/>
      <x:c r="L151" s="137" t="str"/>
      <x:c r="M151" s="160" t="str"/>
      <x:c r="N151" s="160" t="str"/>
      <x:c r="O151" s="137" t="str"/>
      <x:c r="P151" s="137" t="str"/>
      <x:c r="Q151" s="137" t="str"/>
      <x:c r="R151" s="137" t="str"/>
      <x:c r="S151" s="138" t="str"/>
      <x:c r="T151" s="137" t="str"/>
      <x:c r="U151" s="137" t="str"/>
      <x:c r="V151" s="137" t="str"/>
      <x:c r="W151" s="137" t="str"/>
      <x:c r="X151" s="137" t="str"/>
      <x:c r="Y151" s="199" t="str"/>
    </x:row>
    <x:row r="152">
      <x:c r="A152" s="137" t="str"/>
      <x:c r="B152" s="137" t="str"/>
      <x:c r="C152" s="138" t="str"/>
      <x:c r="D152" s="137" t="str"/>
      <x:c r="E152" s="137" t="str"/>
      <x:c r="F152" s="137" t="str"/>
      <x:c r="G152" s="137" t="str"/>
      <x:c r="H152" s="137" t="str"/>
      <x:c r="I152" s="137" t="str"/>
      <x:c r="J152" s="137" t="str"/>
      <x:c r="K152" s="137" t="str"/>
      <x:c r="L152" s="137" t="str"/>
      <x:c r="M152" s="160" t="str"/>
      <x:c r="N152" s="160" t="str"/>
      <x:c r="O152" s="137" t="str"/>
      <x:c r="P152" s="137" t="str"/>
      <x:c r="Q152" s="137" t="str"/>
      <x:c r="R152" s="137" t="str"/>
      <x:c r="S152" s="138" t="str"/>
      <x:c r="T152" s="137" t="str"/>
      <x:c r="U152" s="137" t="str"/>
      <x:c r="V152" s="137" t="str"/>
      <x:c r="W152" s="137" t="str"/>
      <x:c r="X152" s="137" t="str"/>
      <x:c r="Y152" s="199" t="str"/>
    </x:row>
    <x:row r="153">
      <x:c r="A153" s="137" t="str"/>
      <x:c r="B153" s="137" t="str"/>
      <x:c r="C153" s="138" t="str"/>
      <x:c r="D153" s="137" t="str"/>
      <x:c r="E153" s="137" t="str"/>
      <x:c r="F153" s="137" t="str"/>
      <x:c r="G153" s="137" t="str"/>
      <x:c r="H153" s="137" t="str"/>
      <x:c r="I153" s="137" t="str"/>
      <x:c r="J153" s="137" t="str"/>
      <x:c r="K153" s="137" t="str"/>
      <x:c r="L153" s="137" t="str"/>
      <x:c r="M153" s="160" t="str"/>
      <x:c r="N153" s="160" t="str"/>
      <x:c r="O153" s="137" t="str"/>
      <x:c r="P153" s="137" t="str"/>
      <x:c r="Q153" s="137" t="str"/>
      <x:c r="R153" s="137" t="str"/>
      <x:c r="S153" s="138" t="str"/>
      <x:c r="T153" s="137" t="str"/>
      <x:c r="U153" s="137" t="str"/>
      <x:c r="V153" s="137" t="str"/>
      <x:c r="W153" s="137" t="str"/>
      <x:c r="X153" s="137" t="str"/>
      <x:c r="Y153" s="199" t="str"/>
    </x:row>
    <x:row r="154">
      <x:c r="A154" s="137" t="str"/>
      <x:c r="B154" s="137" t="str"/>
      <x:c r="C154" s="138" t="str"/>
      <x:c r="D154" s="137" t="str"/>
      <x:c r="E154" s="137" t="str"/>
      <x:c r="F154" s="137" t="str"/>
      <x:c r="G154" s="137" t="str"/>
      <x:c r="H154" s="137" t="str"/>
      <x:c r="I154" s="137" t="str"/>
      <x:c r="J154" s="137" t="str"/>
      <x:c r="K154" s="137" t="str"/>
      <x:c r="L154" s="137" t="str"/>
      <x:c r="M154" s="160" t="str"/>
      <x:c r="N154" s="160" t="str"/>
      <x:c r="O154" s="137" t="str"/>
      <x:c r="P154" s="137" t="str"/>
      <x:c r="Q154" s="137" t="str"/>
      <x:c r="R154" s="137" t="str"/>
      <x:c r="S154" s="138" t="str"/>
      <x:c r="T154" s="137" t="str"/>
      <x:c r="U154" s="137" t="str"/>
      <x:c r="V154" s="137" t="str"/>
      <x:c r="W154" s="137" t="str"/>
      <x:c r="X154" s="137" t="str"/>
      <x:c r="Y154" s="199" t="str"/>
    </x:row>
    <x:row r="155">
      <x:c r="A155" s="137" t="str"/>
      <x:c r="B155" s="137" t="str"/>
      <x:c r="C155" s="138" t="str"/>
      <x:c r="D155" s="137" t="str"/>
      <x:c r="E155" s="137" t="str"/>
      <x:c r="F155" s="137" t="str"/>
      <x:c r="G155" s="137" t="str"/>
      <x:c r="H155" s="137" t="str"/>
      <x:c r="I155" s="137" t="str"/>
      <x:c r="J155" s="137" t="str"/>
      <x:c r="K155" s="137" t="str"/>
      <x:c r="L155" s="137" t="str"/>
      <x:c r="M155" s="160" t="str"/>
      <x:c r="N155" s="160" t="str"/>
      <x:c r="O155" s="137" t="str"/>
      <x:c r="P155" s="137" t="str"/>
      <x:c r="Q155" s="137" t="str"/>
      <x:c r="R155" s="137" t="str"/>
      <x:c r="S155" s="138" t="str"/>
      <x:c r="T155" s="137" t="str"/>
      <x:c r="U155" s="137" t="str"/>
      <x:c r="V155" s="137" t="str"/>
      <x:c r="W155" s="137" t="str"/>
      <x:c r="X155" s="137" t="str"/>
      <x:c r="Y155" s="199" t="str"/>
    </x:row>
    <x:row r="156">
      <x:c r="A156" s="137" t="str"/>
      <x:c r="B156" s="137" t="str"/>
      <x:c r="C156" s="138" t="str"/>
      <x:c r="D156" s="137" t="str"/>
      <x:c r="E156" s="137" t="str"/>
      <x:c r="F156" s="137" t="str"/>
      <x:c r="G156" s="137" t="str"/>
      <x:c r="H156" s="137" t="str"/>
      <x:c r="I156" s="137" t="str"/>
      <x:c r="J156" s="137" t="str"/>
      <x:c r="K156" s="137" t="str"/>
      <x:c r="L156" s="137" t="str"/>
      <x:c r="M156" s="160" t="str"/>
      <x:c r="N156" s="160" t="str"/>
      <x:c r="O156" s="137" t="str"/>
      <x:c r="P156" s="137" t="str"/>
      <x:c r="Q156" s="137" t="str"/>
      <x:c r="R156" s="137" t="str"/>
      <x:c r="S156" s="138" t="str"/>
      <x:c r="T156" s="137" t="str"/>
      <x:c r="U156" s="137" t="str"/>
      <x:c r="V156" s="137" t="str"/>
      <x:c r="W156" s="137" t="str"/>
      <x:c r="X156" s="137" t="str"/>
      <x:c r="Y156" s="199" t="str"/>
    </x:row>
    <x:row r="157">
      <x:c r="A157" s="137" t="str"/>
      <x:c r="B157" s="137" t="str"/>
      <x:c r="C157" s="138" t="str"/>
      <x:c r="D157" s="137" t="str"/>
      <x:c r="E157" s="137" t="str"/>
      <x:c r="F157" s="137" t="str"/>
      <x:c r="G157" s="137" t="str"/>
      <x:c r="H157" s="137" t="str"/>
      <x:c r="I157" s="137" t="str"/>
      <x:c r="J157" s="137" t="str"/>
      <x:c r="K157" s="137" t="str"/>
      <x:c r="L157" s="137" t="str"/>
      <x:c r="M157" s="160" t="str"/>
      <x:c r="N157" s="160" t="str"/>
      <x:c r="O157" s="137" t="str"/>
      <x:c r="P157" s="137" t="str"/>
      <x:c r="Q157" s="137" t="str"/>
      <x:c r="R157" s="137" t="str"/>
      <x:c r="S157" s="138" t="str"/>
      <x:c r="T157" s="137" t="str"/>
      <x:c r="U157" s="137" t="str"/>
      <x:c r="V157" s="137" t="str"/>
      <x:c r="W157" s="137" t="str"/>
      <x:c r="X157" s="137" t="str"/>
      <x:c r="Y157" s="199" t="str"/>
    </x:row>
    <x:row r="158">
      <x:c r="A158" s="137" t="str"/>
      <x:c r="B158" s="137" t="str"/>
      <x:c r="C158" s="138" t="str"/>
      <x:c r="D158" s="137" t="str"/>
      <x:c r="E158" s="137" t="str"/>
      <x:c r="F158" s="137" t="str"/>
      <x:c r="G158" s="137" t="str"/>
      <x:c r="H158" s="137" t="str"/>
      <x:c r="I158" s="137" t="str"/>
      <x:c r="J158" s="137" t="str"/>
      <x:c r="K158" s="137" t="str"/>
      <x:c r="L158" s="137" t="str"/>
      <x:c r="M158" s="160" t="str"/>
      <x:c r="N158" s="160" t="str"/>
      <x:c r="O158" s="137" t="str"/>
      <x:c r="P158" s="137" t="str"/>
      <x:c r="Q158" s="137" t="str"/>
      <x:c r="R158" s="137" t="str"/>
      <x:c r="S158" s="138" t="str"/>
      <x:c r="T158" s="137" t="str"/>
      <x:c r="U158" s="137" t="str"/>
      <x:c r="V158" s="137" t="str"/>
      <x:c r="W158" s="137" t="str"/>
      <x:c r="X158" s="137" t="str"/>
      <x:c r="Y158" s="199" t="str"/>
    </x:row>
    <x:row r="159">
      <x:c r="A159" s="137" t="str"/>
      <x:c r="B159" s="137" t="str"/>
      <x:c r="C159" s="138" t="str"/>
      <x:c r="D159" s="137" t="str"/>
      <x:c r="E159" s="137" t="str"/>
      <x:c r="F159" s="137" t="str"/>
      <x:c r="G159" s="137" t="str"/>
      <x:c r="H159" s="137" t="str"/>
      <x:c r="I159" s="137" t="str"/>
      <x:c r="J159" s="137" t="str"/>
      <x:c r="K159" s="137" t="str"/>
      <x:c r="L159" s="137" t="str"/>
      <x:c r="M159" s="160" t="str"/>
      <x:c r="N159" s="160" t="str"/>
      <x:c r="O159" s="137" t="str"/>
      <x:c r="P159" s="137" t="str"/>
      <x:c r="Q159" s="137" t="str"/>
      <x:c r="R159" s="137" t="str"/>
      <x:c r="S159" s="138" t="str"/>
      <x:c r="T159" s="137" t="str"/>
      <x:c r="U159" s="137" t="str"/>
      <x:c r="V159" s="137" t="str"/>
      <x:c r="W159" s="137" t="str"/>
      <x:c r="X159" s="137" t="str"/>
      <x:c r="Y159" s="199" t="str"/>
    </x:row>
    <x:row r="160">
      <x:c r="A160" s="137" t="str"/>
      <x:c r="B160" s="137" t="str"/>
      <x:c r="C160" s="138" t="str"/>
      <x:c r="D160" s="137" t="str"/>
      <x:c r="E160" s="137" t="str"/>
      <x:c r="F160" s="137" t="str"/>
      <x:c r="G160" s="137" t="str"/>
      <x:c r="H160" s="137" t="str"/>
      <x:c r="I160" s="137" t="str"/>
      <x:c r="J160" s="137" t="str"/>
      <x:c r="K160" s="137" t="str"/>
      <x:c r="L160" s="137" t="str"/>
      <x:c r="M160" s="160" t="str"/>
      <x:c r="N160" s="160" t="str"/>
      <x:c r="O160" s="137" t="str"/>
      <x:c r="P160" s="137" t="str"/>
      <x:c r="Q160" s="137" t="str"/>
      <x:c r="R160" s="137" t="str"/>
      <x:c r="S160" s="138" t="str"/>
      <x:c r="T160" s="137" t="str"/>
      <x:c r="U160" s="137" t="str"/>
      <x:c r="V160" s="137" t="str"/>
      <x:c r="W160" s="137" t="str"/>
      <x:c r="X160" s="137" t="str"/>
      <x:c r="Y160" s="199" t="str"/>
    </x:row>
    <x:row r="161">
      <x:c r="A161" s="137" t="str"/>
      <x:c r="B161" s="137" t="str"/>
      <x:c r="C161" s="138" t="str"/>
      <x:c r="D161" s="137" t="str"/>
      <x:c r="E161" s="137" t="str"/>
      <x:c r="F161" s="137" t="str"/>
      <x:c r="G161" s="137" t="str"/>
      <x:c r="H161" s="137" t="str"/>
      <x:c r="I161" s="137" t="str"/>
      <x:c r="J161" s="137" t="str"/>
      <x:c r="K161" s="137" t="str"/>
      <x:c r="L161" s="137" t="str"/>
      <x:c r="M161" s="160" t="str"/>
      <x:c r="N161" s="160" t="str"/>
      <x:c r="O161" s="137" t="str"/>
      <x:c r="P161" s="137" t="str"/>
      <x:c r="Q161" s="137" t="str"/>
      <x:c r="R161" s="137" t="str"/>
      <x:c r="S161" s="138" t="str"/>
      <x:c r="T161" s="137" t="str"/>
      <x:c r="U161" s="137" t="str"/>
      <x:c r="V161" s="137" t="str"/>
      <x:c r="W161" s="137" t="str"/>
      <x:c r="X161" s="137" t="str"/>
      <x:c r="Y161" s="199" t="str"/>
    </x:row>
    <x:row r="162">
      <x:c r="A162" s="137" t="str"/>
      <x:c r="B162" s="137" t="str"/>
      <x:c r="C162" s="138" t="str"/>
      <x:c r="D162" s="137" t="str"/>
      <x:c r="E162" s="137" t="str"/>
      <x:c r="F162" s="137" t="str"/>
      <x:c r="G162" s="137" t="str"/>
      <x:c r="H162" s="137" t="str"/>
      <x:c r="I162" s="137" t="str"/>
      <x:c r="J162" s="137" t="str"/>
      <x:c r="K162" s="137" t="str"/>
      <x:c r="L162" s="137" t="str"/>
      <x:c r="M162" s="160" t="str"/>
      <x:c r="N162" s="160" t="str"/>
      <x:c r="O162" s="137" t="str"/>
      <x:c r="P162" s="137" t="str"/>
      <x:c r="Q162" s="137" t="str"/>
      <x:c r="R162" s="137" t="str"/>
      <x:c r="S162" s="138" t="str"/>
      <x:c r="T162" s="137" t="str"/>
      <x:c r="U162" s="137" t="str"/>
      <x:c r="V162" s="137" t="str"/>
      <x:c r="W162" s="137" t="str"/>
      <x:c r="X162" s="137" t="str"/>
      <x:c r="Y162" s="199" t="str"/>
    </x:row>
    <x:row r="163">
      <x:c r="A163" s="137" t="str"/>
      <x:c r="B163" s="137" t="str"/>
      <x:c r="C163" s="138" t="str"/>
      <x:c r="D163" s="137" t="str"/>
      <x:c r="E163" s="137" t="str"/>
      <x:c r="F163" s="137" t="str"/>
      <x:c r="G163" s="137" t="str"/>
      <x:c r="H163" s="137" t="str"/>
      <x:c r="I163" s="137" t="str"/>
      <x:c r="J163" s="137" t="str"/>
      <x:c r="K163" s="137" t="str"/>
      <x:c r="L163" s="137" t="str"/>
      <x:c r="M163" s="160" t="str"/>
      <x:c r="N163" s="160" t="str"/>
      <x:c r="O163" s="137" t="str"/>
      <x:c r="P163" s="137" t="str"/>
      <x:c r="Q163" s="137" t="str"/>
      <x:c r="R163" s="137" t="str"/>
      <x:c r="S163" s="138" t="str"/>
      <x:c r="T163" s="137" t="str"/>
      <x:c r="U163" s="137" t="str"/>
      <x:c r="V163" s="137" t="str"/>
      <x:c r="W163" s="137" t="str"/>
      <x:c r="X163" s="137" t="str"/>
      <x:c r="Y163" s="199" t="str"/>
    </x:row>
    <x:row r="164">
      <x:c r="A164" s="137" t="str"/>
      <x:c r="B164" s="137" t="str"/>
      <x:c r="C164" s="138" t="str"/>
      <x:c r="D164" s="137" t="str"/>
      <x:c r="E164" s="137" t="str"/>
      <x:c r="F164" s="137" t="str"/>
      <x:c r="G164" s="137" t="str"/>
      <x:c r="H164" s="137" t="str"/>
      <x:c r="I164" s="137" t="str"/>
      <x:c r="J164" s="137" t="str"/>
      <x:c r="K164" s="137" t="str"/>
      <x:c r="L164" s="137" t="str"/>
      <x:c r="M164" s="160" t="str"/>
      <x:c r="N164" s="160" t="str"/>
      <x:c r="O164" s="137" t="str"/>
      <x:c r="P164" s="137" t="str"/>
      <x:c r="Q164" s="137" t="str"/>
      <x:c r="R164" s="137" t="str"/>
      <x:c r="S164" s="138" t="str"/>
      <x:c r="T164" s="137" t="str"/>
      <x:c r="U164" s="137" t="str"/>
      <x:c r="V164" s="137" t="str"/>
      <x:c r="W164" s="137" t="str"/>
      <x:c r="X164" s="137" t="str"/>
      <x:c r="Y164" s="199" t="str"/>
    </x:row>
    <x:row r="165">
      <x:c r="A165" s="137" t="str"/>
      <x:c r="B165" s="137" t="str"/>
      <x:c r="C165" s="138" t="str"/>
      <x:c r="D165" s="137" t="str"/>
      <x:c r="E165" s="137" t="str"/>
      <x:c r="F165" s="137" t="str"/>
      <x:c r="G165" s="137" t="str"/>
      <x:c r="H165" s="137" t="str"/>
      <x:c r="I165" s="137" t="str"/>
      <x:c r="J165" s="137" t="str"/>
      <x:c r="K165" s="137" t="str"/>
      <x:c r="L165" s="137" t="str"/>
      <x:c r="M165" s="160" t="str"/>
      <x:c r="N165" s="160" t="str"/>
      <x:c r="O165" s="137" t="str"/>
      <x:c r="P165" s="137" t="str"/>
      <x:c r="Q165" s="137" t="str"/>
      <x:c r="R165" s="137" t="str"/>
      <x:c r="S165" s="138" t="str"/>
      <x:c r="T165" s="137" t="str"/>
      <x:c r="U165" s="137" t="str"/>
      <x:c r="V165" s="137" t="str"/>
      <x:c r="W165" s="137" t="str"/>
      <x:c r="X165" s="137" t="str"/>
      <x:c r="Y165" s="199" t="str"/>
    </x:row>
    <x:row r="166">
      <x:c r="A166" s="137" t="str"/>
      <x:c r="B166" s="137" t="str"/>
      <x:c r="C166" s="138" t="str"/>
      <x:c r="D166" s="137" t="str"/>
      <x:c r="E166" s="137" t="str"/>
      <x:c r="F166" s="137" t="str"/>
      <x:c r="G166" s="137" t="str"/>
      <x:c r="H166" s="137" t="str"/>
      <x:c r="I166" s="137" t="str"/>
      <x:c r="J166" s="137" t="str"/>
      <x:c r="K166" s="137" t="str"/>
      <x:c r="L166" s="137" t="str"/>
      <x:c r="M166" s="160" t="str"/>
      <x:c r="N166" s="160" t="str"/>
      <x:c r="O166" s="137" t="str"/>
      <x:c r="P166" s="137" t="str"/>
      <x:c r="Q166" s="137" t="str"/>
      <x:c r="R166" s="137" t="str"/>
      <x:c r="S166" s="138" t="str"/>
      <x:c r="T166" s="137" t="str"/>
      <x:c r="U166" s="137" t="str"/>
      <x:c r="V166" s="137" t="str"/>
      <x:c r="W166" s="137" t="str"/>
      <x:c r="X166" s="137" t="str"/>
      <x:c r="Y166" s="199" t="str"/>
    </x:row>
    <x:row r="167">
      <x:c r="A167" s="137" t="str"/>
      <x:c r="B167" s="137" t="str"/>
      <x:c r="C167" s="138" t="str"/>
      <x:c r="D167" s="137" t="str"/>
      <x:c r="E167" s="137" t="str"/>
      <x:c r="F167" s="137" t="str"/>
      <x:c r="G167" s="137" t="str"/>
      <x:c r="H167" s="137" t="str"/>
      <x:c r="I167" s="137" t="str"/>
      <x:c r="J167" s="137" t="str"/>
      <x:c r="K167" s="137" t="str"/>
      <x:c r="L167" s="137" t="str"/>
      <x:c r="M167" s="160" t="str"/>
      <x:c r="N167" s="160" t="str"/>
      <x:c r="O167" s="137" t="str"/>
      <x:c r="P167" s="137" t="str"/>
      <x:c r="Q167" s="137" t="str"/>
      <x:c r="R167" s="137" t="str"/>
      <x:c r="S167" s="138" t="str"/>
      <x:c r="T167" s="137" t="str"/>
      <x:c r="U167" s="137" t="str"/>
      <x:c r="V167" s="137" t="str"/>
      <x:c r="W167" s="137" t="str"/>
      <x:c r="X167" s="137" t="str"/>
      <x:c r="Y167" s="199" t="str"/>
    </x:row>
    <x:row r="168">
      <x:c r="A168" s="137" t="str"/>
      <x:c r="B168" s="137" t="str"/>
      <x:c r="C168" s="138" t="str"/>
      <x:c r="D168" s="137" t="str"/>
      <x:c r="E168" s="137" t="str"/>
      <x:c r="F168" s="137" t="str"/>
      <x:c r="G168" s="137" t="str"/>
      <x:c r="H168" s="137" t="str"/>
      <x:c r="I168" s="137" t="str"/>
      <x:c r="J168" s="137" t="str"/>
      <x:c r="K168" s="137" t="str"/>
      <x:c r="L168" s="137" t="str"/>
      <x:c r="M168" s="160" t="str"/>
      <x:c r="N168" s="160" t="str"/>
      <x:c r="O168" s="137" t="str"/>
      <x:c r="P168" s="137" t="str"/>
      <x:c r="Q168" s="137" t="str"/>
      <x:c r="R168" s="137" t="str"/>
      <x:c r="S168" s="138" t="str"/>
      <x:c r="T168" s="137" t="str"/>
      <x:c r="U168" s="137" t="str"/>
      <x:c r="V168" s="137" t="str"/>
      <x:c r="W168" s="137" t="str"/>
      <x:c r="X168" s="137" t="str"/>
      <x:c r="Y168" s="199" t="str"/>
    </x:row>
    <x:row r="169">
      <x:c r="A169" s="137" t="str"/>
      <x:c r="B169" s="137" t="str"/>
      <x:c r="C169" s="138" t="str"/>
      <x:c r="D169" s="137" t="str"/>
      <x:c r="E169" s="137" t="str"/>
      <x:c r="F169" s="137" t="str"/>
      <x:c r="G169" s="137" t="str"/>
      <x:c r="H169" s="137" t="str"/>
      <x:c r="I169" s="137" t="str"/>
      <x:c r="J169" s="137" t="str"/>
      <x:c r="K169" s="137" t="str"/>
      <x:c r="L169" s="137" t="str"/>
      <x:c r="M169" s="160" t="str"/>
      <x:c r="N169" s="160" t="str"/>
      <x:c r="O169" s="137" t="str"/>
      <x:c r="P169" s="137" t="str"/>
      <x:c r="Q169" s="137" t="str"/>
      <x:c r="R169" s="137" t="str"/>
      <x:c r="S169" s="138" t="str"/>
      <x:c r="T169" s="137" t="str"/>
      <x:c r="U169" s="137" t="str"/>
      <x:c r="V169" s="137" t="str"/>
      <x:c r="W169" s="137" t="str"/>
      <x:c r="X169" s="137" t="str"/>
      <x:c r="Y169" s="199" t="str"/>
    </x:row>
    <x:row r="170">
      <x:c r="A170" s="137" t="str"/>
      <x:c r="B170" s="137" t="str"/>
      <x:c r="C170" s="138" t="str"/>
      <x:c r="D170" s="137" t="str"/>
      <x:c r="E170" s="137" t="str"/>
      <x:c r="F170" s="137" t="str"/>
      <x:c r="G170" s="137" t="str"/>
      <x:c r="H170" s="137" t="str"/>
      <x:c r="I170" s="137" t="str"/>
      <x:c r="J170" s="137" t="str"/>
      <x:c r="K170" s="137" t="str"/>
      <x:c r="L170" s="137" t="str"/>
      <x:c r="M170" s="160" t="str"/>
      <x:c r="N170" s="160" t="str"/>
      <x:c r="O170" s="137" t="str"/>
      <x:c r="P170" s="137" t="str"/>
      <x:c r="Q170" s="137" t="str"/>
      <x:c r="R170" s="137" t="str"/>
      <x:c r="S170" s="138" t="str"/>
      <x:c r="T170" s="137" t="str"/>
      <x:c r="U170" s="137" t="str"/>
      <x:c r="V170" s="137" t="str"/>
      <x:c r="W170" s="137" t="str"/>
      <x:c r="X170" s="137" t="str"/>
      <x:c r="Y170" s="199" t="str"/>
    </x:row>
    <x:row r="171">
      <x:c r="A171" s="137" t="str"/>
      <x:c r="B171" s="137" t="str"/>
      <x:c r="C171" s="138" t="str"/>
      <x:c r="D171" s="137" t="str"/>
      <x:c r="E171" s="137" t="str"/>
      <x:c r="F171" s="137" t="str"/>
      <x:c r="G171" s="137" t="str"/>
      <x:c r="H171" s="137" t="str"/>
      <x:c r="I171" s="137" t="str"/>
      <x:c r="J171" s="137" t="str"/>
      <x:c r="K171" s="137" t="str"/>
      <x:c r="L171" s="137" t="str"/>
      <x:c r="M171" s="160" t="str"/>
      <x:c r="N171" s="160" t="str"/>
      <x:c r="O171" s="137" t="str"/>
      <x:c r="P171" s="137" t="str"/>
      <x:c r="Q171" s="137" t="str"/>
      <x:c r="R171" s="137" t="str"/>
      <x:c r="S171" s="138" t="str"/>
      <x:c r="T171" s="137" t="str"/>
      <x:c r="U171" s="137" t="str"/>
      <x:c r="V171" s="137" t="str"/>
      <x:c r="W171" s="137" t="str"/>
      <x:c r="X171" s="137" t="str"/>
      <x:c r="Y171" s="199" t="str"/>
    </x:row>
    <x:row r="172">
      <x:c r="A172" s="137" t="str"/>
      <x:c r="B172" s="137" t="str"/>
      <x:c r="C172" s="138" t="str"/>
      <x:c r="D172" s="137" t="str"/>
      <x:c r="E172" s="137" t="str"/>
      <x:c r="F172" s="137" t="str"/>
      <x:c r="G172" s="137" t="str"/>
      <x:c r="H172" s="137" t="str"/>
      <x:c r="I172" s="137" t="str"/>
      <x:c r="J172" s="137" t="str"/>
      <x:c r="K172" s="137" t="str"/>
      <x:c r="L172" s="137" t="str"/>
      <x:c r="M172" s="160" t="str"/>
      <x:c r="N172" s="160" t="str"/>
      <x:c r="O172" s="137" t="str"/>
      <x:c r="P172" s="137" t="str"/>
      <x:c r="Q172" s="137" t="str"/>
      <x:c r="R172" s="137" t="str"/>
      <x:c r="S172" s="138" t="str"/>
      <x:c r="T172" s="137" t="str"/>
      <x:c r="U172" s="137" t="str"/>
      <x:c r="V172" s="137" t="str"/>
      <x:c r="W172" s="137" t="str"/>
      <x:c r="X172" s="137" t="str"/>
      <x:c r="Y172" s="199" t="str"/>
    </x:row>
    <x:row r="173">
      <x:c r="A173" s="137" t="str"/>
      <x:c r="B173" s="137" t="str"/>
      <x:c r="C173" s="138" t="str"/>
      <x:c r="D173" s="137" t="str"/>
      <x:c r="E173" s="137" t="str"/>
      <x:c r="F173" s="137" t="str"/>
      <x:c r="G173" s="137" t="str"/>
      <x:c r="H173" s="137" t="str"/>
      <x:c r="I173" s="137" t="str"/>
      <x:c r="J173" s="137" t="str"/>
      <x:c r="K173" s="137" t="str"/>
      <x:c r="L173" s="137" t="str"/>
      <x:c r="M173" s="160" t="str"/>
      <x:c r="N173" s="160" t="str"/>
      <x:c r="O173" s="137" t="str"/>
      <x:c r="P173" s="137" t="str"/>
      <x:c r="Q173" s="137" t="str"/>
      <x:c r="R173" s="137" t="str"/>
      <x:c r="S173" s="138" t="str"/>
      <x:c r="T173" s="137" t="str"/>
      <x:c r="U173" s="137" t="str"/>
      <x:c r="V173" s="137" t="str"/>
      <x:c r="W173" s="137" t="str"/>
      <x:c r="X173" s="137" t="str"/>
      <x:c r="Y173" s="199" t="str"/>
    </x:row>
    <x:row r="174">
      <x:c r="A174" s="137" t="str"/>
      <x:c r="B174" s="137" t="str"/>
      <x:c r="C174" s="138" t="str"/>
      <x:c r="D174" s="137" t="str"/>
      <x:c r="E174" s="137" t="str"/>
      <x:c r="F174" s="137" t="str"/>
      <x:c r="G174" s="137" t="str"/>
      <x:c r="H174" s="137" t="str"/>
      <x:c r="I174" s="137" t="str"/>
      <x:c r="J174" s="137" t="str"/>
      <x:c r="K174" s="137" t="str"/>
      <x:c r="L174" s="137" t="str"/>
      <x:c r="M174" s="160" t="str"/>
      <x:c r="N174" s="160" t="str"/>
      <x:c r="O174" s="137" t="str"/>
      <x:c r="P174" s="137" t="str"/>
      <x:c r="Q174" s="137" t="str"/>
      <x:c r="R174" s="137" t="str"/>
      <x:c r="S174" s="138" t="str"/>
      <x:c r="T174" s="137" t="str"/>
      <x:c r="U174" s="137" t="str"/>
      <x:c r="V174" s="137" t="str"/>
      <x:c r="W174" s="137" t="str"/>
      <x:c r="X174" s="137" t="str"/>
      <x:c r="Y174" s="199" t="str"/>
    </x:row>
    <x:row r="175">
      <x:c r="A175" s="137" t="str"/>
      <x:c r="B175" s="137" t="str"/>
      <x:c r="C175" s="138" t="str"/>
      <x:c r="D175" s="137" t="str"/>
      <x:c r="E175" s="137" t="str"/>
      <x:c r="F175" s="137" t="str"/>
      <x:c r="G175" s="137" t="str"/>
      <x:c r="H175" s="137" t="str"/>
      <x:c r="I175" s="137" t="str"/>
      <x:c r="J175" s="137" t="str"/>
      <x:c r="K175" s="137" t="str"/>
      <x:c r="L175" s="137" t="str"/>
      <x:c r="M175" s="160" t="str"/>
      <x:c r="N175" s="160" t="str"/>
      <x:c r="O175" s="137" t="str"/>
      <x:c r="P175" s="137" t="str"/>
      <x:c r="Q175" s="137" t="str"/>
      <x:c r="R175" s="137" t="str"/>
      <x:c r="S175" s="138" t="str"/>
      <x:c r="T175" s="137" t="str"/>
      <x:c r="U175" s="137" t="str"/>
      <x:c r="V175" s="137" t="str"/>
      <x:c r="W175" s="137" t="str"/>
      <x:c r="X175" s="137" t="str"/>
      <x:c r="Y175" s="199" t="str"/>
    </x:row>
    <x:row r="176">
      <x:c r="A176" s="137" t="str"/>
      <x:c r="B176" s="137" t="str"/>
      <x:c r="C176" s="138" t="str"/>
      <x:c r="D176" s="137" t="str"/>
      <x:c r="E176" s="137" t="str"/>
      <x:c r="F176" s="137" t="str"/>
      <x:c r="G176" s="137" t="str"/>
      <x:c r="H176" s="137" t="str"/>
      <x:c r="I176" s="137" t="str"/>
      <x:c r="J176" s="137" t="str"/>
      <x:c r="K176" s="137" t="str"/>
      <x:c r="L176" s="137" t="str"/>
      <x:c r="M176" s="160" t="str"/>
      <x:c r="N176" s="160" t="str"/>
      <x:c r="O176" s="137" t="str"/>
      <x:c r="P176" s="137" t="str"/>
      <x:c r="Q176" s="137" t="str"/>
      <x:c r="R176" s="137" t="str"/>
      <x:c r="S176" s="138" t="str"/>
      <x:c r="T176" s="137" t="str"/>
      <x:c r="U176" s="137" t="str"/>
      <x:c r="V176" s="137" t="str"/>
      <x:c r="W176" s="137" t="str"/>
      <x:c r="X176" s="137" t="str"/>
      <x:c r="Y176" s="199" t="str"/>
    </x:row>
    <x:row r="177">
      <x:c r="A177" s="137" t="str"/>
      <x:c r="B177" s="137" t="str"/>
      <x:c r="C177" s="138" t="str"/>
      <x:c r="D177" s="137" t="str"/>
      <x:c r="E177" s="137" t="str"/>
      <x:c r="F177" s="137" t="str"/>
      <x:c r="G177" s="137" t="str"/>
      <x:c r="H177" s="137" t="str"/>
      <x:c r="I177" s="137" t="str"/>
      <x:c r="J177" s="137" t="str"/>
      <x:c r="K177" s="137" t="str"/>
      <x:c r="L177" s="137" t="str"/>
      <x:c r="M177" s="160" t="str"/>
      <x:c r="N177" s="160" t="str"/>
      <x:c r="O177" s="137" t="str"/>
      <x:c r="P177" s="137" t="str"/>
      <x:c r="Q177" s="137" t="str"/>
      <x:c r="R177" s="137" t="str"/>
      <x:c r="S177" s="138" t="str"/>
      <x:c r="T177" s="137" t="str"/>
      <x:c r="U177" s="137" t="str"/>
      <x:c r="V177" s="137" t="str"/>
      <x:c r="W177" s="137" t="str"/>
      <x:c r="X177" s="137" t="str"/>
      <x:c r="Y177" s="199" t="str"/>
    </x:row>
    <x:row r="178">
      <x:c r="A178" s="137" t="str"/>
      <x:c r="B178" s="137" t="str"/>
      <x:c r="C178" s="138" t="str"/>
      <x:c r="D178" s="137" t="str"/>
      <x:c r="E178" s="137" t="str"/>
      <x:c r="F178" s="137" t="str"/>
      <x:c r="G178" s="137" t="str"/>
      <x:c r="H178" s="137" t="str"/>
      <x:c r="I178" s="137" t="str"/>
      <x:c r="J178" s="137" t="str"/>
      <x:c r="K178" s="137" t="str"/>
      <x:c r="L178" s="137" t="str"/>
      <x:c r="M178" s="160" t="str"/>
      <x:c r="N178" s="160" t="str"/>
      <x:c r="O178" s="137" t="str"/>
      <x:c r="P178" s="137" t="str"/>
      <x:c r="Q178" s="137" t="str"/>
      <x:c r="R178" s="137" t="str"/>
      <x:c r="S178" s="138" t="str"/>
      <x:c r="T178" s="137" t="str"/>
      <x:c r="U178" s="137" t="str"/>
      <x:c r="V178" s="137" t="str"/>
      <x:c r="W178" s="137" t="str"/>
      <x:c r="X178" s="137" t="str"/>
      <x:c r="Y178" s="199" t="str"/>
    </x:row>
    <x:row r="179">
      <x:c r="A179" s="137" t="str"/>
      <x:c r="B179" s="137" t="str"/>
      <x:c r="C179" s="138" t="str"/>
      <x:c r="D179" s="137" t="str"/>
      <x:c r="E179" s="137" t="str"/>
      <x:c r="F179" s="137" t="str"/>
      <x:c r="G179" s="137" t="str"/>
      <x:c r="H179" s="137" t="str"/>
      <x:c r="I179" s="137" t="str"/>
      <x:c r="J179" s="137" t="str"/>
      <x:c r="K179" s="137" t="str"/>
      <x:c r="L179" s="137" t="str"/>
      <x:c r="M179" s="160" t="str"/>
      <x:c r="N179" s="160" t="str"/>
      <x:c r="O179" s="137" t="str"/>
      <x:c r="P179" s="137" t="str"/>
      <x:c r="Q179" s="137" t="str"/>
      <x:c r="R179" s="137" t="str"/>
      <x:c r="S179" s="138" t="str"/>
      <x:c r="T179" s="137" t="str"/>
      <x:c r="U179" s="137" t="str"/>
      <x:c r="V179" s="137" t="str"/>
      <x:c r="W179" s="137" t="str"/>
      <x:c r="X179" s="137" t="str"/>
      <x:c r="Y179" s="199" t="str"/>
    </x:row>
    <x:row r="180">
      <x:c r="A180" s="137" t="str"/>
      <x:c r="B180" s="137" t="str"/>
      <x:c r="C180" s="138" t="str"/>
      <x:c r="D180" s="137" t="str"/>
      <x:c r="E180" s="137" t="str"/>
      <x:c r="F180" s="137" t="str"/>
      <x:c r="G180" s="137" t="str"/>
      <x:c r="H180" s="137" t="str"/>
      <x:c r="I180" s="137" t="str"/>
      <x:c r="J180" s="137" t="str"/>
      <x:c r="K180" s="137" t="str"/>
      <x:c r="L180" s="137" t="str"/>
      <x:c r="M180" s="160" t="str"/>
      <x:c r="N180" s="160" t="str"/>
      <x:c r="O180" s="137" t="str"/>
      <x:c r="P180" s="137" t="str"/>
      <x:c r="Q180" s="137" t="str"/>
      <x:c r="R180" s="137" t="str"/>
      <x:c r="S180" s="138" t="str"/>
      <x:c r="T180" s="137" t="str"/>
      <x:c r="U180" s="137" t="str"/>
      <x:c r="V180" s="137" t="str"/>
      <x:c r="W180" s="137" t="str"/>
      <x:c r="X180" s="137" t="str"/>
      <x:c r="Y180" s="199" t="str"/>
    </x:row>
    <x:row r="181">
      <x:c r="A181" s="137" t="str"/>
      <x:c r="B181" s="137" t="str"/>
      <x:c r="C181" s="138" t="str"/>
      <x:c r="D181" s="137" t="str"/>
      <x:c r="E181" s="137" t="str"/>
      <x:c r="F181" s="137" t="str"/>
      <x:c r="G181" s="137" t="str"/>
      <x:c r="H181" s="137" t="str"/>
      <x:c r="I181" s="137" t="str"/>
      <x:c r="J181" s="137" t="str"/>
      <x:c r="K181" s="137" t="str"/>
      <x:c r="L181" s="137" t="str"/>
      <x:c r="M181" s="160" t="str"/>
      <x:c r="N181" s="160" t="str"/>
      <x:c r="O181" s="137" t="str"/>
      <x:c r="P181" s="137" t="str"/>
      <x:c r="Q181" s="137" t="str"/>
      <x:c r="R181" s="137" t="str"/>
      <x:c r="S181" s="138" t="str"/>
      <x:c r="T181" s="137" t="str"/>
      <x:c r="U181" s="137" t="str"/>
      <x:c r="V181" s="137" t="str"/>
      <x:c r="W181" s="137" t="str"/>
      <x:c r="X181" s="137" t="str"/>
      <x:c r="Y181" s="199" t="str"/>
    </x:row>
    <x:row r="182">
      <x:c r="A182" s="137" t="str"/>
      <x:c r="B182" s="137" t="str"/>
      <x:c r="C182" s="138" t="str"/>
      <x:c r="D182" s="137" t="str"/>
      <x:c r="E182" s="137" t="str"/>
      <x:c r="F182" s="137" t="str"/>
      <x:c r="G182" s="137" t="str"/>
      <x:c r="H182" s="137" t="str"/>
      <x:c r="I182" s="137" t="str"/>
      <x:c r="J182" s="137" t="str"/>
      <x:c r="K182" s="137" t="str"/>
      <x:c r="L182" s="137" t="str"/>
      <x:c r="M182" s="160" t="str"/>
      <x:c r="N182" s="160" t="str"/>
      <x:c r="O182" s="137" t="str"/>
      <x:c r="P182" s="137" t="str"/>
      <x:c r="Q182" s="137" t="str"/>
      <x:c r="R182" s="137" t="str"/>
      <x:c r="S182" s="138" t="str"/>
      <x:c r="T182" s="137" t="str"/>
      <x:c r="U182" s="137" t="str"/>
      <x:c r="V182" s="137" t="str"/>
      <x:c r="W182" s="137" t="str"/>
      <x:c r="X182" s="137" t="str"/>
      <x:c r="Y182" s="199" t="str"/>
    </x:row>
    <x:row r="183">
      <x:c r="A183" s="137" t="str"/>
      <x:c r="B183" s="137" t="str"/>
      <x:c r="C183" s="138" t="str"/>
      <x:c r="D183" s="137" t="str"/>
      <x:c r="E183" s="137" t="str"/>
      <x:c r="F183" s="137" t="str"/>
      <x:c r="G183" s="137" t="str"/>
      <x:c r="H183" s="137" t="str"/>
      <x:c r="I183" s="137" t="str"/>
      <x:c r="J183" s="137" t="str"/>
      <x:c r="K183" s="137" t="str"/>
      <x:c r="L183" s="137" t="str"/>
      <x:c r="M183" s="160" t="str"/>
      <x:c r="N183" s="160" t="str"/>
      <x:c r="O183" s="137" t="str"/>
      <x:c r="P183" s="137" t="str"/>
      <x:c r="Q183" s="137" t="str"/>
      <x:c r="R183" s="137" t="str"/>
      <x:c r="S183" s="138" t="str"/>
      <x:c r="T183" s="137" t="str"/>
      <x:c r="U183" s="137" t="str"/>
      <x:c r="V183" s="137" t="str"/>
      <x:c r="W183" s="137" t="str"/>
      <x:c r="X183" s="137" t="str"/>
      <x:c r="Y183" s="199" t="str"/>
    </x:row>
    <x:row r="184">
      <x:c r="A184" s="137" t="str"/>
      <x:c r="B184" s="137" t="str"/>
      <x:c r="C184" s="138" t="str"/>
      <x:c r="D184" s="137" t="str"/>
      <x:c r="E184" s="137" t="str"/>
      <x:c r="F184" s="137" t="str"/>
      <x:c r="G184" s="137" t="str"/>
      <x:c r="H184" s="137" t="str"/>
      <x:c r="I184" s="137" t="str"/>
      <x:c r="J184" s="137" t="str"/>
      <x:c r="K184" s="137" t="str"/>
      <x:c r="L184" s="137" t="str"/>
      <x:c r="M184" s="160" t="str"/>
      <x:c r="N184" s="160" t="str"/>
      <x:c r="O184" s="137" t="str"/>
      <x:c r="P184" s="137" t="str"/>
      <x:c r="Q184" s="137" t="str"/>
      <x:c r="R184" s="137" t="str"/>
      <x:c r="S184" s="138" t="str"/>
      <x:c r="T184" s="137" t="str"/>
      <x:c r="U184" s="137" t="str"/>
      <x:c r="V184" s="137" t="str"/>
      <x:c r="W184" s="137" t="str"/>
      <x:c r="X184" s="137" t="str"/>
      <x:c r="Y184" s="199" t="str"/>
    </x:row>
    <x:row r="185">
      <x:c r="A185" s="137" t="str"/>
      <x:c r="B185" s="137" t="str"/>
      <x:c r="C185" s="138" t="str"/>
      <x:c r="D185" s="137" t="str"/>
      <x:c r="E185" s="137" t="str"/>
      <x:c r="F185" s="137" t="str"/>
      <x:c r="G185" s="137" t="str"/>
      <x:c r="H185" s="137" t="str"/>
      <x:c r="I185" s="137" t="str"/>
      <x:c r="J185" s="137" t="str"/>
      <x:c r="K185" s="137" t="str"/>
      <x:c r="L185" s="137" t="str"/>
      <x:c r="M185" s="160" t="str"/>
      <x:c r="N185" s="160" t="str"/>
      <x:c r="O185" s="137" t="str"/>
      <x:c r="P185" s="137" t="str"/>
      <x:c r="Q185" s="137" t="str"/>
      <x:c r="R185" s="137" t="str"/>
      <x:c r="S185" s="138" t="str"/>
      <x:c r="T185" s="137" t="str"/>
      <x:c r="U185" s="137" t="str"/>
      <x:c r="V185" s="137" t="str"/>
      <x:c r="W185" s="137" t="str"/>
      <x:c r="X185" s="137" t="str"/>
      <x:c r="Y185" s="199" t="str"/>
    </x:row>
    <x:row r="186">
      <x:c r="A186" s="137" t="str"/>
      <x:c r="B186" s="137" t="str"/>
      <x:c r="C186" s="138" t="str"/>
      <x:c r="D186" s="137" t="str"/>
      <x:c r="E186" s="137" t="str"/>
      <x:c r="F186" s="137" t="str"/>
      <x:c r="G186" s="137" t="str"/>
      <x:c r="H186" s="137" t="str"/>
      <x:c r="I186" s="137" t="str"/>
      <x:c r="J186" s="137" t="str"/>
      <x:c r="K186" s="137" t="str"/>
      <x:c r="L186" s="137" t="str"/>
      <x:c r="M186" s="160" t="str"/>
      <x:c r="N186" s="160" t="str"/>
      <x:c r="O186" s="137" t="str"/>
      <x:c r="P186" s="137" t="str"/>
      <x:c r="Q186" s="137" t="str"/>
      <x:c r="R186" s="137" t="str"/>
      <x:c r="S186" s="138" t="str"/>
      <x:c r="T186" s="137" t="str"/>
      <x:c r="U186" s="137" t="str"/>
      <x:c r="V186" s="137" t="str"/>
      <x:c r="W186" s="137" t="str"/>
      <x:c r="X186" s="137" t="str"/>
      <x:c r="Y186" s="199" t="str"/>
    </x:row>
    <x:row r="187">
      <x:c r="A187" s="137" t="str"/>
      <x:c r="B187" s="137" t="str"/>
      <x:c r="C187" s="138" t="str"/>
      <x:c r="D187" s="137" t="str"/>
      <x:c r="E187" s="137" t="str"/>
      <x:c r="F187" s="137" t="str"/>
      <x:c r="G187" s="137" t="str"/>
      <x:c r="H187" s="137" t="str"/>
      <x:c r="I187" s="137" t="str"/>
      <x:c r="J187" s="137" t="str"/>
      <x:c r="K187" s="137" t="str"/>
      <x:c r="L187" s="137" t="str"/>
      <x:c r="M187" s="160" t="str"/>
      <x:c r="N187" s="160" t="str"/>
      <x:c r="O187" s="137" t="str"/>
      <x:c r="P187" s="137" t="str"/>
      <x:c r="Q187" s="137" t="str"/>
      <x:c r="R187" s="137" t="str"/>
      <x:c r="S187" s="138" t="str"/>
      <x:c r="T187" s="137" t="str"/>
      <x:c r="U187" s="137" t="str"/>
      <x:c r="V187" s="137" t="str"/>
      <x:c r="W187" s="137" t="str"/>
      <x:c r="X187" s="137" t="str"/>
      <x:c r="Y187" s="199" t="str"/>
    </x:row>
    <x:row r="188">
      <x:c r="A188" s="137" t="str"/>
      <x:c r="B188" s="137" t="str"/>
      <x:c r="C188" s="138" t="str"/>
      <x:c r="D188" s="137" t="str"/>
      <x:c r="E188" s="137" t="str"/>
      <x:c r="F188" s="137" t="str"/>
      <x:c r="G188" s="137" t="str"/>
      <x:c r="H188" s="137" t="str"/>
      <x:c r="I188" s="137" t="str"/>
      <x:c r="J188" s="137" t="str"/>
      <x:c r="K188" s="137" t="str"/>
      <x:c r="L188" s="137" t="str"/>
      <x:c r="M188" s="160" t="str"/>
      <x:c r="N188" s="160" t="str"/>
      <x:c r="O188" s="137" t="str"/>
      <x:c r="P188" s="137" t="str"/>
      <x:c r="Q188" s="137" t="str"/>
      <x:c r="R188" s="137" t="str"/>
      <x:c r="S188" s="138" t="str"/>
      <x:c r="T188" s="137" t="str"/>
      <x:c r="U188" s="137" t="str"/>
      <x:c r="V188" s="137" t="str"/>
      <x:c r="W188" s="137" t="str"/>
      <x:c r="X188" s="137" t="str"/>
      <x:c r="Y188" s="199" t="str"/>
    </x:row>
    <x:row r="189">
      <x:c r="A189" s="137" t="str"/>
      <x:c r="B189" s="137" t="str"/>
      <x:c r="C189" s="138" t="str"/>
      <x:c r="D189" s="137" t="str"/>
      <x:c r="E189" s="137" t="str"/>
      <x:c r="F189" s="137" t="str"/>
      <x:c r="G189" s="137" t="str"/>
      <x:c r="H189" s="137" t="str"/>
      <x:c r="I189" s="137" t="str"/>
      <x:c r="J189" s="137" t="str"/>
      <x:c r="K189" s="137" t="str"/>
      <x:c r="L189" s="137" t="str"/>
      <x:c r="M189" s="160" t="str"/>
      <x:c r="N189" s="160" t="str"/>
      <x:c r="O189" s="137" t="str"/>
      <x:c r="P189" s="137" t="str"/>
      <x:c r="Q189" s="137" t="str"/>
      <x:c r="R189" s="137" t="str"/>
      <x:c r="S189" s="138" t="str"/>
      <x:c r="T189" s="137" t="str"/>
      <x:c r="U189" s="137" t="str"/>
      <x:c r="V189" s="137" t="str"/>
      <x:c r="W189" s="137" t="str"/>
      <x:c r="X189" s="137" t="str"/>
      <x:c r="Y189" s="199" t="str"/>
    </x:row>
    <x:row r="190">
      <x:c r="A190" s="137" t="str"/>
      <x:c r="B190" s="137" t="str"/>
      <x:c r="C190" s="138" t="str"/>
      <x:c r="D190" s="137" t="str"/>
      <x:c r="E190" s="137" t="str"/>
      <x:c r="F190" s="137" t="str"/>
      <x:c r="G190" s="137" t="str"/>
      <x:c r="H190" s="137" t="str"/>
      <x:c r="I190" s="137" t="str"/>
      <x:c r="J190" s="137" t="str"/>
      <x:c r="K190" s="137" t="str"/>
      <x:c r="L190" s="137" t="str"/>
      <x:c r="M190" s="160" t="str"/>
      <x:c r="N190" s="160" t="str"/>
      <x:c r="O190" s="137" t="str"/>
      <x:c r="P190" s="137" t="str"/>
      <x:c r="Q190" s="137" t="str"/>
      <x:c r="R190" s="137" t="str"/>
      <x:c r="S190" s="138" t="str"/>
      <x:c r="T190" s="137" t="str"/>
      <x:c r="U190" s="137" t="str"/>
      <x:c r="V190" s="137" t="str"/>
      <x:c r="W190" s="137" t="str"/>
      <x:c r="X190" s="137" t="str"/>
      <x:c r="Y190" s="199" t="str"/>
    </x:row>
    <x:row r="191">
      <x:c r="A191" s="137" t="str"/>
      <x:c r="B191" s="137" t="str"/>
      <x:c r="C191" s="138" t="str"/>
      <x:c r="D191" s="137" t="str"/>
      <x:c r="E191" s="137" t="str"/>
      <x:c r="F191" s="137" t="str"/>
      <x:c r="G191" s="137" t="str"/>
      <x:c r="H191" s="137" t="str"/>
      <x:c r="I191" s="137" t="str"/>
      <x:c r="J191" s="137" t="str"/>
      <x:c r="K191" s="137" t="str"/>
      <x:c r="L191" s="137" t="str"/>
      <x:c r="M191" s="160" t="str"/>
      <x:c r="N191" s="160" t="str"/>
      <x:c r="O191" s="137" t="str"/>
      <x:c r="P191" s="137" t="str"/>
      <x:c r="Q191" s="137" t="str"/>
      <x:c r="R191" s="137" t="str"/>
      <x:c r="S191" s="138" t="str"/>
      <x:c r="T191" s="137" t="str"/>
      <x:c r="U191" s="137" t="str"/>
      <x:c r="V191" s="137" t="str"/>
      <x:c r="W191" s="137" t="str"/>
      <x:c r="X191" s="137" t="str"/>
      <x:c r="Y191" s="199" t="str"/>
    </x:row>
    <x:row r="192">
      <x:c r="A192" s="137" t="str"/>
      <x:c r="B192" s="137" t="str"/>
      <x:c r="C192" s="138" t="str"/>
      <x:c r="D192" s="137" t="str"/>
      <x:c r="E192" s="137" t="str"/>
      <x:c r="F192" s="137" t="str"/>
      <x:c r="G192" s="137" t="str"/>
      <x:c r="H192" s="137" t="str"/>
      <x:c r="I192" s="137" t="str"/>
      <x:c r="J192" s="137" t="str"/>
      <x:c r="K192" s="137" t="str"/>
      <x:c r="L192" s="137" t="str"/>
      <x:c r="M192" s="160" t="str"/>
      <x:c r="N192" s="160" t="str"/>
      <x:c r="O192" s="137" t="str"/>
      <x:c r="P192" s="137" t="str"/>
      <x:c r="Q192" s="137" t="str"/>
      <x:c r="R192" s="137" t="str"/>
      <x:c r="S192" s="138" t="str"/>
      <x:c r="T192" s="137" t="str"/>
      <x:c r="U192" s="137" t="str"/>
      <x:c r="V192" s="137" t="str"/>
      <x:c r="W192" s="137" t="str"/>
      <x:c r="X192" s="137" t="str"/>
      <x:c r="Y192" s="199" t="str"/>
    </x:row>
    <x:row r="193">
      <x:c r="A193" s="137" t="str"/>
      <x:c r="B193" s="137" t="str"/>
      <x:c r="C193" s="138" t="str"/>
      <x:c r="D193" s="137" t="str"/>
      <x:c r="E193" s="137" t="str"/>
      <x:c r="F193" s="137" t="str"/>
      <x:c r="G193" s="137" t="str"/>
      <x:c r="H193" s="137" t="str"/>
      <x:c r="I193" s="137" t="str"/>
      <x:c r="J193" s="137" t="str"/>
      <x:c r="K193" s="137" t="str"/>
      <x:c r="L193" s="137" t="str"/>
      <x:c r="M193" s="160" t="str"/>
      <x:c r="N193" s="160" t="str"/>
      <x:c r="O193" s="137" t="str"/>
      <x:c r="P193" s="137" t="str"/>
      <x:c r="Q193" s="137" t="str"/>
      <x:c r="R193" s="137" t="str"/>
      <x:c r="S193" s="138" t="str"/>
      <x:c r="T193" s="137" t="str"/>
      <x:c r="U193" s="137" t="str"/>
      <x:c r="V193" s="137" t="str"/>
      <x:c r="W193" s="137" t="str"/>
      <x:c r="X193" s="137" t="str"/>
      <x:c r="Y193" s="199" t="str"/>
    </x:row>
    <x:row r="194">
      <x:c r="A194" s="137" t="str"/>
      <x:c r="B194" s="137" t="str"/>
      <x:c r="C194" s="138" t="str"/>
      <x:c r="D194" s="137" t="str"/>
      <x:c r="E194" s="137" t="str"/>
      <x:c r="F194" s="137" t="str"/>
      <x:c r="G194" s="137" t="str"/>
      <x:c r="H194" s="137" t="str"/>
      <x:c r="I194" s="137" t="str"/>
      <x:c r="J194" s="137" t="str"/>
      <x:c r="K194" s="137" t="str"/>
      <x:c r="L194" s="137" t="str"/>
      <x:c r="M194" s="160" t="str"/>
      <x:c r="N194" s="160" t="str"/>
      <x:c r="O194" s="137" t="str"/>
      <x:c r="P194" s="137" t="str"/>
      <x:c r="Q194" s="137" t="str"/>
      <x:c r="R194" s="137" t="str"/>
      <x:c r="S194" s="138" t="str"/>
      <x:c r="T194" s="137" t="str"/>
      <x:c r="U194" s="137" t="str"/>
      <x:c r="V194" s="137" t="str"/>
      <x:c r="W194" s="137" t="str"/>
      <x:c r="X194" s="137" t="str"/>
      <x:c r="Y194" s="199" t="str"/>
    </x:row>
    <x:row r="195">
      <x:c r="A195" s="137" t="str"/>
      <x:c r="B195" s="137" t="str"/>
      <x:c r="C195" s="138" t="str"/>
      <x:c r="D195" s="137" t="str"/>
      <x:c r="E195" s="137" t="str"/>
      <x:c r="F195" s="137" t="str"/>
      <x:c r="G195" s="137" t="str"/>
      <x:c r="H195" s="137" t="str"/>
      <x:c r="I195" s="137" t="str"/>
      <x:c r="J195" s="137" t="str"/>
      <x:c r="K195" s="137" t="str"/>
      <x:c r="L195" s="137" t="str"/>
      <x:c r="M195" s="160" t="str"/>
      <x:c r="N195" s="160" t="str"/>
      <x:c r="O195" s="137" t="str"/>
      <x:c r="P195" s="137" t="str"/>
      <x:c r="Q195" s="137" t="str"/>
      <x:c r="R195" s="137" t="str"/>
      <x:c r="S195" s="138" t="str"/>
      <x:c r="T195" s="137" t="str"/>
      <x:c r="U195" s="137" t="str"/>
      <x:c r="V195" s="137" t="str"/>
      <x:c r="W195" s="137" t="str"/>
      <x:c r="X195" s="137" t="str"/>
      <x:c r="Y195" s="199" t="str"/>
    </x:row>
    <x:row r="196">
      <x:c r="A196" s="137" t="str"/>
      <x:c r="B196" s="137" t="str"/>
      <x:c r="C196" s="138" t="str"/>
      <x:c r="D196" s="137" t="str"/>
      <x:c r="E196" s="137" t="str"/>
      <x:c r="F196" s="137" t="str"/>
      <x:c r="G196" s="137" t="str"/>
      <x:c r="H196" s="137" t="str"/>
      <x:c r="I196" s="137" t="str"/>
      <x:c r="J196" s="137" t="str"/>
      <x:c r="K196" s="137" t="str"/>
      <x:c r="L196" s="137" t="str"/>
      <x:c r="M196" s="160" t="str"/>
      <x:c r="N196" s="160" t="str"/>
      <x:c r="O196" s="137" t="str"/>
      <x:c r="P196" s="137" t="str"/>
      <x:c r="Q196" s="137" t="str"/>
      <x:c r="R196" s="137" t="str"/>
      <x:c r="S196" s="138" t="str"/>
      <x:c r="T196" s="137" t="str"/>
      <x:c r="U196" s="137" t="str"/>
      <x:c r="V196" s="137" t="str"/>
      <x:c r="W196" s="137" t="str"/>
      <x:c r="X196" s="137" t="str"/>
      <x:c r="Y196" s="199" t="str"/>
    </x:row>
    <x:row r="197">
      <x:c r="A197" s="137" t="str"/>
      <x:c r="B197" s="137" t="str"/>
      <x:c r="C197" s="138" t="str"/>
      <x:c r="D197" s="137" t="str"/>
      <x:c r="E197" s="137" t="str"/>
      <x:c r="F197" s="137" t="str"/>
      <x:c r="G197" s="137" t="str"/>
      <x:c r="H197" s="137" t="str"/>
      <x:c r="I197" s="137" t="str"/>
      <x:c r="J197" s="137" t="str"/>
      <x:c r="K197" s="137" t="str"/>
      <x:c r="L197" s="137" t="str"/>
      <x:c r="M197" s="160" t="str"/>
      <x:c r="N197" s="160" t="str"/>
      <x:c r="O197" s="137" t="str"/>
      <x:c r="P197" s="137" t="str"/>
      <x:c r="Q197" s="137" t="str"/>
      <x:c r="R197" s="137" t="str"/>
      <x:c r="S197" s="138" t="str"/>
      <x:c r="T197" s="137" t="str"/>
      <x:c r="U197" s="137" t="str"/>
      <x:c r="V197" s="137" t="str"/>
      <x:c r="W197" s="137" t="str"/>
      <x:c r="X197" s="137" t="str"/>
      <x:c r="Y197" s="199" t="str"/>
    </x:row>
    <x:row r="198">
      <x:c r="A198" s="137" t="str"/>
      <x:c r="B198" s="137" t="str"/>
      <x:c r="C198" s="138" t="str"/>
      <x:c r="D198" s="137" t="str"/>
      <x:c r="E198" s="137" t="str"/>
      <x:c r="F198" s="137" t="str"/>
      <x:c r="G198" s="137" t="str"/>
      <x:c r="H198" s="137" t="str"/>
      <x:c r="I198" s="137" t="str"/>
      <x:c r="J198" s="137" t="str"/>
      <x:c r="K198" s="137" t="str"/>
      <x:c r="L198" s="137" t="str"/>
      <x:c r="M198" s="160" t="str"/>
      <x:c r="N198" s="160" t="str"/>
      <x:c r="O198" s="137" t="str"/>
      <x:c r="P198" s="137" t="str"/>
      <x:c r="Q198" s="137" t="str"/>
      <x:c r="R198" s="137" t="str"/>
      <x:c r="S198" s="138" t="str"/>
      <x:c r="T198" s="137" t="str"/>
      <x:c r="U198" s="137" t="str"/>
      <x:c r="V198" s="137" t="str"/>
      <x:c r="W198" s="137" t="str"/>
      <x:c r="X198" s="137" t="str"/>
      <x:c r="Y198" s="199" t="str"/>
    </x:row>
    <x:row r="199">
      <x:c r="A199" s="137" t="str"/>
      <x:c r="B199" s="137" t="str"/>
      <x:c r="C199" s="138" t="str"/>
      <x:c r="D199" s="137" t="str"/>
      <x:c r="E199" s="137" t="str"/>
      <x:c r="F199" s="137" t="str"/>
      <x:c r="G199" s="137" t="str"/>
      <x:c r="H199" s="137" t="str"/>
      <x:c r="I199" s="137" t="str"/>
      <x:c r="J199" s="137" t="str"/>
      <x:c r="K199" s="137" t="str"/>
      <x:c r="L199" s="137" t="str"/>
      <x:c r="M199" s="160" t="str"/>
      <x:c r="N199" s="160" t="str"/>
      <x:c r="O199" s="137" t="str"/>
      <x:c r="P199" s="137" t="str"/>
      <x:c r="Q199" s="137" t="str"/>
      <x:c r="R199" s="137" t="str"/>
      <x:c r="S199" s="138" t="str"/>
      <x:c r="T199" s="137" t="str"/>
      <x:c r="U199" s="137" t="str"/>
      <x:c r="V199" s="137" t="str"/>
      <x:c r="W199" s="137" t="str"/>
      <x:c r="X199" s="137" t="str"/>
      <x:c r="Y199" s="199" t="str"/>
    </x:row>
    <x:row r="200">
      <x:c r="A200" s="137" t="str"/>
      <x:c r="B200" s="137" t="str"/>
      <x:c r="C200" s="138" t="str"/>
      <x:c r="D200" s="137" t="str"/>
      <x:c r="E200" s="137" t="str"/>
      <x:c r="F200" s="137" t="str"/>
      <x:c r="G200" s="137" t="str"/>
      <x:c r="H200" s="137" t="str"/>
      <x:c r="I200" s="137" t="str"/>
      <x:c r="J200" s="137" t="str"/>
      <x:c r="K200" s="137" t="str"/>
      <x:c r="L200" s="137" t="str"/>
      <x:c r="M200" s="160" t="str"/>
      <x:c r="N200" s="160" t="str"/>
      <x:c r="O200" s="137" t="str"/>
      <x:c r="P200" s="137" t="str"/>
      <x:c r="Q200" s="137" t="str"/>
      <x:c r="R200" s="137" t="str"/>
      <x:c r="S200" s="138" t="str"/>
      <x:c r="T200" s="137" t="str"/>
      <x:c r="U200" s="137" t="str"/>
      <x:c r="V200" s="137" t="str"/>
      <x:c r="W200" s="137" t="str"/>
      <x:c r="X200" s="137" t="str"/>
      <x:c r="Y200" s="199" t="str"/>
    </x:row>
    <x:row r="201">
      <x:c r="A201" s="137" t="str"/>
      <x:c r="B201" s="137" t="str"/>
      <x:c r="C201" s="138" t="str"/>
      <x:c r="D201" s="137" t="str"/>
      <x:c r="E201" s="137" t="str"/>
      <x:c r="F201" s="137" t="str"/>
      <x:c r="G201" s="137" t="str"/>
      <x:c r="H201" s="137" t="str"/>
      <x:c r="I201" s="137" t="str"/>
      <x:c r="J201" s="137" t="str"/>
      <x:c r="K201" s="137" t="str"/>
      <x:c r="L201" s="137" t="str"/>
      <x:c r="M201" s="160" t="str"/>
      <x:c r="N201" s="160" t="str"/>
      <x:c r="O201" s="137" t="str"/>
      <x:c r="P201" s="137" t="str"/>
      <x:c r="Q201" s="137" t="str"/>
      <x:c r="R201" s="137" t="str"/>
      <x:c r="S201" s="138" t="str"/>
      <x:c r="T201" s="137" t="str"/>
      <x:c r="U201" s="137" t="str"/>
      <x:c r="V201" s="137" t="str"/>
      <x:c r="W201" s="137" t="str"/>
      <x:c r="X201" s="137" t="str"/>
      <x:c r="Y201" s="199" t="str"/>
    </x:row>
    <x:row r="202">
      <x:c r="A202" s="137" t="str"/>
      <x:c r="B202" s="137" t="str"/>
      <x:c r="C202" s="138" t="str"/>
      <x:c r="D202" s="137" t="str"/>
      <x:c r="E202" s="137" t="str"/>
      <x:c r="F202" s="137" t="str"/>
      <x:c r="G202" s="137" t="str"/>
      <x:c r="H202" s="137" t="str"/>
      <x:c r="I202" s="137" t="str"/>
      <x:c r="J202" s="137" t="str"/>
      <x:c r="K202" s="137" t="str"/>
      <x:c r="L202" s="137" t="str"/>
      <x:c r="M202" s="160" t="str"/>
      <x:c r="N202" s="160" t="str"/>
      <x:c r="O202" s="137" t="str"/>
      <x:c r="P202" s="137" t="str"/>
      <x:c r="Q202" s="137" t="str"/>
      <x:c r="R202" s="137" t="str"/>
      <x:c r="S202" s="138" t="str"/>
      <x:c r="T202" s="137" t="str"/>
      <x:c r="U202" s="137" t="str"/>
      <x:c r="V202" s="137" t="str"/>
      <x:c r="W202" s="137" t="str"/>
      <x:c r="X202" s="137" t="str"/>
      <x:c r="Y202" s="199" t="str"/>
    </x:row>
    <x:row r="203">
      <x:c r="A203" s="137" t="str"/>
      <x:c r="B203" s="137" t="str"/>
      <x:c r="C203" s="138" t="str"/>
      <x:c r="D203" s="137" t="str"/>
      <x:c r="E203" s="137" t="str"/>
      <x:c r="F203" s="137" t="str"/>
      <x:c r="G203" s="137" t="str"/>
      <x:c r="H203" s="137" t="str"/>
      <x:c r="I203" s="137" t="str"/>
      <x:c r="J203" s="137" t="str"/>
      <x:c r="K203" s="137" t="str"/>
      <x:c r="L203" s="137" t="str"/>
      <x:c r="M203" s="160" t="str"/>
      <x:c r="N203" s="160" t="str"/>
      <x:c r="O203" s="137" t="str"/>
      <x:c r="P203" s="137" t="str"/>
      <x:c r="Q203" s="137" t="str"/>
      <x:c r="R203" s="137" t="str"/>
      <x:c r="S203" s="138" t="str"/>
      <x:c r="T203" s="137" t="str"/>
      <x:c r="U203" s="137" t="str"/>
      <x:c r="V203" s="137" t="str"/>
      <x:c r="W203" s="137" t="str"/>
      <x:c r="X203" s="137" t="str"/>
      <x:c r="Y203" s="199" t="str"/>
    </x:row>
    <x:row r="204">
      <x:c r="A204" s="137" t="str"/>
      <x:c r="B204" s="137" t="str"/>
      <x:c r="C204" s="138" t="str"/>
      <x:c r="D204" s="137" t="str"/>
      <x:c r="E204" s="137" t="str"/>
      <x:c r="F204" s="137" t="str"/>
      <x:c r="G204" s="137" t="str"/>
      <x:c r="H204" s="137" t="str"/>
      <x:c r="I204" s="137" t="str"/>
      <x:c r="J204" s="137" t="str"/>
      <x:c r="K204" s="137" t="str"/>
      <x:c r="L204" s="137" t="str"/>
      <x:c r="M204" s="160" t="str"/>
      <x:c r="N204" s="160" t="str"/>
      <x:c r="O204" s="137" t="str"/>
      <x:c r="P204" s="137" t="str"/>
      <x:c r="Q204" s="137" t="str"/>
      <x:c r="R204" s="137" t="str"/>
      <x:c r="S204" s="138" t="str"/>
      <x:c r="T204" s="137" t="str"/>
      <x:c r="U204" s="137" t="str"/>
      <x:c r="V204" s="137" t="str"/>
      <x:c r="W204" s="137" t="str"/>
      <x:c r="X204" s="137" t="str"/>
      <x:c r="Y204" s="199" t="str"/>
    </x:row>
    <x:row r="205">
      <x:c r="A205" s="137" t="str"/>
      <x:c r="B205" s="137" t="str"/>
      <x:c r="C205" s="138" t="str"/>
      <x:c r="D205" s="137" t="str"/>
      <x:c r="E205" s="137" t="str"/>
      <x:c r="F205" s="137" t="str"/>
      <x:c r="G205" s="137" t="str"/>
      <x:c r="H205" s="137" t="str"/>
      <x:c r="I205" s="137" t="str"/>
      <x:c r="J205" s="137" t="str"/>
      <x:c r="K205" s="137" t="str"/>
      <x:c r="L205" s="137" t="str"/>
      <x:c r="M205" s="160" t="str"/>
      <x:c r="N205" s="160" t="str"/>
      <x:c r="O205" s="137" t="str"/>
      <x:c r="P205" s="137" t="str"/>
      <x:c r="Q205" s="137" t="str"/>
      <x:c r="R205" s="137" t="str"/>
      <x:c r="S205" s="138" t="str"/>
      <x:c r="T205" s="137" t="str"/>
      <x:c r="U205" s="137" t="str"/>
      <x:c r="V205" s="137" t="str"/>
      <x:c r="W205" s="137" t="str"/>
      <x:c r="X205" s="137" t="str"/>
      <x:c r="Y205" s="199" t="str"/>
    </x:row>
    <x:row r="206">
      <x:c r="A206" s="137" t="str"/>
      <x:c r="B206" s="137" t="str"/>
      <x:c r="C206" s="138" t="str"/>
      <x:c r="D206" s="137" t="str"/>
      <x:c r="E206" s="137" t="str"/>
      <x:c r="F206" s="137" t="str"/>
      <x:c r="G206" s="137" t="str"/>
      <x:c r="H206" s="137" t="str"/>
      <x:c r="I206" s="137" t="str"/>
      <x:c r="J206" s="137" t="str"/>
      <x:c r="K206" s="137" t="str"/>
      <x:c r="L206" s="137" t="str"/>
      <x:c r="M206" s="160" t="str"/>
      <x:c r="N206" s="160" t="str"/>
      <x:c r="O206" s="137" t="str"/>
      <x:c r="P206" s="137" t="str"/>
      <x:c r="Q206" s="137" t="str"/>
      <x:c r="R206" s="137" t="str"/>
      <x:c r="S206" s="138" t="str"/>
      <x:c r="T206" s="137" t="str"/>
      <x:c r="U206" s="137" t="str"/>
      <x:c r="V206" s="137" t="str"/>
      <x:c r="W206" s="137" t="str"/>
      <x:c r="X206" s="137" t="str"/>
      <x:c r="Y206" s="199" t="str"/>
    </x:row>
    <x:row r="207">
      <x:c r="A207" s="137" t="str"/>
      <x:c r="B207" s="137" t="str"/>
      <x:c r="C207" s="138" t="str"/>
      <x:c r="D207" s="137" t="str"/>
      <x:c r="E207" s="137" t="str"/>
      <x:c r="F207" s="137" t="str"/>
      <x:c r="G207" s="137" t="str"/>
      <x:c r="H207" s="137" t="str"/>
      <x:c r="I207" s="137" t="str"/>
      <x:c r="J207" s="137" t="str"/>
      <x:c r="K207" s="137" t="str"/>
      <x:c r="L207" s="137" t="str"/>
      <x:c r="M207" s="160" t="str"/>
      <x:c r="N207" s="160" t="str"/>
      <x:c r="O207" s="137" t="str"/>
      <x:c r="P207" s="137" t="str"/>
      <x:c r="Q207" s="137" t="str"/>
      <x:c r="R207" s="137" t="str"/>
      <x:c r="S207" s="138" t="str"/>
      <x:c r="T207" s="137" t="str"/>
      <x:c r="U207" s="137" t="str"/>
      <x:c r="V207" s="137" t="str"/>
      <x:c r="W207" s="137" t="str"/>
      <x:c r="X207" s="137" t="str"/>
      <x:c r="Y207" s="199" t="str"/>
    </x:row>
    <x:row r="208">
      <x:c r="A208" s="137" t="str"/>
      <x:c r="B208" s="137" t="str"/>
      <x:c r="C208" s="138" t="str"/>
      <x:c r="D208" s="137" t="str"/>
      <x:c r="E208" s="137" t="str"/>
      <x:c r="F208" s="137" t="str"/>
      <x:c r="G208" s="137" t="str"/>
      <x:c r="H208" s="137" t="str"/>
      <x:c r="I208" s="137" t="str"/>
      <x:c r="J208" s="137" t="str"/>
      <x:c r="K208" s="137" t="str"/>
      <x:c r="L208" s="137" t="str"/>
      <x:c r="M208" s="160" t="str"/>
      <x:c r="N208" s="160" t="str"/>
      <x:c r="O208" s="137" t="str"/>
      <x:c r="P208" s="137" t="str"/>
      <x:c r="Q208" s="137" t="str"/>
      <x:c r="R208" s="137" t="str"/>
      <x:c r="S208" s="138" t="str"/>
      <x:c r="T208" s="137" t="str"/>
      <x:c r="U208" s="137" t="str"/>
      <x:c r="V208" s="137" t="str"/>
      <x:c r="W208" s="137" t="str"/>
      <x:c r="X208" s="137" t="str"/>
      <x:c r="Y208" s="199" t="str"/>
    </x:row>
    <x:row r="209">
      <x:c r="A209" s="137" t="str"/>
      <x:c r="B209" s="137" t="str"/>
      <x:c r="C209" s="138" t="str"/>
      <x:c r="D209" s="137" t="str"/>
      <x:c r="E209" s="137" t="str"/>
      <x:c r="F209" s="137" t="str"/>
      <x:c r="G209" s="137" t="str"/>
      <x:c r="H209" s="137" t="str"/>
      <x:c r="I209" s="137" t="str"/>
      <x:c r="J209" s="137" t="str"/>
      <x:c r="K209" s="137" t="str"/>
      <x:c r="L209" s="137" t="str"/>
      <x:c r="M209" s="160" t="str"/>
      <x:c r="N209" s="160" t="str"/>
      <x:c r="O209" s="137" t="str"/>
      <x:c r="P209" s="137" t="str"/>
      <x:c r="Q209" s="137" t="str"/>
      <x:c r="R209" s="137" t="str"/>
      <x:c r="S209" s="138" t="str"/>
      <x:c r="T209" s="137" t="str"/>
      <x:c r="U209" s="137" t="str"/>
      <x:c r="V209" s="137" t="str"/>
      <x:c r="W209" s="137" t="str"/>
      <x:c r="X209" s="137" t="str"/>
      <x:c r="Y209" s="199" t="str"/>
    </x:row>
    <x:row r="210">
      <x:c r="A210" s="137" t="str"/>
      <x:c r="B210" s="137" t="str"/>
      <x:c r="C210" s="138" t="str"/>
      <x:c r="D210" s="137" t="str"/>
      <x:c r="E210" s="137" t="str"/>
      <x:c r="F210" s="137" t="str"/>
      <x:c r="G210" s="137" t="str"/>
      <x:c r="H210" s="137" t="str"/>
      <x:c r="I210" s="137" t="str"/>
      <x:c r="J210" s="137" t="str"/>
      <x:c r="K210" s="137" t="str"/>
      <x:c r="L210" s="137" t="str"/>
      <x:c r="M210" s="160" t="str"/>
      <x:c r="N210" s="160" t="str"/>
      <x:c r="O210" s="137" t="str"/>
      <x:c r="P210" s="137" t="str"/>
      <x:c r="Q210" s="137" t="str"/>
      <x:c r="R210" s="137" t="str"/>
      <x:c r="S210" s="138" t="str"/>
      <x:c r="T210" s="137" t="str"/>
      <x:c r="U210" s="137" t="str"/>
      <x:c r="V210" s="137" t="str"/>
      <x:c r="W210" s="137" t="str"/>
      <x:c r="X210" s="137" t="str"/>
      <x:c r="Y210" s="199" t="str"/>
    </x:row>
    <x:row r="211">
      <x:c r="A211" s="137" t="str"/>
      <x:c r="B211" s="137" t="str"/>
      <x:c r="C211" s="138" t="str"/>
      <x:c r="D211" s="137" t="str"/>
      <x:c r="E211" s="137" t="str"/>
      <x:c r="F211" s="137" t="str"/>
      <x:c r="G211" s="137" t="str"/>
      <x:c r="H211" s="137" t="str"/>
      <x:c r="I211" s="137" t="str"/>
      <x:c r="J211" s="137" t="str"/>
      <x:c r="K211" s="137" t="str"/>
      <x:c r="L211" s="137" t="str"/>
      <x:c r="M211" s="160" t="str"/>
      <x:c r="N211" s="160" t="str"/>
      <x:c r="O211" s="137" t="str"/>
      <x:c r="P211" s="137" t="str"/>
      <x:c r="Q211" s="137" t="str"/>
      <x:c r="R211" s="137" t="str"/>
      <x:c r="S211" s="138" t="str"/>
      <x:c r="T211" s="137" t="str"/>
      <x:c r="U211" s="137" t="str"/>
      <x:c r="V211" s="137" t="str"/>
      <x:c r="W211" s="137" t="str"/>
      <x:c r="X211" s="137" t="str"/>
      <x:c r="Y211" s="199" t="str"/>
    </x:row>
    <x:row r="212">
      <x:c r="A212" s="137" t="str"/>
      <x:c r="B212" s="137" t="str"/>
      <x:c r="C212" s="138" t="str"/>
      <x:c r="D212" s="137" t="str"/>
      <x:c r="E212" s="137" t="str"/>
      <x:c r="F212" s="137" t="str"/>
      <x:c r="G212" s="137" t="str"/>
      <x:c r="H212" s="137" t="str"/>
      <x:c r="I212" s="137" t="str"/>
      <x:c r="J212" s="137" t="str"/>
      <x:c r="K212" s="137" t="str"/>
      <x:c r="L212" s="137" t="str"/>
      <x:c r="M212" s="160" t="str"/>
      <x:c r="N212" s="160" t="str"/>
      <x:c r="O212" s="137" t="str"/>
      <x:c r="P212" s="137" t="str"/>
      <x:c r="Q212" s="137" t="str"/>
      <x:c r="R212" s="137" t="str"/>
      <x:c r="S212" s="138" t="str"/>
      <x:c r="T212" s="137" t="str"/>
      <x:c r="U212" s="137" t="str"/>
      <x:c r="V212" s="137" t="str"/>
      <x:c r="W212" s="137" t="str"/>
      <x:c r="X212" s="137" t="str"/>
      <x:c r="Y212" s="199" t="str"/>
    </x:row>
    <x:row r="213">
      <x:c r="A213" s="137" t="str"/>
      <x:c r="B213" s="137" t="str"/>
      <x:c r="C213" s="138" t="str"/>
      <x:c r="D213" s="137" t="str"/>
      <x:c r="E213" s="137" t="str"/>
      <x:c r="F213" s="137" t="str"/>
      <x:c r="G213" s="137" t="str"/>
      <x:c r="H213" s="137" t="str"/>
      <x:c r="I213" s="137" t="str"/>
      <x:c r="J213" s="137" t="str"/>
      <x:c r="K213" s="137" t="str"/>
      <x:c r="L213" s="137" t="str"/>
      <x:c r="M213" s="160" t="str"/>
      <x:c r="N213" s="160" t="str"/>
      <x:c r="O213" s="137" t="str"/>
      <x:c r="P213" s="137" t="str"/>
      <x:c r="Q213" s="137" t="str"/>
      <x:c r="R213" s="137" t="str"/>
      <x:c r="S213" s="138" t="str"/>
      <x:c r="T213" s="137" t="str"/>
      <x:c r="U213" s="137" t="str"/>
      <x:c r="V213" s="137" t="str"/>
      <x:c r="W213" s="137" t="str"/>
      <x:c r="X213" s="137" t="str"/>
      <x:c r="Y213" s="199" t="str"/>
    </x:row>
    <x:row r="214">
      <x:c r="A214" s="137" t="str"/>
      <x:c r="B214" s="137" t="str"/>
      <x:c r="C214" s="138" t="str"/>
      <x:c r="D214" s="137" t="str"/>
      <x:c r="E214" s="137" t="str"/>
      <x:c r="F214" s="137" t="str"/>
      <x:c r="G214" s="137" t="str"/>
      <x:c r="H214" s="137" t="str"/>
      <x:c r="I214" s="137" t="str"/>
      <x:c r="J214" s="137" t="str"/>
      <x:c r="K214" s="137" t="str"/>
      <x:c r="L214" s="137" t="str"/>
      <x:c r="M214" s="160" t="str"/>
      <x:c r="N214" s="160" t="str"/>
      <x:c r="O214" s="137" t="str"/>
      <x:c r="P214" s="137" t="str"/>
      <x:c r="Q214" s="137" t="str"/>
      <x:c r="R214" s="137" t="str"/>
      <x:c r="S214" s="138" t="str"/>
      <x:c r="T214" s="137" t="str"/>
      <x:c r="U214" s="137" t="str"/>
      <x:c r="V214" s="137" t="str"/>
      <x:c r="W214" s="137" t="str"/>
      <x:c r="X214" s="137" t="str"/>
      <x:c r="Y214" s="199" t="str"/>
    </x:row>
    <x:row r="215">
      <x:c r="A215" s="137" t="str"/>
      <x:c r="B215" s="137" t="str"/>
      <x:c r="C215" s="138" t="str"/>
      <x:c r="D215" s="137" t="str"/>
      <x:c r="E215" s="137" t="str"/>
      <x:c r="F215" s="137" t="str"/>
      <x:c r="G215" s="137" t="str"/>
      <x:c r="H215" s="137" t="str"/>
      <x:c r="I215" s="137" t="str"/>
      <x:c r="J215" s="137" t="str"/>
      <x:c r="K215" s="137" t="str"/>
      <x:c r="L215" s="137" t="str"/>
      <x:c r="M215" s="160" t="str"/>
      <x:c r="N215" s="160" t="str"/>
      <x:c r="O215" s="137" t="str"/>
      <x:c r="P215" s="137" t="str"/>
      <x:c r="Q215" s="137" t="str"/>
      <x:c r="R215" s="137" t="str"/>
      <x:c r="S215" s="138" t="str"/>
      <x:c r="T215" s="137" t="str"/>
      <x:c r="U215" s="137" t="str"/>
      <x:c r="V215" s="137" t="str"/>
      <x:c r="W215" s="137" t="str"/>
      <x:c r="X215" s="137" t="str"/>
      <x:c r="Y215" s="199" t="str"/>
    </x:row>
    <x:row r="216">
      <x:c r="A216" s="137" t="str"/>
      <x:c r="B216" s="137" t="str"/>
      <x:c r="C216" s="138" t="str"/>
      <x:c r="D216" s="137" t="str"/>
      <x:c r="E216" s="137" t="str"/>
      <x:c r="F216" s="137" t="str"/>
      <x:c r="G216" s="137" t="str"/>
      <x:c r="H216" s="137" t="str"/>
      <x:c r="I216" s="137" t="str"/>
      <x:c r="J216" s="137" t="str"/>
      <x:c r="K216" s="137" t="str"/>
      <x:c r="L216" s="137" t="str"/>
      <x:c r="M216" s="160" t="str"/>
      <x:c r="N216" s="160" t="str"/>
      <x:c r="O216" s="137" t="str"/>
      <x:c r="P216" s="137" t="str"/>
      <x:c r="Q216" s="137" t="str"/>
      <x:c r="R216" s="137" t="str"/>
      <x:c r="S216" s="138" t="str"/>
      <x:c r="T216" s="137" t="str"/>
      <x:c r="U216" s="137" t="str"/>
      <x:c r="V216" s="137" t="str"/>
      <x:c r="W216" s="137" t="str"/>
      <x:c r="X216" s="137" t="str"/>
      <x:c r="Y216" s="199" t="str"/>
    </x:row>
    <x:row r="217">
      <x:c r="A217" s="137" t="str"/>
      <x:c r="B217" s="137" t="str"/>
      <x:c r="C217" s="138" t="str"/>
      <x:c r="D217" s="137" t="str"/>
      <x:c r="E217" s="137" t="str"/>
      <x:c r="F217" s="137" t="str"/>
      <x:c r="G217" s="137" t="str"/>
      <x:c r="H217" s="137" t="str"/>
      <x:c r="I217" s="137" t="str"/>
      <x:c r="J217" s="137" t="str"/>
      <x:c r="K217" s="137" t="str"/>
      <x:c r="L217" s="137" t="str"/>
      <x:c r="M217" s="160" t="str"/>
      <x:c r="N217" s="160" t="str"/>
      <x:c r="O217" s="137" t="str"/>
      <x:c r="P217" s="137" t="str"/>
      <x:c r="Q217" s="137" t="str"/>
      <x:c r="R217" s="137" t="str"/>
      <x:c r="S217" s="138" t="str"/>
      <x:c r="T217" s="137" t="str"/>
      <x:c r="U217" s="137" t="str"/>
      <x:c r="V217" s="137" t="str"/>
      <x:c r="W217" s="137" t="str"/>
      <x:c r="X217" s="137" t="str"/>
      <x:c r="Y217" s="199" t="str"/>
    </x:row>
    <x:row r="218">
      <x:c r="A218" s="137" t="str"/>
      <x:c r="B218" s="137" t="str"/>
      <x:c r="C218" s="138" t="str"/>
      <x:c r="D218" s="137" t="str"/>
      <x:c r="E218" s="137" t="str"/>
      <x:c r="F218" s="137" t="str"/>
      <x:c r="G218" s="137" t="str"/>
      <x:c r="H218" s="137" t="str"/>
      <x:c r="I218" s="137" t="str"/>
      <x:c r="J218" s="137" t="str"/>
      <x:c r="K218" s="137" t="str"/>
      <x:c r="L218" s="137" t="str"/>
      <x:c r="M218" s="160" t="str"/>
      <x:c r="N218" s="160" t="str"/>
      <x:c r="O218" s="137" t="str"/>
      <x:c r="P218" s="137" t="str"/>
      <x:c r="Q218" s="137" t="str"/>
      <x:c r="R218" s="137" t="str"/>
      <x:c r="S218" s="138" t="str"/>
      <x:c r="T218" s="137" t="str"/>
      <x:c r="U218" s="137" t="str"/>
      <x:c r="V218" s="137" t="str"/>
      <x:c r="W218" s="137" t="str"/>
      <x:c r="X218" s="137" t="str"/>
      <x:c r="Y218" s="199" t="str"/>
    </x:row>
    <x:row r="219">
      <x:c r="A219" s="137" t="str"/>
      <x:c r="B219" s="137" t="str"/>
      <x:c r="C219" s="138" t="str"/>
      <x:c r="D219" s="137" t="str"/>
      <x:c r="E219" s="137" t="str"/>
      <x:c r="F219" s="137" t="str"/>
      <x:c r="G219" s="137" t="str"/>
      <x:c r="H219" s="137" t="str"/>
      <x:c r="I219" s="137" t="str"/>
      <x:c r="J219" s="137" t="str"/>
      <x:c r="K219" s="137" t="str"/>
      <x:c r="L219" s="137" t="str"/>
      <x:c r="M219" s="160" t="str"/>
      <x:c r="N219" s="160" t="str"/>
      <x:c r="O219" s="137" t="str"/>
      <x:c r="P219" s="137" t="str"/>
      <x:c r="Q219" s="137" t="str"/>
      <x:c r="R219" s="137" t="str"/>
      <x:c r="S219" s="138" t="str"/>
      <x:c r="T219" s="137" t="str"/>
      <x:c r="U219" s="137" t="str"/>
      <x:c r="V219" s="137" t="str"/>
      <x:c r="W219" s="137" t="str"/>
      <x:c r="X219" s="137" t="str"/>
      <x:c r="Y219" s="199" t="str"/>
    </x:row>
    <x:row r="220">
      <x:c r="A220" s="137" t="str"/>
      <x:c r="B220" s="137" t="str"/>
      <x:c r="C220" s="138" t="str"/>
      <x:c r="D220" s="137" t="str"/>
      <x:c r="E220" s="137" t="str"/>
      <x:c r="F220" s="137" t="str"/>
      <x:c r="G220" s="137" t="str"/>
      <x:c r="H220" s="137" t="str"/>
      <x:c r="I220" s="137" t="str"/>
      <x:c r="J220" s="137" t="str"/>
      <x:c r="K220" s="137" t="str"/>
      <x:c r="L220" s="137" t="str"/>
      <x:c r="M220" s="160" t="str"/>
      <x:c r="N220" s="160" t="str"/>
      <x:c r="O220" s="137" t="str"/>
      <x:c r="P220" s="137" t="str"/>
      <x:c r="Q220" s="137" t="str"/>
      <x:c r="R220" s="137" t="str"/>
      <x:c r="S220" s="138" t="str"/>
      <x:c r="T220" s="137" t="str"/>
      <x:c r="U220" s="137" t="str"/>
      <x:c r="V220" s="137" t="str"/>
      <x:c r="W220" s="137" t="str"/>
      <x:c r="X220" s="137" t="str"/>
      <x:c r="Y220" s="199" t="str"/>
    </x:row>
    <x:row r="221">
      <x:c r="A221" s="137" t="str"/>
      <x:c r="B221" s="137" t="str"/>
      <x:c r="C221" s="138" t="str"/>
      <x:c r="D221" s="137" t="str"/>
      <x:c r="E221" s="137" t="str"/>
      <x:c r="F221" s="137" t="str"/>
      <x:c r="G221" s="137" t="str"/>
      <x:c r="H221" s="137" t="str"/>
      <x:c r="I221" s="137" t="str"/>
      <x:c r="J221" s="137" t="str"/>
      <x:c r="K221" s="137" t="str"/>
      <x:c r="L221" s="137" t="str"/>
      <x:c r="M221" s="160" t="str"/>
      <x:c r="N221" s="160" t="str"/>
      <x:c r="O221" s="137" t="str"/>
      <x:c r="P221" s="137" t="str"/>
      <x:c r="Q221" s="137" t="str"/>
      <x:c r="R221" s="137" t="str"/>
      <x:c r="S221" s="138" t="str"/>
      <x:c r="T221" s="137" t="str"/>
      <x:c r="U221" s="137" t="str"/>
      <x:c r="V221" s="137" t="str"/>
      <x:c r="W221" s="137" t="str"/>
      <x:c r="X221" s="137" t="str"/>
      <x:c r="Y221" s="199" t="str"/>
    </x:row>
    <x:row r="222">
      <x:c r="A222" s="137" t="str"/>
      <x:c r="B222" s="137" t="str"/>
      <x:c r="C222" s="138" t="str"/>
      <x:c r="D222" s="137" t="str"/>
      <x:c r="E222" s="137" t="str"/>
      <x:c r="F222" s="137" t="str"/>
      <x:c r="G222" s="137" t="str"/>
      <x:c r="H222" s="137" t="str"/>
      <x:c r="I222" s="137" t="str"/>
      <x:c r="J222" s="137" t="str"/>
      <x:c r="K222" s="137" t="str"/>
      <x:c r="L222" s="137" t="str"/>
      <x:c r="M222" s="160" t="str"/>
      <x:c r="N222" s="160" t="str"/>
      <x:c r="O222" s="137" t="str"/>
      <x:c r="P222" s="137" t="str"/>
      <x:c r="Q222" s="137" t="str"/>
      <x:c r="R222" s="137" t="str"/>
      <x:c r="S222" s="138" t="str"/>
      <x:c r="T222" s="137" t="str"/>
      <x:c r="U222" s="137" t="str"/>
      <x:c r="V222" s="137" t="str"/>
      <x:c r="W222" s="137" t="str"/>
      <x:c r="X222" s="137" t="str"/>
      <x:c r="Y222" s="199" t="str"/>
    </x:row>
    <x:row r="223">
      <x:c r="A223" s="137" t="str"/>
      <x:c r="B223" s="137" t="str"/>
      <x:c r="C223" s="138" t="str"/>
      <x:c r="D223" s="137" t="str"/>
      <x:c r="E223" s="137" t="str"/>
      <x:c r="F223" s="137" t="str"/>
      <x:c r="G223" s="137" t="str"/>
      <x:c r="H223" s="137" t="str"/>
      <x:c r="I223" s="137" t="str"/>
      <x:c r="J223" s="137" t="str"/>
      <x:c r="K223" s="137" t="str"/>
      <x:c r="L223" s="137" t="str"/>
      <x:c r="M223" s="160" t="str"/>
      <x:c r="N223" s="160" t="str"/>
      <x:c r="O223" s="137" t="str"/>
      <x:c r="P223" s="137" t="str"/>
      <x:c r="Q223" s="137" t="str"/>
      <x:c r="R223" s="137" t="str"/>
      <x:c r="S223" s="138" t="str"/>
      <x:c r="T223" s="137" t="str"/>
      <x:c r="U223" s="137" t="str"/>
      <x:c r="V223" s="137" t="str"/>
      <x:c r="W223" s="137" t="str"/>
      <x:c r="X223" s="137" t="str"/>
      <x:c r="Y223" s="199" t="str"/>
    </x:row>
    <x:row r="224">
      <x:c r="A224" s="137" t="str"/>
      <x:c r="B224" s="137" t="str"/>
      <x:c r="C224" s="138" t="str"/>
      <x:c r="D224" s="137" t="str"/>
      <x:c r="E224" s="137" t="str"/>
      <x:c r="F224" s="137" t="str"/>
      <x:c r="G224" s="137" t="str"/>
      <x:c r="H224" s="137" t="str"/>
      <x:c r="I224" s="137" t="str"/>
      <x:c r="J224" s="137" t="str"/>
      <x:c r="K224" s="137" t="str"/>
      <x:c r="L224" s="137" t="str"/>
      <x:c r="M224" s="160" t="str"/>
      <x:c r="N224" s="160" t="str"/>
      <x:c r="O224" s="137" t="str"/>
      <x:c r="P224" s="137" t="str"/>
      <x:c r="Q224" s="137" t="str"/>
      <x:c r="R224" s="137" t="str"/>
      <x:c r="S224" s="138" t="str"/>
      <x:c r="T224" s="137" t="str"/>
      <x:c r="U224" s="137" t="str"/>
      <x:c r="V224" s="137" t="str"/>
      <x:c r="W224" s="137" t="str"/>
      <x:c r="X224" s="137" t="str"/>
      <x:c r="Y224" s="199" t="str"/>
    </x:row>
    <x:row r="225">
      <x:c r="A225" s="137" t="str"/>
      <x:c r="B225" s="137" t="str"/>
      <x:c r="C225" s="138" t="str"/>
      <x:c r="D225" s="137" t="str"/>
      <x:c r="E225" s="137" t="str"/>
      <x:c r="F225" s="137" t="str"/>
      <x:c r="G225" s="137" t="str"/>
      <x:c r="H225" s="137" t="str"/>
      <x:c r="I225" s="137" t="str"/>
      <x:c r="J225" s="137" t="str"/>
      <x:c r="K225" s="137" t="str"/>
      <x:c r="L225" s="137" t="str"/>
      <x:c r="M225" s="160" t="str"/>
      <x:c r="N225" s="160" t="str"/>
      <x:c r="O225" s="137" t="str"/>
      <x:c r="P225" s="137" t="str"/>
      <x:c r="Q225" s="137" t="str"/>
      <x:c r="R225" s="137" t="str"/>
      <x:c r="S225" s="138" t="str"/>
      <x:c r="T225" s="137" t="str"/>
      <x:c r="U225" s="137" t="str"/>
      <x:c r="V225" s="137" t="str"/>
      <x:c r="W225" s="137" t="str"/>
      <x:c r="X225" s="137" t="str"/>
      <x:c r="Y225" s="199" t="str"/>
    </x:row>
    <x:row r="226">
      <x:c r="A226" s="137" t="str"/>
      <x:c r="B226" s="137" t="str"/>
      <x:c r="C226" s="138" t="str"/>
      <x:c r="D226" s="137" t="str"/>
      <x:c r="E226" s="137" t="str"/>
      <x:c r="F226" s="137" t="str"/>
      <x:c r="G226" s="137" t="str"/>
      <x:c r="H226" s="137" t="str"/>
      <x:c r="I226" s="137" t="str"/>
      <x:c r="J226" s="137" t="str"/>
      <x:c r="K226" s="137" t="str"/>
      <x:c r="L226" s="137" t="str"/>
      <x:c r="M226" s="160" t="str"/>
      <x:c r="N226" s="160" t="str"/>
      <x:c r="O226" s="137" t="str"/>
      <x:c r="P226" s="137" t="str"/>
      <x:c r="Q226" s="137" t="str"/>
      <x:c r="R226" s="137" t="str"/>
      <x:c r="S226" s="138" t="str"/>
      <x:c r="T226" s="137" t="str"/>
      <x:c r="U226" s="137" t="str"/>
      <x:c r="V226" s="137" t="str"/>
      <x:c r="W226" s="137" t="str"/>
      <x:c r="X226" s="137" t="str"/>
      <x:c r="Y226" s="199" t="str"/>
    </x:row>
    <x:row r="227">
      <x:c r="A227" s="137" t="str"/>
      <x:c r="B227" s="137" t="str"/>
      <x:c r="C227" s="138" t="str"/>
      <x:c r="D227" s="137" t="str"/>
      <x:c r="E227" s="137" t="str"/>
      <x:c r="F227" s="137" t="str"/>
      <x:c r="G227" s="137" t="str"/>
      <x:c r="H227" s="137" t="str"/>
      <x:c r="I227" s="137" t="str"/>
      <x:c r="J227" s="137" t="str"/>
      <x:c r="K227" s="137" t="str"/>
      <x:c r="L227" s="137" t="str"/>
      <x:c r="M227" s="160" t="str"/>
      <x:c r="N227" s="160" t="str"/>
      <x:c r="O227" s="137" t="str"/>
      <x:c r="P227" s="137" t="str"/>
      <x:c r="Q227" s="137" t="str"/>
      <x:c r="R227" s="137" t="str"/>
      <x:c r="S227" s="138" t="str"/>
      <x:c r="T227" s="137" t="str"/>
      <x:c r="U227" s="137" t="str"/>
      <x:c r="V227" s="137" t="str"/>
      <x:c r="W227" s="137" t="str"/>
      <x:c r="X227" s="137" t="str"/>
      <x:c r="Y227" s="199" t="str"/>
    </x:row>
    <x:row r="228">
      <x:c r="A228" s="137" t="str"/>
      <x:c r="B228" s="137" t="str"/>
      <x:c r="C228" s="138" t="str"/>
      <x:c r="D228" s="137" t="str"/>
      <x:c r="E228" s="137" t="str"/>
      <x:c r="F228" s="137" t="str"/>
      <x:c r="G228" s="137" t="str"/>
      <x:c r="H228" s="137" t="str"/>
      <x:c r="I228" s="137" t="str"/>
      <x:c r="J228" s="137" t="str"/>
      <x:c r="K228" s="137" t="str"/>
      <x:c r="L228" s="137" t="str"/>
      <x:c r="M228" s="160" t="str"/>
      <x:c r="N228" s="160" t="str"/>
      <x:c r="O228" s="137" t="str"/>
      <x:c r="P228" s="137" t="str"/>
      <x:c r="Q228" s="137" t="str"/>
      <x:c r="R228" s="137" t="str"/>
      <x:c r="S228" s="138" t="str"/>
      <x:c r="T228" s="137" t="str"/>
      <x:c r="U228" s="137" t="str"/>
      <x:c r="V228" s="137" t="str"/>
      <x:c r="W228" s="137" t="str"/>
      <x:c r="X228" s="137" t="str"/>
      <x:c r="Y228" s="199" t="str"/>
    </x:row>
    <x:row r="229">
      <x:c r="A229" s="137" t="str"/>
      <x:c r="B229" s="137" t="str"/>
      <x:c r="C229" s="138" t="str"/>
      <x:c r="D229" s="137" t="str"/>
      <x:c r="E229" s="137" t="str"/>
      <x:c r="F229" s="137" t="str"/>
      <x:c r="G229" s="137" t="str"/>
      <x:c r="H229" s="137" t="str"/>
      <x:c r="I229" s="137" t="str"/>
      <x:c r="J229" s="137" t="str"/>
      <x:c r="K229" s="137" t="str"/>
      <x:c r="L229" s="137" t="str"/>
      <x:c r="M229" s="160" t="str"/>
      <x:c r="N229" s="160" t="str"/>
      <x:c r="O229" s="137" t="str"/>
      <x:c r="P229" s="137" t="str"/>
      <x:c r="Q229" s="137" t="str"/>
      <x:c r="R229" s="137" t="str"/>
      <x:c r="S229" s="138" t="str"/>
      <x:c r="T229" s="137" t="str"/>
      <x:c r="U229" s="137" t="str"/>
      <x:c r="V229" s="137" t="str"/>
      <x:c r="W229" s="137" t="str"/>
      <x:c r="X229" s="137" t="str"/>
      <x:c r="Y229" s="199" t="str"/>
    </x:row>
    <x:row r="230">
      <x:c r="A230" s="137" t="str"/>
      <x:c r="B230" s="137" t="str"/>
      <x:c r="C230" s="138" t="str"/>
      <x:c r="D230" s="137" t="str"/>
      <x:c r="E230" s="137" t="str"/>
      <x:c r="F230" s="137" t="str"/>
      <x:c r="G230" s="137" t="str"/>
      <x:c r="H230" s="137" t="str"/>
      <x:c r="I230" s="137" t="str"/>
      <x:c r="J230" s="137" t="str"/>
      <x:c r="K230" s="137" t="str"/>
      <x:c r="L230" s="137" t="str"/>
      <x:c r="M230" s="160" t="str"/>
      <x:c r="N230" s="160" t="str"/>
      <x:c r="O230" s="137" t="str"/>
      <x:c r="P230" s="137" t="str"/>
      <x:c r="Q230" s="137" t="str"/>
      <x:c r="R230" s="137" t="str"/>
      <x:c r="S230" s="138" t="str"/>
      <x:c r="T230" s="137" t="str"/>
      <x:c r="U230" s="137" t="str"/>
      <x:c r="V230" s="137" t="str"/>
      <x:c r="W230" s="137" t="str"/>
      <x:c r="X230" s="137" t="str"/>
      <x:c r="Y230" s="199" t="str"/>
    </x:row>
    <x:row r="231">
      <x:c r="A231" s="137" t="str"/>
      <x:c r="B231" s="137" t="str"/>
      <x:c r="C231" s="138" t="str"/>
      <x:c r="D231" s="137" t="str"/>
      <x:c r="E231" s="137" t="str"/>
      <x:c r="F231" s="137" t="str"/>
      <x:c r="G231" s="137" t="str"/>
      <x:c r="H231" s="137" t="str"/>
      <x:c r="I231" s="137" t="str"/>
      <x:c r="J231" s="137" t="str"/>
      <x:c r="K231" s="137" t="str"/>
      <x:c r="L231" s="137" t="str"/>
      <x:c r="M231" s="160" t="str"/>
      <x:c r="N231" s="160" t="str"/>
      <x:c r="O231" s="137" t="str"/>
      <x:c r="P231" s="137" t="str"/>
      <x:c r="Q231" s="137" t="str"/>
      <x:c r="R231" s="137" t="str"/>
      <x:c r="S231" s="138" t="str"/>
      <x:c r="T231" s="137" t="str"/>
      <x:c r="U231" s="137" t="str"/>
      <x:c r="V231" s="137" t="str"/>
      <x:c r="W231" s="137" t="str"/>
      <x:c r="X231" s="137" t="str"/>
      <x:c r="Y231" s="199" t="str"/>
    </x:row>
    <x:row r="232">
      <x:c r="A232" s="137" t="str"/>
      <x:c r="B232" s="137" t="str"/>
      <x:c r="C232" s="138" t="str"/>
      <x:c r="D232" s="137" t="str"/>
      <x:c r="E232" s="137" t="str"/>
      <x:c r="F232" s="137" t="str"/>
      <x:c r="G232" s="137" t="str"/>
      <x:c r="H232" s="137" t="str"/>
      <x:c r="I232" s="137" t="str"/>
      <x:c r="J232" s="137" t="str"/>
      <x:c r="K232" s="137" t="str"/>
      <x:c r="L232" s="137" t="str"/>
      <x:c r="M232" s="160" t="str"/>
      <x:c r="N232" s="160" t="str"/>
      <x:c r="O232" s="137" t="str"/>
      <x:c r="P232" s="137" t="str"/>
      <x:c r="Q232" s="137" t="str"/>
      <x:c r="R232" s="137" t="str"/>
      <x:c r="S232" s="138" t="str"/>
      <x:c r="T232" s="137" t="str"/>
      <x:c r="U232" s="137" t="str"/>
      <x:c r="V232" s="137" t="str"/>
      <x:c r="W232" s="137" t="str"/>
      <x:c r="X232" s="137" t="str"/>
      <x:c r="Y232" s="199" t="str"/>
    </x:row>
    <x:row r="233">
      <x:c r="A233" s="137" t="str"/>
      <x:c r="B233" s="137" t="str"/>
      <x:c r="C233" s="138" t="str"/>
      <x:c r="D233" s="137" t="str"/>
      <x:c r="E233" s="137" t="str"/>
      <x:c r="F233" s="137" t="str"/>
      <x:c r="G233" s="137" t="str"/>
      <x:c r="H233" s="137" t="str"/>
      <x:c r="I233" s="137" t="str"/>
      <x:c r="J233" s="137" t="str"/>
      <x:c r="K233" s="137" t="str"/>
      <x:c r="L233" s="137" t="str"/>
      <x:c r="M233" s="160" t="str"/>
      <x:c r="N233" s="160" t="str"/>
      <x:c r="O233" s="137" t="str"/>
      <x:c r="P233" s="137" t="str"/>
      <x:c r="Q233" s="137" t="str"/>
      <x:c r="R233" s="137" t="str"/>
      <x:c r="S233" s="138" t="str"/>
      <x:c r="T233" s="137" t="str"/>
      <x:c r="U233" s="137" t="str"/>
      <x:c r="V233" s="137" t="str"/>
      <x:c r="W233" s="137" t="str"/>
      <x:c r="X233" s="137" t="str"/>
      <x:c r="Y233" s="199" t="str"/>
    </x:row>
    <x:row r="234">
      <x:c r="A234" s="137" t="str"/>
      <x:c r="B234" s="137" t="str"/>
      <x:c r="C234" s="138" t="str"/>
      <x:c r="D234" s="137" t="str"/>
      <x:c r="E234" s="137" t="str"/>
      <x:c r="F234" s="137" t="str"/>
      <x:c r="G234" s="137" t="str"/>
      <x:c r="H234" s="137" t="str"/>
      <x:c r="I234" s="137" t="str"/>
      <x:c r="J234" s="137" t="str"/>
      <x:c r="K234" s="137" t="str"/>
      <x:c r="L234" s="137" t="str"/>
      <x:c r="M234" s="160" t="str"/>
      <x:c r="N234" s="160" t="str"/>
      <x:c r="O234" s="137" t="str"/>
      <x:c r="P234" s="137" t="str"/>
      <x:c r="Q234" s="137" t="str"/>
      <x:c r="R234" s="137" t="str"/>
      <x:c r="S234" s="138" t="str"/>
      <x:c r="T234" s="137" t="str"/>
      <x:c r="U234" s="137" t="str"/>
      <x:c r="V234" s="137" t="str"/>
      <x:c r="W234" s="137" t="str"/>
      <x:c r="X234" s="137" t="str"/>
      <x:c r="Y234" s="199" t="str"/>
    </x:row>
    <x:row r="235">
      <x:c r="A235" s="137" t="str"/>
      <x:c r="B235" s="137" t="str"/>
      <x:c r="C235" s="138" t="str"/>
      <x:c r="D235" s="137" t="str"/>
      <x:c r="E235" s="137" t="str"/>
      <x:c r="F235" s="137" t="str"/>
      <x:c r="G235" s="137" t="str"/>
      <x:c r="H235" s="137" t="str"/>
      <x:c r="I235" s="137" t="str"/>
      <x:c r="J235" s="137" t="str"/>
      <x:c r="K235" s="137" t="str"/>
      <x:c r="L235" s="137" t="str"/>
      <x:c r="M235" s="160" t="str"/>
      <x:c r="N235" s="160" t="str"/>
      <x:c r="O235" s="137" t="str"/>
      <x:c r="P235" s="137" t="str"/>
      <x:c r="Q235" s="137" t="str"/>
      <x:c r="R235" s="137" t="str"/>
      <x:c r="S235" s="138" t="str"/>
      <x:c r="T235" s="137" t="str"/>
      <x:c r="U235" s="137" t="str"/>
      <x:c r="V235" s="137" t="str"/>
      <x:c r="W235" s="137" t="str"/>
      <x:c r="X235" s="137" t="str"/>
      <x:c r="Y235" s="199" t="str"/>
    </x:row>
    <x:row r="236">
      <x:c r="A236" s="137" t="str"/>
      <x:c r="B236" s="137" t="str"/>
      <x:c r="C236" s="138" t="str"/>
      <x:c r="D236" s="137" t="str"/>
      <x:c r="E236" s="137" t="str"/>
      <x:c r="F236" s="137" t="str"/>
      <x:c r="G236" s="137" t="str"/>
      <x:c r="H236" s="137" t="str"/>
      <x:c r="I236" s="137" t="str"/>
      <x:c r="J236" s="137" t="str"/>
      <x:c r="K236" s="137" t="str"/>
      <x:c r="L236" s="137" t="str"/>
      <x:c r="M236" s="160" t="str"/>
      <x:c r="N236" s="160" t="str"/>
      <x:c r="O236" s="137" t="str"/>
      <x:c r="P236" s="137" t="str"/>
      <x:c r="Q236" s="137" t="str"/>
      <x:c r="R236" s="137" t="str"/>
      <x:c r="S236" s="138" t="str"/>
      <x:c r="T236" s="137" t="str"/>
      <x:c r="U236" s="137" t="str"/>
      <x:c r="V236" s="137" t="str"/>
      <x:c r="W236" s="137" t="str"/>
      <x:c r="X236" s="137" t="str"/>
      <x:c r="Y236" s="199" t="str"/>
    </x:row>
    <x:row r="237">
      <x:c r="A237" s="137" t="str"/>
      <x:c r="B237" s="137" t="str"/>
      <x:c r="C237" s="138" t="str"/>
      <x:c r="D237" s="137" t="str"/>
      <x:c r="E237" s="137" t="str"/>
      <x:c r="F237" s="137" t="str"/>
      <x:c r="G237" s="137" t="str"/>
      <x:c r="H237" s="137" t="str"/>
      <x:c r="I237" s="137" t="str"/>
      <x:c r="J237" s="137" t="str"/>
      <x:c r="K237" s="137" t="str"/>
      <x:c r="L237" s="137" t="str"/>
      <x:c r="M237" s="160" t="str"/>
      <x:c r="N237" s="160" t="str"/>
      <x:c r="O237" s="137" t="str"/>
      <x:c r="P237" s="137" t="str"/>
      <x:c r="Q237" s="137" t="str"/>
      <x:c r="R237" s="137" t="str"/>
      <x:c r="S237" s="138" t="str"/>
      <x:c r="T237" s="137" t="str"/>
      <x:c r="U237" s="137" t="str"/>
      <x:c r="V237" s="137" t="str"/>
      <x:c r="W237" s="137" t="str"/>
      <x:c r="X237" s="137" t="str"/>
      <x:c r="Y237" s="199" t="str"/>
    </x:row>
    <x:row r="238">
      <x:c r="A238" s="137" t="str"/>
      <x:c r="B238" s="137" t="str"/>
      <x:c r="C238" s="138" t="str"/>
      <x:c r="D238" s="137" t="str"/>
      <x:c r="E238" s="137" t="str"/>
      <x:c r="F238" s="137" t="str"/>
      <x:c r="G238" s="137" t="str"/>
      <x:c r="H238" s="137" t="str"/>
      <x:c r="I238" s="137" t="str"/>
      <x:c r="J238" s="137" t="str"/>
      <x:c r="K238" s="137" t="str"/>
      <x:c r="L238" s="137" t="str"/>
      <x:c r="M238" s="160" t="str"/>
      <x:c r="N238" s="160" t="str"/>
      <x:c r="O238" s="137" t="str"/>
      <x:c r="P238" s="137" t="str"/>
      <x:c r="Q238" s="137" t="str"/>
      <x:c r="R238" s="137" t="str"/>
      <x:c r="S238" s="138" t="str"/>
      <x:c r="T238" s="137" t="str"/>
      <x:c r="U238" s="137" t="str"/>
      <x:c r="V238" s="137" t="str"/>
      <x:c r="W238" s="137" t="str"/>
      <x:c r="X238" s="137" t="str"/>
      <x:c r="Y238" s="199" t="str"/>
    </x:row>
    <x:row r="239">
      <x:c r="A239" s="137" t="str"/>
      <x:c r="B239" s="137" t="str"/>
      <x:c r="C239" s="138" t="str"/>
      <x:c r="D239" s="137" t="str"/>
      <x:c r="E239" s="137" t="str"/>
      <x:c r="F239" s="137" t="str"/>
      <x:c r="G239" s="137" t="str"/>
      <x:c r="H239" s="137" t="str"/>
      <x:c r="I239" s="137" t="str"/>
      <x:c r="J239" s="137" t="str"/>
      <x:c r="K239" s="137" t="str"/>
      <x:c r="L239" s="137" t="str"/>
      <x:c r="M239" s="160" t="str"/>
      <x:c r="N239" s="160" t="str"/>
      <x:c r="O239" s="137" t="str"/>
      <x:c r="P239" s="137" t="str"/>
      <x:c r="Q239" s="137" t="str"/>
      <x:c r="R239" s="137" t="str"/>
      <x:c r="S239" s="138" t="str"/>
      <x:c r="T239" s="137" t="str"/>
      <x:c r="U239" s="137" t="str"/>
      <x:c r="V239" s="137" t="str"/>
      <x:c r="W239" s="137" t="str"/>
      <x:c r="X239" s="137" t="str"/>
      <x:c r="Y239" s="199" t="str"/>
    </x:row>
    <x:row r="240">
      <x:c r="A240" s="137" t="str"/>
      <x:c r="B240" s="137" t="str"/>
      <x:c r="C240" s="138" t="str"/>
      <x:c r="D240" s="137" t="str"/>
      <x:c r="E240" s="137" t="str"/>
      <x:c r="F240" s="137" t="str"/>
      <x:c r="G240" s="137" t="str"/>
      <x:c r="H240" s="137" t="str"/>
      <x:c r="I240" s="137" t="str"/>
      <x:c r="J240" s="137" t="str"/>
      <x:c r="K240" s="137" t="str"/>
      <x:c r="L240" s="137" t="str"/>
      <x:c r="M240" s="160" t="str"/>
      <x:c r="N240" s="160" t="str"/>
      <x:c r="O240" s="137" t="str"/>
      <x:c r="P240" s="137" t="str"/>
      <x:c r="Q240" s="137" t="str"/>
      <x:c r="R240" s="137" t="str"/>
      <x:c r="S240" s="138" t="str"/>
      <x:c r="T240" s="137" t="str"/>
      <x:c r="U240" s="137" t="str"/>
      <x:c r="V240" s="137" t="str"/>
      <x:c r="W240" s="137" t="str"/>
      <x:c r="X240" s="137" t="str"/>
      <x:c r="Y240" s="199" t="str"/>
    </x:row>
    <x:row r="241">
      <x:c r="A241" s="137" t="str"/>
      <x:c r="B241" s="137" t="str"/>
      <x:c r="C241" s="138" t="str"/>
      <x:c r="D241" s="137" t="str"/>
      <x:c r="E241" s="137" t="str"/>
      <x:c r="F241" s="137" t="str"/>
      <x:c r="G241" s="137" t="str"/>
      <x:c r="H241" s="137" t="str"/>
      <x:c r="I241" s="137" t="str"/>
      <x:c r="J241" s="137" t="str"/>
      <x:c r="K241" s="137" t="str"/>
      <x:c r="L241" s="137" t="str"/>
      <x:c r="M241" s="160" t="str"/>
      <x:c r="N241" s="160" t="str"/>
      <x:c r="O241" s="137" t="str"/>
      <x:c r="P241" s="137" t="str"/>
      <x:c r="Q241" s="137" t="str"/>
      <x:c r="R241" s="137" t="str"/>
      <x:c r="S241" s="138" t="str"/>
      <x:c r="T241" s="137" t="str"/>
      <x:c r="U241" s="137" t="str"/>
      <x:c r="V241" s="137" t="str"/>
      <x:c r="W241" s="137" t="str"/>
      <x:c r="X241" s="137" t="str"/>
      <x:c r="Y241" s="199" t="str"/>
    </x:row>
    <x:row r="242">
      <x:c r="A242" s="137" t="str"/>
      <x:c r="B242" s="137" t="str"/>
      <x:c r="C242" s="138" t="str"/>
      <x:c r="D242" s="137" t="str"/>
      <x:c r="E242" s="137" t="str"/>
      <x:c r="F242" s="137" t="str"/>
      <x:c r="G242" s="137" t="str"/>
      <x:c r="H242" s="137" t="str"/>
      <x:c r="I242" s="137" t="str"/>
      <x:c r="J242" s="137" t="str"/>
      <x:c r="K242" s="137" t="str"/>
      <x:c r="L242" s="137" t="str"/>
      <x:c r="M242" s="160" t="str"/>
      <x:c r="N242" s="160" t="str"/>
      <x:c r="O242" s="137" t="str"/>
      <x:c r="P242" s="137" t="str"/>
      <x:c r="Q242" s="137" t="str"/>
      <x:c r="R242" s="137" t="str"/>
      <x:c r="S242" s="138" t="str"/>
      <x:c r="T242" s="137" t="str"/>
      <x:c r="U242" s="137" t="str"/>
      <x:c r="V242" s="137" t="str"/>
      <x:c r="W242" s="137" t="str"/>
      <x:c r="X242" s="137" t="str"/>
      <x:c r="Y242" s="199" t="str"/>
    </x:row>
    <x:row r="243">
      <x:c r="A243" s="137" t="str"/>
      <x:c r="B243" s="137" t="str"/>
      <x:c r="C243" s="138" t="str"/>
      <x:c r="D243" s="137" t="str"/>
      <x:c r="E243" s="137" t="str"/>
      <x:c r="F243" s="137" t="str"/>
      <x:c r="G243" s="137" t="str"/>
      <x:c r="H243" s="137" t="str"/>
      <x:c r="I243" s="137" t="str"/>
      <x:c r="J243" s="137" t="str"/>
      <x:c r="K243" s="137" t="str"/>
      <x:c r="L243" s="137" t="str"/>
      <x:c r="M243" s="160" t="str"/>
      <x:c r="N243" s="160" t="str"/>
      <x:c r="O243" s="137" t="str"/>
      <x:c r="P243" s="137" t="str"/>
      <x:c r="Q243" s="137" t="str"/>
      <x:c r="R243" s="137" t="str"/>
      <x:c r="S243" s="138" t="str"/>
      <x:c r="T243" s="137" t="str"/>
      <x:c r="U243" s="137" t="str"/>
      <x:c r="V243" s="137" t="str"/>
      <x:c r="W243" s="137" t="str"/>
      <x:c r="X243" s="137" t="str"/>
      <x:c r="Y243" s="199" t="str"/>
    </x:row>
    <x:row r="244">
      <x:c r="A244" s="137" t="str"/>
      <x:c r="B244" s="137" t="str"/>
      <x:c r="C244" s="138" t="str"/>
      <x:c r="D244" s="137" t="str"/>
      <x:c r="E244" s="137" t="str"/>
      <x:c r="F244" s="137" t="str"/>
      <x:c r="G244" s="137" t="str"/>
      <x:c r="H244" s="137" t="str"/>
      <x:c r="I244" s="137" t="str"/>
      <x:c r="J244" s="137" t="str"/>
      <x:c r="K244" s="137" t="str"/>
      <x:c r="L244" s="137" t="str"/>
      <x:c r="M244" s="160" t="str"/>
      <x:c r="N244" s="160" t="str"/>
      <x:c r="O244" s="137" t="str"/>
      <x:c r="P244" s="137" t="str"/>
      <x:c r="Q244" s="137" t="str"/>
      <x:c r="R244" s="137" t="str"/>
      <x:c r="S244" s="138" t="str"/>
      <x:c r="T244" s="137" t="str"/>
      <x:c r="U244" s="137" t="str"/>
      <x:c r="V244" s="137" t="str"/>
      <x:c r="W244" s="137" t="str"/>
      <x:c r="X244" s="137" t="str"/>
      <x:c r="Y244" s="199" t="str"/>
    </x:row>
    <x:row r="245">
      <x:c r="A245" s="137" t="str"/>
      <x:c r="B245" s="137" t="str"/>
      <x:c r="C245" s="138" t="str"/>
      <x:c r="D245" s="137" t="str"/>
      <x:c r="E245" s="137" t="str"/>
      <x:c r="F245" s="137" t="str"/>
      <x:c r="G245" s="137" t="str"/>
      <x:c r="H245" s="137" t="str"/>
      <x:c r="I245" s="137" t="str"/>
      <x:c r="J245" s="137" t="str"/>
      <x:c r="K245" s="137" t="str"/>
      <x:c r="L245" s="137" t="str"/>
      <x:c r="M245" s="160" t="str"/>
      <x:c r="N245" s="160" t="str"/>
      <x:c r="O245" s="137" t="str"/>
      <x:c r="P245" s="137" t="str"/>
      <x:c r="Q245" s="137" t="str"/>
      <x:c r="R245" s="137" t="str"/>
      <x:c r="S245" s="138" t="str"/>
      <x:c r="T245" s="137" t="str"/>
      <x:c r="U245" s="137" t="str"/>
      <x:c r="V245" s="137" t="str"/>
      <x:c r="W245" s="137" t="str"/>
      <x:c r="X245" s="137" t="str"/>
      <x:c r="Y245" s="199" t="str"/>
    </x:row>
    <x:row r="246">
      <x:c r="A246" s="137" t="str"/>
      <x:c r="B246" s="137" t="str"/>
      <x:c r="C246" s="138" t="str"/>
      <x:c r="D246" s="137" t="str"/>
      <x:c r="E246" s="137" t="str"/>
      <x:c r="F246" s="137" t="str"/>
      <x:c r="G246" s="137" t="str"/>
      <x:c r="H246" s="137" t="str"/>
      <x:c r="I246" s="137" t="str"/>
      <x:c r="J246" s="137" t="str"/>
      <x:c r="K246" s="137" t="str"/>
      <x:c r="L246" s="137" t="str"/>
      <x:c r="M246" s="160" t="str"/>
      <x:c r="N246" s="160" t="str"/>
      <x:c r="O246" s="137" t="str"/>
      <x:c r="P246" s="137" t="str"/>
      <x:c r="Q246" s="137" t="str"/>
      <x:c r="R246" s="137" t="str"/>
      <x:c r="S246" s="138" t="str"/>
      <x:c r="T246" s="137" t="str"/>
      <x:c r="U246" s="137" t="str"/>
      <x:c r="V246" s="137" t="str"/>
      <x:c r="W246" s="137" t="str"/>
      <x:c r="X246" s="137" t="str"/>
      <x:c r="Y246" s="199" t="str"/>
    </x:row>
    <x:row r="247">
      <x:c r="A247" s="137" t="str"/>
      <x:c r="B247" s="137" t="str"/>
      <x:c r="C247" s="138" t="str"/>
      <x:c r="D247" s="137" t="str"/>
      <x:c r="E247" s="137" t="str"/>
      <x:c r="F247" s="137" t="str"/>
      <x:c r="G247" s="137" t="str"/>
      <x:c r="H247" s="137" t="str"/>
      <x:c r="I247" s="137" t="str"/>
      <x:c r="J247" s="137" t="str"/>
      <x:c r="K247" s="137" t="str"/>
      <x:c r="L247" s="137" t="str"/>
      <x:c r="M247" s="160" t="str"/>
      <x:c r="N247" s="160" t="str"/>
      <x:c r="O247" s="137" t="str"/>
      <x:c r="P247" s="137" t="str"/>
      <x:c r="Q247" s="137" t="str"/>
      <x:c r="R247" s="137" t="str"/>
      <x:c r="S247" s="138" t="str"/>
      <x:c r="T247" s="137" t="str"/>
      <x:c r="U247" s="137" t="str"/>
      <x:c r="V247" s="137" t="str"/>
      <x:c r="W247" s="137" t="str"/>
      <x:c r="X247" s="137" t="str"/>
      <x:c r="Y247" s="199" t="str"/>
    </x:row>
    <x:row r="248">
      <x:c r="A248" s="137" t="str"/>
      <x:c r="B248" s="137" t="str"/>
      <x:c r="C248" s="138" t="str"/>
      <x:c r="D248" s="137" t="str"/>
      <x:c r="E248" s="137" t="str"/>
      <x:c r="F248" s="137" t="str"/>
      <x:c r="G248" s="137" t="str"/>
      <x:c r="H248" s="137" t="str"/>
      <x:c r="I248" s="137" t="str"/>
      <x:c r="J248" s="137" t="str"/>
      <x:c r="K248" s="137" t="str"/>
      <x:c r="L248" s="137" t="str"/>
      <x:c r="M248" s="160" t="str"/>
      <x:c r="N248" s="160" t="str"/>
      <x:c r="O248" s="137" t="str"/>
      <x:c r="P248" s="137" t="str"/>
      <x:c r="Q248" s="137" t="str"/>
      <x:c r="R248" s="137" t="str"/>
      <x:c r="S248" s="138" t="str"/>
      <x:c r="T248" s="137" t="str"/>
      <x:c r="U248" s="137" t="str"/>
      <x:c r="V248" s="137" t="str"/>
      <x:c r="W248" s="137" t="str"/>
      <x:c r="X248" s="137" t="str"/>
      <x:c r="Y248" s="199" t="str"/>
    </x:row>
    <x:row r="249">
      <x:c r="A249" s="137" t="str"/>
      <x:c r="B249" s="137" t="str"/>
      <x:c r="C249" s="138" t="str"/>
      <x:c r="D249" s="137" t="str"/>
      <x:c r="E249" s="137" t="str"/>
      <x:c r="F249" s="137" t="str"/>
      <x:c r="G249" s="137" t="str"/>
      <x:c r="H249" s="137" t="str"/>
      <x:c r="I249" s="137" t="str"/>
      <x:c r="J249" s="137" t="str"/>
      <x:c r="K249" s="137" t="str"/>
      <x:c r="L249" s="137" t="str"/>
      <x:c r="M249" s="160" t="str"/>
      <x:c r="N249" s="160" t="str"/>
      <x:c r="O249" s="137" t="str"/>
      <x:c r="P249" s="137" t="str"/>
      <x:c r="Q249" s="137" t="str"/>
      <x:c r="R249" s="137" t="str"/>
      <x:c r="S249" s="138" t="str"/>
      <x:c r="T249" s="137" t="str"/>
      <x:c r="U249" s="137" t="str"/>
      <x:c r="V249" s="137" t="str"/>
      <x:c r="W249" s="137" t="str"/>
      <x:c r="X249" s="137" t="str"/>
      <x:c r="Y249" s="199" t="str"/>
    </x:row>
    <x:row r="250">
      <x:c r="A250" s="137" t="str"/>
      <x:c r="B250" s="137" t="str"/>
      <x:c r="C250" s="138" t="str"/>
      <x:c r="D250" s="137" t="str"/>
      <x:c r="E250" s="137" t="str"/>
      <x:c r="F250" s="137" t="str"/>
      <x:c r="G250" s="137" t="str"/>
      <x:c r="H250" s="137" t="str"/>
      <x:c r="I250" s="137" t="str"/>
      <x:c r="J250" s="137" t="str"/>
      <x:c r="K250" s="137" t="str"/>
      <x:c r="L250" s="137" t="str"/>
      <x:c r="M250" s="160" t="str"/>
      <x:c r="N250" s="160" t="str"/>
      <x:c r="O250" s="137" t="str"/>
      <x:c r="P250" s="137" t="str"/>
      <x:c r="Q250" s="137" t="str"/>
      <x:c r="R250" s="137" t="str"/>
      <x:c r="S250" s="138" t="str"/>
      <x:c r="T250" s="137" t="str"/>
      <x:c r="U250" s="137" t="str"/>
      <x:c r="V250" s="137" t="str"/>
      <x:c r="W250" s="137" t="str"/>
      <x:c r="X250" s="137" t="str"/>
      <x:c r="Y250" s="199" t="str"/>
    </x:row>
    <x:row r="251">
      <x:c r="A251" s="137" t="str"/>
      <x:c r="B251" s="137" t="str"/>
      <x:c r="C251" s="138" t="str"/>
      <x:c r="D251" s="137" t="str"/>
      <x:c r="E251" s="137" t="str"/>
      <x:c r="F251" s="137" t="str"/>
      <x:c r="G251" s="137" t="str"/>
      <x:c r="H251" s="137" t="str"/>
      <x:c r="I251" s="137" t="str"/>
      <x:c r="J251" s="137" t="str"/>
      <x:c r="K251" s="137" t="str"/>
      <x:c r="L251" s="137" t="str"/>
      <x:c r="M251" s="160" t="str"/>
      <x:c r="N251" s="160" t="str"/>
      <x:c r="O251" s="137" t="str"/>
      <x:c r="P251" s="137" t="str"/>
      <x:c r="Q251" s="137" t="str"/>
      <x:c r="R251" s="137" t="str"/>
      <x:c r="S251" s="138" t="str"/>
      <x:c r="T251" s="137" t="str"/>
      <x:c r="U251" s="137" t="str"/>
      <x:c r="V251" s="137" t="str"/>
      <x:c r="W251" s="137" t="str"/>
      <x:c r="X251" s="137" t="str"/>
      <x:c r="Y251" s="199" t="str"/>
    </x:row>
    <x:row r="252">
      <x:c r="A252" s="137" t="str"/>
      <x:c r="B252" s="137" t="str"/>
      <x:c r="C252" s="138" t="str"/>
      <x:c r="D252" s="137" t="str"/>
      <x:c r="E252" s="137" t="str"/>
      <x:c r="F252" s="137" t="str"/>
      <x:c r="G252" s="137" t="str"/>
      <x:c r="H252" s="137" t="str"/>
      <x:c r="I252" s="137" t="str"/>
      <x:c r="J252" s="137" t="str"/>
      <x:c r="K252" s="137" t="str"/>
      <x:c r="L252" s="137" t="str"/>
      <x:c r="M252" s="160" t="str"/>
      <x:c r="N252" s="160" t="str"/>
      <x:c r="O252" s="137" t="str"/>
      <x:c r="P252" s="137" t="str"/>
      <x:c r="Q252" s="137" t="str"/>
      <x:c r="R252" s="137" t="str"/>
      <x:c r="S252" s="138" t="str"/>
      <x:c r="T252" s="137" t="str"/>
      <x:c r="U252" s="137" t="str"/>
      <x:c r="V252" s="137" t="str"/>
      <x:c r="W252" s="137" t="str"/>
      <x:c r="X252" s="137" t="str"/>
      <x:c r="Y252" s="199" t="str"/>
    </x:row>
    <x:row r="253">
      <x:c r="A253" s="137" t="str"/>
      <x:c r="B253" s="137" t="str"/>
      <x:c r="C253" s="138" t="str"/>
      <x:c r="D253" s="137" t="str"/>
      <x:c r="E253" s="137" t="str"/>
      <x:c r="F253" s="137" t="str"/>
      <x:c r="G253" s="137" t="str"/>
      <x:c r="H253" s="137" t="str"/>
      <x:c r="I253" s="137" t="str"/>
      <x:c r="J253" s="137" t="str"/>
      <x:c r="K253" s="137" t="str"/>
      <x:c r="L253" s="137" t="str"/>
      <x:c r="M253" s="160" t="str"/>
      <x:c r="N253" s="160" t="str"/>
      <x:c r="O253" s="137" t="str"/>
      <x:c r="P253" s="137" t="str"/>
      <x:c r="Q253" s="137" t="str"/>
      <x:c r="R253" s="137" t="str"/>
      <x:c r="S253" s="138" t="str"/>
      <x:c r="T253" s="137" t="str"/>
      <x:c r="U253" s="137" t="str"/>
      <x:c r="V253" s="137" t="str"/>
      <x:c r="W253" s="137" t="str"/>
      <x:c r="X253" s="137" t="str"/>
      <x:c r="Y253" s="199" t="str"/>
    </x:row>
    <x:row r="254">
      <x:c r="A254" s="137" t="str"/>
      <x:c r="B254" s="137" t="str"/>
      <x:c r="C254" s="138" t="str"/>
      <x:c r="D254" s="137" t="str"/>
      <x:c r="E254" s="137" t="str"/>
      <x:c r="F254" s="137" t="str"/>
      <x:c r="G254" s="137" t="str"/>
      <x:c r="H254" s="137" t="str"/>
      <x:c r="I254" s="137" t="str"/>
      <x:c r="J254" s="137" t="str"/>
      <x:c r="K254" s="137" t="str"/>
      <x:c r="L254" s="137" t="str"/>
      <x:c r="M254" s="160" t="str"/>
      <x:c r="N254" s="160" t="str"/>
      <x:c r="O254" s="137" t="str"/>
      <x:c r="P254" s="137" t="str"/>
      <x:c r="Q254" s="137" t="str"/>
      <x:c r="R254" s="137" t="str"/>
      <x:c r="S254" s="138" t="str"/>
      <x:c r="T254" s="137" t="str"/>
      <x:c r="U254" s="137" t="str"/>
      <x:c r="V254" s="137" t="str"/>
      <x:c r="W254" s="137" t="str"/>
      <x:c r="X254" s="137" t="str"/>
      <x:c r="Y254" s="199" t="str"/>
    </x:row>
    <x:row r="255">
      <x:c r="A255" s="137" t="str"/>
      <x:c r="B255" s="137" t="str"/>
      <x:c r="C255" s="138" t="str"/>
      <x:c r="D255" s="137" t="str"/>
      <x:c r="E255" s="137" t="str"/>
      <x:c r="F255" s="137" t="str"/>
      <x:c r="G255" s="137" t="str"/>
      <x:c r="H255" s="137" t="str"/>
      <x:c r="I255" s="137" t="str"/>
      <x:c r="J255" s="137" t="str"/>
      <x:c r="K255" s="137" t="str"/>
      <x:c r="L255" s="137" t="str"/>
      <x:c r="M255" s="160" t="str"/>
      <x:c r="N255" s="160" t="str"/>
      <x:c r="O255" s="137" t="str"/>
      <x:c r="P255" s="137" t="str"/>
      <x:c r="Q255" s="137" t="str"/>
      <x:c r="R255" s="137" t="str"/>
      <x:c r="S255" s="138" t="str"/>
      <x:c r="T255" s="137" t="str"/>
      <x:c r="U255" s="137" t="str"/>
      <x:c r="V255" s="137" t="str"/>
      <x:c r="W255" s="137" t="str"/>
      <x:c r="X255" s="137" t="str"/>
      <x:c r="Y255" s="199" t="str"/>
    </x:row>
    <x:row r="256">
      <x:c r="A256" s="137" t="str"/>
      <x:c r="B256" s="137" t="str"/>
      <x:c r="C256" s="138" t="str"/>
      <x:c r="D256" s="137" t="str"/>
      <x:c r="E256" s="137" t="str"/>
      <x:c r="F256" s="137" t="str"/>
      <x:c r="G256" s="137" t="str"/>
      <x:c r="H256" s="137" t="str"/>
      <x:c r="I256" s="137" t="str"/>
      <x:c r="J256" s="137" t="str"/>
      <x:c r="K256" s="137" t="str"/>
      <x:c r="L256" s="137" t="str"/>
      <x:c r="M256" s="160" t="str"/>
      <x:c r="N256" s="160" t="str"/>
      <x:c r="O256" s="137" t="str"/>
      <x:c r="P256" s="137" t="str"/>
      <x:c r="Q256" s="137" t="str"/>
      <x:c r="R256" s="137" t="str"/>
      <x:c r="S256" s="138" t="str"/>
      <x:c r="T256" s="137" t="str"/>
      <x:c r="U256" s="137" t="str"/>
      <x:c r="V256" s="137" t="str"/>
      <x:c r="W256" s="137" t="str"/>
      <x:c r="X256" s="137" t="str"/>
      <x:c r="Y256" s="199" t="str"/>
    </x:row>
    <x:row r="257">
      <x:c r="A257" s="137" t="str"/>
      <x:c r="B257" s="137" t="str"/>
      <x:c r="C257" s="138" t="str"/>
      <x:c r="D257" s="137" t="str"/>
      <x:c r="E257" s="137" t="str"/>
      <x:c r="F257" s="137" t="str"/>
      <x:c r="G257" s="137" t="str"/>
      <x:c r="H257" s="137" t="str"/>
      <x:c r="I257" s="137" t="str"/>
      <x:c r="J257" s="137" t="str"/>
      <x:c r="K257" s="137" t="str"/>
      <x:c r="L257" s="137" t="str"/>
      <x:c r="M257" s="160" t="str"/>
      <x:c r="N257" s="160" t="str"/>
      <x:c r="O257" s="137" t="str"/>
      <x:c r="P257" s="137" t="str"/>
      <x:c r="Q257" s="137" t="str"/>
      <x:c r="R257" s="137" t="str"/>
      <x:c r="S257" s="138" t="str"/>
      <x:c r="T257" s="137" t="str"/>
      <x:c r="U257" s="137" t="str"/>
      <x:c r="V257" s="137" t="str"/>
      <x:c r="W257" s="137" t="str"/>
      <x:c r="X257" s="137" t="str"/>
      <x:c r="Y257" s="199" t="str"/>
    </x:row>
    <x:row r="258">
      <x:c r="A258" s="137" t="str"/>
      <x:c r="B258" s="137" t="str"/>
      <x:c r="C258" s="138" t="str"/>
      <x:c r="D258" s="137" t="str"/>
      <x:c r="E258" s="137" t="str"/>
      <x:c r="F258" s="137" t="str"/>
      <x:c r="G258" s="137" t="str"/>
      <x:c r="H258" s="137" t="str"/>
      <x:c r="I258" s="137" t="str"/>
      <x:c r="J258" s="137" t="str"/>
      <x:c r="K258" s="137" t="str"/>
      <x:c r="L258" s="137" t="str"/>
      <x:c r="M258" s="160" t="str"/>
      <x:c r="N258" s="160" t="str"/>
      <x:c r="O258" s="137" t="str"/>
      <x:c r="P258" s="137" t="str"/>
      <x:c r="Q258" s="137" t="str"/>
      <x:c r="R258" s="137" t="str"/>
      <x:c r="S258" s="138" t="str"/>
      <x:c r="T258" s="137" t="str"/>
      <x:c r="U258" s="137" t="str"/>
      <x:c r="V258" s="137" t="str"/>
      <x:c r="W258" s="137" t="str"/>
      <x:c r="X258" s="137" t="str"/>
      <x:c r="Y258" s="199" t="str"/>
    </x:row>
    <x:row r="259">
      <x:c r="A259" s="137" t="str"/>
      <x:c r="B259" s="137" t="str"/>
      <x:c r="C259" s="138" t="str"/>
      <x:c r="D259" s="137" t="str"/>
      <x:c r="E259" s="137" t="str"/>
      <x:c r="F259" s="137" t="str"/>
      <x:c r="G259" s="137" t="str"/>
      <x:c r="H259" s="137" t="str"/>
      <x:c r="I259" s="137" t="str"/>
      <x:c r="J259" s="137" t="str"/>
      <x:c r="K259" s="137" t="str"/>
      <x:c r="L259" s="137" t="str"/>
      <x:c r="M259" s="160" t="str"/>
      <x:c r="N259" s="160" t="str"/>
      <x:c r="O259" s="137" t="str"/>
      <x:c r="P259" s="137" t="str"/>
      <x:c r="Q259" s="137" t="str"/>
      <x:c r="R259" s="137" t="str"/>
      <x:c r="S259" s="138" t="str"/>
      <x:c r="T259" s="137" t="str"/>
      <x:c r="U259" s="137" t="str"/>
      <x:c r="V259" s="137" t="str"/>
      <x:c r="W259" s="137" t="str"/>
      <x:c r="X259" s="137" t="str"/>
      <x:c r="Y259" s="199" t="str"/>
    </x:row>
    <x:row r="260">
      <x:c r="A260" s="137" t="str"/>
      <x:c r="B260" s="137" t="str"/>
      <x:c r="C260" s="138" t="str"/>
      <x:c r="D260" s="137" t="str"/>
      <x:c r="E260" s="137" t="str"/>
      <x:c r="F260" s="137" t="str"/>
      <x:c r="G260" s="137" t="str"/>
      <x:c r="H260" s="137" t="str"/>
      <x:c r="I260" s="137" t="str"/>
      <x:c r="J260" s="137" t="str"/>
      <x:c r="K260" s="137" t="str"/>
      <x:c r="L260" s="137" t="str"/>
      <x:c r="M260" s="160" t="str"/>
      <x:c r="N260" s="160" t="str"/>
      <x:c r="O260" s="137" t="str"/>
      <x:c r="P260" s="137" t="str"/>
      <x:c r="Q260" s="137" t="str"/>
      <x:c r="R260" s="137" t="str"/>
      <x:c r="S260" s="138" t="str"/>
      <x:c r="T260" s="137" t="str"/>
      <x:c r="U260" s="137" t="str"/>
      <x:c r="V260" s="137" t="str"/>
      <x:c r="W260" s="137" t="str"/>
      <x:c r="X260" s="137" t="str"/>
      <x:c r="Y260" s="199" t="str"/>
    </x:row>
    <x:row r="261">
      <x:c r="A261" s="137" t="str"/>
      <x:c r="B261" s="137" t="str"/>
      <x:c r="C261" s="138" t="str"/>
      <x:c r="D261" s="137" t="str"/>
      <x:c r="E261" s="137" t="str"/>
      <x:c r="F261" s="137" t="str"/>
      <x:c r="G261" s="137" t="str"/>
      <x:c r="H261" s="137" t="str"/>
      <x:c r="I261" s="137" t="str"/>
      <x:c r="J261" s="137" t="str"/>
      <x:c r="K261" s="137" t="str"/>
      <x:c r="L261" s="137" t="str"/>
      <x:c r="M261" s="160" t="str"/>
      <x:c r="N261" s="160" t="str"/>
      <x:c r="O261" s="137" t="str"/>
      <x:c r="P261" s="137" t="str"/>
      <x:c r="Q261" s="137" t="str"/>
      <x:c r="R261" s="137" t="str"/>
      <x:c r="S261" s="138" t="str"/>
      <x:c r="T261" s="137" t="str"/>
      <x:c r="U261" s="137" t="str"/>
      <x:c r="V261" s="137" t="str"/>
      <x:c r="W261" s="137" t="str"/>
      <x:c r="X261" s="137" t="str"/>
      <x:c r="Y261" s="199" t="str"/>
    </x:row>
    <x:row r="262">
      <x:c r="A262" s="137" t="str"/>
      <x:c r="B262" s="137" t="str"/>
      <x:c r="C262" s="138" t="str"/>
      <x:c r="D262" s="137" t="str"/>
      <x:c r="E262" s="137" t="str"/>
      <x:c r="F262" s="137" t="str"/>
      <x:c r="G262" s="137" t="str"/>
      <x:c r="H262" s="137" t="str"/>
      <x:c r="I262" s="137" t="str"/>
      <x:c r="J262" s="137" t="str"/>
      <x:c r="K262" s="137" t="str"/>
      <x:c r="L262" s="137" t="str"/>
      <x:c r="M262" s="160" t="str"/>
      <x:c r="N262" s="160" t="str"/>
      <x:c r="O262" s="137" t="str"/>
      <x:c r="P262" s="137" t="str"/>
      <x:c r="Q262" s="137" t="str"/>
      <x:c r="R262" s="137" t="str"/>
      <x:c r="S262" s="138" t="str"/>
      <x:c r="T262" s="137" t="str"/>
      <x:c r="U262" s="137" t="str"/>
      <x:c r="V262" s="137" t="str"/>
      <x:c r="W262" s="137" t="str"/>
      <x:c r="X262" s="137" t="str"/>
      <x:c r="Y262" s="199" t="str"/>
    </x:row>
    <x:row r="263">
      <x:c r="A263" s="137" t="str"/>
      <x:c r="B263" s="137" t="str"/>
      <x:c r="C263" s="138" t="str"/>
      <x:c r="D263" s="137" t="str"/>
      <x:c r="E263" s="137" t="str"/>
      <x:c r="F263" s="137" t="str"/>
      <x:c r="G263" s="137" t="str"/>
      <x:c r="H263" s="137" t="str"/>
      <x:c r="I263" s="137" t="str"/>
      <x:c r="J263" s="137" t="str"/>
      <x:c r="K263" s="137" t="str"/>
      <x:c r="L263" s="137" t="str"/>
      <x:c r="M263" s="160" t="str"/>
      <x:c r="N263" s="160" t="str"/>
      <x:c r="O263" s="137" t="str"/>
      <x:c r="P263" s="137" t="str"/>
      <x:c r="Q263" s="137" t="str"/>
      <x:c r="R263" s="137" t="str"/>
      <x:c r="S263" s="138" t="str"/>
      <x:c r="T263" s="137" t="str"/>
      <x:c r="U263" s="137" t="str"/>
      <x:c r="V263" s="137" t="str"/>
      <x:c r="W263" s="137" t="str"/>
      <x:c r="X263" s="137" t="str"/>
      <x:c r="Y263" s="199" t="str"/>
    </x:row>
    <x:row r="264">
      <x:c r="A264" s="137" t="str"/>
      <x:c r="B264" s="137" t="str"/>
      <x:c r="C264" s="138" t="str"/>
      <x:c r="D264" s="137" t="str"/>
      <x:c r="E264" s="137" t="str"/>
      <x:c r="F264" s="137" t="str"/>
      <x:c r="G264" s="137" t="str"/>
      <x:c r="H264" s="137" t="str"/>
      <x:c r="I264" s="137" t="str"/>
      <x:c r="J264" s="137" t="str"/>
      <x:c r="K264" s="137" t="str"/>
      <x:c r="L264" s="137" t="str"/>
      <x:c r="M264" s="160" t="str"/>
      <x:c r="N264" s="160" t="str"/>
      <x:c r="O264" s="137" t="str"/>
      <x:c r="P264" s="137" t="str"/>
      <x:c r="Q264" s="137" t="str"/>
      <x:c r="R264" s="137" t="str"/>
      <x:c r="S264" s="138" t="str"/>
      <x:c r="T264" s="137" t="str"/>
      <x:c r="U264" s="137" t="str"/>
      <x:c r="V264" s="137" t="str"/>
      <x:c r="W264" s="137" t="str"/>
      <x:c r="X264" s="137" t="str"/>
      <x:c r="Y264" s="199" t="str"/>
    </x:row>
    <x:row r="265">
      <x:c r="A265" s="137" t="str"/>
      <x:c r="B265" s="137" t="str"/>
      <x:c r="C265" s="138" t="str"/>
      <x:c r="D265" s="137" t="str"/>
      <x:c r="E265" s="137" t="str"/>
      <x:c r="F265" s="137" t="str"/>
      <x:c r="G265" s="137" t="str"/>
      <x:c r="H265" s="137" t="str"/>
      <x:c r="I265" s="137" t="str"/>
      <x:c r="J265" s="137" t="str"/>
      <x:c r="K265" s="137" t="str"/>
      <x:c r="L265" s="137" t="str"/>
      <x:c r="M265" s="160" t="str"/>
      <x:c r="N265" s="160" t="str"/>
      <x:c r="O265" s="137" t="str"/>
      <x:c r="P265" s="137" t="str"/>
      <x:c r="Q265" s="137" t="str"/>
      <x:c r="R265" s="137" t="str"/>
      <x:c r="S265" s="138" t="str"/>
      <x:c r="T265" s="137" t="str"/>
      <x:c r="U265" s="137" t="str"/>
      <x:c r="V265" s="137" t="str"/>
      <x:c r="W265" s="137" t="str"/>
      <x:c r="X265" s="137" t="str"/>
      <x:c r="Y265" s="199" t="str"/>
    </x:row>
    <x:row r="266">
      <x:c r="A266" s="137" t="str"/>
      <x:c r="B266" s="137" t="str"/>
      <x:c r="C266" s="138" t="str"/>
      <x:c r="D266" s="137" t="str"/>
      <x:c r="E266" s="137" t="str"/>
      <x:c r="F266" s="137" t="str"/>
      <x:c r="G266" s="137" t="str"/>
      <x:c r="H266" s="137" t="str"/>
      <x:c r="I266" s="137" t="str"/>
      <x:c r="J266" s="137" t="str"/>
      <x:c r="K266" s="137" t="str"/>
      <x:c r="L266" s="137" t="str"/>
      <x:c r="M266" s="160" t="str"/>
      <x:c r="N266" s="160" t="str"/>
      <x:c r="O266" s="137" t="str"/>
      <x:c r="P266" s="137" t="str"/>
      <x:c r="Q266" s="137" t="str"/>
      <x:c r="R266" s="137" t="str"/>
      <x:c r="S266" s="138" t="str"/>
      <x:c r="T266" s="137" t="str"/>
      <x:c r="U266" s="137" t="str"/>
      <x:c r="V266" s="137" t="str"/>
      <x:c r="W266" s="137" t="str"/>
      <x:c r="X266" s="137" t="str"/>
      <x:c r="Y266" s="199" t="str"/>
    </x:row>
    <x:row r="267">
      <x:c r="A267" s="137" t="str"/>
      <x:c r="B267" s="137" t="str"/>
      <x:c r="C267" s="138" t="str"/>
      <x:c r="D267" s="137" t="str"/>
      <x:c r="E267" s="137" t="str"/>
      <x:c r="F267" s="137" t="str"/>
      <x:c r="G267" s="137" t="str"/>
      <x:c r="H267" s="137" t="str"/>
      <x:c r="I267" s="137" t="str"/>
      <x:c r="J267" s="137" t="str"/>
      <x:c r="K267" s="137" t="str"/>
      <x:c r="L267" s="137" t="str"/>
      <x:c r="M267" s="160" t="str"/>
      <x:c r="N267" s="160" t="str"/>
      <x:c r="O267" s="137" t="str"/>
      <x:c r="P267" s="137" t="str"/>
      <x:c r="Q267" s="137" t="str"/>
      <x:c r="R267" s="137" t="str"/>
      <x:c r="S267" s="138" t="str"/>
      <x:c r="T267" s="137" t="str"/>
      <x:c r="U267" s="137" t="str"/>
      <x:c r="V267" s="137" t="str"/>
      <x:c r="W267" s="137" t="str"/>
      <x:c r="X267" s="137" t="str"/>
      <x:c r="Y267" s="199" t="str"/>
    </x:row>
    <x:row r="268">
      <x:c r="A268" s="137" t="str"/>
      <x:c r="B268" s="137" t="str"/>
      <x:c r="C268" s="138" t="str"/>
      <x:c r="D268" s="137" t="str"/>
      <x:c r="E268" s="137" t="str"/>
      <x:c r="F268" s="137" t="str"/>
      <x:c r="G268" s="137" t="str"/>
      <x:c r="H268" s="137" t="str"/>
      <x:c r="I268" s="137" t="str"/>
      <x:c r="J268" s="137" t="str"/>
      <x:c r="K268" s="137" t="str"/>
      <x:c r="L268" s="137" t="str"/>
      <x:c r="M268" s="160" t="str"/>
      <x:c r="N268" s="160" t="str"/>
      <x:c r="O268" s="137" t="str"/>
      <x:c r="P268" s="137" t="str"/>
      <x:c r="Q268" s="137" t="str"/>
      <x:c r="R268" s="137" t="str"/>
      <x:c r="S268" s="138" t="str"/>
      <x:c r="T268" s="137" t="str"/>
      <x:c r="U268" s="137" t="str"/>
      <x:c r="V268" s="137" t="str"/>
      <x:c r="W268" s="137" t="str"/>
      <x:c r="X268" s="137" t="str"/>
      <x:c r="Y268" s="199" t="str"/>
    </x:row>
    <x:row r="269">
      <x:c r="A269" s="137" t="str"/>
      <x:c r="B269" s="137" t="str"/>
      <x:c r="C269" s="138" t="str"/>
      <x:c r="D269" s="137" t="str"/>
      <x:c r="E269" s="137" t="str"/>
      <x:c r="F269" s="137" t="str"/>
      <x:c r="G269" s="137" t="str"/>
      <x:c r="H269" s="137" t="str"/>
      <x:c r="I269" s="137" t="str"/>
      <x:c r="J269" s="137" t="str"/>
      <x:c r="K269" s="137" t="str"/>
      <x:c r="L269" s="137" t="str"/>
      <x:c r="M269" s="160" t="str"/>
      <x:c r="N269" s="160" t="str"/>
      <x:c r="O269" s="137" t="str"/>
      <x:c r="P269" s="137" t="str"/>
      <x:c r="Q269" s="137" t="str"/>
      <x:c r="R269" s="137" t="str"/>
      <x:c r="S269" s="138" t="str"/>
      <x:c r="T269" s="137" t="str"/>
      <x:c r="U269" s="137" t="str"/>
      <x:c r="V269" s="137" t="str"/>
      <x:c r="W269" s="137" t="str"/>
      <x:c r="X269" s="137" t="str"/>
      <x:c r="Y269" s="199" t="str"/>
    </x:row>
    <x:row r="270">
      <x:c r="A270" s="137" t="str"/>
      <x:c r="B270" s="137" t="str"/>
      <x:c r="C270" s="138" t="str"/>
      <x:c r="D270" s="137" t="str"/>
      <x:c r="E270" s="137" t="str"/>
      <x:c r="F270" s="137" t="str"/>
      <x:c r="G270" s="137" t="str"/>
      <x:c r="H270" s="137" t="str"/>
      <x:c r="I270" s="137" t="str"/>
      <x:c r="J270" s="137" t="str"/>
      <x:c r="K270" s="137" t="str"/>
      <x:c r="L270" s="137" t="str"/>
      <x:c r="M270" s="160" t="str"/>
      <x:c r="N270" s="160" t="str"/>
      <x:c r="O270" s="137" t="str"/>
      <x:c r="P270" s="137" t="str"/>
      <x:c r="Q270" s="137" t="str"/>
      <x:c r="R270" s="137" t="str"/>
      <x:c r="S270" s="138" t="str"/>
      <x:c r="T270" s="137" t="str"/>
      <x:c r="U270" s="137" t="str"/>
      <x:c r="V270" s="137" t="str"/>
      <x:c r="W270" s="137" t="str"/>
      <x:c r="X270" s="137" t="str"/>
      <x:c r="Y270" s="199" t="str"/>
    </x:row>
    <x:row r="271">
      <x:c r="A271" s="137" t="str"/>
      <x:c r="B271" s="137" t="str"/>
      <x:c r="C271" s="138" t="str"/>
      <x:c r="D271" s="137" t="str"/>
      <x:c r="E271" s="137" t="str"/>
      <x:c r="F271" s="137" t="str"/>
      <x:c r="G271" s="137" t="str"/>
      <x:c r="H271" s="137" t="str"/>
      <x:c r="I271" s="137" t="str"/>
      <x:c r="J271" s="137" t="str"/>
      <x:c r="K271" s="137" t="str"/>
      <x:c r="L271" s="137" t="str"/>
      <x:c r="M271" s="160" t="str"/>
      <x:c r="N271" s="160" t="str"/>
      <x:c r="O271" s="137" t="str"/>
      <x:c r="P271" s="137" t="str"/>
      <x:c r="Q271" s="137" t="str"/>
      <x:c r="R271" s="137" t="str"/>
      <x:c r="S271" s="138" t="str"/>
      <x:c r="T271" s="137" t="str"/>
      <x:c r="U271" s="137" t="str"/>
      <x:c r="V271" s="137" t="str"/>
      <x:c r="W271" s="137" t="str"/>
      <x:c r="X271" s="137" t="str"/>
      <x:c r="Y271" s="199" t="str"/>
    </x:row>
    <x:row r="272">
      <x:c r="A272" s="137" t="str"/>
      <x:c r="B272" s="137" t="str"/>
      <x:c r="C272" s="138" t="str"/>
      <x:c r="D272" s="137" t="str"/>
      <x:c r="E272" s="137" t="str"/>
      <x:c r="F272" s="137" t="str"/>
      <x:c r="G272" s="137" t="str"/>
      <x:c r="H272" s="137" t="str"/>
      <x:c r="I272" s="137" t="str"/>
      <x:c r="J272" s="137" t="str"/>
      <x:c r="K272" s="137" t="str"/>
      <x:c r="L272" s="137" t="str"/>
      <x:c r="M272" s="160" t="str"/>
      <x:c r="N272" s="160" t="str"/>
      <x:c r="O272" s="137" t="str"/>
      <x:c r="P272" s="137" t="str"/>
      <x:c r="Q272" s="137" t="str"/>
      <x:c r="R272" s="137" t="str"/>
      <x:c r="S272" s="138" t="str"/>
      <x:c r="T272" s="137" t="str"/>
      <x:c r="U272" s="137" t="str"/>
      <x:c r="V272" s="137" t="str"/>
      <x:c r="W272" s="137" t="str"/>
      <x:c r="X272" s="137" t="str"/>
      <x:c r="Y272" s="199" t="str"/>
    </x:row>
    <x:row r="273">
      <x:c r="A273" s="137" t="str"/>
      <x:c r="B273" s="137" t="str"/>
      <x:c r="C273" s="138" t="str"/>
      <x:c r="D273" s="137" t="str"/>
      <x:c r="E273" s="137" t="str"/>
      <x:c r="F273" s="137" t="str"/>
      <x:c r="G273" s="137" t="str"/>
      <x:c r="H273" s="137" t="str"/>
      <x:c r="I273" s="137" t="str"/>
      <x:c r="J273" s="137" t="str"/>
      <x:c r="K273" s="137" t="str"/>
      <x:c r="L273" s="137" t="str"/>
      <x:c r="M273" s="160" t="str"/>
      <x:c r="N273" s="160" t="str"/>
      <x:c r="O273" s="137" t="str"/>
      <x:c r="P273" s="137" t="str"/>
      <x:c r="Q273" s="137" t="str"/>
      <x:c r="R273" s="137" t="str"/>
      <x:c r="S273" s="138" t="str"/>
      <x:c r="T273" s="137" t="str"/>
      <x:c r="U273" s="137" t="str"/>
      <x:c r="V273" s="137" t="str"/>
      <x:c r="W273" s="137" t="str"/>
      <x:c r="X273" s="137" t="str"/>
      <x:c r="Y273" s="199" t="str"/>
    </x:row>
    <x:row r="274">
      <x:c r="A274" s="137" t="str"/>
      <x:c r="B274" s="137" t="str"/>
      <x:c r="C274" s="138" t="str"/>
      <x:c r="D274" s="137" t="str"/>
      <x:c r="E274" s="137" t="str"/>
      <x:c r="F274" s="137" t="str"/>
      <x:c r="G274" s="137" t="str"/>
      <x:c r="H274" s="137" t="str"/>
      <x:c r="I274" s="137" t="str"/>
      <x:c r="J274" s="137" t="str"/>
      <x:c r="K274" s="137" t="str"/>
      <x:c r="L274" s="137" t="str"/>
      <x:c r="M274" s="160" t="str"/>
      <x:c r="N274" s="160" t="str"/>
      <x:c r="O274" s="137" t="str"/>
      <x:c r="P274" s="137" t="str"/>
      <x:c r="Q274" s="137" t="str"/>
      <x:c r="R274" s="137" t="str"/>
      <x:c r="S274" s="138" t="str"/>
      <x:c r="T274" s="137" t="str"/>
      <x:c r="U274" s="137" t="str"/>
      <x:c r="V274" s="137" t="str"/>
      <x:c r="W274" s="137" t="str"/>
      <x:c r="X274" s="137" t="str"/>
      <x:c r="Y274" s="199" t="str"/>
    </x:row>
    <x:row r="275">
      <x:c r="A275" s="137" t="str"/>
      <x:c r="B275" s="137" t="str"/>
      <x:c r="C275" s="138" t="str"/>
      <x:c r="D275" s="137" t="str"/>
      <x:c r="E275" s="137" t="str"/>
      <x:c r="F275" s="137" t="str"/>
      <x:c r="G275" s="137" t="str"/>
      <x:c r="H275" s="137" t="str"/>
      <x:c r="I275" s="137" t="str"/>
      <x:c r="J275" s="137" t="str"/>
      <x:c r="K275" s="137" t="str"/>
      <x:c r="L275" s="137" t="str"/>
      <x:c r="M275" s="160" t="str"/>
      <x:c r="N275" s="160" t="str"/>
      <x:c r="O275" s="137" t="str"/>
      <x:c r="P275" s="137" t="str"/>
      <x:c r="Q275" s="137" t="str"/>
      <x:c r="R275" s="137" t="str"/>
      <x:c r="S275" s="138" t="str"/>
      <x:c r="T275" s="137" t="str"/>
      <x:c r="U275" s="137" t="str"/>
      <x:c r="V275" s="137" t="str"/>
      <x:c r="W275" s="137" t="str"/>
      <x:c r="X275" s="137" t="str"/>
      <x:c r="Y275" s="199" t="str"/>
    </x:row>
    <x:row r="276">
      <x:c r="A276" s="137" t="str"/>
      <x:c r="B276" s="137" t="str"/>
      <x:c r="C276" s="138" t="str"/>
      <x:c r="D276" s="137" t="str"/>
      <x:c r="E276" s="137" t="str"/>
      <x:c r="F276" s="137" t="str"/>
      <x:c r="G276" s="137" t="str"/>
      <x:c r="H276" s="137" t="str"/>
      <x:c r="I276" s="137" t="str"/>
      <x:c r="J276" s="137" t="str"/>
      <x:c r="K276" s="137" t="str"/>
      <x:c r="L276" s="137" t="str"/>
      <x:c r="M276" s="160" t="str"/>
      <x:c r="N276" s="160" t="str"/>
      <x:c r="O276" s="137" t="str"/>
      <x:c r="P276" s="137" t="str"/>
      <x:c r="Q276" s="137" t="str"/>
      <x:c r="R276" s="137" t="str"/>
      <x:c r="S276" s="138" t="str"/>
      <x:c r="T276" s="137" t="str"/>
      <x:c r="U276" s="137" t="str"/>
      <x:c r="V276" s="137" t="str"/>
      <x:c r="W276" s="137" t="str"/>
      <x:c r="X276" s="137" t="str"/>
      <x:c r="Y276" s="199" t="str"/>
    </x:row>
    <x:row r="277">
      <x:c r="A277" s="137" t="str"/>
      <x:c r="B277" s="137" t="str"/>
      <x:c r="C277" s="138" t="str"/>
      <x:c r="D277" s="137" t="str"/>
      <x:c r="E277" s="137" t="str"/>
      <x:c r="F277" s="137" t="str"/>
      <x:c r="G277" s="137" t="str"/>
      <x:c r="H277" s="137" t="str"/>
      <x:c r="I277" s="137" t="str"/>
      <x:c r="J277" s="137" t="str"/>
      <x:c r="K277" s="137" t="str"/>
      <x:c r="L277" s="137" t="str"/>
      <x:c r="M277" s="160" t="str"/>
      <x:c r="N277" s="160" t="str"/>
      <x:c r="O277" s="137" t="str"/>
      <x:c r="P277" s="137" t="str"/>
      <x:c r="Q277" s="137" t="str"/>
      <x:c r="R277" s="137" t="str"/>
      <x:c r="S277" s="138" t="str"/>
      <x:c r="T277" s="137" t="str"/>
      <x:c r="U277" s="137" t="str"/>
      <x:c r="V277" s="137" t="str"/>
      <x:c r="W277" s="137" t="str"/>
      <x:c r="X277" s="137" t="str"/>
      <x:c r="Y277" s="199" t="str"/>
    </x:row>
    <x:row r="278">
      <x:c r="A278" s="137" t="str"/>
      <x:c r="B278" s="137" t="str"/>
      <x:c r="C278" s="138" t="str"/>
      <x:c r="D278" s="137" t="str"/>
      <x:c r="E278" s="137" t="str"/>
      <x:c r="F278" s="137" t="str"/>
      <x:c r="G278" s="137" t="str"/>
      <x:c r="H278" s="137" t="str"/>
      <x:c r="I278" s="137" t="str"/>
      <x:c r="J278" s="137" t="str"/>
      <x:c r="K278" s="137" t="str"/>
      <x:c r="L278" s="137" t="str"/>
      <x:c r="M278" s="160" t="str"/>
      <x:c r="N278" s="160" t="str"/>
      <x:c r="O278" s="137" t="str"/>
      <x:c r="P278" s="137" t="str"/>
      <x:c r="Q278" s="137" t="str"/>
      <x:c r="R278" s="137" t="str"/>
      <x:c r="S278" s="138" t="str"/>
      <x:c r="T278" s="137" t="str"/>
      <x:c r="U278" s="137" t="str"/>
      <x:c r="V278" s="137" t="str"/>
      <x:c r="W278" s="137" t="str"/>
      <x:c r="X278" s="137" t="str"/>
      <x:c r="Y278" s="199" t="str"/>
    </x:row>
    <x:row r="279">
      <x:c r="A279" s="137" t="str"/>
      <x:c r="B279" s="137" t="str"/>
      <x:c r="C279" s="138" t="str"/>
      <x:c r="D279" s="137" t="str"/>
      <x:c r="E279" s="137" t="str"/>
      <x:c r="F279" s="137" t="str"/>
      <x:c r="G279" s="137" t="str"/>
      <x:c r="H279" s="137" t="str"/>
      <x:c r="I279" s="137" t="str"/>
      <x:c r="J279" s="137" t="str"/>
      <x:c r="K279" s="137" t="str"/>
      <x:c r="L279" s="137" t="str"/>
      <x:c r="M279" s="160" t="str"/>
      <x:c r="N279" s="160" t="str"/>
      <x:c r="O279" s="137" t="str"/>
      <x:c r="P279" s="137" t="str"/>
      <x:c r="Q279" s="137" t="str"/>
      <x:c r="R279" s="137" t="str"/>
      <x:c r="S279" s="138" t="str"/>
      <x:c r="T279" s="137" t="str"/>
      <x:c r="U279" s="137" t="str"/>
      <x:c r="V279" s="137" t="str"/>
      <x:c r="W279" s="137" t="str"/>
      <x:c r="X279" s="137" t="str"/>
      <x:c r="Y279" s="199" t="str"/>
    </x:row>
    <x:row r="280">
      <x:c r="A280" s="137" t="str"/>
      <x:c r="B280" s="137" t="str"/>
      <x:c r="C280" s="138" t="str"/>
      <x:c r="D280" s="137" t="str"/>
      <x:c r="E280" s="137" t="str"/>
      <x:c r="F280" s="137" t="str"/>
      <x:c r="G280" s="137" t="str"/>
      <x:c r="H280" s="137" t="str"/>
      <x:c r="I280" s="137" t="str"/>
      <x:c r="J280" s="137" t="str"/>
      <x:c r="K280" s="137" t="str"/>
      <x:c r="L280" s="137" t="str"/>
      <x:c r="M280" s="160" t="str"/>
      <x:c r="N280" s="160" t="str"/>
      <x:c r="O280" s="137" t="str"/>
      <x:c r="P280" s="137" t="str"/>
      <x:c r="Q280" s="137" t="str"/>
      <x:c r="R280" s="137" t="str"/>
      <x:c r="S280" s="138" t="str"/>
      <x:c r="T280" s="137" t="str"/>
      <x:c r="U280" s="137" t="str"/>
      <x:c r="V280" s="137" t="str"/>
      <x:c r="W280" s="137" t="str"/>
      <x:c r="X280" s="137" t="str"/>
      <x:c r="Y280" s="199" t="str"/>
    </x:row>
    <x:row r="281">
      <x:c r="A281" s="137" t="str"/>
      <x:c r="B281" s="137" t="str"/>
      <x:c r="C281" s="138" t="str"/>
      <x:c r="D281" s="137" t="str"/>
      <x:c r="E281" s="137" t="str"/>
      <x:c r="F281" s="137" t="str"/>
      <x:c r="G281" s="137" t="str"/>
      <x:c r="H281" s="137" t="str"/>
      <x:c r="I281" s="137" t="str"/>
      <x:c r="J281" s="137" t="str"/>
      <x:c r="K281" s="137" t="str"/>
      <x:c r="L281" s="137" t="str"/>
      <x:c r="M281" s="160" t="str"/>
      <x:c r="N281" s="160" t="str"/>
      <x:c r="O281" s="137" t="str"/>
      <x:c r="P281" s="137" t="str"/>
      <x:c r="Q281" s="137" t="str"/>
      <x:c r="R281" s="137" t="str"/>
      <x:c r="S281" s="138" t="str"/>
      <x:c r="T281" s="137" t="str"/>
      <x:c r="U281" s="137" t="str"/>
      <x:c r="V281" s="137" t="str"/>
      <x:c r="W281" s="137" t="str"/>
      <x:c r="X281" s="137" t="str"/>
      <x:c r="Y281" s="199" t="str"/>
    </x:row>
    <x:row r="282">
      <x:c r="A282" s="137" t="str"/>
      <x:c r="B282" s="137" t="str"/>
      <x:c r="C282" s="138" t="str"/>
      <x:c r="D282" s="137" t="str"/>
      <x:c r="E282" s="137" t="str"/>
      <x:c r="F282" s="137" t="str"/>
      <x:c r="G282" s="137" t="str"/>
      <x:c r="H282" s="137" t="str"/>
      <x:c r="I282" s="137" t="str"/>
      <x:c r="J282" s="137" t="str"/>
      <x:c r="K282" s="137" t="str"/>
      <x:c r="L282" s="137" t="str"/>
      <x:c r="M282" s="160" t="str"/>
      <x:c r="N282" s="160" t="str"/>
      <x:c r="O282" s="137" t="str"/>
      <x:c r="P282" s="137" t="str"/>
      <x:c r="Q282" s="137" t="str"/>
      <x:c r="R282" s="137" t="str"/>
      <x:c r="S282" s="138" t="str"/>
      <x:c r="T282" s="137" t="str"/>
      <x:c r="U282" s="137" t="str"/>
      <x:c r="V282" s="137" t="str"/>
      <x:c r="W282" s="137" t="str"/>
      <x:c r="X282" s="137" t="str"/>
      <x:c r="Y282" s="199" t="str"/>
    </x:row>
    <x:row r="283">
      <x:c r="A283" s="137" t="str"/>
      <x:c r="B283" s="137" t="str"/>
      <x:c r="C283" s="138" t="str"/>
      <x:c r="D283" s="137" t="str"/>
      <x:c r="E283" s="137" t="str"/>
      <x:c r="F283" s="137" t="str"/>
      <x:c r="G283" s="137" t="str"/>
      <x:c r="H283" s="137" t="str"/>
      <x:c r="I283" s="137" t="str"/>
      <x:c r="J283" s="137" t="str"/>
      <x:c r="K283" s="137" t="str"/>
      <x:c r="L283" s="137" t="str"/>
      <x:c r="M283" s="160" t="str"/>
      <x:c r="N283" s="160" t="str"/>
      <x:c r="O283" s="137" t="str"/>
      <x:c r="P283" s="137" t="str"/>
      <x:c r="Q283" s="137" t="str"/>
      <x:c r="R283" s="137" t="str"/>
      <x:c r="S283" s="138" t="str"/>
      <x:c r="T283" s="137" t="str"/>
      <x:c r="U283" s="137" t="str"/>
      <x:c r="V283" s="137" t="str"/>
      <x:c r="W283" s="137" t="str"/>
      <x:c r="X283" s="137" t="str"/>
      <x:c r="Y283" s="199" t="str"/>
    </x:row>
    <x:row r="284">
      <x:c r="A284" s="137" t="str"/>
      <x:c r="B284" s="137" t="str"/>
      <x:c r="C284" s="138" t="str"/>
      <x:c r="D284" s="137" t="str"/>
      <x:c r="E284" s="137" t="str"/>
      <x:c r="F284" s="137" t="str"/>
      <x:c r="G284" s="137" t="str"/>
      <x:c r="H284" s="137" t="str"/>
      <x:c r="I284" s="137" t="str"/>
      <x:c r="J284" s="137" t="str"/>
      <x:c r="K284" s="137" t="str"/>
      <x:c r="L284" s="137" t="str"/>
      <x:c r="M284" s="160" t="str"/>
      <x:c r="N284" s="160" t="str"/>
      <x:c r="O284" s="137" t="str"/>
      <x:c r="P284" s="137" t="str"/>
      <x:c r="Q284" s="137" t="str"/>
      <x:c r="R284" s="137" t="str"/>
      <x:c r="S284" s="138" t="str"/>
      <x:c r="T284" s="137" t="str"/>
      <x:c r="U284" s="137" t="str"/>
      <x:c r="V284" s="137" t="str"/>
      <x:c r="W284" s="137" t="str"/>
      <x:c r="X284" s="137" t="str"/>
      <x:c r="Y284" s="199" t="str"/>
    </x:row>
    <x:row r="285">
      <x:c r="A285" s="137" t="str"/>
      <x:c r="B285" s="137" t="str"/>
      <x:c r="C285" s="138" t="str"/>
      <x:c r="D285" s="137" t="str"/>
      <x:c r="E285" s="137" t="str"/>
      <x:c r="F285" s="137" t="str"/>
      <x:c r="G285" s="137" t="str"/>
      <x:c r="H285" s="137" t="str"/>
      <x:c r="I285" s="137" t="str"/>
      <x:c r="J285" s="137" t="str"/>
      <x:c r="K285" s="137" t="str"/>
      <x:c r="L285" s="137" t="str"/>
      <x:c r="M285" s="160" t="str"/>
      <x:c r="N285" s="160" t="str"/>
      <x:c r="O285" s="137" t="str"/>
      <x:c r="P285" s="137" t="str"/>
      <x:c r="Q285" s="137" t="str"/>
      <x:c r="R285" s="137" t="str"/>
      <x:c r="S285" s="138" t="str"/>
      <x:c r="T285" s="137" t="str"/>
      <x:c r="U285" s="137" t="str"/>
      <x:c r="V285" s="137" t="str"/>
      <x:c r="W285" s="137" t="str"/>
      <x:c r="X285" s="137" t="str"/>
      <x:c r="Y285" s="199" t="str"/>
    </x:row>
    <x:row r="286">
      <x:c r="A286" s="137" t="str"/>
      <x:c r="B286" s="137" t="str"/>
      <x:c r="C286" s="138" t="str"/>
      <x:c r="D286" s="137" t="str"/>
      <x:c r="E286" s="137" t="str"/>
      <x:c r="F286" s="137" t="str"/>
      <x:c r="G286" s="137" t="str"/>
      <x:c r="H286" s="137" t="str"/>
      <x:c r="I286" s="137" t="str"/>
      <x:c r="J286" s="137" t="str"/>
      <x:c r="K286" s="137" t="str"/>
      <x:c r="L286" s="137" t="str"/>
      <x:c r="M286" s="160" t="str"/>
      <x:c r="N286" s="160" t="str"/>
      <x:c r="O286" s="137" t="str"/>
      <x:c r="P286" s="137" t="str"/>
      <x:c r="Q286" s="137" t="str"/>
      <x:c r="R286" s="137" t="str"/>
      <x:c r="S286" s="138" t="str"/>
      <x:c r="T286" s="137" t="str"/>
      <x:c r="U286" s="137" t="str"/>
      <x:c r="V286" s="137" t="str"/>
      <x:c r="W286" s="137" t="str"/>
      <x:c r="X286" s="137" t="str"/>
      <x:c r="Y286" s="199" t="str"/>
    </x:row>
    <x:row r="287">
      <x:c r="A287" s="137" t="str"/>
      <x:c r="B287" s="137" t="str"/>
      <x:c r="C287" s="138" t="str"/>
      <x:c r="D287" s="137" t="str"/>
      <x:c r="E287" s="137" t="str"/>
      <x:c r="F287" s="137" t="str"/>
      <x:c r="G287" s="137" t="str"/>
      <x:c r="H287" s="137" t="str"/>
      <x:c r="I287" s="137" t="str"/>
      <x:c r="J287" s="137" t="str"/>
      <x:c r="K287" s="137" t="str"/>
      <x:c r="L287" s="137" t="str"/>
      <x:c r="M287" s="160" t="str"/>
      <x:c r="N287" s="160" t="str"/>
      <x:c r="O287" s="137" t="str"/>
      <x:c r="P287" s="137" t="str"/>
      <x:c r="Q287" s="137" t="str"/>
      <x:c r="R287" s="137" t="str"/>
      <x:c r="S287" s="138" t="str"/>
      <x:c r="T287" s="137" t="str"/>
      <x:c r="U287" s="137" t="str"/>
      <x:c r="V287" s="137" t="str"/>
      <x:c r="W287" s="137" t="str"/>
      <x:c r="X287" s="137" t="str"/>
      <x:c r="Y287" s="199" t="str"/>
    </x:row>
    <x:row r="288">
      <x:c r="A288" s="137" t="str"/>
      <x:c r="B288" s="137" t="str"/>
      <x:c r="C288" s="138" t="str"/>
      <x:c r="D288" s="137" t="str"/>
      <x:c r="E288" s="137" t="str"/>
      <x:c r="F288" s="137" t="str"/>
      <x:c r="G288" s="137" t="str"/>
      <x:c r="H288" s="137" t="str"/>
      <x:c r="I288" s="137" t="str"/>
      <x:c r="J288" s="137" t="str"/>
      <x:c r="K288" s="137" t="str"/>
      <x:c r="L288" s="137" t="str"/>
      <x:c r="M288" s="160" t="str"/>
      <x:c r="N288" s="160" t="str"/>
      <x:c r="O288" s="137" t="str"/>
      <x:c r="P288" s="137" t="str"/>
      <x:c r="Q288" s="137" t="str"/>
      <x:c r="R288" s="137" t="str"/>
      <x:c r="S288" s="138" t="str"/>
      <x:c r="T288" s="137" t="str"/>
      <x:c r="U288" s="137" t="str"/>
      <x:c r="V288" s="137" t="str"/>
      <x:c r="W288" s="137" t="str"/>
      <x:c r="X288" s="137" t="str"/>
      <x:c r="Y288" s="199" t="str"/>
    </x:row>
    <x:row r="289">
      <x:c r="A289" s="137" t="str"/>
      <x:c r="B289" s="137" t="str"/>
      <x:c r="C289" s="138" t="str"/>
      <x:c r="D289" s="137" t="str"/>
      <x:c r="E289" s="137" t="str"/>
      <x:c r="F289" s="137" t="str"/>
      <x:c r="G289" s="137" t="str"/>
      <x:c r="H289" s="137" t="str"/>
      <x:c r="I289" s="137" t="str"/>
      <x:c r="J289" s="137" t="str"/>
      <x:c r="K289" s="137" t="str"/>
      <x:c r="L289" s="137" t="str"/>
      <x:c r="M289" s="160" t="str"/>
      <x:c r="N289" s="160" t="str"/>
      <x:c r="O289" s="137" t="str"/>
      <x:c r="P289" s="137" t="str"/>
      <x:c r="Q289" s="137" t="str"/>
      <x:c r="R289" s="137" t="str"/>
      <x:c r="S289" s="138" t="str"/>
      <x:c r="T289" s="137" t="str"/>
      <x:c r="U289" s="137" t="str"/>
      <x:c r="V289" s="137" t="str"/>
      <x:c r="W289" s="137" t="str"/>
      <x:c r="X289" s="137" t="str"/>
      <x:c r="Y289" s="199" t="str"/>
    </x:row>
    <x:row r="290">
      <x:c r="A290" s="137" t="str"/>
      <x:c r="B290" s="137" t="str"/>
      <x:c r="C290" s="138" t="str"/>
      <x:c r="D290" s="137" t="str"/>
      <x:c r="E290" s="137" t="str"/>
      <x:c r="F290" s="137" t="str"/>
      <x:c r="G290" s="137" t="str"/>
      <x:c r="H290" s="137" t="str"/>
      <x:c r="I290" s="137" t="str"/>
      <x:c r="J290" s="137" t="str"/>
      <x:c r="K290" s="137" t="str"/>
      <x:c r="L290" s="137" t="str"/>
      <x:c r="M290" s="160" t="str"/>
      <x:c r="N290" s="160" t="str"/>
      <x:c r="O290" s="137" t="str"/>
      <x:c r="P290" s="137" t="str"/>
      <x:c r="Q290" s="137" t="str"/>
      <x:c r="R290" s="137" t="str"/>
      <x:c r="S290" s="138" t="str"/>
      <x:c r="T290" s="137" t="str"/>
      <x:c r="U290" s="137" t="str"/>
      <x:c r="V290" s="137" t="str"/>
      <x:c r="W290" s="137" t="str"/>
      <x:c r="X290" s="137" t="str"/>
      <x:c r="Y290" s="199" t="str"/>
    </x:row>
    <x:row r="291">
      <x:c r="A291" s="137" t="str"/>
      <x:c r="B291" s="137" t="str"/>
      <x:c r="C291" s="138" t="str"/>
      <x:c r="D291" s="137" t="str"/>
      <x:c r="E291" s="137" t="str"/>
      <x:c r="F291" s="137" t="str"/>
      <x:c r="G291" s="137" t="str"/>
      <x:c r="H291" s="137" t="str"/>
      <x:c r="I291" s="137" t="str"/>
      <x:c r="J291" s="137" t="str"/>
      <x:c r="K291" s="137" t="str"/>
      <x:c r="L291" s="137" t="str"/>
      <x:c r="M291" s="160" t="str"/>
      <x:c r="N291" s="160" t="str"/>
      <x:c r="O291" s="137" t="str"/>
      <x:c r="P291" s="137" t="str"/>
      <x:c r="Q291" s="137" t="str"/>
      <x:c r="R291" s="137" t="str"/>
      <x:c r="S291" s="138" t="str"/>
      <x:c r="T291" s="137" t="str"/>
      <x:c r="U291" s="137" t="str"/>
      <x:c r="V291" s="137" t="str"/>
      <x:c r="W291" s="137" t="str"/>
      <x:c r="X291" s="137" t="str"/>
      <x:c r="Y291" s="199" t="str"/>
    </x:row>
    <x:row r="292">
      <x:c r="A292" s="137" t="str"/>
      <x:c r="B292" s="137" t="str"/>
      <x:c r="C292" s="138" t="str"/>
      <x:c r="D292" s="137" t="str"/>
      <x:c r="E292" s="137" t="str"/>
      <x:c r="F292" s="137" t="str"/>
      <x:c r="G292" s="137" t="str"/>
      <x:c r="H292" s="137" t="str"/>
      <x:c r="I292" s="137" t="str"/>
      <x:c r="J292" s="137" t="str"/>
      <x:c r="K292" s="137" t="str"/>
      <x:c r="L292" s="137" t="str"/>
      <x:c r="M292" s="160" t="str"/>
      <x:c r="N292" s="160" t="str"/>
      <x:c r="O292" s="137" t="str"/>
      <x:c r="P292" s="137" t="str"/>
      <x:c r="Q292" s="137" t="str"/>
      <x:c r="R292" s="137" t="str"/>
      <x:c r="S292" s="138" t="str"/>
      <x:c r="T292" s="137" t="str"/>
      <x:c r="U292" s="137" t="str"/>
      <x:c r="V292" s="137" t="str"/>
      <x:c r="W292" s="137" t="str"/>
      <x:c r="X292" s="137" t="str"/>
      <x:c r="Y292" s="199" t="str"/>
    </x:row>
    <x:row r="293">
      <x:c r="A293" s="137" t="str"/>
      <x:c r="B293" s="137" t="str"/>
      <x:c r="C293" s="138" t="str"/>
      <x:c r="D293" s="137" t="str"/>
      <x:c r="E293" s="137" t="str"/>
      <x:c r="F293" s="137" t="str"/>
      <x:c r="G293" s="137" t="str"/>
      <x:c r="H293" s="137" t="str"/>
      <x:c r="I293" s="137" t="str"/>
      <x:c r="J293" s="137" t="str"/>
      <x:c r="K293" s="137" t="str"/>
      <x:c r="L293" s="137" t="str"/>
      <x:c r="M293" s="160" t="str"/>
      <x:c r="N293" s="160" t="str"/>
      <x:c r="O293" s="137" t="str"/>
      <x:c r="P293" s="137" t="str"/>
      <x:c r="Q293" s="137" t="str"/>
      <x:c r="R293" s="137" t="str"/>
      <x:c r="S293" s="138" t="str"/>
      <x:c r="T293" s="137" t="str"/>
      <x:c r="U293" s="137" t="str"/>
      <x:c r="V293" s="137" t="str"/>
      <x:c r="W293" s="137" t="str"/>
      <x:c r="X293" s="137" t="str"/>
      <x:c r="Y293" s="199" t="str"/>
    </x:row>
    <x:row r="294">
      <x:c r="A294" s="137" t="str"/>
      <x:c r="B294" s="137" t="str"/>
      <x:c r="C294" s="138" t="str"/>
      <x:c r="D294" s="137" t="str"/>
      <x:c r="E294" s="137" t="str"/>
      <x:c r="F294" s="137" t="str"/>
      <x:c r="G294" s="137" t="str"/>
      <x:c r="H294" s="137" t="str"/>
      <x:c r="I294" s="137" t="str"/>
      <x:c r="J294" s="137" t="str"/>
      <x:c r="K294" s="137" t="str"/>
      <x:c r="L294" s="137" t="str"/>
      <x:c r="M294" s="160" t="str"/>
      <x:c r="N294" s="160" t="str"/>
      <x:c r="O294" s="137" t="str"/>
      <x:c r="P294" s="137" t="str"/>
      <x:c r="Q294" s="137" t="str"/>
      <x:c r="R294" s="137" t="str"/>
      <x:c r="S294" s="138" t="str"/>
      <x:c r="T294" s="137" t="str"/>
      <x:c r="U294" s="137" t="str"/>
      <x:c r="V294" s="137" t="str"/>
      <x:c r="W294" s="137" t="str"/>
      <x:c r="X294" s="137" t="str"/>
      <x:c r="Y294" s="199" t="str"/>
    </x:row>
    <x:row r="295">
      <x:c r="A295" s="137" t="str"/>
      <x:c r="B295" s="137" t="str"/>
      <x:c r="C295" s="138" t="str"/>
      <x:c r="D295" s="137" t="str"/>
      <x:c r="E295" s="137" t="str"/>
      <x:c r="F295" s="137" t="str"/>
      <x:c r="G295" s="137" t="str"/>
      <x:c r="H295" s="137" t="str"/>
      <x:c r="I295" s="137" t="str"/>
      <x:c r="J295" s="137" t="str"/>
      <x:c r="K295" s="137" t="str"/>
      <x:c r="L295" s="137" t="str"/>
      <x:c r="M295" s="160" t="str"/>
      <x:c r="N295" s="160" t="str"/>
      <x:c r="O295" s="137" t="str"/>
      <x:c r="P295" s="137" t="str"/>
      <x:c r="Q295" s="137" t="str"/>
      <x:c r="R295" s="137" t="str"/>
      <x:c r="S295" s="138" t="str"/>
      <x:c r="T295" s="137" t="str"/>
      <x:c r="U295" s="137" t="str"/>
      <x:c r="V295" s="137" t="str"/>
      <x:c r="W295" s="137" t="str"/>
      <x:c r="X295" s="137" t="str"/>
      <x:c r="Y295" s="199" t="str"/>
    </x:row>
    <x:row r="296">
      <x:c r="A296" s="137" t="str"/>
      <x:c r="B296" s="137" t="str"/>
      <x:c r="C296" s="138" t="str"/>
      <x:c r="D296" s="137" t="str"/>
      <x:c r="E296" s="137" t="str"/>
      <x:c r="F296" s="137" t="str"/>
      <x:c r="G296" s="137" t="str"/>
      <x:c r="H296" s="137" t="str"/>
      <x:c r="I296" s="137" t="str"/>
      <x:c r="J296" s="137" t="str"/>
      <x:c r="K296" s="137" t="str"/>
      <x:c r="L296" s="137" t="str"/>
      <x:c r="M296" s="160" t="str"/>
      <x:c r="N296" s="160" t="str"/>
      <x:c r="O296" s="137" t="str"/>
      <x:c r="P296" s="137" t="str"/>
      <x:c r="Q296" s="137" t="str"/>
      <x:c r="R296" s="137" t="str"/>
      <x:c r="S296" s="138" t="str"/>
      <x:c r="T296" s="137" t="str"/>
      <x:c r="U296" s="137" t="str"/>
      <x:c r="V296" s="137" t="str"/>
      <x:c r="W296" s="137" t="str"/>
      <x:c r="X296" s="137" t="str"/>
      <x:c r="Y296" s="199" t="str"/>
    </x:row>
    <x:row r="297">
      <x:c r="A297" s="137" t="str"/>
      <x:c r="B297" s="137" t="str"/>
      <x:c r="C297" s="138" t="str"/>
      <x:c r="D297" s="137" t="str"/>
      <x:c r="E297" s="137" t="str"/>
      <x:c r="F297" s="137" t="str"/>
      <x:c r="G297" s="137" t="str"/>
      <x:c r="H297" s="137" t="str"/>
      <x:c r="I297" s="137" t="str"/>
      <x:c r="J297" s="137" t="str"/>
      <x:c r="K297" s="137" t="str"/>
      <x:c r="L297" s="137" t="str"/>
      <x:c r="M297" s="160" t="str"/>
      <x:c r="N297" s="160" t="str"/>
      <x:c r="O297" s="137" t="str"/>
      <x:c r="P297" s="137" t="str"/>
      <x:c r="Q297" s="137" t="str"/>
      <x:c r="R297" s="137" t="str"/>
      <x:c r="S297" s="138" t="str"/>
      <x:c r="T297" s="137" t="str"/>
      <x:c r="U297" s="137" t="str"/>
      <x:c r="V297" s="137" t="str"/>
      <x:c r="W297" s="137" t="str"/>
      <x:c r="X297" s="137" t="str"/>
      <x:c r="Y297" s="199" t="str"/>
    </x:row>
    <x:row r="298">
      <x:c r="A298" s="137" t="str"/>
      <x:c r="B298" s="137" t="str"/>
      <x:c r="C298" s="138" t="str"/>
      <x:c r="D298" s="137" t="str"/>
      <x:c r="E298" s="137" t="str"/>
      <x:c r="F298" s="137" t="str"/>
      <x:c r="G298" s="137" t="str"/>
      <x:c r="H298" s="137" t="str"/>
      <x:c r="I298" s="137" t="str"/>
      <x:c r="J298" s="137" t="str"/>
      <x:c r="K298" s="137" t="str"/>
      <x:c r="L298" s="137" t="str"/>
      <x:c r="M298" s="160" t="str"/>
      <x:c r="N298" s="160" t="str"/>
      <x:c r="O298" s="137" t="str"/>
      <x:c r="P298" s="137" t="str"/>
      <x:c r="Q298" s="137" t="str"/>
      <x:c r="R298" s="137" t="str"/>
      <x:c r="S298" s="138" t="str"/>
      <x:c r="T298" s="137" t="str"/>
      <x:c r="U298" s="137" t="str"/>
      <x:c r="V298" s="137" t="str"/>
      <x:c r="W298" s="137" t="str"/>
      <x:c r="X298" s="137" t="str"/>
      <x:c r="Y298" s="199" t="str"/>
    </x:row>
    <x:row r="299">
      <x:c r="A299" s="137" t="str"/>
      <x:c r="B299" s="137" t="str"/>
      <x:c r="C299" s="138" t="str"/>
      <x:c r="D299" s="137" t="str"/>
      <x:c r="E299" s="137" t="str"/>
      <x:c r="F299" s="137" t="str"/>
      <x:c r="G299" s="137" t="str"/>
      <x:c r="H299" s="137" t="str"/>
      <x:c r="I299" s="137" t="str"/>
      <x:c r="J299" s="137" t="str"/>
      <x:c r="K299" s="137" t="str"/>
      <x:c r="L299" s="137" t="str"/>
      <x:c r="M299" s="160" t="str"/>
      <x:c r="N299" s="160" t="str"/>
      <x:c r="O299" s="137" t="str"/>
      <x:c r="P299" s="137" t="str"/>
      <x:c r="Q299" s="137" t="str"/>
      <x:c r="R299" s="137" t="str"/>
      <x:c r="S299" s="138" t="str"/>
      <x:c r="T299" s="137" t="str"/>
      <x:c r="U299" s="137" t="str"/>
      <x:c r="V299" s="137" t="str"/>
      <x:c r="W299" s="137" t="str"/>
      <x:c r="X299" s="137" t="str"/>
      <x:c r="Y299" s="199" t="str"/>
    </x:row>
    <x:row r="300">
      <x:c r="A300" s="137" t="str"/>
      <x:c r="B300" s="137" t="str"/>
      <x:c r="C300" s="138" t="str"/>
      <x:c r="D300" s="137" t="str"/>
      <x:c r="E300" s="137" t="str"/>
      <x:c r="F300" s="137" t="str"/>
      <x:c r="G300" s="137" t="str"/>
      <x:c r="H300" s="137" t="str"/>
      <x:c r="I300" s="137" t="str"/>
      <x:c r="J300" s="137" t="str"/>
      <x:c r="K300" s="137" t="str"/>
      <x:c r="L300" s="137" t="str"/>
      <x:c r="M300" s="160" t="str"/>
      <x:c r="N300" s="160" t="str"/>
      <x:c r="O300" s="137" t="str"/>
      <x:c r="P300" s="137" t="str"/>
      <x:c r="Q300" s="137" t="str"/>
      <x:c r="R300" s="137" t="str"/>
      <x:c r="S300" s="138" t="str"/>
      <x:c r="T300" s="137" t="str"/>
      <x:c r="U300" s="137" t="str"/>
      <x:c r="V300" s="137" t="str"/>
      <x:c r="W300" s="137" t="str"/>
      <x:c r="X300" s="137" t="str"/>
      <x:c r="Y300" s="199" t="str"/>
    </x:row>
    <x:row r="301">
      <x:c r="A301" s="137" t="str"/>
      <x:c r="B301" s="137" t="str"/>
      <x:c r="C301" s="138" t="str"/>
      <x:c r="D301" s="137" t="str"/>
      <x:c r="E301" s="137" t="str"/>
      <x:c r="F301" s="137" t="str"/>
      <x:c r="G301" s="137" t="str"/>
      <x:c r="H301" s="137" t="str"/>
      <x:c r="I301" s="137" t="str"/>
      <x:c r="J301" s="137" t="str"/>
      <x:c r="K301" s="137" t="str"/>
      <x:c r="L301" s="137" t="str"/>
      <x:c r="M301" s="160" t="str"/>
      <x:c r="N301" s="160" t="str"/>
      <x:c r="O301" s="137" t="str"/>
      <x:c r="P301" s="137" t="str"/>
      <x:c r="Q301" s="137" t="str"/>
      <x:c r="R301" s="137" t="str"/>
      <x:c r="S301" s="138" t="str"/>
      <x:c r="T301" s="137" t="str"/>
      <x:c r="U301" s="137" t="str"/>
      <x:c r="V301" s="137" t="str"/>
      <x:c r="W301" s="137" t="str"/>
      <x:c r="X301" s="137" t="str"/>
      <x:c r="Y301" s="199" t="str"/>
    </x:row>
    <x:row r="302">
      <x:c r="A302" s="137" t="str"/>
      <x:c r="B302" s="137" t="str"/>
      <x:c r="C302" s="138" t="str"/>
      <x:c r="D302" s="137" t="str"/>
      <x:c r="E302" s="137" t="str"/>
      <x:c r="F302" s="137" t="str"/>
      <x:c r="G302" s="137" t="str"/>
      <x:c r="H302" s="137" t="str"/>
      <x:c r="I302" s="137" t="str"/>
      <x:c r="J302" s="137" t="str"/>
      <x:c r="K302" s="137" t="str"/>
      <x:c r="L302" s="137" t="str"/>
      <x:c r="M302" s="160" t="str"/>
      <x:c r="N302" s="160" t="str"/>
      <x:c r="O302" s="137" t="str"/>
      <x:c r="P302" s="137" t="str"/>
      <x:c r="Q302" s="137" t="str"/>
      <x:c r="R302" s="137" t="str"/>
      <x:c r="S302" s="138" t="str"/>
      <x:c r="T302" s="137" t="str"/>
      <x:c r="U302" s="137" t="str"/>
      <x:c r="V302" s="137" t="str"/>
      <x:c r="W302" s="137" t="str"/>
      <x:c r="X302" s="137" t="str"/>
      <x:c r="Y302" s="199" t="str"/>
    </x:row>
    <x:row r="303">
      <x:c r="A303" s="137" t="str"/>
      <x:c r="B303" s="137" t="str"/>
      <x:c r="C303" s="138" t="str"/>
      <x:c r="D303" s="137" t="str"/>
      <x:c r="E303" s="137" t="str"/>
      <x:c r="F303" s="137" t="str"/>
      <x:c r="G303" s="137" t="str"/>
      <x:c r="H303" s="137" t="str"/>
      <x:c r="I303" s="137" t="str"/>
      <x:c r="J303" s="137" t="str"/>
      <x:c r="K303" s="137" t="str"/>
      <x:c r="L303" s="137" t="str"/>
      <x:c r="M303" s="160" t="str"/>
      <x:c r="N303" s="160" t="str"/>
      <x:c r="O303" s="137" t="str"/>
      <x:c r="P303" s="137" t="str"/>
      <x:c r="Q303" s="137" t="str"/>
      <x:c r="R303" s="137" t="str"/>
      <x:c r="S303" s="138" t="str"/>
      <x:c r="T303" s="137" t="str"/>
      <x:c r="U303" s="137" t="str"/>
      <x:c r="V303" s="137" t="str"/>
      <x:c r="W303" s="137" t="str"/>
      <x:c r="X303" s="137" t="str"/>
      <x:c r="Y303" s="199" t="str"/>
    </x:row>
    <x:row r="304">
      <x:c r="A304" s="137" t="str"/>
      <x:c r="B304" s="137" t="str"/>
      <x:c r="C304" s="138" t="str"/>
      <x:c r="D304" s="137" t="str"/>
      <x:c r="E304" s="137" t="str"/>
      <x:c r="F304" s="137" t="str"/>
      <x:c r="G304" s="137" t="str"/>
      <x:c r="H304" s="137" t="str"/>
      <x:c r="I304" s="137" t="str"/>
      <x:c r="J304" s="137" t="str"/>
      <x:c r="K304" s="137" t="str"/>
      <x:c r="L304" s="137" t="str"/>
      <x:c r="M304" s="160" t="str"/>
      <x:c r="N304" s="160" t="str"/>
      <x:c r="O304" s="137" t="str"/>
      <x:c r="P304" s="137" t="str"/>
      <x:c r="Q304" s="137" t="str"/>
      <x:c r="R304" s="137" t="str"/>
      <x:c r="S304" s="138" t="str"/>
      <x:c r="T304" s="137" t="str"/>
      <x:c r="U304" s="137" t="str"/>
      <x:c r="V304" s="137" t="str"/>
      <x:c r="W304" s="137" t="str"/>
      <x:c r="X304" s="137" t="str"/>
      <x:c r="Y304" s="199" t="str"/>
    </x:row>
    <x:row r="305">
      <x:c r="A305" s="137" t="str"/>
      <x:c r="B305" s="137" t="str"/>
      <x:c r="C305" s="138" t="str"/>
      <x:c r="D305" s="137" t="str"/>
      <x:c r="E305" s="137" t="str"/>
      <x:c r="F305" s="137" t="str"/>
      <x:c r="G305" s="137" t="str"/>
      <x:c r="H305" s="137" t="str"/>
      <x:c r="I305" s="137" t="str"/>
      <x:c r="J305" s="137" t="str"/>
      <x:c r="K305" s="137" t="str"/>
      <x:c r="L305" s="137" t="str"/>
      <x:c r="M305" s="160" t="str"/>
      <x:c r="N305" s="160" t="str"/>
      <x:c r="O305" s="137" t="str"/>
      <x:c r="P305" s="137" t="str"/>
      <x:c r="Q305" s="137" t="str"/>
      <x:c r="R305" s="137" t="str"/>
      <x:c r="S305" s="138" t="str"/>
      <x:c r="T305" s="137" t="str"/>
      <x:c r="U305" s="137" t="str"/>
      <x:c r="V305" s="137" t="str"/>
      <x:c r="W305" s="137" t="str"/>
      <x:c r="X305" s="137" t="str"/>
      <x:c r="Y305" s="199" t="str"/>
    </x:row>
    <x:row r="306">
      <x:c r="A306" s="137" t="str"/>
      <x:c r="B306" s="137" t="str"/>
      <x:c r="C306" s="138" t="str"/>
      <x:c r="D306" s="137" t="str"/>
      <x:c r="E306" s="137" t="str"/>
      <x:c r="F306" s="137" t="str"/>
      <x:c r="G306" s="137" t="str"/>
      <x:c r="H306" s="137" t="str"/>
      <x:c r="I306" s="137" t="str"/>
      <x:c r="J306" s="137" t="str"/>
      <x:c r="K306" s="137" t="str"/>
      <x:c r="L306" s="137" t="str"/>
      <x:c r="M306" s="160" t="str"/>
      <x:c r="N306" s="160" t="str"/>
      <x:c r="O306" s="137" t="str"/>
      <x:c r="P306" s="137" t="str"/>
      <x:c r="Q306" s="137" t="str"/>
      <x:c r="R306" s="137" t="str"/>
      <x:c r="S306" s="138" t="str"/>
      <x:c r="T306" s="137" t="str"/>
      <x:c r="U306" s="137" t="str"/>
      <x:c r="V306" s="137" t="str"/>
      <x:c r="W306" s="137" t="str"/>
      <x:c r="X306" s="137" t="str"/>
      <x:c r="Y306" s="199" t="str"/>
    </x:row>
    <x:row r="307">
      <x:c r="A307" s="137" t="str"/>
      <x:c r="B307" s="137" t="str"/>
      <x:c r="C307" s="138" t="str"/>
      <x:c r="D307" s="137" t="str"/>
      <x:c r="E307" s="137" t="str"/>
      <x:c r="F307" s="137" t="str"/>
      <x:c r="G307" s="137" t="str"/>
      <x:c r="H307" s="137" t="str"/>
      <x:c r="I307" s="137" t="str"/>
      <x:c r="J307" s="137" t="str"/>
      <x:c r="K307" s="137" t="str"/>
      <x:c r="L307" s="137" t="str"/>
      <x:c r="M307" s="160" t="str"/>
      <x:c r="N307" s="160" t="str"/>
      <x:c r="O307" s="137" t="str"/>
      <x:c r="P307" s="137" t="str"/>
      <x:c r="Q307" s="137" t="str"/>
      <x:c r="R307" s="137" t="str"/>
      <x:c r="S307" s="138" t="str"/>
      <x:c r="T307" s="137" t="str"/>
      <x:c r="U307" s="137" t="str"/>
      <x:c r="V307" s="137" t="str"/>
      <x:c r="W307" s="137" t="str"/>
      <x:c r="X307" s="137" t="str"/>
      <x:c r="Y307" s="199" t="str"/>
    </x:row>
    <x:row r="308">
      <x:c r="A308" s="137" t="str"/>
      <x:c r="B308" s="137" t="str"/>
      <x:c r="C308" s="138" t="str"/>
      <x:c r="D308" s="137" t="str"/>
      <x:c r="E308" s="137" t="str"/>
      <x:c r="F308" s="137" t="str"/>
      <x:c r="G308" s="137" t="str"/>
      <x:c r="H308" s="137" t="str"/>
      <x:c r="I308" s="137" t="str"/>
      <x:c r="J308" s="137" t="str"/>
      <x:c r="K308" s="137" t="str"/>
      <x:c r="L308" s="137" t="str"/>
      <x:c r="M308" s="160" t="str"/>
      <x:c r="N308" s="160" t="str"/>
      <x:c r="O308" s="137" t="str"/>
      <x:c r="P308" s="137" t="str"/>
      <x:c r="Q308" s="137" t="str"/>
      <x:c r="R308" s="137" t="str"/>
      <x:c r="S308" s="138" t="str"/>
      <x:c r="T308" s="137" t="str"/>
      <x:c r="U308" s="137" t="str"/>
      <x:c r="V308" s="137" t="str"/>
      <x:c r="W308" s="137" t="str"/>
      <x:c r="X308" s="137" t="str"/>
      <x:c r="Y308" s="199" t="str"/>
    </x:row>
    <x:row r="309">
      <x:c r="A309" s="137" t="str"/>
      <x:c r="B309" s="137" t="str"/>
      <x:c r="C309" s="138" t="str"/>
      <x:c r="D309" s="137" t="str"/>
      <x:c r="E309" s="137" t="str"/>
      <x:c r="F309" s="137" t="str"/>
      <x:c r="G309" s="137" t="str"/>
      <x:c r="H309" s="137" t="str"/>
      <x:c r="I309" s="137" t="str"/>
      <x:c r="J309" s="137" t="str"/>
      <x:c r="K309" s="137" t="str"/>
      <x:c r="L309" s="137" t="str"/>
      <x:c r="M309" s="160" t="str"/>
      <x:c r="N309" s="160" t="str"/>
      <x:c r="O309" s="137" t="str"/>
      <x:c r="P309" s="137" t="str"/>
      <x:c r="Q309" s="137" t="str"/>
      <x:c r="R309" s="137" t="str"/>
      <x:c r="S309" s="138" t="str"/>
      <x:c r="T309" s="137" t="str"/>
      <x:c r="U309" s="137" t="str"/>
      <x:c r="V309" s="137" t="str"/>
      <x:c r="W309" s="137" t="str"/>
      <x:c r="X309" s="137" t="str"/>
      <x:c r="Y309" s="199" t="str"/>
    </x:row>
    <x:row r="310">
      <x:c r="A310" s="137" t="str"/>
      <x:c r="B310" s="137" t="str"/>
      <x:c r="C310" s="138" t="str"/>
      <x:c r="D310" s="137" t="str"/>
      <x:c r="E310" s="137" t="str"/>
      <x:c r="F310" s="137" t="str"/>
      <x:c r="G310" s="137" t="str"/>
      <x:c r="H310" s="137" t="str"/>
      <x:c r="I310" s="137" t="str"/>
      <x:c r="J310" s="137" t="str"/>
      <x:c r="K310" s="137" t="str"/>
      <x:c r="L310" s="137" t="str"/>
      <x:c r="M310" s="160" t="str"/>
      <x:c r="N310" s="160" t="str"/>
      <x:c r="O310" s="137" t="str"/>
      <x:c r="P310" s="137" t="str"/>
      <x:c r="Q310" s="137" t="str"/>
      <x:c r="R310" s="137" t="str"/>
      <x:c r="S310" s="138" t="str"/>
      <x:c r="T310" s="137" t="str"/>
      <x:c r="U310" s="137" t="str"/>
      <x:c r="V310" s="137" t="str"/>
      <x:c r="W310" s="137" t="str"/>
      <x:c r="X310" s="137" t="str"/>
      <x:c r="Y310" s="199" t="str"/>
    </x:row>
    <x:row r="311">
      <x:c r="A311" s="137" t="str"/>
      <x:c r="B311" s="137" t="str"/>
      <x:c r="C311" s="138" t="str"/>
      <x:c r="D311" s="137" t="str"/>
      <x:c r="E311" s="137" t="str"/>
      <x:c r="F311" s="137" t="str"/>
      <x:c r="G311" s="137" t="str"/>
      <x:c r="H311" s="137" t="str"/>
      <x:c r="I311" s="137" t="str"/>
      <x:c r="J311" s="137" t="str"/>
      <x:c r="K311" s="137" t="str"/>
      <x:c r="L311" s="137" t="str"/>
      <x:c r="M311" s="160" t="str"/>
      <x:c r="N311" s="160" t="str"/>
      <x:c r="O311" s="137" t="str"/>
      <x:c r="P311" s="137" t="str"/>
      <x:c r="Q311" s="137" t="str"/>
      <x:c r="R311" s="137" t="str"/>
      <x:c r="S311" s="138" t="str"/>
      <x:c r="T311" s="137" t="str"/>
      <x:c r="U311" s="137" t="str"/>
      <x:c r="V311" s="137" t="str"/>
      <x:c r="W311" s="137" t="str"/>
      <x:c r="X311" s="137" t="str"/>
      <x:c r="Y311" s="199" t="str"/>
    </x:row>
    <x:row r="312">
      <x:c r="A312" s="137" t="str"/>
      <x:c r="B312" s="137" t="str"/>
      <x:c r="C312" s="138" t="str"/>
      <x:c r="D312" s="137" t="str"/>
      <x:c r="E312" s="137" t="str"/>
      <x:c r="F312" s="137" t="str"/>
      <x:c r="G312" s="137" t="str"/>
      <x:c r="H312" s="137" t="str"/>
      <x:c r="I312" s="137" t="str"/>
      <x:c r="J312" s="137" t="str"/>
      <x:c r="K312" s="137" t="str"/>
      <x:c r="L312" s="137" t="str"/>
      <x:c r="M312" s="160" t="str"/>
      <x:c r="N312" s="160" t="str"/>
      <x:c r="O312" s="137" t="str"/>
      <x:c r="P312" s="137" t="str"/>
      <x:c r="Q312" s="137" t="str"/>
      <x:c r="R312" s="137" t="str"/>
      <x:c r="S312" s="138" t="str"/>
      <x:c r="T312" s="137" t="str"/>
      <x:c r="U312" s="137" t="str"/>
      <x:c r="V312" s="137" t="str"/>
      <x:c r="W312" s="137" t="str"/>
      <x:c r="X312" s="137" t="str"/>
      <x:c r="Y312" s="199" t="str"/>
    </x:row>
    <x:row r="313">
      <x:c r="A313" s="137" t="str"/>
      <x:c r="B313" s="137" t="str"/>
      <x:c r="C313" s="138" t="str"/>
      <x:c r="D313" s="137" t="str"/>
      <x:c r="E313" s="137" t="str"/>
      <x:c r="F313" s="137" t="str"/>
      <x:c r="G313" s="137" t="str"/>
      <x:c r="H313" s="137" t="str"/>
      <x:c r="I313" s="137" t="str"/>
      <x:c r="J313" s="137" t="str"/>
      <x:c r="K313" s="137" t="str"/>
      <x:c r="L313" s="137" t="str"/>
      <x:c r="M313" s="160" t="str"/>
      <x:c r="N313" s="160" t="str"/>
      <x:c r="O313" s="137" t="str"/>
      <x:c r="P313" s="137" t="str"/>
      <x:c r="Q313" s="137" t="str"/>
      <x:c r="R313" s="137" t="str"/>
      <x:c r="S313" s="138" t="str"/>
      <x:c r="T313" s="137" t="str"/>
      <x:c r="U313" s="137" t="str"/>
      <x:c r="V313" s="137" t="str"/>
      <x:c r="W313" s="137" t="str"/>
      <x:c r="X313" s="137" t="str"/>
      <x:c r="Y313" s="199" t="str"/>
    </x:row>
    <x:row r="314">
      <x:c r="A314" s="137" t="str"/>
      <x:c r="B314" s="137" t="str"/>
      <x:c r="C314" s="138" t="str"/>
      <x:c r="D314" s="137" t="str"/>
      <x:c r="E314" s="137" t="str"/>
      <x:c r="F314" s="137" t="str"/>
      <x:c r="G314" s="137" t="str"/>
      <x:c r="H314" s="137" t="str"/>
      <x:c r="I314" s="137" t="str"/>
      <x:c r="J314" s="137" t="str"/>
      <x:c r="K314" s="137" t="str"/>
      <x:c r="L314" s="137" t="str"/>
      <x:c r="M314" s="160" t="str"/>
      <x:c r="N314" s="160" t="str"/>
      <x:c r="O314" s="137" t="str"/>
      <x:c r="P314" s="137" t="str"/>
      <x:c r="Q314" s="137" t="str"/>
      <x:c r="R314" s="137" t="str"/>
      <x:c r="S314" s="138" t="str"/>
      <x:c r="T314" s="137" t="str"/>
      <x:c r="U314" s="137" t="str"/>
      <x:c r="V314" s="137" t="str"/>
      <x:c r="W314" s="137" t="str"/>
      <x:c r="X314" s="137" t="str"/>
      <x:c r="Y314" s="199" t="str"/>
    </x:row>
    <x:row r="315">
      <x:c r="A315" s="137" t="str"/>
      <x:c r="B315" s="137" t="str"/>
      <x:c r="C315" s="138" t="str"/>
      <x:c r="D315" s="137" t="str"/>
      <x:c r="E315" s="137" t="str"/>
      <x:c r="F315" s="137" t="str"/>
      <x:c r="G315" s="137" t="str"/>
      <x:c r="H315" s="137" t="str"/>
      <x:c r="I315" s="137" t="str"/>
      <x:c r="J315" s="137" t="str"/>
      <x:c r="K315" s="137" t="str"/>
      <x:c r="L315" s="137" t="str"/>
      <x:c r="M315" s="160" t="str"/>
      <x:c r="N315" s="160" t="str"/>
      <x:c r="O315" s="137" t="str"/>
      <x:c r="P315" s="137" t="str"/>
      <x:c r="Q315" s="137" t="str"/>
      <x:c r="R315" s="137" t="str"/>
      <x:c r="S315" s="138" t="str"/>
      <x:c r="T315" s="137" t="str"/>
      <x:c r="U315" s="137" t="str"/>
      <x:c r="V315" s="137" t="str"/>
      <x:c r="W315" s="137" t="str"/>
      <x:c r="X315" s="137" t="str"/>
      <x:c r="Y315" s="199" t="str"/>
    </x:row>
    <x:row r="316">
      <x:c r="A316" s="137" t="str"/>
      <x:c r="B316" s="137" t="str"/>
      <x:c r="C316" s="138" t="str"/>
      <x:c r="D316" s="137" t="str"/>
      <x:c r="E316" s="137" t="str"/>
      <x:c r="F316" s="137" t="str"/>
      <x:c r="G316" s="137" t="str"/>
      <x:c r="H316" s="137" t="str"/>
      <x:c r="I316" s="137" t="str"/>
      <x:c r="J316" s="137" t="str"/>
      <x:c r="K316" s="137" t="str"/>
      <x:c r="L316" s="137" t="str"/>
      <x:c r="M316" s="160" t="str"/>
      <x:c r="N316" s="160" t="str"/>
      <x:c r="O316" s="137" t="str"/>
      <x:c r="P316" s="137" t="str"/>
      <x:c r="Q316" s="137" t="str"/>
      <x:c r="R316" s="137" t="str"/>
      <x:c r="S316" s="138" t="str"/>
      <x:c r="T316" s="137" t="str"/>
      <x:c r="U316" s="137" t="str"/>
      <x:c r="V316" s="137" t="str"/>
      <x:c r="W316" s="137" t="str"/>
      <x:c r="X316" s="137" t="str"/>
      <x:c r="Y316" s="199" t="str"/>
    </x:row>
    <x:row r="317">
      <x:c r="A317" s="137" t="str"/>
      <x:c r="B317" s="137" t="str"/>
      <x:c r="C317" s="138" t="str"/>
      <x:c r="D317" s="137" t="str"/>
      <x:c r="E317" s="137" t="str"/>
      <x:c r="F317" s="137" t="str"/>
      <x:c r="G317" s="137" t="str"/>
      <x:c r="H317" s="137" t="str"/>
      <x:c r="I317" s="137" t="str"/>
      <x:c r="J317" s="137" t="str"/>
      <x:c r="K317" s="137" t="str"/>
      <x:c r="L317" s="137" t="str"/>
      <x:c r="M317" s="160" t="str"/>
      <x:c r="N317" s="160" t="str"/>
      <x:c r="O317" s="137" t="str"/>
      <x:c r="P317" s="137" t="str"/>
      <x:c r="Q317" s="137" t="str"/>
      <x:c r="R317" s="137" t="str"/>
      <x:c r="S317" s="138" t="str"/>
      <x:c r="T317" s="137" t="str"/>
      <x:c r="U317" s="137" t="str"/>
      <x:c r="V317" s="137" t="str"/>
      <x:c r="W317" s="137" t="str"/>
      <x:c r="X317" s="137" t="str"/>
      <x:c r="Y317" s="199" t="str"/>
    </x:row>
    <x:row r="318">
      <x:c r="A318" s="137" t="str"/>
      <x:c r="B318" s="137" t="str"/>
      <x:c r="C318" s="138" t="str"/>
      <x:c r="D318" s="137" t="str"/>
      <x:c r="E318" s="137" t="str"/>
      <x:c r="F318" s="137" t="str"/>
      <x:c r="G318" s="137" t="str"/>
      <x:c r="H318" s="137" t="str"/>
      <x:c r="I318" s="137" t="str"/>
      <x:c r="J318" s="137" t="str"/>
      <x:c r="K318" s="137" t="str"/>
      <x:c r="L318" s="137" t="str"/>
      <x:c r="M318" s="160" t="str"/>
      <x:c r="N318" s="160" t="str"/>
      <x:c r="O318" s="137" t="str"/>
      <x:c r="P318" s="137" t="str"/>
      <x:c r="Q318" s="137" t="str"/>
      <x:c r="R318" s="137" t="str"/>
      <x:c r="S318" s="138" t="str"/>
      <x:c r="T318" s="137" t="str"/>
      <x:c r="U318" s="137" t="str"/>
      <x:c r="V318" s="137" t="str"/>
      <x:c r="W318" s="137" t="str"/>
      <x:c r="X318" s="137" t="str"/>
      <x:c r="Y318" s="199" t="str"/>
    </x:row>
    <x:row r="319">
      <x:c r="A319" s="137" t="str"/>
      <x:c r="B319" s="137" t="str"/>
      <x:c r="C319" s="138" t="str"/>
      <x:c r="D319" s="137" t="str"/>
      <x:c r="E319" s="137" t="str"/>
      <x:c r="F319" s="137" t="str"/>
      <x:c r="G319" s="137" t="str"/>
      <x:c r="H319" s="137" t="str"/>
      <x:c r="I319" s="137" t="str"/>
      <x:c r="J319" s="137" t="str"/>
      <x:c r="K319" s="137" t="str"/>
      <x:c r="L319" s="137" t="str"/>
      <x:c r="M319" s="160" t="str"/>
      <x:c r="N319" s="160" t="str"/>
      <x:c r="O319" s="137" t="str"/>
      <x:c r="P319" s="137" t="str"/>
      <x:c r="Q319" s="137" t="str"/>
      <x:c r="R319" s="137" t="str"/>
      <x:c r="S319" s="138" t="str"/>
      <x:c r="T319" s="137" t="str"/>
      <x:c r="U319" s="137" t="str"/>
      <x:c r="V319" s="137" t="str"/>
      <x:c r="W319" s="137" t="str"/>
      <x:c r="X319" s="137" t="str"/>
      <x:c r="Y319" s="199" t="str"/>
    </x:row>
    <x:row r="320">
      <x:c r="A320" s="137" t="str"/>
      <x:c r="B320" s="137" t="str"/>
      <x:c r="C320" s="138" t="str"/>
      <x:c r="D320" s="137" t="str"/>
      <x:c r="E320" s="137" t="str"/>
      <x:c r="F320" s="137" t="str"/>
      <x:c r="G320" s="137" t="str"/>
      <x:c r="H320" s="137" t="str"/>
      <x:c r="I320" s="137" t="str"/>
      <x:c r="J320" s="137" t="str"/>
      <x:c r="K320" s="137" t="str"/>
      <x:c r="L320" s="137" t="str"/>
      <x:c r="M320" s="160" t="str"/>
      <x:c r="N320" s="160" t="str"/>
      <x:c r="O320" s="137" t="str"/>
      <x:c r="P320" s="137" t="str"/>
      <x:c r="Q320" s="137" t="str"/>
      <x:c r="R320" s="137" t="str"/>
      <x:c r="S320" s="138" t="str"/>
      <x:c r="T320" s="137" t="str"/>
      <x:c r="U320" s="137" t="str"/>
      <x:c r="V320" s="137" t="str"/>
      <x:c r="W320" s="137" t="str"/>
      <x:c r="X320" s="137" t="str"/>
      <x:c r="Y320" s="199" t="str"/>
    </x:row>
    <x:row r="321">
      <x:c r="A321" s="137" t="str"/>
      <x:c r="B321" s="137" t="str"/>
      <x:c r="C321" s="138" t="str"/>
      <x:c r="D321" s="137" t="str"/>
      <x:c r="E321" s="137" t="str"/>
      <x:c r="F321" s="137" t="str"/>
      <x:c r="G321" s="137" t="str"/>
      <x:c r="H321" s="137" t="str"/>
      <x:c r="I321" s="137" t="str"/>
      <x:c r="J321" s="137" t="str"/>
      <x:c r="K321" s="137" t="str"/>
      <x:c r="L321" s="137" t="str"/>
      <x:c r="M321" s="160" t="str"/>
      <x:c r="N321" s="160" t="str"/>
      <x:c r="O321" s="137" t="str"/>
      <x:c r="P321" s="137" t="str"/>
      <x:c r="Q321" s="137" t="str"/>
      <x:c r="R321" s="137" t="str"/>
      <x:c r="S321" s="138" t="str"/>
      <x:c r="T321" s="137" t="str"/>
      <x:c r="U321" s="137" t="str"/>
      <x:c r="V321" s="137" t="str"/>
      <x:c r="W321" s="137" t="str"/>
      <x:c r="X321" s="137" t="str"/>
      <x:c r="Y321" s="199" t="str"/>
    </x:row>
    <x:row r="322">
      <x:c r="A322" s="137" t="str"/>
      <x:c r="B322" s="137" t="str"/>
      <x:c r="C322" s="138" t="str"/>
      <x:c r="D322" s="137" t="str"/>
      <x:c r="E322" s="137" t="str"/>
      <x:c r="F322" s="137" t="str"/>
      <x:c r="G322" s="137" t="str"/>
      <x:c r="H322" s="137" t="str"/>
      <x:c r="I322" s="137" t="str"/>
      <x:c r="J322" s="137" t="str"/>
      <x:c r="K322" s="137" t="str"/>
      <x:c r="L322" s="137" t="str"/>
      <x:c r="M322" s="160" t="str"/>
      <x:c r="N322" s="160" t="str"/>
      <x:c r="O322" s="137" t="str"/>
      <x:c r="P322" s="137" t="str"/>
      <x:c r="Q322" s="137" t="str"/>
      <x:c r="R322" s="137" t="str"/>
      <x:c r="S322" s="138" t="str"/>
      <x:c r="T322" s="137" t="str"/>
      <x:c r="U322" s="137" t="str"/>
      <x:c r="V322" s="137" t="str"/>
      <x:c r="W322" s="137" t="str"/>
      <x:c r="X322" s="137" t="str"/>
      <x:c r="Y322" s="199" t="str"/>
    </x:row>
    <x:row r="323">
      <x:c r="A323" s="137" t="str"/>
      <x:c r="B323" s="137" t="str"/>
      <x:c r="C323" s="138" t="str"/>
      <x:c r="D323" s="137" t="str"/>
      <x:c r="E323" s="137" t="str"/>
      <x:c r="F323" s="137" t="str"/>
      <x:c r="G323" s="137" t="str"/>
      <x:c r="H323" s="137" t="str"/>
      <x:c r="I323" s="137" t="str"/>
      <x:c r="J323" s="137" t="str"/>
      <x:c r="K323" s="137" t="str"/>
      <x:c r="L323" s="137" t="str"/>
      <x:c r="M323" s="160" t="str"/>
      <x:c r="N323" s="160" t="str"/>
      <x:c r="O323" s="137" t="str"/>
      <x:c r="P323" s="137" t="str"/>
      <x:c r="Q323" s="137" t="str"/>
      <x:c r="R323" s="137" t="str"/>
      <x:c r="S323" s="138" t="str"/>
      <x:c r="T323" s="137" t="str"/>
      <x:c r="U323" s="137" t="str"/>
      <x:c r="V323" s="137" t="str"/>
      <x:c r="W323" s="137" t="str"/>
      <x:c r="X323" s="137" t="str"/>
      <x:c r="Y323" s="199" t="str"/>
    </x:row>
    <x:row r="324">
      <x:c r="A324" s="137" t="str"/>
      <x:c r="B324" s="137" t="str"/>
      <x:c r="C324" s="138" t="str"/>
      <x:c r="D324" s="137" t="str"/>
      <x:c r="E324" s="137" t="str"/>
      <x:c r="F324" s="137" t="str"/>
      <x:c r="G324" s="137" t="str"/>
      <x:c r="H324" s="137" t="str"/>
      <x:c r="I324" s="137" t="str"/>
      <x:c r="J324" s="137" t="str"/>
      <x:c r="K324" s="137" t="str"/>
      <x:c r="L324" s="137" t="str"/>
      <x:c r="M324" s="160" t="str"/>
      <x:c r="N324" s="160" t="str"/>
      <x:c r="O324" s="137" t="str"/>
      <x:c r="P324" s="137" t="str"/>
      <x:c r="Q324" s="137" t="str"/>
      <x:c r="R324" s="137" t="str"/>
      <x:c r="S324" s="138" t="str"/>
      <x:c r="T324" s="137" t="str"/>
      <x:c r="U324" s="137" t="str"/>
      <x:c r="V324" s="137" t="str"/>
      <x:c r="W324" s="137" t="str"/>
      <x:c r="X324" s="137" t="str"/>
      <x:c r="Y324" s="199" t="str"/>
    </x:row>
    <x:row r="325">
      <x:c r="A325" s="137" t="str"/>
      <x:c r="B325" s="137" t="str"/>
      <x:c r="C325" s="138" t="str"/>
      <x:c r="D325" s="137" t="str"/>
      <x:c r="E325" s="137" t="str"/>
      <x:c r="F325" s="137" t="str"/>
      <x:c r="G325" s="137" t="str"/>
      <x:c r="H325" s="137" t="str"/>
      <x:c r="I325" s="137" t="str"/>
      <x:c r="J325" s="137" t="str"/>
      <x:c r="K325" s="137" t="str"/>
      <x:c r="L325" s="137" t="str"/>
      <x:c r="M325" s="160" t="str"/>
      <x:c r="N325" s="160" t="str"/>
      <x:c r="O325" s="137" t="str"/>
      <x:c r="P325" s="137" t="str"/>
      <x:c r="Q325" s="137" t="str"/>
      <x:c r="R325" s="137" t="str"/>
      <x:c r="S325" s="138" t="str"/>
      <x:c r="T325" s="137" t="str"/>
      <x:c r="U325" s="137" t="str"/>
      <x:c r="V325" s="137" t="str"/>
      <x:c r="W325" s="137" t="str"/>
      <x:c r="X325" s="137" t="str"/>
      <x:c r="Y325" s="199" t="str"/>
    </x:row>
    <x:row r="326">
      <x:c r="A326" s="137" t="str"/>
      <x:c r="B326" s="137" t="str"/>
      <x:c r="C326" s="138" t="str"/>
      <x:c r="D326" s="137" t="str"/>
      <x:c r="E326" s="137" t="str"/>
      <x:c r="F326" s="137" t="str"/>
      <x:c r="G326" s="137" t="str"/>
      <x:c r="H326" s="137" t="str"/>
      <x:c r="I326" s="137" t="str"/>
      <x:c r="J326" s="137" t="str"/>
      <x:c r="K326" s="137" t="str"/>
      <x:c r="L326" s="137" t="str"/>
      <x:c r="M326" s="160" t="str"/>
      <x:c r="N326" s="160" t="str"/>
      <x:c r="O326" s="137" t="str"/>
      <x:c r="P326" s="137" t="str"/>
      <x:c r="Q326" s="137" t="str"/>
      <x:c r="R326" s="137" t="str"/>
      <x:c r="S326" s="138" t="str"/>
      <x:c r="T326" s="137" t="str"/>
      <x:c r="U326" s="137" t="str"/>
      <x:c r="V326" s="137" t="str"/>
      <x:c r="W326" s="137" t="str"/>
      <x:c r="X326" s="137" t="str"/>
      <x:c r="Y326" s="199" t="str"/>
    </x:row>
    <x:row r="327">
      <x:c r="A327" s="137" t="str"/>
      <x:c r="B327" s="137" t="str"/>
      <x:c r="C327" s="138" t="str"/>
      <x:c r="D327" s="137" t="str"/>
      <x:c r="E327" s="137" t="str"/>
      <x:c r="F327" s="137" t="str"/>
      <x:c r="G327" s="137" t="str"/>
      <x:c r="H327" s="137" t="str"/>
      <x:c r="I327" s="137" t="str"/>
      <x:c r="J327" s="137" t="str"/>
      <x:c r="K327" s="137" t="str"/>
      <x:c r="L327" s="137" t="str"/>
      <x:c r="M327" s="160" t="str"/>
      <x:c r="N327" s="160" t="str"/>
      <x:c r="O327" s="137" t="str"/>
      <x:c r="P327" s="137" t="str"/>
      <x:c r="Q327" s="137" t="str"/>
      <x:c r="R327" s="137" t="str"/>
      <x:c r="S327" s="138" t="str"/>
      <x:c r="T327" s="137" t="str"/>
      <x:c r="U327" s="137" t="str"/>
      <x:c r="V327" s="137" t="str"/>
      <x:c r="W327" s="137" t="str"/>
      <x:c r="X327" s="137" t="str"/>
      <x:c r="Y327" s="199" t="str"/>
    </x:row>
    <x:row r="328">
      <x:c r="A328" s="137" t="str"/>
      <x:c r="B328" s="137" t="str"/>
      <x:c r="C328" s="138" t="str"/>
      <x:c r="D328" s="137" t="str"/>
      <x:c r="E328" s="137" t="str"/>
      <x:c r="F328" s="137" t="str"/>
      <x:c r="G328" s="137" t="str"/>
      <x:c r="H328" s="137" t="str"/>
      <x:c r="I328" s="137" t="str"/>
      <x:c r="J328" s="137" t="str"/>
      <x:c r="K328" s="137" t="str"/>
      <x:c r="L328" s="137" t="str"/>
      <x:c r="M328" s="160" t="str"/>
      <x:c r="N328" s="160" t="str"/>
      <x:c r="O328" s="137" t="str"/>
      <x:c r="P328" s="137" t="str"/>
      <x:c r="Q328" s="137" t="str"/>
      <x:c r="R328" s="137" t="str"/>
      <x:c r="S328" s="138" t="str"/>
      <x:c r="T328" s="137" t="str"/>
      <x:c r="U328" s="137" t="str"/>
      <x:c r="V328" s="137" t="str"/>
      <x:c r="W328" s="137" t="str"/>
      <x:c r="X328" s="137" t="str"/>
      <x:c r="Y328" s="199" t="str"/>
    </x:row>
    <x:row r="329">
      <x:c r="A329" s="137" t="str"/>
      <x:c r="B329" s="137" t="str"/>
      <x:c r="C329" s="138" t="str"/>
      <x:c r="D329" s="137" t="str"/>
      <x:c r="E329" s="137" t="str"/>
      <x:c r="F329" s="137" t="str"/>
      <x:c r="G329" s="137" t="str"/>
      <x:c r="H329" s="137" t="str"/>
      <x:c r="I329" s="137" t="str"/>
      <x:c r="J329" s="137" t="str"/>
      <x:c r="K329" s="137" t="str"/>
      <x:c r="L329" s="137" t="str"/>
      <x:c r="M329" s="160" t="str"/>
      <x:c r="N329" s="160" t="str"/>
      <x:c r="O329" s="137" t="str"/>
      <x:c r="P329" s="137" t="str"/>
      <x:c r="Q329" s="137" t="str"/>
      <x:c r="R329" s="137" t="str"/>
      <x:c r="S329" s="138" t="str"/>
      <x:c r="T329" s="137" t="str"/>
      <x:c r="U329" s="137" t="str"/>
      <x:c r="V329" s="137" t="str"/>
      <x:c r="W329" s="137" t="str"/>
      <x:c r="X329" s="137" t="str"/>
      <x:c r="Y329" s="199" t="str"/>
    </x:row>
    <x:row r="330">
      <x:c r="A330" s="137" t="str"/>
      <x:c r="B330" s="137" t="str"/>
      <x:c r="C330" s="138" t="str"/>
      <x:c r="D330" s="137" t="str"/>
      <x:c r="E330" s="137" t="str"/>
      <x:c r="F330" s="137" t="str"/>
      <x:c r="G330" s="137" t="str"/>
      <x:c r="H330" s="137" t="str"/>
      <x:c r="I330" s="137" t="str"/>
      <x:c r="J330" s="137" t="str"/>
      <x:c r="K330" s="137" t="str"/>
      <x:c r="L330" s="137" t="str"/>
      <x:c r="M330" s="160" t="str"/>
      <x:c r="N330" s="160" t="str"/>
      <x:c r="O330" s="137" t="str"/>
      <x:c r="P330" s="137" t="str"/>
      <x:c r="Q330" s="137" t="str"/>
      <x:c r="R330" s="137" t="str"/>
      <x:c r="S330" s="138" t="str"/>
      <x:c r="T330" s="137" t="str"/>
      <x:c r="U330" s="137" t="str"/>
      <x:c r="V330" s="137" t="str"/>
      <x:c r="W330" s="137" t="str"/>
      <x:c r="X330" s="137" t="str"/>
      <x:c r="Y330" s="199" t="str"/>
    </x:row>
    <x:row r="331">
      <x:c r="A331" s="137" t="str"/>
      <x:c r="B331" s="137" t="str"/>
      <x:c r="C331" s="138" t="str"/>
      <x:c r="D331" s="137" t="str"/>
      <x:c r="E331" s="137" t="str"/>
      <x:c r="F331" s="137" t="str"/>
      <x:c r="G331" s="137" t="str"/>
      <x:c r="H331" s="137" t="str"/>
      <x:c r="I331" s="137" t="str"/>
      <x:c r="J331" s="137" t="str"/>
      <x:c r="K331" s="137" t="str"/>
      <x:c r="L331" s="137" t="str"/>
      <x:c r="M331" s="160" t="str"/>
      <x:c r="N331" s="160" t="str"/>
      <x:c r="O331" s="137" t="str"/>
      <x:c r="P331" s="137" t="str"/>
      <x:c r="Q331" s="137" t="str"/>
      <x:c r="R331" s="137" t="str"/>
      <x:c r="S331" s="138" t="str"/>
      <x:c r="T331" s="137" t="str"/>
      <x:c r="U331" s="137" t="str"/>
      <x:c r="V331" s="137" t="str"/>
      <x:c r="W331" s="137" t="str"/>
      <x:c r="X331" s="137" t="str"/>
      <x:c r="Y331" s="199" t="str"/>
    </x:row>
    <x:row r="332">
      <x:c r="A332" s="137" t="str"/>
      <x:c r="B332" s="137" t="str"/>
      <x:c r="C332" s="138" t="str"/>
      <x:c r="D332" s="137" t="str"/>
      <x:c r="E332" s="137" t="str"/>
      <x:c r="F332" s="137" t="str"/>
      <x:c r="G332" s="137" t="str"/>
      <x:c r="H332" s="137" t="str"/>
      <x:c r="I332" s="137" t="str"/>
      <x:c r="J332" s="137" t="str"/>
      <x:c r="K332" s="137" t="str"/>
      <x:c r="L332" s="137" t="str"/>
      <x:c r="M332" s="160" t="str"/>
      <x:c r="N332" s="160" t="str"/>
      <x:c r="O332" s="137" t="str"/>
      <x:c r="P332" s="137" t="str"/>
      <x:c r="Q332" s="137" t="str"/>
      <x:c r="R332" s="137" t="str"/>
      <x:c r="S332" s="138" t="str"/>
      <x:c r="T332" s="137" t="str"/>
      <x:c r="U332" s="137" t="str"/>
      <x:c r="V332" s="137" t="str"/>
      <x:c r="W332" s="137" t="str"/>
      <x:c r="X332" s="137" t="str"/>
      <x:c r="Y332" s="199" t="str"/>
    </x:row>
    <x:row r="333">
      <x:c r="A333" s="137" t="str"/>
      <x:c r="B333" s="137" t="str"/>
      <x:c r="C333" s="138" t="str"/>
      <x:c r="D333" s="137" t="str"/>
      <x:c r="E333" s="137" t="str"/>
      <x:c r="F333" s="137" t="str"/>
      <x:c r="G333" s="137" t="str"/>
      <x:c r="H333" s="137" t="str"/>
      <x:c r="I333" s="137" t="str"/>
      <x:c r="J333" s="137" t="str"/>
      <x:c r="K333" s="137" t="str"/>
      <x:c r="L333" s="137" t="str"/>
      <x:c r="M333" s="160" t="str"/>
      <x:c r="N333" s="160" t="str"/>
      <x:c r="O333" s="137" t="str"/>
      <x:c r="P333" s="137" t="str"/>
      <x:c r="Q333" s="137" t="str"/>
      <x:c r="R333" s="137" t="str"/>
      <x:c r="S333" s="138" t="str"/>
      <x:c r="T333" s="137" t="str"/>
      <x:c r="U333" s="137" t="str"/>
      <x:c r="V333" s="137" t="str"/>
      <x:c r="W333" s="137" t="str"/>
      <x:c r="X333" s="137" t="str"/>
      <x:c r="Y333" s="199" t="str"/>
    </x:row>
    <x:row r="334">
      <x:c r="A334" s="137" t="str"/>
      <x:c r="B334" s="137" t="str"/>
      <x:c r="C334" s="138" t="str"/>
      <x:c r="D334" s="137" t="str"/>
      <x:c r="E334" s="137" t="str"/>
      <x:c r="F334" s="137" t="str"/>
      <x:c r="G334" s="137" t="str"/>
      <x:c r="H334" s="137" t="str"/>
      <x:c r="I334" s="137" t="str"/>
      <x:c r="J334" s="137" t="str"/>
      <x:c r="K334" s="137" t="str"/>
      <x:c r="L334" s="137" t="str"/>
      <x:c r="M334" s="160" t="str"/>
      <x:c r="N334" s="160" t="str"/>
      <x:c r="O334" s="137" t="str"/>
      <x:c r="P334" s="137" t="str"/>
      <x:c r="Q334" s="137" t="str"/>
      <x:c r="R334" s="137" t="str"/>
      <x:c r="S334" s="138" t="str"/>
      <x:c r="T334" s="137" t="str"/>
      <x:c r="U334" s="137" t="str"/>
      <x:c r="V334" s="137" t="str"/>
      <x:c r="W334" s="137" t="str"/>
      <x:c r="X334" s="137" t="str"/>
      <x:c r="Y334" s="199" t="str"/>
    </x:row>
    <x:row r="335">
      <x:c r="A335" s="137" t="str"/>
      <x:c r="B335" s="137" t="str"/>
      <x:c r="C335" s="138" t="str"/>
      <x:c r="D335" s="137" t="str"/>
      <x:c r="E335" s="137" t="str"/>
      <x:c r="F335" s="137" t="str"/>
      <x:c r="G335" s="137" t="str"/>
      <x:c r="H335" s="137" t="str"/>
      <x:c r="I335" s="137" t="str"/>
      <x:c r="J335" s="137" t="str"/>
      <x:c r="K335" s="137" t="str"/>
      <x:c r="L335" s="137" t="str"/>
      <x:c r="M335" s="160" t="str"/>
      <x:c r="N335" s="160" t="str"/>
      <x:c r="O335" s="137" t="str"/>
      <x:c r="P335" s="137" t="str"/>
      <x:c r="Q335" s="137" t="str"/>
      <x:c r="R335" s="137" t="str"/>
      <x:c r="S335" s="138" t="str"/>
      <x:c r="T335" s="137" t="str"/>
      <x:c r="U335" s="137" t="str"/>
      <x:c r="V335" s="137" t="str"/>
      <x:c r="W335" s="137" t="str"/>
      <x:c r="X335" s="137" t="str"/>
      <x:c r="Y335" s="199" t="str"/>
    </x:row>
    <x:row r="336">
      <x:c r="A336" s="137" t="str"/>
      <x:c r="B336" s="137" t="str"/>
      <x:c r="C336" s="138" t="str"/>
      <x:c r="D336" s="137" t="str"/>
      <x:c r="E336" s="137" t="str"/>
      <x:c r="F336" s="137" t="str"/>
      <x:c r="G336" s="137" t="str"/>
      <x:c r="H336" s="137" t="str"/>
      <x:c r="I336" s="137" t="str"/>
      <x:c r="J336" s="137" t="str"/>
      <x:c r="K336" s="137" t="str"/>
      <x:c r="L336" s="137" t="str"/>
      <x:c r="M336" s="160" t="str"/>
      <x:c r="N336" s="160" t="str"/>
      <x:c r="O336" s="137" t="str"/>
      <x:c r="P336" s="137" t="str"/>
      <x:c r="Q336" s="137" t="str"/>
      <x:c r="R336" s="137" t="str"/>
      <x:c r="S336" s="138" t="str"/>
      <x:c r="T336" s="137" t="str"/>
      <x:c r="U336" s="137" t="str"/>
      <x:c r="V336" s="137" t="str"/>
      <x:c r="W336" s="137" t="str"/>
      <x:c r="X336" s="137" t="str"/>
      <x:c r="Y336" s="199" t="str"/>
    </x:row>
    <x:row r="337">
      <x:c r="A337" s="137" t="str"/>
      <x:c r="B337" s="137" t="str"/>
      <x:c r="C337" s="138" t="str"/>
      <x:c r="D337" s="137" t="str"/>
      <x:c r="E337" s="137" t="str"/>
      <x:c r="F337" s="137" t="str"/>
      <x:c r="G337" s="137" t="str"/>
      <x:c r="H337" s="137" t="str"/>
      <x:c r="I337" s="137" t="str"/>
      <x:c r="J337" s="137" t="str"/>
      <x:c r="K337" s="137" t="str"/>
      <x:c r="L337" s="137" t="str"/>
      <x:c r="M337" s="160" t="str"/>
      <x:c r="N337" s="160" t="str"/>
      <x:c r="O337" s="137" t="str"/>
      <x:c r="P337" s="137" t="str"/>
      <x:c r="Q337" s="137" t="str"/>
      <x:c r="R337" s="137" t="str"/>
      <x:c r="S337" s="138" t="str"/>
      <x:c r="T337" s="137" t="str"/>
      <x:c r="U337" s="137" t="str"/>
      <x:c r="V337" s="137" t="str"/>
      <x:c r="W337" s="137" t="str"/>
      <x:c r="X337" s="137" t="str"/>
      <x:c r="Y337" s="199" t="str"/>
    </x:row>
    <x:row r="338">
      <x:c r="A338" s="137" t="str"/>
      <x:c r="B338" s="137" t="str"/>
      <x:c r="C338" s="138" t="str"/>
      <x:c r="D338" s="137" t="str"/>
      <x:c r="E338" s="137" t="str"/>
      <x:c r="F338" s="137" t="str"/>
      <x:c r="G338" s="137" t="str"/>
      <x:c r="H338" s="137" t="str"/>
      <x:c r="I338" s="137" t="str"/>
      <x:c r="J338" s="137" t="str"/>
      <x:c r="K338" s="137" t="str"/>
      <x:c r="L338" s="137" t="str"/>
      <x:c r="M338" s="160" t="str"/>
      <x:c r="N338" s="160" t="str"/>
      <x:c r="O338" s="137" t="str"/>
      <x:c r="P338" s="137" t="str"/>
      <x:c r="Q338" s="137" t="str"/>
      <x:c r="R338" s="137" t="str"/>
      <x:c r="S338" s="138" t="str"/>
      <x:c r="T338" s="137" t="str"/>
      <x:c r="U338" s="137" t="str"/>
      <x:c r="V338" s="137" t="str"/>
      <x:c r="W338" s="137" t="str"/>
      <x:c r="X338" s="137" t="str"/>
      <x:c r="Y338" s="199" t="str"/>
    </x:row>
    <x:row r="339">
      <x:c r="A339" s="137" t="str"/>
      <x:c r="B339" s="137" t="str"/>
      <x:c r="C339" s="138" t="str"/>
      <x:c r="D339" s="137" t="str"/>
      <x:c r="E339" s="137" t="str"/>
      <x:c r="F339" s="137" t="str"/>
      <x:c r="G339" s="137" t="str"/>
      <x:c r="H339" s="137" t="str"/>
      <x:c r="I339" s="137" t="str"/>
      <x:c r="J339" s="137" t="str"/>
      <x:c r="K339" s="137" t="str"/>
      <x:c r="L339" s="137" t="str"/>
      <x:c r="M339" s="160" t="str"/>
      <x:c r="N339" s="160" t="str"/>
      <x:c r="O339" s="137" t="str"/>
      <x:c r="P339" s="137" t="str"/>
      <x:c r="Q339" s="137" t="str"/>
      <x:c r="R339" s="137" t="str"/>
      <x:c r="S339" s="138" t="str"/>
      <x:c r="T339" s="137" t="str"/>
      <x:c r="U339" s="137" t="str"/>
      <x:c r="V339" s="137" t="str"/>
      <x:c r="W339" s="137" t="str"/>
      <x:c r="X339" s="137" t="str"/>
      <x:c r="Y339" s="199" t="str"/>
    </x:row>
    <x:row r="340">
      <x:c r="A340" s="137" t="str"/>
      <x:c r="B340" s="137" t="str"/>
      <x:c r="C340" s="138" t="str"/>
      <x:c r="D340" s="137" t="str"/>
      <x:c r="E340" s="137" t="str"/>
      <x:c r="F340" s="137" t="str"/>
      <x:c r="G340" s="137" t="str"/>
      <x:c r="H340" s="137" t="str"/>
      <x:c r="I340" s="137" t="str"/>
      <x:c r="J340" s="137" t="str"/>
      <x:c r="K340" s="137" t="str"/>
      <x:c r="L340" s="137" t="str"/>
      <x:c r="M340" s="160" t="str"/>
      <x:c r="N340" s="160" t="str"/>
      <x:c r="O340" s="137" t="str"/>
      <x:c r="P340" s="137" t="str"/>
      <x:c r="Q340" s="137" t="str"/>
      <x:c r="R340" s="137" t="str"/>
      <x:c r="S340" s="138" t="str"/>
      <x:c r="T340" s="137" t="str"/>
      <x:c r="U340" s="137" t="str"/>
      <x:c r="V340" s="137" t="str"/>
      <x:c r="W340" s="137" t="str"/>
      <x:c r="X340" s="137" t="str"/>
      <x:c r="Y340" s="199" t="str"/>
    </x:row>
    <x:row r="341">
      <x:c r="A341" s="137" t="str"/>
      <x:c r="B341" s="137" t="str"/>
      <x:c r="C341" s="138" t="str"/>
      <x:c r="D341" s="137" t="str"/>
      <x:c r="E341" s="137" t="str"/>
      <x:c r="F341" s="137" t="str"/>
      <x:c r="G341" s="137" t="str"/>
      <x:c r="H341" s="137" t="str"/>
      <x:c r="I341" s="137" t="str"/>
      <x:c r="J341" s="137" t="str"/>
      <x:c r="K341" s="137" t="str"/>
      <x:c r="L341" s="137" t="str"/>
      <x:c r="M341" s="160" t="str"/>
      <x:c r="N341" s="160" t="str"/>
      <x:c r="O341" s="137" t="str"/>
      <x:c r="P341" s="137" t="str"/>
      <x:c r="Q341" s="137" t="str"/>
      <x:c r="R341" s="137" t="str"/>
      <x:c r="S341" s="138" t="str"/>
      <x:c r="T341" s="137" t="str"/>
      <x:c r="U341" s="137" t="str"/>
      <x:c r="V341" s="137" t="str"/>
      <x:c r="W341" s="137" t="str"/>
      <x:c r="X341" s="137" t="str"/>
      <x:c r="Y341" s="199" t="str"/>
    </x:row>
    <x:row r="342">
      <x:c r="A342" s="137" t="str"/>
      <x:c r="B342" s="137" t="str"/>
      <x:c r="C342" s="138" t="str"/>
      <x:c r="D342" s="137" t="str"/>
      <x:c r="E342" s="137" t="str"/>
      <x:c r="F342" s="137" t="str"/>
      <x:c r="G342" s="137" t="str"/>
      <x:c r="H342" s="137" t="str"/>
      <x:c r="I342" s="137" t="str"/>
      <x:c r="J342" s="137" t="str"/>
      <x:c r="K342" s="137" t="str"/>
      <x:c r="L342" s="137" t="str"/>
      <x:c r="M342" s="160" t="str"/>
      <x:c r="N342" s="160" t="str"/>
      <x:c r="O342" s="137" t="str"/>
      <x:c r="P342" s="137" t="str"/>
      <x:c r="Q342" s="137" t="str"/>
      <x:c r="R342" s="137" t="str"/>
      <x:c r="S342" s="138" t="str"/>
      <x:c r="T342" s="137" t="str"/>
      <x:c r="U342" s="137" t="str"/>
      <x:c r="V342" s="137" t="str"/>
      <x:c r="W342" s="137" t="str"/>
      <x:c r="X342" s="137" t="str"/>
      <x:c r="Y342" s="199" t="str"/>
    </x:row>
    <x:row r="343">
      <x:c r="A343" s="137" t="str"/>
      <x:c r="B343" s="137" t="str"/>
      <x:c r="C343" s="138" t="str"/>
      <x:c r="D343" s="137" t="str"/>
      <x:c r="E343" s="137" t="str"/>
      <x:c r="F343" s="137" t="str"/>
      <x:c r="G343" s="137" t="str"/>
      <x:c r="H343" s="137" t="str"/>
      <x:c r="I343" s="137" t="str"/>
      <x:c r="J343" s="137" t="str"/>
      <x:c r="K343" s="137" t="str"/>
      <x:c r="L343" s="137" t="str"/>
      <x:c r="M343" s="160" t="str"/>
      <x:c r="N343" s="160" t="str"/>
      <x:c r="O343" s="137" t="str"/>
      <x:c r="P343" s="137" t="str"/>
      <x:c r="Q343" s="137" t="str"/>
      <x:c r="R343" s="137" t="str"/>
      <x:c r="S343" s="138" t="str"/>
      <x:c r="T343" s="137" t="str"/>
      <x:c r="U343" s="137" t="str"/>
      <x:c r="V343" s="137" t="str"/>
      <x:c r="W343" s="137" t="str"/>
      <x:c r="X343" s="137" t="str"/>
      <x:c r="Y343" s="199" t="str"/>
    </x:row>
    <x:row r="344">
      <x:c r="A344" s="137" t="str"/>
      <x:c r="B344" s="137" t="str"/>
      <x:c r="C344" s="138" t="str"/>
      <x:c r="D344" s="137" t="str"/>
      <x:c r="E344" s="137" t="str"/>
      <x:c r="F344" s="137" t="str"/>
      <x:c r="G344" s="137" t="str"/>
      <x:c r="H344" s="137" t="str"/>
      <x:c r="I344" s="137" t="str"/>
      <x:c r="J344" s="137" t="str"/>
      <x:c r="K344" s="137" t="str"/>
      <x:c r="L344" s="137" t="str"/>
      <x:c r="M344" s="160" t="str"/>
      <x:c r="N344" s="160" t="str"/>
      <x:c r="O344" s="137" t="str"/>
      <x:c r="P344" s="137" t="str"/>
      <x:c r="Q344" s="137" t="str"/>
      <x:c r="R344" s="137" t="str"/>
      <x:c r="S344" s="138" t="str"/>
      <x:c r="T344" s="137" t="str"/>
      <x:c r="U344" s="137" t="str"/>
      <x:c r="V344" s="137" t="str"/>
      <x:c r="W344" s="137" t="str"/>
      <x:c r="X344" s="137" t="str"/>
      <x:c r="Y344" s="199" t="str"/>
    </x:row>
    <x:row r="345">
      <x:c r="A345" s="137" t="str"/>
      <x:c r="B345" s="137" t="str"/>
      <x:c r="C345" s="138" t="str"/>
      <x:c r="D345" s="137" t="str"/>
      <x:c r="E345" s="137" t="str"/>
      <x:c r="F345" s="137" t="str"/>
      <x:c r="G345" s="137" t="str"/>
      <x:c r="H345" s="137" t="str"/>
      <x:c r="I345" s="137" t="str"/>
      <x:c r="J345" s="137" t="str"/>
      <x:c r="K345" s="137" t="str"/>
      <x:c r="L345" s="137" t="str"/>
      <x:c r="M345" s="160" t="str"/>
      <x:c r="N345" s="160" t="str"/>
      <x:c r="O345" s="137" t="str"/>
      <x:c r="P345" s="137" t="str"/>
      <x:c r="Q345" s="137" t="str"/>
      <x:c r="R345" s="137" t="str"/>
      <x:c r="S345" s="138" t="str"/>
      <x:c r="T345" s="137" t="str"/>
      <x:c r="U345" s="137" t="str"/>
      <x:c r="V345" s="137" t="str"/>
      <x:c r="W345" s="137" t="str"/>
      <x:c r="X345" s="137" t="str"/>
      <x:c r="Y345" s="199" t="str"/>
    </x:row>
    <x:row r="346">
      <x:c r="A346" s="137" t="str"/>
      <x:c r="B346" s="137" t="str"/>
      <x:c r="C346" s="138" t="str"/>
      <x:c r="D346" s="137" t="str"/>
      <x:c r="E346" s="137" t="str"/>
      <x:c r="F346" s="137" t="str"/>
      <x:c r="G346" s="137" t="str"/>
      <x:c r="H346" s="137" t="str"/>
      <x:c r="I346" s="137" t="str"/>
      <x:c r="J346" s="137" t="str"/>
      <x:c r="K346" s="137" t="str"/>
      <x:c r="L346" s="137" t="str"/>
      <x:c r="M346" s="160" t="str"/>
      <x:c r="N346" s="160" t="str"/>
      <x:c r="O346" s="137" t="str"/>
      <x:c r="P346" s="137" t="str"/>
      <x:c r="Q346" s="137" t="str"/>
      <x:c r="R346" s="137" t="str"/>
      <x:c r="S346" s="138" t="str"/>
      <x:c r="T346" s="137" t="str"/>
      <x:c r="U346" s="137" t="str"/>
      <x:c r="V346" s="137" t="str"/>
      <x:c r="W346" s="137" t="str"/>
      <x:c r="X346" s="137" t="str"/>
      <x:c r="Y346" s="199" t="str"/>
    </x:row>
    <x:row r="347">
      <x:c r="A347" s="137" t="str"/>
      <x:c r="B347" s="137" t="str"/>
      <x:c r="C347" s="138" t="str"/>
      <x:c r="D347" s="137" t="str"/>
      <x:c r="E347" s="137" t="str"/>
      <x:c r="F347" s="137" t="str"/>
      <x:c r="G347" s="137" t="str"/>
      <x:c r="H347" s="137" t="str"/>
      <x:c r="I347" s="137" t="str"/>
      <x:c r="J347" s="137" t="str"/>
      <x:c r="K347" s="137" t="str"/>
      <x:c r="L347" s="137" t="str"/>
      <x:c r="M347" s="160" t="str"/>
      <x:c r="N347" s="160" t="str"/>
      <x:c r="O347" s="137" t="str"/>
      <x:c r="P347" s="137" t="str"/>
      <x:c r="Q347" s="137" t="str"/>
      <x:c r="R347" s="137" t="str"/>
      <x:c r="S347" s="138" t="str"/>
      <x:c r="T347" s="137" t="str"/>
      <x:c r="U347" s="137" t="str"/>
      <x:c r="V347" s="137" t="str"/>
      <x:c r="W347" s="137" t="str"/>
      <x:c r="X347" s="137" t="str"/>
      <x:c r="Y347" s="199" t="str"/>
    </x:row>
    <x:row r="348">
      <x:c r="A348" s="137" t="str"/>
      <x:c r="B348" s="137" t="str"/>
      <x:c r="C348" s="138" t="str"/>
      <x:c r="D348" s="137" t="str"/>
      <x:c r="E348" s="137" t="str"/>
      <x:c r="F348" s="137" t="str"/>
      <x:c r="G348" s="137" t="str"/>
      <x:c r="H348" s="137" t="str"/>
      <x:c r="I348" s="137" t="str"/>
      <x:c r="J348" s="137" t="str"/>
      <x:c r="K348" s="137" t="str"/>
      <x:c r="L348" s="137" t="str"/>
      <x:c r="M348" s="160" t="str"/>
      <x:c r="N348" s="160" t="str"/>
      <x:c r="O348" s="137" t="str"/>
      <x:c r="P348" s="137" t="str"/>
      <x:c r="Q348" s="137" t="str"/>
      <x:c r="R348" s="137" t="str"/>
      <x:c r="S348" s="138" t="str"/>
      <x:c r="T348" s="137" t="str"/>
      <x:c r="U348" s="137" t="str"/>
      <x:c r="V348" s="137" t="str"/>
      <x:c r="W348" s="137" t="str"/>
      <x:c r="X348" s="137" t="str"/>
      <x:c r="Y348" s="199" t="str"/>
    </x:row>
    <x:row r="349">
      <x:c r="A349" s="137" t="str"/>
      <x:c r="B349" s="137" t="str"/>
      <x:c r="C349" s="138" t="str"/>
      <x:c r="D349" s="137" t="str"/>
      <x:c r="E349" s="137" t="str"/>
      <x:c r="F349" s="137" t="str"/>
      <x:c r="G349" s="137" t="str"/>
      <x:c r="H349" s="137" t="str"/>
      <x:c r="I349" s="137" t="str"/>
      <x:c r="J349" s="137" t="str"/>
      <x:c r="K349" s="137" t="str"/>
      <x:c r="L349" s="137" t="str"/>
      <x:c r="M349" s="160" t="str"/>
      <x:c r="N349" s="160" t="str"/>
      <x:c r="O349" s="137" t="str"/>
      <x:c r="P349" s="137" t="str"/>
      <x:c r="Q349" s="137" t="str"/>
      <x:c r="R349" s="137" t="str"/>
      <x:c r="S349" s="138" t="str"/>
      <x:c r="T349" s="137" t="str"/>
      <x:c r="U349" s="137" t="str"/>
      <x:c r="V349" s="137" t="str"/>
      <x:c r="W349" s="137" t="str"/>
      <x:c r="X349" s="137" t="str"/>
      <x:c r="Y349" s="199" t="str"/>
    </x:row>
    <x:row r="350">
      <x:c r="A350" s="137" t="str"/>
      <x:c r="B350" s="137" t="str"/>
      <x:c r="C350" s="138" t="str"/>
      <x:c r="D350" s="137" t="str"/>
      <x:c r="E350" s="137" t="str"/>
      <x:c r="F350" s="137" t="str"/>
      <x:c r="G350" s="137" t="str"/>
      <x:c r="H350" s="137" t="str"/>
      <x:c r="I350" s="137" t="str"/>
      <x:c r="J350" s="137" t="str"/>
      <x:c r="K350" s="137" t="str"/>
      <x:c r="L350" s="137" t="str"/>
      <x:c r="M350" s="160" t="str"/>
      <x:c r="N350" s="160" t="str"/>
      <x:c r="O350" s="137" t="str"/>
      <x:c r="P350" s="137" t="str"/>
      <x:c r="Q350" s="137" t="str"/>
      <x:c r="R350" s="137" t="str"/>
      <x:c r="S350" s="138" t="str"/>
      <x:c r="T350" s="137" t="str"/>
      <x:c r="U350" s="137" t="str"/>
      <x:c r="V350" s="137" t="str"/>
      <x:c r="W350" s="137" t="str"/>
      <x:c r="X350" s="137" t="str"/>
      <x:c r="Y350" s="199" t="str"/>
    </x:row>
    <x:row r="351">
      <x:c r="A351" s="137" t="str"/>
      <x:c r="B351" s="137" t="str"/>
      <x:c r="C351" s="138" t="str"/>
      <x:c r="D351" s="137" t="str"/>
      <x:c r="E351" s="137" t="str"/>
      <x:c r="F351" s="137" t="str"/>
      <x:c r="G351" s="137" t="str"/>
      <x:c r="H351" s="137" t="str"/>
      <x:c r="I351" s="137" t="str"/>
      <x:c r="J351" s="137" t="str"/>
      <x:c r="K351" s="137" t="str"/>
      <x:c r="L351" s="137" t="str"/>
      <x:c r="M351" s="160" t="str"/>
      <x:c r="N351" s="160" t="str"/>
      <x:c r="O351" s="137" t="str"/>
      <x:c r="P351" s="137" t="str"/>
      <x:c r="Q351" s="137" t="str"/>
      <x:c r="R351" s="137" t="str"/>
      <x:c r="S351" s="138" t="str"/>
      <x:c r="T351" s="137" t="str"/>
      <x:c r="U351" s="137" t="str"/>
      <x:c r="V351" s="137" t="str"/>
      <x:c r="W351" s="137" t="str"/>
      <x:c r="X351" s="137" t="str"/>
      <x:c r="Y351" s="199" t="str"/>
    </x:row>
    <x:row r="352">
      <x:c r="A352" s="137" t="str"/>
      <x:c r="B352" s="137" t="str"/>
      <x:c r="C352" s="138" t="str"/>
      <x:c r="D352" s="137" t="str"/>
      <x:c r="E352" s="137" t="str"/>
      <x:c r="F352" s="137" t="str"/>
      <x:c r="G352" s="137" t="str"/>
      <x:c r="H352" s="137" t="str"/>
      <x:c r="I352" s="137" t="str"/>
      <x:c r="J352" s="137" t="str"/>
      <x:c r="K352" s="137" t="str"/>
      <x:c r="L352" s="137" t="str"/>
      <x:c r="M352" s="160" t="str"/>
      <x:c r="N352" s="160" t="str"/>
      <x:c r="O352" s="137" t="str"/>
      <x:c r="P352" s="137" t="str"/>
      <x:c r="Q352" s="137" t="str"/>
      <x:c r="R352" s="137" t="str"/>
      <x:c r="S352" s="138" t="str"/>
      <x:c r="T352" s="137" t="str"/>
      <x:c r="U352" s="137" t="str"/>
      <x:c r="V352" s="137" t="str"/>
      <x:c r="W352" s="137" t="str"/>
      <x:c r="X352" s="137" t="str"/>
      <x:c r="Y352" s="199" t="str"/>
    </x:row>
    <x:row r="353">
      <x:c r="A353" s="137" t="str"/>
      <x:c r="B353" s="137" t="str"/>
      <x:c r="C353" s="138" t="str"/>
      <x:c r="D353" s="137" t="str"/>
      <x:c r="E353" s="137" t="str"/>
      <x:c r="F353" s="137" t="str"/>
      <x:c r="G353" s="137" t="str"/>
      <x:c r="H353" s="137" t="str"/>
      <x:c r="I353" s="137" t="str"/>
      <x:c r="J353" s="137" t="str"/>
      <x:c r="K353" s="137" t="str"/>
      <x:c r="L353" s="137" t="str"/>
      <x:c r="M353" s="160" t="str"/>
      <x:c r="N353" s="160" t="str"/>
      <x:c r="O353" s="137" t="str"/>
      <x:c r="P353" s="137" t="str"/>
      <x:c r="Q353" s="137" t="str"/>
      <x:c r="R353" s="137" t="str"/>
      <x:c r="S353" s="138" t="str"/>
      <x:c r="T353" s="137" t="str"/>
      <x:c r="U353" s="137" t="str"/>
      <x:c r="V353" s="137" t="str"/>
      <x:c r="W353" s="137" t="str"/>
      <x:c r="X353" s="137" t="str"/>
      <x:c r="Y353" s="199" t="str"/>
    </x:row>
    <x:row r="354">
      <x:c r="A354" s="137" t="str"/>
      <x:c r="B354" s="137" t="str"/>
      <x:c r="C354" s="138" t="str"/>
      <x:c r="D354" s="137" t="str"/>
      <x:c r="E354" s="137" t="str"/>
      <x:c r="F354" s="137" t="str"/>
      <x:c r="G354" s="137" t="str"/>
      <x:c r="H354" s="137" t="str"/>
      <x:c r="I354" s="137" t="str"/>
      <x:c r="J354" s="137" t="str"/>
      <x:c r="K354" s="137" t="str"/>
      <x:c r="L354" s="137" t="str"/>
      <x:c r="M354" s="160" t="str"/>
      <x:c r="N354" s="160" t="str"/>
      <x:c r="O354" s="137" t="str"/>
      <x:c r="P354" s="137" t="str"/>
      <x:c r="Q354" s="137" t="str"/>
      <x:c r="R354" s="137" t="str"/>
      <x:c r="S354" s="138" t="str"/>
      <x:c r="T354" s="137" t="str"/>
      <x:c r="U354" s="137" t="str"/>
      <x:c r="V354" s="137" t="str"/>
      <x:c r="W354" s="137" t="str"/>
      <x:c r="X354" s="137" t="str"/>
      <x:c r="Y354" s="199" t="str"/>
    </x:row>
    <x:row r="355">
      <x:c r="A355" s="137" t="str"/>
      <x:c r="B355" s="137" t="str"/>
      <x:c r="C355" s="138" t="str"/>
      <x:c r="D355" s="137" t="str"/>
      <x:c r="E355" s="137" t="str"/>
      <x:c r="F355" s="137" t="str"/>
      <x:c r="G355" s="137" t="str"/>
      <x:c r="H355" s="137" t="str"/>
      <x:c r="I355" s="137" t="str"/>
      <x:c r="J355" s="137" t="str"/>
      <x:c r="K355" s="137" t="str"/>
      <x:c r="L355" s="137" t="str"/>
      <x:c r="M355" s="160" t="str"/>
      <x:c r="N355" s="160" t="str"/>
      <x:c r="O355" s="137" t="str"/>
      <x:c r="P355" s="137" t="str"/>
      <x:c r="Q355" s="137" t="str"/>
      <x:c r="R355" s="137" t="str"/>
      <x:c r="S355" s="138" t="str"/>
      <x:c r="T355" s="137" t="str"/>
      <x:c r="U355" s="137" t="str"/>
      <x:c r="V355" s="137" t="str"/>
      <x:c r="W355" s="137" t="str"/>
      <x:c r="X355" s="137" t="str"/>
      <x:c r="Y355" s="199" t="str"/>
    </x:row>
    <x:row r="356">
      <x:c r="A356" s="137" t="str"/>
      <x:c r="B356" s="137" t="str"/>
      <x:c r="C356" s="138" t="str"/>
      <x:c r="D356" s="137" t="str"/>
      <x:c r="E356" s="137" t="str"/>
      <x:c r="F356" s="137" t="str"/>
      <x:c r="G356" s="137" t="str"/>
      <x:c r="H356" s="137" t="str"/>
      <x:c r="I356" s="137" t="str"/>
      <x:c r="J356" s="137" t="str"/>
      <x:c r="K356" s="137" t="str"/>
      <x:c r="L356" s="137" t="str"/>
      <x:c r="M356" s="160" t="str"/>
      <x:c r="N356" s="160" t="str"/>
      <x:c r="O356" s="137" t="str"/>
      <x:c r="P356" s="137" t="str"/>
      <x:c r="Q356" s="137" t="str"/>
      <x:c r="R356" s="137" t="str"/>
      <x:c r="S356" s="138" t="str"/>
      <x:c r="T356" s="137" t="str"/>
      <x:c r="U356" s="137" t="str"/>
      <x:c r="V356" s="137" t="str"/>
      <x:c r="W356" s="137" t="str"/>
      <x:c r="X356" s="137" t="str"/>
      <x:c r="Y356" s="199" t="str"/>
    </x:row>
    <x:row r="357">
      <x:c r="A357" s="137" t="str"/>
      <x:c r="B357" s="137" t="str"/>
      <x:c r="C357" s="138" t="str"/>
      <x:c r="D357" s="137" t="str"/>
      <x:c r="E357" s="137" t="str"/>
      <x:c r="F357" s="137" t="str"/>
      <x:c r="G357" s="137" t="str"/>
      <x:c r="H357" s="137" t="str"/>
      <x:c r="I357" s="137" t="str"/>
      <x:c r="J357" s="137" t="str"/>
      <x:c r="K357" s="137" t="str"/>
      <x:c r="L357" s="137" t="str"/>
      <x:c r="M357" s="160" t="str"/>
      <x:c r="N357" s="160" t="str"/>
      <x:c r="O357" s="137" t="str"/>
      <x:c r="P357" s="137" t="str"/>
      <x:c r="Q357" s="137" t="str"/>
      <x:c r="R357" s="137" t="str"/>
      <x:c r="S357" s="138" t="str"/>
      <x:c r="T357" s="137" t="str"/>
      <x:c r="U357" s="137" t="str"/>
      <x:c r="V357" s="137" t="str"/>
      <x:c r="W357" s="137" t="str"/>
      <x:c r="X357" s="137" t="str"/>
      <x:c r="Y357" s="199" t="str"/>
    </x:row>
    <x:row r="358">
      <x:c r="A358" s="137" t="str"/>
      <x:c r="B358" s="137" t="str"/>
      <x:c r="C358" s="138" t="str"/>
      <x:c r="D358" s="137" t="str"/>
      <x:c r="E358" s="137" t="str"/>
      <x:c r="F358" s="137" t="str"/>
      <x:c r="G358" s="137" t="str"/>
      <x:c r="H358" s="137" t="str"/>
      <x:c r="I358" s="137" t="str"/>
      <x:c r="J358" s="137" t="str"/>
      <x:c r="K358" s="137" t="str"/>
      <x:c r="L358" s="137" t="str"/>
      <x:c r="M358" s="160" t="str"/>
      <x:c r="N358" s="160" t="str"/>
      <x:c r="O358" s="137" t="str"/>
      <x:c r="P358" s="137" t="str"/>
      <x:c r="Q358" s="137" t="str"/>
      <x:c r="R358" s="137" t="str"/>
      <x:c r="S358" s="138" t="str"/>
      <x:c r="T358" s="137" t="str"/>
      <x:c r="U358" s="137" t="str"/>
      <x:c r="V358" s="137" t="str"/>
      <x:c r="W358" s="137" t="str"/>
      <x:c r="X358" s="137" t="str"/>
      <x:c r="Y358" s="199" t="str"/>
    </x:row>
    <x:row r="359">
      <x:c r="A359" s="137" t="str"/>
      <x:c r="B359" s="137" t="str"/>
      <x:c r="C359" s="138" t="str"/>
      <x:c r="D359" s="137" t="str"/>
      <x:c r="E359" s="137" t="str"/>
      <x:c r="F359" s="137" t="str"/>
      <x:c r="G359" s="137" t="str"/>
      <x:c r="H359" s="137" t="str"/>
      <x:c r="I359" s="137" t="str"/>
      <x:c r="J359" s="137" t="str"/>
      <x:c r="K359" s="137" t="str"/>
      <x:c r="L359" s="137" t="str"/>
      <x:c r="M359" s="160" t="str"/>
      <x:c r="N359" s="160" t="str"/>
      <x:c r="O359" s="137" t="str"/>
      <x:c r="P359" s="137" t="str"/>
      <x:c r="Q359" s="137" t="str"/>
      <x:c r="R359" s="137" t="str"/>
      <x:c r="S359" s="138" t="str"/>
      <x:c r="T359" s="137" t="str"/>
      <x:c r="U359" s="137" t="str"/>
      <x:c r="V359" s="137" t="str"/>
      <x:c r="W359" s="137" t="str"/>
      <x:c r="X359" s="137" t="str"/>
      <x:c r="Y359" s="199" t="str"/>
    </x:row>
    <x:row r="360">
      <x:c r="A360" s="137" t="str"/>
      <x:c r="B360" s="137" t="str"/>
      <x:c r="C360" s="138" t="str"/>
      <x:c r="D360" s="137" t="str"/>
      <x:c r="E360" s="137" t="str"/>
      <x:c r="F360" s="137" t="str"/>
      <x:c r="G360" s="137" t="str"/>
      <x:c r="H360" s="137" t="str"/>
      <x:c r="I360" s="137" t="str"/>
      <x:c r="J360" s="137" t="str"/>
      <x:c r="K360" s="137" t="str"/>
      <x:c r="L360" s="137" t="str"/>
      <x:c r="M360" s="160" t="str"/>
      <x:c r="N360" s="160" t="str"/>
      <x:c r="O360" s="137" t="str"/>
      <x:c r="P360" s="137" t="str"/>
      <x:c r="Q360" s="137" t="str"/>
      <x:c r="R360" s="137" t="str"/>
      <x:c r="S360" s="138" t="str"/>
      <x:c r="T360" s="137" t="str"/>
      <x:c r="U360" s="137" t="str"/>
      <x:c r="V360" s="137" t="str"/>
      <x:c r="W360" s="137" t="str"/>
      <x:c r="X360" s="137" t="str"/>
      <x:c r="Y360" s="199" t="str"/>
    </x:row>
    <x:row r="361">
      <x:c r="A361" s="137" t="str"/>
      <x:c r="B361" s="137" t="str"/>
      <x:c r="C361" s="138" t="str"/>
      <x:c r="D361" s="137" t="str"/>
      <x:c r="E361" s="137" t="str"/>
      <x:c r="F361" s="137" t="str"/>
      <x:c r="G361" s="137" t="str"/>
      <x:c r="H361" s="137" t="str"/>
      <x:c r="I361" s="137" t="str"/>
      <x:c r="J361" s="137" t="str"/>
      <x:c r="K361" s="137" t="str"/>
      <x:c r="L361" s="137" t="str"/>
      <x:c r="M361" s="160" t="str"/>
      <x:c r="N361" s="160" t="str"/>
      <x:c r="O361" s="137" t="str"/>
      <x:c r="P361" s="137" t="str"/>
      <x:c r="Q361" s="137" t="str"/>
      <x:c r="R361" s="137" t="str"/>
      <x:c r="S361" s="138" t="str"/>
      <x:c r="T361" s="137" t="str"/>
      <x:c r="U361" s="137" t="str"/>
      <x:c r="V361" s="137" t="str"/>
      <x:c r="W361" s="137" t="str"/>
      <x:c r="X361" s="137" t="str"/>
      <x:c r="Y361" s="199" t="str"/>
    </x:row>
    <x:row r="362">
      <x:c r="A362" s="137" t="str"/>
      <x:c r="B362" s="137" t="str"/>
      <x:c r="C362" s="138" t="str"/>
      <x:c r="D362" s="137" t="str"/>
      <x:c r="E362" s="137" t="str"/>
      <x:c r="F362" s="137" t="str"/>
      <x:c r="G362" s="137" t="str"/>
      <x:c r="H362" s="137" t="str"/>
      <x:c r="I362" s="137" t="str"/>
      <x:c r="J362" s="137" t="str"/>
      <x:c r="K362" s="137" t="str"/>
      <x:c r="L362" s="137" t="str"/>
      <x:c r="M362" s="160" t="str"/>
      <x:c r="N362" s="160" t="str"/>
      <x:c r="O362" s="137" t="str"/>
      <x:c r="P362" s="137" t="str"/>
      <x:c r="Q362" s="137" t="str"/>
      <x:c r="R362" s="137" t="str"/>
      <x:c r="S362" s="138" t="str"/>
      <x:c r="T362" s="137" t="str"/>
      <x:c r="U362" s="137" t="str"/>
      <x:c r="V362" s="137" t="str"/>
      <x:c r="W362" s="137" t="str"/>
      <x:c r="X362" s="137" t="str"/>
      <x:c r="Y362" s="199" t="str"/>
    </x:row>
    <x:row r="363">
      <x:c r="A363" s="137" t="str"/>
      <x:c r="B363" s="137" t="str"/>
      <x:c r="C363" s="138" t="str"/>
      <x:c r="D363" s="137" t="str"/>
      <x:c r="E363" s="137" t="str"/>
      <x:c r="F363" s="137" t="str"/>
      <x:c r="G363" s="137" t="str"/>
      <x:c r="H363" s="137" t="str"/>
      <x:c r="I363" s="137" t="str"/>
      <x:c r="J363" s="137" t="str"/>
      <x:c r="K363" s="137" t="str"/>
      <x:c r="L363" s="137" t="str"/>
      <x:c r="M363" s="160" t="str"/>
      <x:c r="N363" s="160" t="str"/>
      <x:c r="O363" s="137" t="str"/>
      <x:c r="P363" s="137" t="str"/>
      <x:c r="Q363" s="137" t="str"/>
      <x:c r="R363" s="137" t="str"/>
      <x:c r="S363" s="138" t="str"/>
      <x:c r="T363" s="137" t="str"/>
      <x:c r="U363" s="137" t="str"/>
      <x:c r="V363" s="137" t="str"/>
      <x:c r="W363" s="137" t="str"/>
      <x:c r="X363" s="137" t="str"/>
      <x:c r="Y363" s="199" t="str"/>
    </x:row>
    <x:row r="364">
      <x:c r="A364" s="137" t="str"/>
      <x:c r="B364" s="137" t="str"/>
      <x:c r="C364" s="138" t="str"/>
      <x:c r="D364" s="137" t="str"/>
      <x:c r="E364" s="137" t="str"/>
      <x:c r="F364" s="137" t="str"/>
      <x:c r="G364" s="137" t="str"/>
      <x:c r="H364" s="137" t="str"/>
      <x:c r="I364" s="137" t="str"/>
      <x:c r="J364" s="137" t="str"/>
      <x:c r="K364" s="137" t="str"/>
      <x:c r="L364" s="137" t="str"/>
      <x:c r="M364" s="160" t="str"/>
      <x:c r="N364" s="160" t="str"/>
      <x:c r="O364" s="137" t="str"/>
      <x:c r="P364" s="137" t="str"/>
      <x:c r="Q364" s="137" t="str"/>
      <x:c r="R364" s="137" t="str"/>
      <x:c r="S364" s="138" t="str"/>
      <x:c r="T364" s="137" t="str"/>
      <x:c r="U364" s="137" t="str"/>
      <x:c r="V364" s="137" t="str"/>
      <x:c r="W364" s="137" t="str"/>
      <x:c r="X364" s="137" t="str"/>
      <x:c r="Y364" s="199" t="str"/>
    </x:row>
    <x:row r="365">
      <x:c r="A365" s="137" t="str"/>
      <x:c r="B365" s="137" t="str"/>
      <x:c r="C365" s="138" t="str"/>
      <x:c r="D365" s="137" t="str"/>
      <x:c r="E365" s="137" t="str"/>
      <x:c r="F365" s="137" t="str"/>
      <x:c r="G365" s="137" t="str"/>
      <x:c r="H365" s="137" t="str"/>
      <x:c r="I365" s="137" t="str"/>
      <x:c r="J365" s="137" t="str"/>
      <x:c r="K365" s="137" t="str"/>
      <x:c r="L365" s="137" t="str"/>
      <x:c r="M365" s="160" t="str"/>
      <x:c r="N365" s="160" t="str"/>
      <x:c r="O365" s="137" t="str"/>
      <x:c r="P365" s="137" t="str"/>
      <x:c r="Q365" s="137" t="str"/>
      <x:c r="R365" s="137" t="str"/>
      <x:c r="S365" s="138" t="str"/>
      <x:c r="T365" s="137" t="str"/>
      <x:c r="U365" s="137" t="str"/>
      <x:c r="V365" s="137" t="str"/>
      <x:c r="W365" s="137" t="str"/>
      <x:c r="X365" s="137" t="str"/>
      <x:c r="Y365" s="199" t="str"/>
    </x:row>
    <x:row r="366">
      <x:c r="A366" s="137" t="str"/>
      <x:c r="B366" s="137" t="str"/>
      <x:c r="C366" s="138" t="str"/>
      <x:c r="D366" s="137" t="str"/>
      <x:c r="E366" s="137" t="str"/>
      <x:c r="F366" s="137" t="str"/>
      <x:c r="G366" s="137" t="str"/>
      <x:c r="H366" s="137" t="str"/>
      <x:c r="I366" s="137" t="str"/>
      <x:c r="J366" s="137" t="str"/>
      <x:c r="K366" s="137" t="str"/>
      <x:c r="L366" s="137" t="str"/>
      <x:c r="M366" s="160" t="str"/>
      <x:c r="N366" s="160" t="str"/>
      <x:c r="O366" s="137" t="str"/>
      <x:c r="P366" s="137" t="str"/>
      <x:c r="Q366" s="137" t="str"/>
      <x:c r="R366" s="137" t="str"/>
      <x:c r="S366" s="138" t="str"/>
      <x:c r="T366" s="137" t="str"/>
      <x:c r="U366" s="137" t="str"/>
      <x:c r="V366" s="137" t="str"/>
      <x:c r="W366" s="137" t="str"/>
      <x:c r="X366" s="137" t="str"/>
      <x:c r="Y366" s="199" t="str"/>
    </x:row>
    <x:row r="367">
      <x:c r="A367" s="137" t="str"/>
      <x:c r="B367" s="137" t="str"/>
      <x:c r="C367" s="138" t="str"/>
      <x:c r="D367" s="137" t="str"/>
      <x:c r="E367" s="137" t="str"/>
      <x:c r="F367" s="137" t="str"/>
      <x:c r="G367" s="137" t="str"/>
      <x:c r="H367" s="137" t="str"/>
      <x:c r="I367" s="137" t="str"/>
      <x:c r="J367" s="137" t="str"/>
      <x:c r="K367" s="137" t="str"/>
      <x:c r="L367" s="137" t="str"/>
      <x:c r="M367" s="160" t="str"/>
      <x:c r="N367" s="160" t="str"/>
      <x:c r="O367" s="137" t="str"/>
      <x:c r="P367" s="137" t="str"/>
      <x:c r="Q367" s="137" t="str"/>
      <x:c r="R367" s="137" t="str"/>
      <x:c r="S367" s="138" t="str"/>
      <x:c r="T367" s="137" t="str"/>
      <x:c r="U367" s="137" t="str"/>
      <x:c r="V367" s="137" t="str"/>
      <x:c r="W367" s="137" t="str"/>
      <x:c r="X367" s="137" t="str"/>
      <x:c r="Y367" s="199" t="str"/>
    </x:row>
    <x:row r="368">
      <x:c r="A368" s="137" t="str"/>
      <x:c r="B368" s="137" t="str"/>
      <x:c r="C368" s="138" t="str"/>
      <x:c r="D368" s="137" t="str"/>
      <x:c r="E368" s="137" t="str"/>
      <x:c r="F368" s="137" t="str"/>
      <x:c r="G368" s="137" t="str"/>
      <x:c r="H368" s="137" t="str"/>
      <x:c r="I368" s="137" t="str"/>
      <x:c r="J368" s="137" t="str"/>
      <x:c r="K368" s="137" t="str"/>
      <x:c r="L368" s="137" t="str"/>
      <x:c r="M368" s="160" t="str"/>
      <x:c r="N368" s="160" t="str"/>
      <x:c r="O368" s="137" t="str"/>
      <x:c r="P368" s="137" t="str"/>
      <x:c r="Q368" s="137" t="str"/>
      <x:c r="R368" s="137" t="str"/>
      <x:c r="S368" s="138" t="str"/>
      <x:c r="T368" s="137" t="str"/>
      <x:c r="U368" s="137" t="str"/>
      <x:c r="V368" s="137" t="str"/>
      <x:c r="W368" s="137" t="str"/>
      <x:c r="X368" s="137" t="str"/>
      <x:c r="Y368" s="199" t="str"/>
    </x:row>
    <x:row r="369">
      <x:c r="A369" s="137" t="str"/>
      <x:c r="B369" s="137" t="str"/>
      <x:c r="C369" s="138" t="str"/>
      <x:c r="D369" s="137" t="str"/>
      <x:c r="E369" s="137" t="str"/>
      <x:c r="F369" s="137" t="str"/>
      <x:c r="G369" s="137" t="str"/>
      <x:c r="H369" s="137" t="str"/>
      <x:c r="I369" s="137" t="str"/>
      <x:c r="J369" s="137" t="str"/>
      <x:c r="K369" s="137" t="str"/>
      <x:c r="L369" s="137" t="str"/>
      <x:c r="M369" s="160" t="str"/>
      <x:c r="N369" s="160" t="str"/>
      <x:c r="O369" s="137" t="str"/>
      <x:c r="P369" s="137" t="str"/>
      <x:c r="Q369" s="137" t="str"/>
      <x:c r="R369" s="137" t="str"/>
      <x:c r="S369" s="138" t="str"/>
      <x:c r="T369" s="137" t="str"/>
      <x:c r="U369" s="137" t="str"/>
      <x:c r="V369" s="137" t="str"/>
      <x:c r="W369" s="137" t="str"/>
      <x:c r="X369" s="137" t="str"/>
      <x:c r="Y369" s="199" t="str"/>
    </x:row>
    <x:row r="370">
      <x:c r="A370" s="137" t="str"/>
      <x:c r="B370" s="137" t="str"/>
      <x:c r="C370" s="138" t="str"/>
      <x:c r="D370" s="137" t="str"/>
      <x:c r="E370" s="137" t="str"/>
      <x:c r="F370" s="137" t="str"/>
      <x:c r="G370" s="137" t="str"/>
      <x:c r="H370" s="137" t="str"/>
      <x:c r="I370" s="137" t="str"/>
      <x:c r="J370" s="137" t="str"/>
      <x:c r="K370" s="137" t="str"/>
      <x:c r="L370" s="137" t="str"/>
      <x:c r="M370" s="160" t="str"/>
      <x:c r="N370" s="160" t="str"/>
      <x:c r="O370" s="137" t="str"/>
      <x:c r="P370" s="137" t="str"/>
      <x:c r="Q370" s="137" t="str"/>
      <x:c r="R370" s="137" t="str"/>
      <x:c r="S370" s="138" t="str"/>
      <x:c r="T370" s="137" t="str"/>
      <x:c r="U370" s="137" t="str"/>
      <x:c r="V370" s="137" t="str"/>
      <x:c r="W370" s="137" t="str"/>
      <x:c r="X370" s="137" t="str"/>
      <x:c r="Y370" s="199" t="str"/>
    </x:row>
    <x:row r="371">
      <x:c r="A371" s="137" t="str"/>
      <x:c r="B371" s="137" t="str"/>
      <x:c r="C371" s="138" t="str"/>
      <x:c r="D371" s="137" t="str"/>
      <x:c r="E371" s="137" t="str"/>
      <x:c r="F371" s="137" t="str"/>
      <x:c r="G371" s="137" t="str"/>
      <x:c r="H371" s="137" t="str"/>
      <x:c r="I371" s="137" t="str"/>
      <x:c r="J371" s="137" t="str"/>
      <x:c r="K371" s="137" t="str"/>
      <x:c r="L371" s="137" t="str"/>
      <x:c r="M371" s="160" t="str"/>
      <x:c r="N371" s="160" t="str"/>
      <x:c r="O371" s="137" t="str"/>
      <x:c r="P371" s="137" t="str"/>
      <x:c r="Q371" s="137" t="str"/>
      <x:c r="R371" s="137" t="str"/>
      <x:c r="S371" s="138" t="str"/>
      <x:c r="T371" s="137" t="str"/>
      <x:c r="U371" s="137" t="str"/>
      <x:c r="V371" s="137" t="str"/>
      <x:c r="W371" s="137" t="str"/>
      <x:c r="X371" s="137" t="str"/>
      <x:c r="Y371" s="199" t="str"/>
    </x:row>
    <x:row r="372">
      <x:c r="A372" s="137" t="str"/>
      <x:c r="B372" s="137" t="str"/>
      <x:c r="C372" s="138" t="str"/>
      <x:c r="D372" s="137" t="str"/>
      <x:c r="E372" s="137" t="str"/>
      <x:c r="F372" s="137" t="str"/>
      <x:c r="G372" s="137" t="str"/>
      <x:c r="H372" s="137" t="str"/>
      <x:c r="I372" s="137" t="str"/>
      <x:c r="J372" s="137" t="str"/>
      <x:c r="K372" s="137" t="str"/>
      <x:c r="L372" s="137" t="str"/>
      <x:c r="M372" s="160" t="str"/>
      <x:c r="N372" s="160" t="str"/>
      <x:c r="O372" s="137" t="str"/>
      <x:c r="P372" s="137" t="str"/>
      <x:c r="Q372" s="137" t="str"/>
      <x:c r="R372" s="137" t="str"/>
      <x:c r="S372" s="138" t="str"/>
      <x:c r="T372" s="137" t="str"/>
      <x:c r="U372" s="137" t="str"/>
      <x:c r="V372" s="137" t="str"/>
      <x:c r="W372" s="137" t="str"/>
      <x:c r="X372" s="137" t="str"/>
      <x:c r="Y372" s="199" t="str"/>
    </x:row>
    <x:row r="373">
      <x:c r="A373" s="137" t="str"/>
      <x:c r="B373" s="137" t="str"/>
      <x:c r="C373" s="138" t="str"/>
      <x:c r="D373" s="137" t="str"/>
      <x:c r="E373" s="137" t="str"/>
      <x:c r="F373" s="137" t="str"/>
      <x:c r="G373" s="137" t="str"/>
      <x:c r="H373" s="137" t="str"/>
      <x:c r="I373" s="137" t="str"/>
      <x:c r="J373" s="137" t="str"/>
      <x:c r="K373" s="137" t="str"/>
      <x:c r="L373" s="137" t="str"/>
      <x:c r="M373" s="160" t="str"/>
      <x:c r="N373" s="160" t="str"/>
      <x:c r="O373" s="137" t="str"/>
      <x:c r="P373" s="137" t="str"/>
      <x:c r="Q373" s="137" t="str"/>
      <x:c r="R373" s="137" t="str"/>
      <x:c r="S373" s="138" t="str"/>
      <x:c r="T373" s="137" t="str"/>
      <x:c r="U373" s="137" t="str"/>
      <x:c r="V373" s="137" t="str"/>
      <x:c r="W373" s="137" t="str"/>
      <x:c r="X373" s="137" t="str"/>
      <x:c r="Y373" s="199" t="str"/>
    </x:row>
    <x:row r="374">
      <x:c r="A374" s="137" t="str"/>
      <x:c r="B374" s="137" t="str"/>
      <x:c r="C374" s="138" t="str"/>
      <x:c r="D374" s="137" t="str"/>
      <x:c r="E374" s="137" t="str"/>
      <x:c r="F374" s="137" t="str"/>
      <x:c r="G374" s="137" t="str"/>
      <x:c r="H374" s="137" t="str"/>
      <x:c r="I374" s="137" t="str"/>
      <x:c r="J374" s="137" t="str"/>
      <x:c r="K374" s="137" t="str"/>
      <x:c r="L374" s="137" t="str"/>
      <x:c r="M374" s="160" t="str"/>
      <x:c r="N374" s="160" t="str"/>
      <x:c r="O374" s="137" t="str"/>
      <x:c r="P374" s="137" t="str"/>
      <x:c r="Q374" s="137" t="str"/>
      <x:c r="R374" s="137" t="str"/>
      <x:c r="S374" s="138" t="str"/>
      <x:c r="T374" s="137" t="str"/>
      <x:c r="U374" s="137" t="str"/>
      <x:c r="V374" s="137" t="str"/>
      <x:c r="W374" s="137" t="str"/>
      <x:c r="X374" s="137" t="str"/>
      <x:c r="Y374" s="199" t="str"/>
    </x:row>
    <x:row r="375">
      <x:c r="A375" s="137" t="str"/>
      <x:c r="B375" s="137" t="str"/>
      <x:c r="C375" s="138" t="str"/>
      <x:c r="D375" s="137" t="str"/>
      <x:c r="E375" s="137" t="str"/>
      <x:c r="F375" s="137" t="str"/>
      <x:c r="G375" s="137" t="str"/>
      <x:c r="H375" s="137" t="str"/>
      <x:c r="I375" s="137" t="str"/>
      <x:c r="J375" s="137" t="str"/>
      <x:c r="K375" s="137" t="str"/>
      <x:c r="L375" s="137" t="str"/>
      <x:c r="M375" s="160" t="str"/>
      <x:c r="N375" s="160" t="str"/>
      <x:c r="O375" s="137" t="str"/>
      <x:c r="P375" s="137" t="str"/>
      <x:c r="Q375" s="137" t="str"/>
      <x:c r="R375" s="137" t="str"/>
      <x:c r="S375" s="138" t="str"/>
      <x:c r="T375" s="137" t="str"/>
      <x:c r="U375" s="137" t="str"/>
      <x:c r="V375" s="137" t="str"/>
      <x:c r="W375" s="137" t="str"/>
      <x:c r="X375" s="137" t="str"/>
      <x:c r="Y375" s="199" t="str"/>
    </x:row>
    <x:row r="376">
      <x:c r="A376" s="137" t="str"/>
      <x:c r="B376" s="137" t="str"/>
      <x:c r="C376" s="138" t="str"/>
      <x:c r="D376" s="137" t="str"/>
      <x:c r="E376" s="137" t="str"/>
      <x:c r="F376" s="137" t="str"/>
      <x:c r="G376" s="137" t="str"/>
      <x:c r="H376" s="137" t="str"/>
      <x:c r="I376" s="137" t="str"/>
      <x:c r="J376" s="137" t="str"/>
      <x:c r="K376" s="137" t="str"/>
      <x:c r="L376" s="137" t="str"/>
      <x:c r="M376" s="160" t="str"/>
      <x:c r="N376" s="160" t="str"/>
      <x:c r="O376" s="137" t="str"/>
      <x:c r="P376" s="137" t="str"/>
      <x:c r="Q376" s="137" t="str"/>
      <x:c r="R376" s="137" t="str"/>
      <x:c r="S376" s="138" t="str"/>
      <x:c r="T376" s="137" t="str"/>
      <x:c r="U376" s="137" t="str"/>
      <x:c r="V376" s="137" t="str"/>
      <x:c r="W376" s="137" t="str"/>
      <x:c r="X376" s="137" t="str"/>
      <x:c r="Y376" s="199" t="str"/>
    </x:row>
    <x:row r="377">
      <x:c r="A377" s="137" t="str"/>
      <x:c r="B377" s="137" t="str"/>
      <x:c r="C377" s="138" t="str"/>
      <x:c r="D377" s="137" t="str"/>
      <x:c r="E377" s="137" t="str"/>
      <x:c r="F377" s="137" t="str"/>
      <x:c r="G377" s="137" t="str"/>
      <x:c r="H377" s="137" t="str"/>
      <x:c r="I377" s="137" t="str"/>
      <x:c r="J377" s="137" t="str"/>
      <x:c r="K377" s="137" t="str"/>
      <x:c r="L377" s="137" t="str"/>
      <x:c r="M377" s="160" t="str"/>
      <x:c r="N377" s="160" t="str"/>
      <x:c r="O377" s="137" t="str"/>
      <x:c r="P377" s="137" t="str"/>
      <x:c r="Q377" s="137" t="str"/>
      <x:c r="R377" s="137" t="str"/>
      <x:c r="S377" s="138" t="str"/>
      <x:c r="T377" s="137" t="str"/>
      <x:c r="U377" s="137" t="str"/>
      <x:c r="V377" s="137" t="str"/>
      <x:c r="W377" s="137" t="str"/>
      <x:c r="X377" s="137" t="str"/>
      <x:c r="Y377" s="199" t="str"/>
    </x:row>
    <x:row r="378">
      <x:c r="A378" s="137" t="str"/>
      <x:c r="B378" s="137" t="str"/>
      <x:c r="C378" s="138" t="str"/>
      <x:c r="D378" s="137" t="str"/>
      <x:c r="E378" s="137" t="str"/>
      <x:c r="F378" s="137" t="str"/>
      <x:c r="G378" s="137" t="str"/>
      <x:c r="H378" s="137" t="str"/>
      <x:c r="I378" s="137" t="str"/>
      <x:c r="J378" s="137" t="str"/>
      <x:c r="K378" s="137" t="str"/>
      <x:c r="L378" s="137" t="str"/>
      <x:c r="M378" s="160" t="str"/>
      <x:c r="N378" s="160" t="str"/>
      <x:c r="O378" s="137" t="str"/>
      <x:c r="P378" s="137" t="str"/>
      <x:c r="Q378" s="137" t="str"/>
      <x:c r="R378" s="137" t="str"/>
      <x:c r="S378" s="138" t="str"/>
      <x:c r="T378" s="137" t="str"/>
      <x:c r="U378" s="137" t="str"/>
      <x:c r="V378" s="137" t="str"/>
      <x:c r="W378" s="137" t="str"/>
      <x:c r="X378" s="137" t="str"/>
      <x:c r="Y378" s="199" t="str"/>
    </x:row>
    <x:row r="379">
      <x:c r="A379" s="137" t="str"/>
      <x:c r="B379" s="137" t="str"/>
      <x:c r="C379" s="138" t="str"/>
      <x:c r="D379" s="137" t="str"/>
      <x:c r="E379" s="137" t="str"/>
      <x:c r="F379" s="137" t="str"/>
      <x:c r="G379" s="137" t="str"/>
      <x:c r="H379" s="137" t="str"/>
      <x:c r="I379" s="137" t="str"/>
      <x:c r="J379" s="137" t="str"/>
      <x:c r="K379" s="137" t="str"/>
      <x:c r="L379" s="137" t="str"/>
      <x:c r="M379" s="160" t="str"/>
      <x:c r="N379" s="160" t="str"/>
      <x:c r="O379" s="137" t="str"/>
      <x:c r="P379" s="137" t="str"/>
      <x:c r="Q379" s="137" t="str"/>
      <x:c r="R379" s="137" t="str"/>
      <x:c r="S379" s="138" t="str"/>
      <x:c r="T379" s="137" t="str"/>
      <x:c r="U379" s="137" t="str"/>
      <x:c r="V379" s="137" t="str"/>
      <x:c r="W379" s="137" t="str"/>
      <x:c r="X379" s="137" t="str"/>
      <x:c r="Y379" s="199" t="str"/>
    </x:row>
    <x:row r="380">
      <x:c r="A380" s="137" t="str"/>
      <x:c r="B380" s="137" t="str"/>
      <x:c r="C380" s="138" t="str"/>
      <x:c r="D380" s="137" t="str"/>
      <x:c r="E380" s="137" t="str"/>
      <x:c r="F380" s="137" t="str"/>
      <x:c r="G380" s="137" t="str"/>
      <x:c r="H380" s="137" t="str"/>
      <x:c r="I380" s="137" t="str"/>
      <x:c r="J380" s="137" t="str"/>
      <x:c r="K380" s="137" t="str"/>
      <x:c r="L380" s="137" t="str"/>
      <x:c r="M380" s="160" t="str"/>
      <x:c r="N380" s="160" t="str"/>
      <x:c r="O380" s="137" t="str"/>
      <x:c r="P380" s="137" t="str"/>
      <x:c r="Q380" s="137" t="str"/>
      <x:c r="R380" s="137" t="str"/>
      <x:c r="S380" s="138" t="str"/>
      <x:c r="T380" s="137" t="str"/>
      <x:c r="U380" s="137" t="str"/>
      <x:c r="V380" s="137" t="str"/>
      <x:c r="W380" s="137" t="str"/>
      <x:c r="X380" s="137" t="str"/>
      <x:c r="Y380" s="199" t="str"/>
    </x:row>
    <x:row r="381">
      <x:c r="A381" s="137" t="str"/>
      <x:c r="B381" s="137" t="str"/>
      <x:c r="C381" s="138" t="str"/>
      <x:c r="D381" s="137" t="str"/>
      <x:c r="E381" s="137" t="str"/>
      <x:c r="F381" s="137" t="str"/>
      <x:c r="G381" s="137" t="str"/>
      <x:c r="H381" s="137" t="str"/>
      <x:c r="I381" s="137" t="str"/>
      <x:c r="J381" s="137" t="str"/>
      <x:c r="K381" s="137" t="str"/>
      <x:c r="L381" s="137" t="str"/>
      <x:c r="M381" s="160" t="str"/>
      <x:c r="N381" s="160" t="str"/>
      <x:c r="O381" s="137" t="str"/>
      <x:c r="P381" s="137" t="str"/>
      <x:c r="Q381" s="137" t="str"/>
      <x:c r="R381" s="137" t="str"/>
      <x:c r="S381" s="138" t="str"/>
      <x:c r="T381" s="137" t="str"/>
      <x:c r="U381" s="137" t="str"/>
      <x:c r="V381" s="137" t="str"/>
      <x:c r="W381" s="137" t="str"/>
      <x:c r="X381" s="137" t="str"/>
      <x:c r="Y381" s="199" t="str"/>
    </x:row>
    <x:row r="382">
      <x:c r="A382" s="137" t="str"/>
      <x:c r="B382" s="137" t="str"/>
      <x:c r="C382" s="138" t="str"/>
      <x:c r="D382" s="137" t="str"/>
      <x:c r="E382" s="137" t="str"/>
      <x:c r="F382" s="137" t="str"/>
      <x:c r="G382" s="137" t="str"/>
      <x:c r="H382" s="137" t="str"/>
      <x:c r="I382" s="137" t="str"/>
      <x:c r="J382" s="137" t="str"/>
      <x:c r="K382" s="137" t="str"/>
      <x:c r="L382" s="137" t="str"/>
      <x:c r="M382" s="160" t="str"/>
      <x:c r="N382" s="160" t="str"/>
      <x:c r="O382" s="137" t="str"/>
      <x:c r="P382" s="137" t="str"/>
      <x:c r="Q382" s="137" t="str"/>
      <x:c r="R382" s="137" t="str"/>
      <x:c r="S382" s="138" t="str"/>
      <x:c r="T382" s="137" t="str"/>
      <x:c r="U382" s="137" t="str"/>
      <x:c r="V382" s="137" t="str"/>
      <x:c r="W382" s="137" t="str"/>
      <x:c r="X382" s="137" t="str"/>
      <x:c r="Y382" s="199" t="str"/>
    </x:row>
    <x:row r="383">
      <x:c r="A383" s="137" t="str"/>
      <x:c r="B383" s="137" t="str"/>
      <x:c r="C383" s="138" t="str"/>
      <x:c r="D383" s="137" t="str"/>
      <x:c r="E383" s="137" t="str"/>
      <x:c r="F383" s="137" t="str"/>
      <x:c r="G383" s="137" t="str"/>
      <x:c r="H383" s="137" t="str"/>
      <x:c r="I383" s="137" t="str"/>
      <x:c r="J383" s="137" t="str"/>
      <x:c r="K383" s="137" t="str"/>
      <x:c r="L383" s="137" t="str"/>
      <x:c r="M383" s="160" t="str"/>
      <x:c r="N383" s="160" t="str"/>
      <x:c r="O383" s="137" t="str"/>
      <x:c r="P383" s="137" t="str"/>
      <x:c r="Q383" s="137" t="str"/>
      <x:c r="R383" s="137" t="str"/>
      <x:c r="S383" s="138" t="str"/>
      <x:c r="T383" s="137" t="str"/>
      <x:c r="U383" s="137" t="str"/>
      <x:c r="V383" s="137" t="str"/>
      <x:c r="W383" s="137" t="str"/>
      <x:c r="X383" s="137" t="str"/>
      <x:c r="Y383" s="199" t="str"/>
    </x:row>
    <x:row r="384">
      <x:c r="A384" s="137" t="str"/>
      <x:c r="B384" s="137" t="str"/>
      <x:c r="C384" s="138" t="str"/>
      <x:c r="D384" s="137" t="str"/>
      <x:c r="E384" s="137" t="str"/>
      <x:c r="F384" s="137" t="str"/>
      <x:c r="G384" s="137" t="str"/>
      <x:c r="H384" s="137" t="str"/>
      <x:c r="I384" s="137" t="str"/>
      <x:c r="J384" s="137" t="str"/>
      <x:c r="K384" s="137" t="str"/>
      <x:c r="L384" s="137" t="str"/>
      <x:c r="M384" s="160" t="str"/>
      <x:c r="N384" s="160" t="str"/>
      <x:c r="O384" s="137" t="str"/>
      <x:c r="P384" s="137" t="str"/>
      <x:c r="Q384" s="137" t="str"/>
      <x:c r="R384" s="137" t="str"/>
      <x:c r="S384" s="138" t="str"/>
      <x:c r="T384" s="137" t="str"/>
      <x:c r="U384" s="137" t="str"/>
      <x:c r="V384" s="137" t="str"/>
      <x:c r="W384" s="137" t="str"/>
      <x:c r="X384" s="137" t="str"/>
      <x:c r="Y384" s="199" t="str"/>
    </x:row>
    <x:row r="385">
      <x:c r="A385" s="137" t="str"/>
      <x:c r="B385" s="137" t="str"/>
      <x:c r="C385" s="138" t="str"/>
      <x:c r="D385" s="137" t="str"/>
      <x:c r="E385" s="137" t="str"/>
      <x:c r="F385" s="137" t="str"/>
      <x:c r="G385" s="137" t="str"/>
      <x:c r="H385" s="137" t="str"/>
      <x:c r="I385" s="137" t="str"/>
      <x:c r="J385" s="137" t="str"/>
      <x:c r="K385" s="137" t="str"/>
      <x:c r="L385" s="137" t="str"/>
      <x:c r="M385" s="160" t="str"/>
      <x:c r="N385" s="160" t="str"/>
      <x:c r="O385" s="137" t="str"/>
      <x:c r="P385" s="137" t="str"/>
      <x:c r="Q385" s="137" t="str"/>
      <x:c r="R385" s="137" t="str"/>
      <x:c r="S385" s="138" t="str"/>
      <x:c r="T385" s="137" t="str"/>
      <x:c r="U385" s="137" t="str"/>
      <x:c r="V385" s="137" t="str"/>
      <x:c r="W385" s="137" t="str"/>
      <x:c r="X385" s="137" t="str"/>
      <x:c r="Y385" s="199" t="str"/>
    </x:row>
    <x:row r="386">
      <x:c r="A386" s="137" t="str"/>
      <x:c r="B386" s="137" t="str"/>
      <x:c r="C386" s="138" t="str"/>
      <x:c r="D386" s="137" t="str"/>
      <x:c r="E386" s="137" t="str"/>
      <x:c r="F386" s="137" t="str"/>
      <x:c r="G386" s="137" t="str"/>
      <x:c r="H386" s="137" t="str"/>
      <x:c r="I386" s="137" t="str"/>
      <x:c r="J386" s="137" t="str"/>
      <x:c r="K386" s="137" t="str"/>
      <x:c r="L386" s="137" t="str"/>
      <x:c r="M386" s="160" t="str"/>
      <x:c r="N386" s="160" t="str"/>
      <x:c r="O386" s="137" t="str"/>
      <x:c r="P386" s="137" t="str"/>
      <x:c r="Q386" s="137" t="str"/>
      <x:c r="R386" s="137" t="str"/>
      <x:c r="S386" s="138" t="str"/>
      <x:c r="T386" s="137" t="str"/>
      <x:c r="U386" s="137" t="str"/>
      <x:c r="V386" s="137" t="str"/>
      <x:c r="W386" s="137" t="str"/>
      <x:c r="X386" s="137" t="str"/>
      <x:c r="Y386" s="199" t="str"/>
    </x:row>
    <x:row r="387">
      <x:c r="A387" s="137" t="str"/>
      <x:c r="B387" s="137" t="str"/>
      <x:c r="C387" s="138" t="str"/>
      <x:c r="D387" s="137" t="str"/>
      <x:c r="E387" s="137" t="str"/>
      <x:c r="F387" s="137" t="str"/>
      <x:c r="G387" s="137" t="str"/>
      <x:c r="H387" s="137" t="str"/>
      <x:c r="I387" s="137" t="str"/>
      <x:c r="J387" s="137" t="str"/>
      <x:c r="K387" s="137" t="str"/>
      <x:c r="L387" s="137" t="str"/>
      <x:c r="M387" s="160" t="str"/>
      <x:c r="N387" s="160" t="str"/>
      <x:c r="O387" s="137" t="str"/>
      <x:c r="P387" s="137" t="str"/>
      <x:c r="Q387" s="137" t="str"/>
      <x:c r="R387" s="137" t="str"/>
      <x:c r="S387" s="138" t="str"/>
      <x:c r="T387" s="137" t="str"/>
      <x:c r="U387" s="137" t="str"/>
      <x:c r="V387" s="137" t="str"/>
      <x:c r="W387" s="137" t="str"/>
      <x:c r="X387" s="137" t="str"/>
      <x:c r="Y387" s="199" t="str"/>
    </x:row>
    <x:row r="388">
      <x:c r="A388" s="137" t="str"/>
      <x:c r="B388" s="137" t="str"/>
      <x:c r="C388" s="138" t="str"/>
      <x:c r="D388" s="137" t="str"/>
      <x:c r="E388" s="137" t="str"/>
      <x:c r="F388" s="137" t="str"/>
      <x:c r="G388" s="137" t="str"/>
      <x:c r="H388" s="137" t="str"/>
      <x:c r="I388" s="137" t="str"/>
      <x:c r="J388" s="137" t="str"/>
      <x:c r="K388" s="137" t="str"/>
      <x:c r="L388" s="137" t="str"/>
      <x:c r="M388" s="160" t="str"/>
      <x:c r="N388" s="160" t="str"/>
      <x:c r="O388" s="137" t="str"/>
      <x:c r="P388" s="137" t="str"/>
      <x:c r="Q388" s="137" t="str"/>
      <x:c r="R388" s="137" t="str"/>
      <x:c r="S388" s="138" t="str"/>
      <x:c r="T388" s="137" t="str"/>
      <x:c r="U388" s="137" t="str"/>
      <x:c r="V388" s="137" t="str"/>
      <x:c r="W388" s="137" t="str"/>
      <x:c r="X388" s="137" t="str"/>
      <x:c r="Y388" s="199" t="str"/>
    </x:row>
    <x:row r="389">
      <x:c r="A389" s="137" t="str"/>
      <x:c r="B389" s="137" t="str"/>
      <x:c r="C389" s="138" t="str"/>
      <x:c r="D389" s="137" t="str"/>
      <x:c r="E389" s="137" t="str"/>
      <x:c r="F389" s="137" t="str"/>
      <x:c r="G389" s="137" t="str"/>
      <x:c r="H389" s="137" t="str"/>
      <x:c r="I389" s="137" t="str"/>
      <x:c r="J389" s="137" t="str"/>
      <x:c r="K389" s="137" t="str"/>
      <x:c r="L389" s="137" t="str"/>
      <x:c r="M389" s="160" t="str"/>
      <x:c r="N389" s="160" t="str"/>
      <x:c r="O389" s="137" t="str"/>
      <x:c r="P389" s="137" t="str"/>
      <x:c r="Q389" s="137" t="str"/>
      <x:c r="R389" s="137" t="str"/>
      <x:c r="S389" s="138" t="str"/>
      <x:c r="T389" s="137" t="str"/>
      <x:c r="U389" s="137" t="str"/>
      <x:c r="V389" s="137" t="str"/>
      <x:c r="W389" s="137" t="str"/>
      <x:c r="X389" s="137" t="str"/>
      <x:c r="Y389" s="199" t="str"/>
    </x:row>
    <x:row r="390">
      <x:c r="A390" s="137" t="str"/>
      <x:c r="B390" s="137" t="str"/>
      <x:c r="C390" s="138" t="str"/>
      <x:c r="D390" s="137" t="str"/>
      <x:c r="E390" s="137" t="str"/>
      <x:c r="F390" s="137" t="str"/>
      <x:c r="G390" s="137" t="str"/>
      <x:c r="H390" s="137" t="str"/>
      <x:c r="I390" s="137" t="str"/>
      <x:c r="J390" s="137" t="str"/>
      <x:c r="K390" s="137" t="str"/>
      <x:c r="L390" s="137" t="str"/>
      <x:c r="M390" s="160" t="str"/>
      <x:c r="N390" s="160" t="str"/>
      <x:c r="O390" s="137" t="str"/>
      <x:c r="P390" s="137" t="str"/>
      <x:c r="Q390" s="137" t="str"/>
      <x:c r="R390" s="137" t="str"/>
      <x:c r="S390" s="138" t="str"/>
      <x:c r="T390" s="137" t="str"/>
      <x:c r="U390" s="137" t="str"/>
      <x:c r="V390" s="137" t="str"/>
      <x:c r="W390" s="137" t="str"/>
      <x:c r="X390" s="137" t="str"/>
      <x:c r="Y390" s="199" t="str"/>
    </x:row>
    <x:row r="391">
      <x:c r="A391" s="137" t="str"/>
      <x:c r="B391" s="137" t="str"/>
      <x:c r="C391" s="138" t="str"/>
      <x:c r="D391" s="137" t="str"/>
      <x:c r="E391" s="137" t="str"/>
      <x:c r="F391" s="137" t="str"/>
      <x:c r="G391" s="137" t="str"/>
      <x:c r="H391" s="137" t="str"/>
      <x:c r="I391" s="137" t="str"/>
      <x:c r="J391" s="137" t="str"/>
      <x:c r="K391" s="137" t="str"/>
      <x:c r="L391" s="137" t="str"/>
      <x:c r="M391" s="160" t="str"/>
      <x:c r="N391" s="160" t="str"/>
      <x:c r="O391" s="137" t="str"/>
      <x:c r="P391" s="137" t="str"/>
      <x:c r="Q391" s="137" t="str"/>
      <x:c r="R391" s="137" t="str"/>
      <x:c r="S391" s="138" t="str"/>
      <x:c r="T391" s="137" t="str"/>
      <x:c r="U391" s="137" t="str"/>
      <x:c r="V391" s="137" t="str"/>
      <x:c r="W391" s="137" t="str"/>
      <x:c r="X391" s="137" t="str"/>
      <x:c r="Y391" s="199" t="str"/>
    </x:row>
    <x:row r="392">
      <x:c r="A392" s="137" t="str"/>
      <x:c r="B392" s="137" t="str"/>
      <x:c r="C392" s="138" t="str"/>
      <x:c r="D392" s="137" t="str"/>
      <x:c r="E392" s="137" t="str"/>
      <x:c r="F392" s="137" t="str"/>
      <x:c r="G392" s="137" t="str"/>
      <x:c r="H392" s="137" t="str"/>
      <x:c r="I392" s="137" t="str"/>
      <x:c r="J392" s="137" t="str"/>
      <x:c r="K392" s="137" t="str"/>
      <x:c r="L392" s="137" t="str"/>
      <x:c r="M392" s="160" t="str"/>
      <x:c r="N392" s="160" t="str"/>
      <x:c r="O392" s="137" t="str"/>
      <x:c r="P392" s="137" t="str"/>
      <x:c r="Q392" s="137" t="str"/>
      <x:c r="R392" s="137" t="str"/>
      <x:c r="S392" s="138" t="str"/>
      <x:c r="T392" s="137" t="str"/>
      <x:c r="U392" s="137" t="str"/>
      <x:c r="V392" s="137" t="str"/>
      <x:c r="W392" s="137" t="str"/>
      <x:c r="X392" s="137" t="str"/>
      <x:c r="Y392" s="199" t="str"/>
    </x:row>
    <x:row r="393">
      <x:c r="A393" s="137" t="str"/>
      <x:c r="B393" s="137" t="str"/>
      <x:c r="C393" s="138" t="str"/>
      <x:c r="D393" s="137" t="str"/>
      <x:c r="E393" s="137" t="str"/>
      <x:c r="F393" s="137" t="str"/>
      <x:c r="G393" s="137" t="str"/>
      <x:c r="H393" s="137" t="str"/>
      <x:c r="I393" s="137" t="str"/>
      <x:c r="J393" s="137" t="str"/>
      <x:c r="K393" s="137" t="str"/>
      <x:c r="L393" s="137" t="str"/>
      <x:c r="M393" s="160" t="str"/>
      <x:c r="N393" s="160" t="str"/>
      <x:c r="O393" s="137" t="str"/>
      <x:c r="P393" s="137" t="str"/>
      <x:c r="Q393" s="137" t="str"/>
      <x:c r="R393" s="137" t="str"/>
      <x:c r="S393" s="138" t="str"/>
      <x:c r="T393" s="137" t="str"/>
      <x:c r="U393" s="137" t="str"/>
      <x:c r="V393" s="137" t="str"/>
      <x:c r="W393" s="137" t="str"/>
      <x:c r="X393" s="137" t="str"/>
      <x:c r="Y393" s="199" t="str"/>
    </x:row>
    <x:row r="394">
      <x:c r="A394" s="137" t="str"/>
      <x:c r="B394" s="137" t="str"/>
      <x:c r="C394" s="138" t="str"/>
      <x:c r="D394" s="137" t="str"/>
      <x:c r="E394" s="137" t="str"/>
      <x:c r="F394" s="137" t="str"/>
      <x:c r="G394" s="137" t="str"/>
      <x:c r="H394" s="137" t="str"/>
      <x:c r="I394" s="137" t="str"/>
      <x:c r="J394" s="137" t="str"/>
      <x:c r="K394" s="137" t="str"/>
      <x:c r="L394" s="137" t="str"/>
      <x:c r="M394" s="160" t="str"/>
      <x:c r="N394" s="160" t="str"/>
      <x:c r="O394" s="137" t="str"/>
      <x:c r="P394" s="137" t="str"/>
      <x:c r="Q394" s="137" t="str"/>
      <x:c r="R394" s="137" t="str"/>
      <x:c r="S394" s="138" t="str"/>
      <x:c r="T394" s="137" t="str"/>
      <x:c r="U394" s="137" t="str"/>
      <x:c r="V394" s="137" t="str"/>
      <x:c r="W394" s="137" t="str"/>
      <x:c r="X394" s="137" t="str"/>
      <x:c r="Y394" s="199" t="str"/>
    </x:row>
    <x:row r="395">
      <x:c r="A395" s="137" t="str"/>
      <x:c r="B395" s="137" t="str"/>
      <x:c r="C395" s="138" t="str"/>
      <x:c r="D395" s="137" t="str"/>
      <x:c r="E395" s="137" t="str"/>
      <x:c r="F395" s="137" t="str"/>
      <x:c r="G395" s="137" t="str"/>
      <x:c r="H395" s="137" t="str"/>
      <x:c r="I395" s="137" t="str"/>
      <x:c r="J395" s="137" t="str"/>
      <x:c r="K395" s="137" t="str"/>
      <x:c r="L395" s="137" t="str"/>
      <x:c r="M395" s="160" t="str"/>
      <x:c r="N395" s="160" t="str"/>
      <x:c r="O395" s="137" t="str"/>
      <x:c r="P395" s="137" t="str"/>
      <x:c r="Q395" s="137" t="str"/>
      <x:c r="R395" s="137" t="str"/>
      <x:c r="S395" s="138" t="str"/>
      <x:c r="T395" s="137" t="str"/>
      <x:c r="U395" s="137" t="str"/>
      <x:c r="V395" s="137" t="str"/>
      <x:c r="W395" s="137" t="str"/>
      <x:c r="X395" s="137" t="str"/>
      <x:c r="Y395" s="199" t="str"/>
    </x:row>
    <x:row r="396">
      <x:c r="A396" s="137" t="str"/>
      <x:c r="B396" s="137" t="str"/>
      <x:c r="C396" s="138" t="str"/>
      <x:c r="D396" s="137" t="str"/>
      <x:c r="E396" s="137" t="str"/>
      <x:c r="F396" s="137" t="str"/>
      <x:c r="G396" s="137" t="str"/>
      <x:c r="H396" s="137" t="str"/>
      <x:c r="I396" s="137" t="str"/>
      <x:c r="J396" s="137" t="str"/>
      <x:c r="K396" s="137" t="str"/>
      <x:c r="L396" s="137" t="str"/>
      <x:c r="M396" s="160" t="str"/>
      <x:c r="N396" s="160" t="str"/>
      <x:c r="O396" s="137" t="str"/>
      <x:c r="P396" s="137" t="str"/>
      <x:c r="Q396" s="137" t="str"/>
      <x:c r="R396" s="137" t="str"/>
      <x:c r="S396" s="138" t="str"/>
      <x:c r="T396" s="137" t="str"/>
      <x:c r="U396" s="137" t="str"/>
      <x:c r="V396" s="137" t="str"/>
      <x:c r="W396" s="137" t="str"/>
      <x:c r="X396" s="137" t="str"/>
      <x:c r="Y396" s="199" t="str"/>
    </x:row>
    <x:row r="397">
      <x:c r="A397" s="137" t="str"/>
      <x:c r="B397" s="137" t="str"/>
      <x:c r="C397" s="138" t="str"/>
      <x:c r="D397" s="137" t="str"/>
      <x:c r="E397" s="137" t="str"/>
      <x:c r="F397" s="137" t="str"/>
      <x:c r="G397" s="137" t="str"/>
      <x:c r="H397" s="137" t="str"/>
      <x:c r="I397" s="137" t="str"/>
      <x:c r="J397" s="137" t="str"/>
      <x:c r="K397" s="137" t="str"/>
      <x:c r="L397" s="137" t="str"/>
      <x:c r="M397" s="160" t="str"/>
      <x:c r="N397" s="160" t="str"/>
      <x:c r="O397" s="137" t="str"/>
      <x:c r="P397" s="137" t="str"/>
      <x:c r="Q397" s="137" t="str"/>
      <x:c r="R397" s="137" t="str"/>
      <x:c r="S397" s="138" t="str"/>
      <x:c r="T397" s="137" t="str"/>
      <x:c r="U397" s="137" t="str"/>
      <x:c r="V397" s="137" t="str"/>
      <x:c r="W397" s="137" t="str"/>
      <x:c r="X397" s="137" t="str"/>
      <x:c r="Y397" s="199" t="str"/>
    </x:row>
    <x:row r="398">
      <x:c r="A398" s="137" t="str"/>
      <x:c r="B398" s="137" t="str"/>
      <x:c r="C398" s="138" t="str"/>
      <x:c r="D398" s="137" t="str"/>
      <x:c r="E398" s="137" t="str"/>
      <x:c r="F398" s="137" t="str"/>
      <x:c r="G398" s="137" t="str"/>
      <x:c r="H398" s="137" t="str"/>
      <x:c r="I398" s="137" t="str"/>
      <x:c r="J398" s="137" t="str"/>
      <x:c r="K398" s="137" t="str"/>
      <x:c r="L398" s="137" t="str"/>
      <x:c r="M398" s="160" t="str"/>
      <x:c r="N398" s="160" t="str"/>
      <x:c r="O398" s="137" t="str"/>
      <x:c r="P398" s="137" t="str"/>
      <x:c r="Q398" s="137" t="str"/>
      <x:c r="R398" s="137" t="str"/>
      <x:c r="S398" s="138" t="str"/>
      <x:c r="T398" s="137" t="str"/>
      <x:c r="U398" s="137" t="str"/>
      <x:c r="V398" s="137" t="str"/>
      <x:c r="W398" s="137" t="str"/>
      <x:c r="X398" s="137" t="str"/>
      <x:c r="Y398" s="199" t="str"/>
    </x:row>
    <x:row r="399">
      <x:c r="A399" s="137" t="str"/>
      <x:c r="B399" s="137" t="str"/>
      <x:c r="C399" s="138" t="str"/>
      <x:c r="D399" s="137" t="str"/>
      <x:c r="E399" s="137" t="str"/>
      <x:c r="F399" s="137" t="str"/>
      <x:c r="G399" s="137" t="str"/>
      <x:c r="H399" s="137" t="str"/>
      <x:c r="I399" s="137" t="str"/>
      <x:c r="J399" s="137" t="str"/>
      <x:c r="K399" s="137" t="str"/>
      <x:c r="L399" s="137" t="str"/>
      <x:c r="M399" s="160" t="str"/>
      <x:c r="N399" s="160" t="str"/>
      <x:c r="O399" s="137" t="str"/>
      <x:c r="P399" s="137" t="str"/>
      <x:c r="Q399" s="137" t="str"/>
      <x:c r="R399" s="137" t="str"/>
      <x:c r="S399" s="138" t="str"/>
      <x:c r="T399" s="137" t="str"/>
      <x:c r="U399" s="137" t="str"/>
      <x:c r="V399" s="137" t="str"/>
      <x:c r="W399" s="137" t="str"/>
      <x:c r="X399" s="137" t="str"/>
      <x:c r="Y399" s="199" t="str"/>
    </x:row>
    <x:row r="400">
      <x:c r="A400" s="137" t="str"/>
      <x:c r="B400" s="137" t="str"/>
      <x:c r="C400" s="138" t="str"/>
      <x:c r="D400" s="137" t="str"/>
      <x:c r="E400" s="137" t="str"/>
      <x:c r="F400" s="137" t="str"/>
      <x:c r="G400" s="137" t="str"/>
      <x:c r="H400" s="137" t="str"/>
      <x:c r="I400" s="137" t="str"/>
      <x:c r="J400" s="137" t="str"/>
      <x:c r="K400" s="137" t="str"/>
      <x:c r="L400" s="137" t="str"/>
      <x:c r="M400" s="160" t="str"/>
      <x:c r="N400" s="160" t="str"/>
      <x:c r="O400" s="137" t="str"/>
      <x:c r="P400" s="137" t="str"/>
      <x:c r="Q400" s="137" t="str"/>
      <x:c r="R400" s="137" t="str"/>
      <x:c r="S400" s="138" t="str"/>
      <x:c r="T400" s="137" t="str"/>
      <x:c r="U400" s="137" t="str"/>
      <x:c r="V400" s="137" t="str"/>
      <x:c r="W400" s="137" t="str"/>
      <x:c r="X400" s="137" t="str"/>
      <x:c r="Y400" s="199" t="str"/>
    </x:row>
    <x:row r="401">
      <x:c r="A401" s="137" t="str"/>
      <x:c r="B401" s="137" t="str"/>
      <x:c r="C401" s="138" t="str"/>
      <x:c r="D401" s="137" t="str"/>
      <x:c r="E401" s="137" t="str"/>
      <x:c r="F401" s="137" t="str"/>
      <x:c r="G401" s="137" t="str"/>
      <x:c r="H401" s="137" t="str"/>
      <x:c r="I401" s="137" t="str"/>
      <x:c r="J401" s="137" t="str"/>
      <x:c r="K401" s="137" t="str"/>
      <x:c r="L401" s="137" t="str"/>
      <x:c r="M401" s="160" t="str"/>
      <x:c r="N401" s="160" t="str"/>
      <x:c r="O401" s="137" t="str"/>
      <x:c r="P401" s="137" t="str"/>
      <x:c r="Q401" s="137" t="str"/>
      <x:c r="R401" s="137" t="str"/>
      <x:c r="S401" s="138" t="str"/>
      <x:c r="T401" s="137" t="str"/>
      <x:c r="U401" s="137" t="str"/>
      <x:c r="V401" s="137" t="str"/>
      <x:c r="W401" s="137" t="str"/>
      <x:c r="X401" s="137" t="str"/>
      <x:c r="Y401" s="199" t="str"/>
    </x:row>
    <x:row r="402">
      <x:c r="A402" s="137" t="str"/>
      <x:c r="B402" s="137" t="str"/>
      <x:c r="C402" s="138" t="str"/>
      <x:c r="D402" s="137" t="str"/>
      <x:c r="E402" s="137" t="str"/>
      <x:c r="F402" s="137" t="str"/>
      <x:c r="G402" s="137" t="str"/>
      <x:c r="H402" s="137" t="str"/>
      <x:c r="I402" s="137" t="str"/>
      <x:c r="J402" s="137" t="str"/>
      <x:c r="K402" s="137" t="str"/>
      <x:c r="L402" s="137" t="str"/>
      <x:c r="M402" s="160" t="str"/>
      <x:c r="N402" s="160" t="str"/>
      <x:c r="O402" s="137" t="str"/>
      <x:c r="P402" s="137" t="str"/>
      <x:c r="Q402" s="137" t="str"/>
      <x:c r="R402" s="137" t="str"/>
      <x:c r="S402" s="138" t="str"/>
      <x:c r="T402" s="137" t="str"/>
      <x:c r="U402" s="137" t="str"/>
      <x:c r="V402" s="137" t="str"/>
      <x:c r="W402" s="137" t="str"/>
      <x:c r="X402" s="137" t="str"/>
      <x:c r="Y402" s="199" t="str"/>
    </x:row>
    <x:row r="403">
      <x:c r="A403" s="137" t="str"/>
      <x:c r="B403" s="137" t="str"/>
      <x:c r="C403" s="138" t="str"/>
      <x:c r="D403" s="137" t="str"/>
      <x:c r="E403" s="137" t="str"/>
      <x:c r="F403" s="137" t="str"/>
      <x:c r="G403" s="137" t="str"/>
      <x:c r="H403" s="137" t="str"/>
      <x:c r="I403" s="137" t="str"/>
      <x:c r="J403" s="137" t="str"/>
      <x:c r="K403" s="137" t="str"/>
      <x:c r="L403" s="137" t="str"/>
      <x:c r="M403" s="160" t="str"/>
      <x:c r="N403" s="160" t="str"/>
      <x:c r="O403" s="137" t="str"/>
      <x:c r="P403" s="137" t="str"/>
      <x:c r="Q403" s="137" t="str"/>
      <x:c r="R403" s="137" t="str"/>
      <x:c r="S403" s="138" t="str"/>
      <x:c r="T403" s="137" t="str"/>
      <x:c r="U403" s="137" t="str"/>
      <x:c r="V403" s="137" t="str"/>
      <x:c r="W403" s="137" t="str"/>
      <x:c r="X403" s="137" t="str"/>
      <x:c r="Y403" s="199" t="str"/>
    </x:row>
    <x:row r="404">
      <x:c r="A404" s="137" t="str"/>
      <x:c r="B404" s="137" t="str"/>
      <x:c r="C404" s="138" t="str"/>
      <x:c r="D404" s="137" t="str"/>
      <x:c r="E404" s="137" t="str"/>
      <x:c r="F404" s="137" t="str"/>
      <x:c r="G404" s="137" t="str"/>
      <x:c r="H404" s="137" t="str"/>
      <x:c r="I404" s="137" t="str"/>
      <x:c r="J404" s="137" t="str"/>
      <x:c r="K404" s="137" t="str"/>
      <x:c r="L404" s="137" t="str"/>
      <x:c r="M404" s="160" t="str"/>
      <x:c r="N404" s="160" t="str"/>
      <x:c r="O404" s="137" t="str"/>
      <x:c r="P404" s="137" t="str"/>
      <x:c r="Q404" s="137" t="str"/>
      <x:c r="R404" s="137" t="str"/>
      <x:c r="S404" s="138" t="str"/>
      <x:c r="T404" s="137" t="str"/>
      <x:c r="U404" s="137" t="str"/>
      <x:c r="V404" s="137" t="str"/>
      <x:c r="W404" s="137" t="str"/>
      <x:c r="X404" s="137" t="str"/>
      <x:c r="Y404" s="199" t="str"/>
    </x:row>
    <x:row r="405">
      <x:c r="A405" s="137" t="str"/>
      <x:c r="B405" s="137" t="str"/>
      <x:c r="C405" s="138" t="str"/>
      <x:c r="D405" s="137" t="str"/>
      <x:c r="E405" s="137" t="str"/>
      <x:c r="F405" s="137" t="str"/>
      <x:c r="G405" s="137" t="str"/>
      <x:c r="H405" s="137" t="str"/>
      <x:c r="I405" s="137" t="str"/>
      <x:c r="J405" s="137" t="str"/>
      <x:c r="K405" s="137" t="str"/>
      <x:c r="L405" s="137" t="str"/>
      <x:c r="M405" s="160" t="str"/>
      <x:c r="N405" s="160" t="str"/>
      <x:c r="O405" s="137" t="str"/>
      <x:c r="P405" s="137" t="str"/>
      <x:c r="Q405" s="137" t="str"/>
      <x:c r="R405" s="137" t="str"/>
      <x:c r="S405" s="138" t="str"/>
      <x:c r="T405" s="137" t="str"/>
      <x:c r="U405" s="137" t="str"/>
      <x:c r="V405" s="137" t="str"/>
      <x:c r="W405" s="137" t="str"/>
      <x:c r="X405" s="137" t="str"/>
      <x:c r="Y405" s="199" t="str"/>
    </x:row>
    <x:row r="406">
      <x:c r="A406" s="137" t="str"/>
      <x:c r="B406" s="137" t="str"/>
      <x:c r="C406" s="138" t="str"/>
      <x:c r="D406" s="137" t="str"/>
      <x:c r="E406" s="137" t="str"/>
      <x:c r="F406" s="137" t="str"/>
      <x:c r="G406" s="137" t="str"/>
      <x:c r="H406" s="137" t="str"/>
      <x:c r="I406" s="137" t="str"/>
      <x:c r="J406" s="137" t="str"/>
      <x:c r="K406" s="137" t="str"/>
      <x:c r="L406" s="137" t="str"/>
      <x:c r="M406" s="160" t="str"/>
      <x:c r="N406" s="160" t="str"/>
      <x:c r="O406" s="137" t="str"/>
      <x:c r="P406" s="137" t="str"/>
      <x:c r="Q406" s="137" t="str"/>
      <x:c r="R406" s="137" t="str"/>
      <x:c r="S406" s="138" t="str"/>
      <x:c r="T406" s="137" t="str"/>
      <x:c r="U406" s="137" t="str"/>
      <x:c r="V406" s="137" t="str"/>
      <x:c r="W406" s="137" t="str"/>
      <x:c r="X406" s="137" t="str"/>
      <x:c r="Y406" s="199" t="str"/>
    </x:row>
    <x:row r="407">
      <x:c r="A407" s="137" t="str"/>
      <x:c r="B407" s="137" t="str"/>
      <x:c r="C407" s="138" t="str"/>
      <x:c r="D407" s="137" t="str"/>
      <x:c r="E407" s="137" t="str"/>
      <x:c r="F407" s="137" t="str"/>
      <x:c r="G407" s="137" t="str"/>
      <x:c r="H407" s="137" t="str"/>
      <x:c r="I407" s="137" t="str"/>
      <x:c r="J407" s="137" t="str"/>
      <x:c r="K407" s="137" t="str"/>
      <x:c r="L407" s="137" t="str"/>
      <x:c r="M407" s="160" t="str"/>
      <x:c r="N407" s="160" t="str"/>
      <x:c r="O407" s="137" t="str"/>
      <x:c r="P407" s="137" t="str"/>
      <x:c r="Q407" s="137" t="str"/>
      <x:c r="R407" s="137" t="str"/>
      <x:c r="S407" s="138" t="str"/>
      <x:c r="T407" s="137" t="str"/>
      <x:c r="U407" s="137" t="str"/>
      <x:c r="V407" s="137" t="str"/>
      <x:c r="W407" s="137" t="str"/>
      <x:c r="X407" s="137" t="str"/>
      <x:c r="Y407" s="199" t="str"/>
    </x:row>
    <x:row r="408">
      <x:c r="A408" s="137" t="str"/>
      <x:c r="B408" s="137" t="str"/>
      <x:c r="C408" s="138" t="str"/>
      <x:c r="D408" s="137" t="str"/>
      <x:c r="E408" s="137" t="str"/>
      <x:c r="F408" s="137" t="str"/>
      <x:c r="G408" s="137" t="str"/>
      <x:c r="H408" s="137" t="str"/>
      <x:c r="I408" s="137" t="str"/>
      <x:c r="J408" s="137" t="str"/>
      <x:c r="K408" s="137" t="str"/>
      <x:c r="L408" s="137" t="str"/>
      <x:c r="M408" s="160" t="str"/>
      <x:c r="N408" s="160" t="str"/>
      <x:c r="O408" s="137" t="str"/>
      <x:c r="P408" s="137" t="str"/>
      <x:c r="Q408" s="137" t="str"/>
      <x:c r="R408" s="137" t="str"/>
      <x:c r="S408" s="138" t="str"/>
      <x:c r="T408" s="137" t="str"/>
      <x:c r="U408" s="137" t="str"/>
      <x:c r="V408" s="137" t="str"/>
      <x:c r="W408" s="137" t="str"/>
      <x:c r="X408" s="137" t="str"/>
      <x:c r="Y408" s="199" t="str"/>
    </x:row>
    <x:row r="409">
      <x:c r="A409" s="137" t="str"/>
      <x:c r="B409" s="137" t="str"/>
      <x:c r="C409" s="138" t="str"/>
      <x:c r="D409" s="137" t="str"/>
      <x:c r="E409" s="137" t="str"/>
      <x:c r="F409" s="137" t="str"/>
      <x:c r="G409" s="137" t="str"/>
      <x:c r="H409" s="137" t="str"/>
      <x:c r="I409" s="137" t="str"/>
      <x:c r="J409" s="137" t="str"/>
      <x:c r="K409" s="137" t="str"/>
      <x:c r="L409" s="137" t="str"/>
      <x:c r="M409" s="160" t="str"/>
      <x:c r="N409" s="160" t="str"/>
      <x:c r="O409" s="137" t="str"/>
      <x:c r="P409" s="137" t="str"/>
      <x:c r="Q409" s="137" t="str"/>
      <x:c r="R409" s="137" t="str"/>
      <x:c r="S409" s="138" t="str"/>
      <x:c r="T409" s="137" t="str"/>
      <x:c r="U409" s="137" t="str"/>
      <x:c r="V409" s="137" t="str"/>
      <x:c r="W409" s="137" t="str"/>
      <x:c r="X409" s="137" t="str"/>
      <x:c r="Y409" s="199" t="str"/>
    </x:row>
    <x:row r="410">
      <x:c r="A410" s="137" t="str"/>
      <x:c r="B410" s="137" t="str"/>
      <x:c r="C410" s="138" t="str"/>
      <x:c r="D410" s="137" t="str"/>
      <x:c r="E410" s="137" t="str"/>
      <x:c r="F410" s="137" t="str"/>
      <x:c r="G410" s="137" t="str"/>
      <x:c r="H410" s="137" t="str"/>
      <x:c r="I410" s="137" t="str"/>
      <x:c r="J410" s="137" t="str"/>
      <x:c r="K410" s="137" t="str"/>
      <x:c r="L410" s="137" t="str"/>
      <x:c r="M410" s="160" t="str"/>
      <x:c r="N410" s="160" t="str"/>
      <x:c r="O410" s="137" t="str"/>
      <x:c r="P410" s="137" t="str"/>
      <x:c r="Q410" s="137" t="str"/>
      <x:c r="R410" s="137" t="str"/>
      <x:c r="S410" s="138" t="str"/>
      <x:c r="T410" s="137" t="str"/>
      <x:c r="U410" s="137" t="str"/>
      <x:c r="V410" s="137" t="str"/>
      <x:c r="W410" s="137" t="str"/>
      <x:c r="X410" s="137" t="str"/>
      <x:c r="Y410" s="199" t="str"/>
    </x:row>
    <x:row r="411">
      <x:c r="A411" s="137" t="str"/>
      <x:c r="B411" s="137" t="str"/>
      <x:c r="C411" s="138" t="str"/>
      <x:c r="D411" s="137" t="str"/>
      <x:c r="E411" s="137" t="str"/>
      <x:c r="F411" s="137" t="str"/>
      <x:c r="G411" s="137" t="str"/>
      <x:c r="H411" s="137" t="str"/>
      <x:c r="I411" s="137" t="str"/>
      <x:c r="J411" s="137" t="str"/>
      <x:c r="K411" s="137" t="str"/>
      <x:c r="L411" s="137" t="str"/>
      <x:c r="M411" s="160" t="str"/>
      <x:c r="N411" s="160" t="str"/>
      <x:c r="O411" s="137" t="str"/>
      <x:c r="P411" s="137" t="str"/>
      <x:c r="Q411" s="137" t="str"/>
      <x:c r="R411" s="137" t="str"/>
      <x:c r="S411" s="138" t="str"/>
      <x:c r="T411" s="137" t="str"/>
      <x:c r="U411" s="137" t="str"/>
      <x:c r="V411" s="137" t="str"/>
      <x:c r="W411" s="137" t="str"/>
      <x:c r="X411" s="137" t="str"/>
      <x:c r="Y411" s="199" t="str"/>
    </x:row>
    <x:row r="412">
      <x:c r="A412" s="137" t="str"/>
      <x:c r="B412" s="137" t="str"/>
      <x:c r="C412" s="138" t="str"/>
      <x:c r="D412" s="137" t="str"/>
      <x:c r="E412" s="137" t="str"/>
      <x:c r="F412" s="137" t="str"/>
      <x:c r="G412" s="137" t="str"/>
      <x:c r="H412" s="137" t="str"/>
      <x:c r="I412" s="137" t="str"/>
      <x:c r="J412" s="137" t="str"/>
      <x:c r="K412" s="137" t="str"/>
      <x:c r="L412" s="137" t="str"/>
      <x:c r="M412" s="160" t="str"/>
      <x:c r="N412" s="160" t="str"/>
      <x:c r="O412" s="137" t="str"/>
      <x:c r="P412" s="137" t="str"/>
      <x:c r="Q412" s="137" t="str"/>
      <x:c r="R412" s="137" t="str"/>
      <x:c r="S412" s="138" t="str"/>
      <x:c r="T412" s="137" t="str"/>
      <x:c r="U412" s="137" t="str"/>
      <x:c r="V412" s="137" t="str"/>
      <x:c r="W412" s="137" t="str"/>
      <x:c r="X412" s="137" t="str"/>
      <x:c r="Y412" s="199" t="str"/>
    </x:row>
    <x:row r="413">
      <x:c r="A413" s="137" t="str"/>
      <x:c r="B413" s="137" t="str"/>
      <x:c r="C413" s="138" t="str"/>
      <x:c r="D413" s="137" t="str"/>
      <x:c r="E413" s="137" t="str"/>
      <x:c r="F413" s="137" t="str"/>
      <x:c r="G413" s="137" t="str"/>
      <x:c r="H413" s="137" t="str"/>
      <x:c r="I413" s="137" t="str"/>
      <x:c r="J413" s="137" t="str"/>
      <x:c r="K413" s="137" t="str"/>
      <x:c r="L413" s="137" t="str"/>
      <x:c r="M413" s="160" t="str"/>
      <x:c r="N413" s="160" t="str"/>
      <x:c r="O413" s="137" t="str"/>
      <x:c r="P413" s="137" t="str"/>
      <x:c r="Q413" s="137" t="str"/>
      <x:c r="R413" s="137" t="str"/>
      <x:c r="S413" s="138" t="str"/>
      <x:c r="T413" s="137" t="str"/>
      <x:c r="U413" s="137" t="str"/>
      <x:c r="V413" s="137" t="str"/>
      <x:c r="W413" s="137" t="str"/>
      <x:c r="X413" s="137" t="str"/>
      <x:c r="Y413" s="199" t="str"/>
    </x:row>
    <x:row r="414">
      <x:c r="A414" s="137" t="str"/>
      <x:c r="B414" s="137" t="str"/>
      <x:c r="C414" s="138" t="str"/>
      <x:c r="D414" s="137" t="str"/>
      <x:c r="E414" s="137" t="str"/>
      <x:c r="F414" s="137" t="str"/>
      <x:c r="G414" s="137" t="str"/>
      <x:c r="H414" s="137" t="str"/>
      <x:c r="I414" s="137" t="str"/>
      <x:c r="J414" s="137" t="str"/>
      <x:c r="K414" s="137" t="str"/>
      <x:c r="L414" s="137" t="str"/>
      <x:c r="M414" s="160" t="str"/>
      <x:c r="N414" s="160" t="str"/>
      <x:c r="O414" s="137" t="str"/>
      <x:c r="P414" s="137" t="str"/>
      <x:c r="Q414" s="137" t="str"/>
      <x:c r="R414" s="137" t="str"/>
      <x:c r="S414" s="138" t="str"/>
      <x:c r="T414" s="137" t="str"/>
      <x:c r="U414" s="137" t="str"/>
      <x:c r="V414" s="137" t="str"/>
      <x:c r="W414" s="137" t="str"/>
      <x:c r="X414" s="137" t="str"/>
      <x:c r="Y414" s="199" t="str"/>
    </x:row>
    <x:row r="415">
      <x:c r="A415" s="137" t="str"/>
      <x:c r="B415" s="137" t="str"/>
      <x:c r="C415" s="138" t="str"/>
      <x:c r="D415" s="137" t="str"/>
      <x:c r="E415" s="137" t="str"/>
      <x:c r="F415" s="137" t="str"/>
      <x:c r="G415" s="137" t="str"/>
      <x:c r="H415" s="137" t="str"/>
      <x:c r="I415" s="137" t="str"/>
      <x:c r="J415" s="137" t="str"/>
      <x:c r="K415" s="137" t="str"/>
      <x:c r="L415" s="137" t="str"/>
      <x:c r="M415" s="160" t="str"/>
      <x:c r="N415" s="160" t="str"/>
      <x:c r="O415" s="137" t="str"/>
      <x:c r="P415" s="137" t="str"/>
      <x:c r="Q415" s="137" t="str"/>
      <x:c r="R415" s="137" t="str"/>
      <x:c r="S415" s="138" t="str"/>
      <x:c r="T415" s="137" t="str"/>
      <x:c r="U415" s="137" t="str"/>
      <x:c r="V415" s="137" t="str"/>
      <x:c r="W415" s="137" t="str"/>
      <x:c r="X415" s="137" t="str"/>
      <x:c r="Y415" s="199" t="str"/>
    </x:row>
    <x:row r="416">
      <x:c r="A416" s="137" t="str"/>
      <x:c r="B416" s="137" t="str"/>
      <x:c r="C416" s="138" t="str"/>
      <x:c r="D416" s="137" t="str"/>
      <x:c r="E416" s="137" t="str"/>
      <x:c r="F416" s="137" t="str"/>
      <x:c r="G416" s="137" t="str"/>
      <x:c r="H416" s="137" t="str"/>
      <x:c r="I416" s="137" t="str"/>
      <x:c r="J416" s="137" t="str"/>
      <x:c r="K416" s="137" t="str"/>
      <x:c r="L416" s="137" t="str"/>
      <x:c r="M416" s="160" t="str"/>
      <x:c r="N416" s="160" t="str"/>
      <x:c r="O416" s="137" t="str"/>
      <x:c r="P416" s="137" t="str"/>
      <x:c r="Q416" s="137" t="str"/>
      <x:c r="R416" s="137" t="str"/>
      <x:c r="S416" s="138" t="str"/>
      <x:c r="T416" s="137" t="str"/>
      <x:c r="U416" s="137" t="str"/>
      <x:c r="V416" s="137" t="str"/>
      <x:c r="W416" s="137" t="str"/>
      <x:c r="X416" s="137" t="str"/>
      <x:c r="Y416" s="199" t="str"/>
    </x:row>
    <x:row r="417">
      <x:c r="A417" s="137" t="str"/>
      <x:c r="B417" s="137" t="str"/>
      <x:c r="C417" s="138" t="str"/>
      <x:c r="D417" s="137" t="str"/>
      <x:c r="E417" s="137" t="str"/>
      <x:c r="F417" s="137" t="str"/>
      <x:c r="G417" s="137" t="str"/>
      <x:c r="H417" s="137" t="str"/>
      <x:c r="I417" s="137" t="str"/>
      <x:c r="J417" s="137" t="str"/>
      <x:c r="K417" s="137" t="str"/>
      <x:c r="L417" s="137" t="str"/>
      <x:c r="M417" s="160" t="str"/>
      <x:c r="N417" s="160" t="str"/>
      <x:c r="O417" s="137" t="str"/>
      <x:c r="P417" s="137" t="str"/>
      <x:c r="Q417" s="137" t="str"/>
      <x:c r="R417" s="137" t="str"/>
      <x:c r="S417" s="138" t="str"/>
      <x:c r="T417" s="137" t="str"/>
      <x:c r="U417" s="137" t="str"/>
      <x:c r="V417" s="137" t="str"/>
      <x:c r="W417" s="137" t="str"/>
      <x:c r="X417" s="137" t="str"/>
      <x:c r="Y417" s="199" t="str"/>
    </x:row>
    <x:row r="418">
      <x:c r="A418" s="137" t="str"/>
      <x:c r="B418" s="137" t="str"/>
      <x:c r="C418" s="138" t="str"/>
      <x:c r="D418" s="137" t="str"/>
      <x:c r="E418" s="137" t="str"/>
      <x:c r="F418" s="137" t="str"/>
      <x:c r="G418" s="137" t="str"/>
      <x:c r="H418" s="137" t="str"/>
      <x:c r="I418" s="137" t="str"/>
      <x:c r="J418" s="137" t="str"/>
      <x:c r="K418" s="137" t="str"/>
      <x:c r="L418" s="137" t="str"/>
      <x:c r="M418" s="160" t="str"/>
      <x:c r="N418" s="160" t="str"/>
      <x:c r="O418" s="137" t="str"/>
      <x:c r="P418" s="137" t="str"/>
      <x:c r="Q418" s="137" t="str"/>
      <x:c r="R418" s="137" t="str"/>
      <x:c r="S418" s="138" t="str"/>
      <x:c r="T418" s="137" t="str"/>
      <x:c r="U418" s="137" t="str"/>
      <x:c r="V418" s="137" t="str"/>
      <x:c r="W418" s="137" t="str"/>
      <x:c r="X418" s="137" t="str"/>
      <x:c r="Y418" s="199" t="str"/>
    </x:row>
    <x:row r="419">
      <x:c r="A419" s="137" t="str"/>
      <x:c r="B419" s="137" t="str"/>
      <x:c r="C419" s="138" t="str"/>
      <x:c r="D419" s="137" t="str"/>
      <x:c r="E419" s="137" t="str"/>
      <x:c r="F419" s="137" t="str"/>
      <x:c r="G419" s="137" t="str"/>
      <x:c r="H419" s="137" t="str"/>
      <x:c r="I419" s="137" t="str"/>
      <x:c r="J419" s="137" t="str"/>
      <x:c r="K419" s="137" t="str"/>
      <x:c r="L419" s="137" t="str"/>
      <x:c r="M419" s="160" t="str"/>
      <x:c r="N419" s="160" t="str"/>
      <x:c r="O419" s="137" t="str"/>
      <x:c r="P419" s="137" t="str"/>
      <x:c r="Q419" s="137" t="str"/>
      <x:c r="R419" s="137" t="str"/>
      <x:c r="S419" s="138" t="str"/>
      <x:c r="T419" s="137" t="str"/>
      <x:c r="U419" s="137" t="str"/>
      <x:c r="V419" s="137" t="str"/>
      <x:c r="W419" s="137" t="str"/>
      <x:c r="X419" s="137" t="str"/>
      <x:c r="Y419" s="199" t="str"/>
    </x:row>
    <x:row r="420">
      <x:c r="A420" s="137" t="str"/>
      <x:c r="B420" s="137" t="str"/>
      <x:c r="C420" s="138" t="str"/>
      <x:c r="D420" s="137" t="str"/>
      <x:c r="E420" s="137" t="str"/>
      <x:c r="F420" s="137" t="str"/>
      <x:c r="G420" s="137" t="str"/>
      <x:c r="H420" s="137" t="str"/>
      <x:c r="I420" s="137" t="str"/>
      <x:c r="J420" s="137" t="str"/>
      <x:c r="K420" s="137" t="str"/>
      <x:c r="L420" s="137" t="str"/>
      <x:c r="M420" s="160" t="str"/>
      <x:c r="N420" s="160" t="str"/>
      <x:c r="O420" s="137" t="str"/>
      <x:c r="P420" s="137" t="str"/>
      <x:c r="Q420" s="137" t="str"/>
      <x:c r="R420" s="137" t="str"/>
      <x:c r="S420" s="138" t="str"/>
      <x:c r="T420" s="137" t="str"/>
      <x:c r="U420" s="137" t="str"/>
      <x:c r="V420" s="137" t="str"/>
      <x:c r="W420" s="137" t="str"/>
      <x:c r="X420" s="137" t="str"/>
      <x:c r="Y420" s="199" t="str"/>
    </x:row>
    <x:row r="421">
      <x:c r="A421" s="137" t="str"/>
      <x:c r="B421" s="137" t="str"/>
      <x:c r="C421" s="138" t="str"/>
      <x:c r="D421" s="137" t="str"/>
      <x:c r="E421" s="137" t="str"/>
      <x:c r="F421" s="137" t="str"/>
      <x:c r="G421" s="137" t="str"/>
      <x:c r="H421" s="137" t="str"/>
      <x:c r="I421" s="137" t="str"/>
      <x:c r="J421" s="137" t="str"/>
      <x:c r="K421" s="137" t="str"/>
      <x:c r="L421" s="137" t="str"/>
      <x:c r="M421" s="160" t="str"/>
      <x:c r="N421" s="160" t="str"/>
      <x:c r="O421" s="137" t="str"/>
      <x:c r="P421" s="137" t="str"/>
      <x:c r="Q421" s="137" t="str"/>
      <x:c r="R421" s="137" t="str"/>
      <x:c r="S421" s="138" t="str"/>
      <x:c r="T421" s="137" t="str"/>
      <x:c r="U421" s="137" t="str"/>
      <x:c r="V421" s="137" t="str"/>
      <x:c r="W421" s="137" t="str"/>
      <x:c r="X421" s="137" t="str"/>
      <x:c r="Y421" s="199" t="str"/>
    </x:row>
    <x:row r="422">
      <x:c r="A422" s="137" t="str"/>
      <x:c r="B422" s="137" t="str"/>
      <x:c r="C422" s="138" t="str"/>
      <x:c r="D422" s="137" t="str"/>
      <x:c r="E422" s="137" t="str"/>
      <x:c r="F422" s="137" t="str"/>
      <x:c r="G422" s="137" t="str"/>
      <x:c r="H422" s="137" t="str"/>
      <x:c r="I422" s="137" t="str"/>
      <x:c r="J422" s="137" t="str"/>
      <x:c r="K422" s="137" t="str"/>
      <x:c r="L422" s="137" t="str"/>
      <x:c r="M422" s="160" t="str"/>
      <x:c r="N422" s="160" t="str"/>
      <x:c r="O422" s="137" t="str"/>
      <x:c r="P422" s="137" t="str"/>
      <x:c r="Q422" s="137" t="str"/>
      <x:c r="R422" s="137" t="str"/>
      <x:c r="S422" s="138" t="str"/>
      <x:c r="T422" s="137" t="str"/>
      <x:c r="U422" s="137" t="str"/>
      <x:c r="V422" s="137" t="str"/>
      <x:c r="W422" s="137" t="str"/>
      <x:c r="X422" s="137" t="str"/>
      <x:c r="Y422" s="199" t="str"/>
    </x:row>
    <x:row r="423">
      <x:c r="A423" s="137" t="str"/>
      <x:c r="B423" s="137" t="str"/>
      <x:c r="C423" s="138" t="str"/>
      <x:c r="D423" s="137" t="str"/>
      <x:c r="E423" s="137" t="str"/>
      <x:c r="F423" s="137" t="str"/>
      <x:c r="G423" s="137" t="str"/>
      <x:c r="H423" s="137" t="str"/>
      <x:c r="I423" s="137" t="str"/>
      <x:c r="J423" s="137" t="str"/>
      <x:c r="K423" s="137" t="str"/>
      <x:c r="L423" s="137" t="str"/>
      <x:c r="M423" s="160" t="str"/>
      <x:c r="N423" s="160" t="str"/>
      <x:c r="O423" s="137" t="str"/>
      <x:c r="P423" s="137" t="str"/>
      <x:c r="Q423" s="137" t="str"/>
      <x:c r="R423" s="137" t="str"/>
      <x:c r="S423" s="138" t="str"/>
      <x:c r="T423" s="137" t="str"/>
      <x:c r="U423" s="137" t="str"/>
      <x:c r="V423" s="137" t="str"/>
      <x:c r="W423" s="137" t="str"/>
      <x:c r="X423" s="137" t="str"/>
      <x:c r="Y423" s="199" t="str"/>
    </x:row>
    <x:row r="424">
      <x:c r="A424" s="137" t="str"/>
      <x:c r="B424" s="137" t="str"/>
      <x:c r="C424" s="138" t="str"/>
      <x:c r="D424" s="137" t="str"/>
      <x:c r="E424" s="137" t="str"/>
      <x:c r="F424" s="137" t="str"/>
      <x:c r="G424" s="137" t="str"/>
      <x:c r="H424" s="137" t="str"/>
      <x:c r="I424" s="137" t="str"/>
      <x:c r="J424" s="137" t="str"/>
      <x:c r="K424" s="137" t="str"/>
      <x:c r="L424" s="137" t="str"/>
      <x:c r="M424" s="160" t="str"/>
      <x:c r="N424" s="160" t="str"/>
      <x:c r="O424" s="137" t="str"/>
      <x:c r="P424" s="137" t="str"/>
      <x:c r="Q424" s="137" t="str"/>
      <x:c r="R424" s="137" t="str"/>
      <x:c r="S424" s="138" t="str"/>
      <x:c r="T424" s="137" t="str"/>
      <x:c r="U424" s="137" t="str"/>
      <x:c r="V424" s="137" t="str"/>
      <x:c r="W424" s="137" t="str"/>
      <x:c r="X424" s="137" t="str"/>
      <x:c r="Y424" s="199" t="str"/>
    </x:row>
    <x:row r="425">
      <x:c r="A425" s="137" t="str"/>
      <x:c r="B425" s="137" t="str"/>
      <x:c r="C425" s="138" t="str"/>
      <x:c r="D425" s="137" t="str"/>
      <x:c r="E425" s="137" t="str"/>
      <x:c r="F425" s="137" t="str"/>
      <x:c r="G425" s="137" t="str"/>
      <x:c r="H425" s="137" t="str"/>
      <x:c r="I425" s="137" t="str"/>
      <x:c r="J425" s="137" t="str"/>
      <x:c r="K425" s="137" t="str"/>
      <x:c r="L425" s="137" t="str"/>
      <x:c r="M425" s="160" t="str"/>
      <x:c r="N425" s="160" t="str"/>
      <x:c r="O425" s="137" t="str"/>
      <x:c r="P425" s="137" t="str"/>
      <x:c r="Q425" s="137" t="str"/>
      <x:c r="R425" s="137" t="str"/>
      <x:c r="S425" s="138" t="str"/>
      <x:c r="T425" s="137" t="str"/>
      <x:c r="U425" s="137" t="str"/>
      <x:c r="V425" s="137" t="str"/>
      <x:c r="W425" s="137" t="str"/>
      <x:c r="X425" s="137" t="str"/>
      <x:c r="Y425" s="199" t="str"/>
    </x:row>
    <x:row r="426">
      <x:c r="A426" s="137" t="str"/>
      <x:c r="B426" s="137" t="str"/>
      <x:c r="C426" s="138" t="str"/>
      <x:c r="D426" s="137" t="str"/>
      <x:c r="E426" s="137" t="str"/>
      <x:c r="F426" s="137" t="str"/>
      <x:c r="G426" s="137" t="str"/>
      <x:c r="H426" s="137" t="str"/>
      <x:c r="I426" s="137" t="str"/>
      <x:c r="J426" s="137" t="str"/>
      <x:c r="K426" s="137" t="str"/>
      <x:c r="L426" s="137" t="str"/>
      <x:c r="M426" s="160" t="str"/>
      <x:c r="N426" s="160" t="str"/>
      <x:c r="O426" s="137" t="str"/>
      <x:c r="P426" s="137" t="str"/>
      <x:c r="Q426" s="137" t="str"/>
      <x:c r="R426" s="137" t="str"/>
      <x:c r="S426" s="138" t="str"/>
      <x:c r="T426" s="137" t="str"/>
      <x:c r="U426" s="137" t="str"/>
      <x:c r="V426" s="137" t="str"/>
      <x:c r="W426" s="137" t="str"/>
      <x:c r="X426" s="137" t="str"/>
      <x:c r="Y426" s="199" t="str"/>
    </x:row>
    <x:row r="427">
      <x:c r="A427" s="137" t="str"/>
      <x:c r="B427" s="137" t="str"/>
      <x:c r="C427" s="138" t="str"/>
      <x:c r="D427" s="137" t="str"/>
      <x:c r="E427" s="137" t="str"/>
      <x:c r="F427" s="137" t="str"/>
      <x:c r="G427" s="137" t="str"/>
      <x:c r="H427" s="137" t="str"/>
      <x:c r="I427" s="137" t="str"/>
      <x:c r="J427" s="137" t="str"/>
      <x:c r="K427" s="137" t="str"/>
      <x:c r="L427" s="137" t="str"/>
      <x:c r="M427" s="160" t="str"/>
      <x:c r="N427" s="160" t="str"/>
      <x:c r="O427" s="137" t="str"/>
      <x:c r="P427" s="137" t="str"/>
      <x:c r="Q427" s="137" t="str"/>
      <x:c r="R427" s="137" t="str"/>
      <x:c r="S427" s="138" t="str"/>
      <x:c r="T427" s="137" t="str"/>
      <x:c r="U427" s="137" t="str"/>
      <x:c r="V427" s="137" t="str"/>
      <x:c r="W427" s="137" t="str"/>
      <x:c r="X427" s="137" t="str"/>
      <x:c r="Y427" s="199" t="str"/>
    </x:row>
    <x:row r="428">
      <x:c r="A428" s="137" t="str"/>
      <x:c r="B428" s="137" t="str"/>
      <x:c r="C428" s="138" t="str"/>
      <x:c r="D428" s="137" t="str"/>
      <x:c r="E428" s="137" t="str"/>
      <x:c r="F428" s="137" t="str"/>
      <x:c r="G428" s="137" t="str"/>
      <x:c r="H428" s="137" t="str"/>
      <x:c r="I428" s="137" t="str"/>
      <x:c r="J428" s="137" t="str"/>
      <x:c r="K428" s="137" t="str"/>
      <x:c r="L428" s="137" t="str"/>
      <x:c r="M428" s="160" t="str"/>
      <x:c r="N428" s="160" t="str"/>
      <x:c r="O428" s="137" t="str"/>
      <x:c r="P428" s="137" t="str"/>
      <x:c r="Q428" s="137" t="str"/>
      <x:c r="R428" s="137" t="str"/>
      <x:c r="S428" s="138" t="str"/>
      <x:c r="T428" s="137" t="str"/>
      <x:c r="U428" s="137" t="str"/>
      <x:c r="V428" s="137" t="str"/>
      <x:c r="W428" s="137" t="str"/>
      <x:c r="X428" s="137" t="str"/>
      <x:c r="Y428" s="199" t="str"/>
    </x:row>
    <x:row r="429">
      <x:c r="A429" s="137" t="str"/>
      <x:c r="B429" s="137" t="str"/>
      <x:c r="C429" s="138" t="str"/>
      <x:c r="D429" s="137" t="str"/>
      <x:c r="E429" s="137" t="str"/>
      <x:c r="F429" s="137" t="str"/>
      <x:c r="G429" s="137" t="str"/>
      <x:c r="H429" s="137" t="str"/>
      <x:c r="I429" s="137" t="str"/>
      <x:c r="J429" s="137" t="str"/>
      <x:c r="K429" s="137" t="str"/>
      <x:c r="L429" s="137" t="str"/>
      <x:c r="M429" s="160" t="str"/>
      <x:c r="N429" s="160" t="str"/>
      <x:c r="O429" s="137" t="str"/>
      <x:c r="P429" s="137" t="str"/>
      <x:c r="Q429" s="137" t="str"/>
      <x:c r="R429" s="137" t="str"/>
      <x:c r="S429" s="138" t="str"/>
      <x:c r="T429" s="137" t="str"/>
      <x:c r="U429" s="137" t="str"/>
      <x:c r="V429" s="137" t="str"/>
      <x:c r="W429" s="137" t="str"/>
      <x:c r="X429" s="137" t="str"/>
      <x:c r="Y429" s="199" t="str"/>
    </x:row>
    <x:row r="430">
      <x:c r="A430" s="137" t="str"/>
      <x:c r="B430" s="137" t="str"/>
      <x:c r="C430" s="138" t="str"/>
      <x:c r="D430" s="137" t="str"/>
      <x:c r="E430" s="137" t="str"/>
      <x:c r="F430" s="137" t="str"/>
      <x:c r="G430" s="137" t="str"/>
      <x:c r="H430" s="137" t="str"/>
      <x:c r="I430" s="137" t="str"/>
      <x:c r="J430" s="137" t="str"/>
      <x:c r="K430" s="137" t="str"/>
      <x:c r="L430" s="137" t="str"/>
      <x:c r="M430" s="160" t="str"/>
      <x:c r="N430" s="160" t="str"/>
      <x:c r="O430" s="137" t="str"/>
      <x:c r="P430" s="137" t="str"/>
      <x:c r="Q430" s="137" t="str"/>
      <x:c r="R430" s="137" t="str"/>
      <x:c r="S430" s="138" t="str"/>
      <x:c r="T430" s="137" t="str"/>
      <x:c r="U430" s="137" t="str"/>
      <x:c r="V430" s="137" t="str"/>
      <x:c r="W430" s="137" t="str"/>
      <x:c r="X430" s="137" t="str"/>
      <x:c r="Y430" s="199" t="str"/>
    </x:row>
    <x:row r="431">
      <x:c r="A431" s="137" t="str"/>
      <x:c r="B431" s="137" t="str"/>
      <x:c r="C431" s="138" t="str"/>
      <x:c r="D431" s="137" t="str"/>
      <x:c r="E431" s="137" t="str"/>
      <x:c r="F431" s="137" t="str"/>
      <x:c r="G431" s="137" t="str"/>
      <x:c r="H431" s="137" t="str"/>
      <x:c r="I431" s="137" t="str"/>
      <x:c r="J431" s="137" t="str"/>
      <x:c r="K431" s="137" t="str"/>
      <x:c r="L431" s="137" t="str"/>
      <x:c r="M431" s="160" t="str"/>
      <x:c r="N431" s="160" t="str"/>
      <x:c r="O431" s="137" t="str"/>
      <x:c r="P431" s="137" t="str"/>
      <x:c r="Q431" s="137" t="str"/>
      <x:c r="R431" s="137" t="str"/>
      <x:c r="S431" s="138" t="str"/>
      <x:c r="T431" s="137" t="str"/>
      <x:c r="U431" s="137" t="str"/>
      <x:c r="V431" s="137" t="str"/>
      <x:c r="W431" s="137" t="str"/>
      <x:c r="X431" s="137" t="str"/>
      <x:c r="Y431" s="199" t="str"/>
    </x:row>
    <x:row r="432">
      <x:c r="A432" s="137" t="str"/>
      <x:c r="B432" s="137" t="str"/>
      <x:c r="C432" s="138" t="str"/>
      <x:c r="D432" s="137" t="str"/>
      <x:c r="E432" s="137" t="str"/>
      <x:c r="F432" s="137" t="str"/>
      <x:c r="G432" s="137" t="str"/>
      <x:c r="H432" s="137" t="str"/>
      <x:c r="I432" s="137" t="str"/>
      <x:c r="J432" s="137" t="str"/>
      <x:c r="K432" s="137" t="str"/>
      <x:c r="L432" s="137" t="str"/>
      <x:c r="M432" s="160" t="str"/>
      <x:c r="N432" s="160" t="str"/>
      <x:c r="O432" s="137" t="str"/>
      <x:c r="P432" s="137" t="str"/>
      <x:c r="Q432" s="137" t="str"/>
      <x:c r="R432" s="137" t="str"/>
      <x:c r="S432" s="138" t="str"/>
      <x:c r="T432" s="137" t="str"/>
      <x:c r="U432" s="137" t="str"/>
      <x:c r="V432" s="137" t="str"/>
      <x:c r="W432" s="137" t="str"/>
      <x:c r="X432" s="137" t="str"/>
      <x:c r="Y432" s="199" t="str"/>
    </x:row>
    <x:row r="433">
      <x:c r="A433" s="137" t="str"/>
      <x:c r="B433" s="137" t="str"/>
      <x:c r="C433" s="138" t="str"/>
      <x:c r="D433" s="137" t="str"/>
      <x:c r="E433" s="137" t="str"/>
      <x:c r="F433" s="137" t="str"/>
      <x:c r="G433" s="137" t="str"/>
      <x:c r="H433" s="137" t="str"/>
      <x:c r="I433" s="137" t="str"/>
      <x:c r="J433" s="137" t="str"/>
      <x:c r="K433" s="137" t="str"/>
      <x:c r="L433" s="137" t="str"/>
      <x:c r="M433" s="160" t="str"/>
      <x:c r="N433" s="160" t="str"/>
      <x:c r="O433" s="137" t="str"/>
      <x:c r="P433" s="137" t="str"/>
      <x:c r="Q433" s="137" t="str"/>
      <x:c r="R433" s="137" t="str"/>
      <x:c r="S433" s="138" t="str"/>
      <x:c r="T433" s="137" t="str"/>
      <x:c r="U433" s="137" t="str"/>
      <x:c r="V433" s="137" t="str"/>
      <x:c r="W433" s="137" t="str"/>
      <x:c r="X433" s="137" t="str"/>
      <x:c r="Y433" s="199" t="str"/>
    </x:row>
    <x:row r="434">
      <x:c r="A434" s="137" t="str"/>
      <x:c r="B434" s="137" t="str"/>
      <x:c r="C434" s="138" t="str"/>
      <x:c r="D434" s="137" t="str"/>
      <x:c r="E434" s="137" t="str"/>
      <x:c r="F434" s="137" t="str"/>
      <x:c r="G434" s="137" t="str"/>
      <x:c r="H434" s="137" t="str"/>
      <x:c r="I434" s="137" t="str"/>
      <x:c r="J434" s="137" t="str"/>
      <x:c r="K434" s="137" t="str"/>
      <x:c r="L434" s="137" t="str"/>
      <x:c r="M434" s="160" t="str"/>
      <x:c r="N434" s="160" t="str"/>
      <x:c r="O434" s="137" t="str"/>
      <x:c r="P434" s="137" t="str"/>
      <x:c r="Q434" s="137" t="str"/>
      <x:c r="R434" s="137" t="str"/>
      <x:c r="S434" s="138" t="str"/>
      <x:c r="T434" s="137" t="str"/>
      <x:c r="U434" s="137" t="str"/>
      <x:c r="V434" s="137" t="str"/>
      <x:c r="W434" s="137" t="str"/>
      <x:c r="X434" s="137" t="str"/>
      <x:c r="Y434" s="199" t="str"/>
    </x:row>
    <x:row r="435">
      <x:c r="A435" s="137" t="str"/>
      <x:c r="B435" s="137" t="str"/>
      <x:c r="C435" s="138" t="str"/>
      <x:c r="D435" s="137" t="str"/>
      <x:c r="E435" s="137" t="str"/>
      <x:c r="F435" s="137" t="str"/>
      <x:c r="G435" s="137" t="str"/>
      <x:c r="H435" s="137" t="str"/>
      <x:c r="I435" s="137" t="str"/>
      <x:c r="J435" s="137" t="str"/>
      <x:c r="K435" s="137" t="str"/>
      <x:c r="L435" s="137" t="str"/>
      <x:c r="M435" s="160" t="str"/>
      <x:c r="N435" s="160" t="str"/>
      <x:c r="O435" s="137" t="str"/>
      <x:c r="P435" s="137" t="str"/>
      <x:c r="Q435" s="137" t="str"/>
      <x:c r="R435" s="137" t="str"/>
      <x:c r="S435" s="138" t="str"/>
      <x:c r="T435" s="137" t="str"/>
      <x:c r="U435" s="137" t="str"/>
      <x:c r="V435" s="137" t="str"/>
      <x:c r="W435" s="137" t="str"/>
      <x:c r="X435" s="137" t="str"/>
      <x:c r="Y435" s="199" t="str"/>
    </x:row>
    <x:row r="436">
      <x:c r="A436" s="137" t="str"/>
      <x:c r="B436" s="137" t="str"/>
      <x:c r="C436" s="138" t="str"/>
      <x:c r="D436" s="137" t="str"/>
      <x:c r="E436" s="137" t="str"/>
      <x:c r="F436" s="137" t="str"/>
      <x:c r="G436" s="137" t="str"/>
      <x:c r="H436" s="137" t="str"/>
      <x:c r="I436" s="137" t="str"/>
      <x:c r="J436" s="137" t="str"/>
      <x:c r="K436" s="137" t="str"/>
      <x:c r="L436" s="137" t="str"/>
      <x:c r="M436" s="160" t="str"/>
      <x:c r="N436" s="160" t="str"/>
      <x:c r="O436" s="137" t="str"/>
      <x:c r="P436" s="137" t="str"/>
      <x:c r="Q436" s="137" t="str"/>
      <x:c r="R436" s="137" t="str"/>
      <x:c r="S436" s="138" t="str"/>
      <x:c r="T436" s="137" t="str"/>
      <x:c r="U436" s="137" t="str"/>
      <x:c r="V436" s="137" t="str"/>
      <x:c r="W436" s="137" t="str"/>
      <x:c r="X436" s="137" t="str"/>
      <x:c r="Y436" s="199" t="str"/>
    </x:row>
    <x:row r="437">
      <x:c r="A437" s="137" t="str"/>
      <x:c r="B437" s="137" t="str"/>
      <x:c r="C437" s="138" t="str"/>
      <x:c r="D437" s="137" t="str"/>
      <x:c r="E437" s="137" t="str"/>
      <x:c r="F437" s="137" t="str"/>
      <x:c r="G437" s="137" t="str"/>
      <x:c r="H437" s="137" t="str"/>
      <x:c r="I437" s="137" t="str"/>
      <x:c r="J437" s="137" t="str"/>
      <x:c r="K437" s="137" t="str"/>
      <x:c r="L437" s="137" t="str"/>
      <x:c r="M437" s="160" t="str"/>
      <x:c r="N437" s="160" t="str"/>
      <x:c r="O437" s="137" t="str"/>
      <x:c r="P437" s="137" t="str"/>
      <x:c r="Q437" s="137" t="str"/>
      <x:c r="R437" s="137" t="str"/>
      <x:c r="S437" s="138" t="str"/>
      <x:c r="T437" s="137" t="str"/>
      <x:c r="U437" s="137" t="str"/>
      <x:c r="V437" s="137" t="str"/>
      <x:c r="W437" s="137" t="str"/>
      <x:c r="X437" s="137" t="str"/>
      <x:c r="Y437" s="199" t="str"/>
    </x:row>
    <x:row r="438">
      <x:c r="A438" s="137" t="str"/>
      <x:c r="B438" s="137" t="str"/>
      <x:c r="C438" s="138" t="str"/>
      <x:c r="D438" s="137" t="str"/>
      <x:c r="E438" s="137" t="str"/>
      <x:c r="F438" s="137" t="str"/>
      <x:c r="G438" s="137" t="str"/>
      <x:c r="H438" s="137" t="str"/>
      <x:c r="I438" s="137" t="str"/>
      <x:c r="J438" s="137" t="str"/>
      <x:c r="K438" s="137" t="str"/>
      <x:c r="L438" s="137" t="str"/>
      <x:c r="M438" s="160" t="str"/>
      <x:c r="N438" s="160" t="str"/>
      <x:c r="O438" s="137" t="str"/>
      <x:c r="P438" s="137" t="str"/>
      <x:c r="Q438" s="137" t="str"/>
      <x:c r="R438" s="137" t="str"/>
      <x:c r="S438" s="138" t="str"/>
      <x:c r="T438" s="137" t="str"/>
      <x:c r="U438" s="137" t="str"/>
      <x:c r="V438" s="137" t="str"/>
      <x:c r="W438" s="137" t="str"/>
      <x:c r="X438" s="137" t="str"/>
      <x:c r="Y438" s="199" t="str"/>
    </x:row>
    <x:row r="439">
      <x:c r="A439" s="137" t="str"/>
      <x:c r="B439" s="137" t="str"/>
      <x:c r="C439" s="138" t="str"/>
      <x:c r="D439" s="137" t="str"/>
      <x:c r="E439" s="137" t="str"/>
      <x:c r="F439" s="137" t="str"/>
      <x:c r="G439" s="137" t="str"/>
      <x:c r="H439" s="137" t="str"/>
      <x:c r="I439" s="137" t="str"/>
      <x:c r="J439" s="137" t="str"/>
      <x:c r="K439" s="137" t="str"/>
      <x:c r="L439" s="137" t="str"/>
      <x:c r="M439" s="160" t="str"/>
      <x:c r="N439" s="160" t="str"/>
      <x:c r="O439" s="137" t="str"/>
      <x:c r="P439" s="137" t="str"/>
      <x:c r="Q439" s="137" t="str"/>
      <x:c r="R439" s="137" t="str"/>
      <x:c r="S439" s="138" t="str"/>
      <x:c r="T439" s="137" t="str"/>
      <x:c r="U439" s="137" t="str"/>
      <x:c r="V439" s="137" t="str"/>
      <x:c r="W439" s="137" t="str"/>
      <x:c r="X439" s="137" t="str"/>
      <x:c r="Y439" s="199" t="str"/>
    </x:row>
    <x:row r="440">
      <x:c r="A440" s="137" t="str"/>
      <x:c r="B440" s="137" t="str"/>
      <x:c r="C440" s="138" t="str"/>
      <x:c r="D440" s="137" t="str"/>
      <x:c r="E440" s="137" t="str"/>
      <x:c r="F440" s="137" t="str"/>
      <x:c r="G440" s="137" t="str"/>
      <x:c r="H440" s="137" t="str"/>
      <x:c r="I440" s="137" t="str"/>
      <x:c r="J440" s="137" t="str"/>
      <x:c r="K440" s="137" t="str"/>
      <x:c r="L440" s="137" t="str"/>
      <x:c r="M440" s="160" t="str"/>
      <x:c r="N440" s="160" t="str"/>
      <x:c r="O440" s="137" t="str"/>
      <x:c r="P440" s="137" t="str"/>
      <x:c r="Q440" s="137" t="str"/>
      <x:c r="R440" s="137" t="str"/>
      <x:c r="S440" s="138" t="str"/>
      <x:c r="T440" s="137" t="str"/>
      <x:c r="U440" s="137" t="str"/>
      <x:c r="V440" s="137" t="str"/>
      <x:c r="W440" s="137" t="str"/>
      <x:c r="X440" s="137" t="str"/>
      <x:c r="Y440" s="199" t="str"/>
    </x:row>
    <x:row r="441">
      <x:c r="A441" s="137" t="str"/>
      <x:c r="B441" s="137" t="str"/>
      <x:c r="C441" s="138" t="str"/>
      <x:c r="D441" s="137" t="str"/>
      <x:c r="E441" s="137" t="str"/>
      <x:c r="F441" s="137" t="str"/>
      <x:c r="G441" s="137" t="str"/>
      <x:c r="H441" s="137" t="str"/>
      <x:c r="I441" s="137" t="str"/>
      <x:c r="J441" s="137" t="str"/>
      <x:c r="K441" s="137" t="str"/>
      <x:c r="L441" s="137" t="str"/>
      <x:c r="M441" s="160" t="str"/>
      <x:c r="N441" s="160" t="str"/>
      <x:c r="O441" s="137" t="str"/>
      <x:c r="P441" s="137" t="str"/>
      <x:c r="Q441" s="137" t="str"/>
      <x:c r="R441" s="137" t="str"/>
      <x:c r="S441" s="138" t="str"/>
      <x:c r="T441" s="137" t="str"/>
      <x:c r="U441" s="137" t="str"/>
      <x:c r="V441" s="137" t="str"/>
      <x:c r="W441" s="137" t="str"/>
      <x:c r="X441" s="137" t="str"/>
      <x:c r="Y441" s="199" t="str"/>
    </x:row>
    <x:row r="442">
      <x:c r="A442" s="137" t="str"/>
      <x:c r="B442" s="137" t="str"/>
      <x:c r="C442" s="138" t="str"/>
      <x:c r="D442" s="137" t="str"/>
      <x:c r="E442" s="137" t="str"/>
      <x:c r="F442" s="137" t="str"/>
      <x:c r="G442" s="137" t="str"/>
      <x:c r="H442" s="137" t="str"/>
      <x:c r="I442" s="137" t="str"/>
      <x:c r="J442" s="137" t="str"/>
      <x:c r="K442" s="137" t="str"/>
      <x:c r="L442" s="137" t="str"/>
      <x:c r="M442" s="160" t="str"/>
      <x:c r="N442" s="160" t="str"/>
      <x:c r="O442" s="137" t="str"/>
      <x:c r="P442" s="137" t="str"/>
      <x:c r="Q442" s="137" t="str"/>
      <x:c r="R442" s="137" t="str"/>
      <x:c r="S442" s="138" t="str"/>
      <x:c r="T442" s="137" t="str"/>
      <x:c r="U442" s="137" t="str"/>
      <x:c r="V442" s="137" t="str"/>
      <x:c r="W442" s="137" t="str"/>
      <x:c r="X442" s="137" t="str"/>
      <x:c r="Y442" s="199" t="str"/>
    </x:row>
    <x:row r="443">
      <x:c r="A443" s="137" t="str"/>
      <x:c r="B443" s="137" t="str"/>
      <x:c r="C443" s="138" t="str"/>
      <x:c r="D443" s="137" t="str"/>
      <x:c r="E443" s="137" t="str"/>
      <x:c r="F443" s="137" t="str"/>
      <x:c r="G443" s="137" t="str"/>
      <x:c r="H443" s="137" t="str"/>
      <x:c r="I443" s="137" t="str"/>
      <x:c r="J443" s="137" t="str"/>
      <x:c r="K443" s="137" t="str"/>
      <x:c r="L443" s="137" t="str"/>
      <x:c r="M443" s="160" t="str"/>
      <x:c r="N443" s="160" t="str"/>
      <x:c r="O443" s="137" t="str"/>
      <x:c r="P443" s="137" t="str"/>
      <x:c r="Q443" s="137" t="str"/>
      <x:c r="R443" s="137" t="str"/>
      <x:c r="S443" s="138" t="str"/>
      <x:c r="T443" s="137" t="str"/>
      <x:c r="U443" s="137" t="str"/>
      <x:c r="V443" s="137" t="str"/>
      <x:c r="W443" s="137" t="str"/>
      <x:c r="X443" s="137" t="str"/>
      <x:c r="Y443" s="199" t="str"/>
    </x:row>
    <x:row r="444">
      <x:c r="A444" s="137" t="str"/>
      <x:c r="B444" s="137" t="str"/>
      <x:c r="C444" s="138" t="str"/>
      <x:c r="D444" s="137" t="str"/>
      <x:c r="E444" s="137" t="str"/>
      <x:c r="F444" s="137" t="str"/>
      <x:c r="G444" s="137" t="str"/>
      <x:c r="H444" s="137" t="str"/>
      <x:c r="I444" s="137" t="str"/>
      <x:c r="J444" s="137" t="str"/>
      <x:c r="K444" s="137" t="str"/>
      <x:c r="L444" s="137" t="str"/>
      <x:c r="M444" s="160" t="str"/>
      <x:c r="N444" s="160" t="str"/>
      <x:c r="O444" s="137" t="str"/>
      <x:c r="P444" s="137" t="str"/>
      <x:c r="Q444" s="137" t="str"/>
      <x:c r="R444" s="137" t="str"/>
      <x:c r="S444" s="138" t="str"/>
      <x:c r="T444" s="137" t="str"/>
      <x:c r="U444" s="137" t="str"/>
      <x:c r="V444" s="137" t="str"/>
      <x:c r="W444" s="137" t="str"/>
      <x:c r="X444" s="137" t="str"/>
      <x:c r="Y444" s="199" t="str"/>
    </x:row>
    <x:row r="445">
      <x:c r="A445" s="137" t="str"/>
      <x:c r="B445" s="137" t="str"/>
      <x:c r="C445" s="138" t="str"/>
      <x:c r="D445" s="137" t="str"/>
      <x:c r="E445" s="137" t="str"/>
      <x:c r="F445" s="137" t="str"/>
      <x:c r="G445" s="137" t="str"/>
      <x:c r="H445" s="137" t="str"/>
      <x:c r="I445" s="137" t="str"/>
      <x:c r="J445" s="137" t="str"/>
      <x:c r="K445" s="137" t="str"/>
      <x:c r="L445" s="137" t="str"/>
      <x:c r="M445" s="160" t="str"/>
      <x:c r="N445" s="160" t="str"/>
      <x:c r="O445" s="137" t="str"/>
      <x:c r="P445" s="137" t="str"/>
      <x:c r="Q445" s="137" t="str"/>
      <x:c r="R445" s="137" t="str"/>
      <x:c r="S445" s="138" t="str"/>
      <x:c r="T445" s="137" t="str"/>
      <x:c r="U445" s="137" t="str"/>
      <x:c r="V445" s="137" t="str"/>
      <x:c r="W445" s="137" t="str"/>
      <x:c r="X445" s="137" t="str"/>
      <x:c r="Y445" s="199" t="str"/>
    </x:row>
    <x:row r="446">
      <x:c r="A446" s="137" t="str"/>
      <x:c r="B446" s="137" t="str"/>
      <x:c r="C446" s="138" t="str"/>
      <x:c r="D446" s="137" t="str"/>
      <x:c r="E446" s="137" t="str"/>
      <x:c r="F446" s="137" t="str"/>
      <x:c r="G446" s="137" t="str"/>
      <x:c r="H446" s="137" t="str"/>
      <x:c r="I446" s="137" t="str"/>
      <x:c r="J446" s="137" t="str"/>
      <x:c r="K446" s="137" t="str"/>
      <x:c r="L446" s="137" t="str"/>
      <x:c r="M446" s="160" t="str"/>
      <x:c r="N446" s="160" t="str"/>
      <x:c r="O446" s="137" t="str"/>
      <x:c r="P446" s="137" t="str"/>
      <x:c r="Q446" s="137" t="str"/>
      <x:c r="R446" s="137" t="str"/>
      <x:c r="S446" s="138" t="str"/>
      <x:c r="T446" s="137" t="str"/>
      <x:c r="U446" s="137" t="str"/>
      <x:c r="V446" s="137" t="str"/>
      <x:c r="W446" s="137" t="str"/>
      <x:c r="X446" s="137" t="str"/>
      <x:c r="Y446" s="199" t="str"/>
    </x:row>
    <x:row r="447">
      <x:c r="A447" s="137" t="str"/>
      <x:c r="B447" s="137" t="str"/>
      <x:c r="C447" s="138" t="str"/>
      <x:c r="D447" s="137" t="str"/>
      <x:c r="E447" s="137" t="str"/>
      <x:c r="F447" s="137" t="str"/>
      <x:c r="G447" s="137" t="str"/>
      <x:c r="H447" s="137" t="str"/>
      <x:c r="I447" s="137" t="str"/>
      <x:c r="J447" s="137" t="str"/>
      <x:c r="K447" s="137" t="str"/>
      <x:c r="L447" s="137" t="str"/>
      <x:c r="M447" s="160" t="str"/>
      <x:c r="N447" s="160" t="str"/>
      <x:c r="O447" s="137" t="str"/>
      <x:c r="P447" s="137" t="str"/>
      <x:c r="Q447" s="137" t="str"/>
      <x:c r="R447" s="137" t="str"/>
      <x:c r="S447" s="138" t="str"/>
      <x:c r="T447" s="137" t="str"/>
      <x:c r="U447" s="137" t="str"/>
      <x:c r="V447" s="137" t="str"/>
      <x:c r="W447" s="137" t="str"/>
      <x:c r="X447" s="137" t="str"/>
      <x:c r="Y447" s="199" t="str"/>
    </x:row>
    <x:row r="448">
      <x:c r="A448" s="137" t="str"/>
      <x:c r="B448" s="137" t="str"/>
      <x:c r="C448" s="138" t="str"/>
      <x:c r="D448" s="137" t="str"/>
      <x:c r="E448" s="137" t="str"/>
      <x:c r="F448" s="137" t="str"/>
      <x:c r="G448" s="137" t="str"/>
      <x:c r="H448" s="137" t="str"/>
      <x:c r="I448" s="137" t="str"/>
      <x:c r="J448" s="137" t="str"/>
      <x:c r="K448" s="137" t="str"/>
      <x:c r="L448" s="137" t="str"/>
      <x:c r="M448" s="160" t="str"/>
      <x:c r="N448" s="160" t="str"/>
      <x:c r="O448" s="137" t="str"/>
      <x:c r="P448" s="137" t="str"/>
      <x:c r="Q448" s="137" t="str"/>
      <x:c r="R448" s="137" t="str"/>
      <x:c r="S448" s="138" t="str"/>
      <x:c r="T448" s="137" t="str"/>
      <x:c r="U448" s="137" t="str"/>
      <x:c r="V448" s="137" t="str"/>
      <x:c r="W448" s="137" t="str"/>
      <x:c r="X448" s="137" t="str"/>
      <x:c r="Y448" s="199" t="str"/>
    </x:row>
    <x:row r="449">
      <x:c r="A449" s="137" t="str"/>
      <x:c r="B449" s="137" t="str"/>
      <x:c r="C449" s="138" t="str"/>
      <x:c r="D449" s="137" t="str"/>
      <x:c r="E449" s="137" t="str"/>
      <x:c r="F449" s="137" t="str"/>
      <x:c r="G449" s="137" t="str"/>
      <x:c r="H449" s="137" t="str"/>
      <x:c r="I449" s="137" t="str"/>
      <x:c r="J449" s="137" t="str"/>
      <x:c r="K449" s="137" t="str"/>
      <x:c r="L449" s="137" t="str"/>
      <x:c r="M449" s="160" t="str"/>
      <x:c r="N449" s="160" t="str"/>
      <x:c r="O449" s="137" t="str"/>
      <x:c r="P449" s="137" t="str"/>
      <x:c r="Q449" s="137" t="str"/>
      <x:c r="R449" s="137" t="str"/>
      <x:c r="S449" s="138" t="str"/>
      <x:c r="T449" s="137" t="str"/>
      <x:c r="U449" s="137" t="str"/>
      <x:c r="V449" s="137" t="str"/>
      <x:c r="W449" s="137" t="str"/>
      <x:c r="X449" s="137" t="str"/>
      <x:c r="Y449" s="199" t="str"/>
    </x:row>
    <x:row r="450">
      <x:c r="A450" s="137" t="str"/>
      <x:c r="B450" s="137" t="str"/>
      <x:c r="C450" s="138" t="str"/>
      <x:c r="D450" s="137" t="str"/>
      <x:c r="E450" s="137" t="str"/>
      <x:c r="F450" s="137" t="str"/>
      <x:c r="G450" s="137" t="str"/>
      <x:c r="H450" s="137" t="str"/>
      <x:c r="I450" s="137" t="str"/>
      <x:c r="J450" s="137" t="str"/>
      <x:c r="K450" s="137" t="str"/>
      <x:c r="L450" s="137" t="str"/>
      <x:c r="M450" s="160" t="str"/>
      <x:c r="N450" s="160" t="str"/>
      <x:c r="O450" s="137" t="str"/>
      <x:c r="P450" s="137" t="str"/>
      <x:c r="Q450" s="137" t="str"/>
      <x:c r="R450" s="137" t="str"/>
      <x:c r="S450" s="138" t="str"/>
      <x:c r="T450" s="137" t="str"/>
      <x:c r="U450" s="137" t="str"/>
      <x:c r="V450" s="137" t="str"/>
      <x:c r="W450" s="137" t="str"/>
      <x:c r="X450" s="137" t="str"/>
      <x:c r="Y450" s="199" t="str"/>
    </x:row>
    <x:row r="451">
      <x:c r="A451" s="137" t="str"/>
      <x:c r="B451" s="137" t="str"/>
      <x:c r="C451" s="138" t="str"/>
      <x:c r="D451" s="137" t="str"/>
      <x:c r="E451" s="137" t="str"/>
      <x:c r="F451" s="137" t="str"/>
      <x:c r="G451" s="137" t="str"/>
      <x:c r="H451" s="137" t="str"/>
      <x:c r="I451" s="137" t="str"/>
      <x:c r="J451" s="137" t="str"/>
      <x:c r="K451" s="137" t="str"/>
      <x:c r="L451" s="137" t="str"/>
      <x:c r="M451" s="160" t="str"/>
      <x:c r="N451" s="160" t="str"/>
      <x:c r="O451" s="137" t="str"/>
      <x:c r="P451" s="137" t="str"/>
      <x:c r="Q451" s="137" t="str"/>
      <x:c r="R451" s="137" t="str"/>
      <x:c r="S451" s="138" t="str"/>
      <x:c r="T451" s="137" t="str"/>
      <x:c r="U451" s="137" t="str"/>
      <x:c r="V451" s="137" t="str"/>
      <x:c r="W451" s="137" t="str"/>
      <x:c r="X451" s="137" t="str"/>
      <x:c r="Y451" s="199" t="str"/>
    </x:row>
    <x:row r="452">
      <x:c r="A452" s="137" t="str"/>
      <x:c r="B452" s="137" t="str"/>
      <x:c r="C452" s="138" t="str"/>
      <x:c r="D452" s="137" t="str"/>
      <x:c r="E452" s="137" t="str"/>
      <x:c r="F452" s="137" t="str"/>
      <x:c r="G452" s="137" t="str"/>
      <x:c r="H452" s="137" t="str"/>
      <x:c r="I452" s="137" t="str"/>
      <x:c r="J452" s="137" t="str"/>
      <x:c r="K452" s="137" t="str"/>
      <x:c r="L452" s="137" t="str"/>
      <x:c r="M452" s="160" t="str"/>
      <x:c r="N452" s="160" t="str"/>
      <x:c r="O452" s="137" t="str"/>
      <x:c r="P452" s="137" t="str"/>
      <x:c r="Q452" s="137" t="str"/>
      <x:c r="R452" s="137" t="str"/>
      <x:c r="S452" s="138" t="str"/>
      <x:c r="T452" s="137" t="str"/>
      <x:c r="U452" s="137" t="str"/>
      <x:c r="V452" s="137" t="str"/>
      <x:c r="W452" s="137" t="str"/>
      <x:c r="X452" s="137" t="str"/>
      <x:c r="Y452" s="199" t="str"/>
    </x:row>
    <x:row r="453">
      <x:c r="A453" s="137" t="str"/>
      <x:c r="B453" s="137" t="str"/>
      <x:c r="C453" s="138" t="str"/>
      <x:c r="D453" s="137" t="str"/>
      <x:c r="E453" s="137" t="str"/>
      <x:c r="F453" s="137" t="str"/>
      <x:c r="G453" s="137" t="str"/>
      <x:c r="H453" s="137" t="str"/>
      <x:c r="I453" s="137" t="str"/>
      <x:c r="J453" s="137" t="str"/>
      <x:c r="K453" s="137" t="str"/>
      <x:c r="L453" s="137" t="str"/>
      <x:c r="M453" s="160" t="str"/>
      <x:c r="N453" s="160" t="str"/>
      <x:c r="O453" s="137" t="str"/>
      <x:c r="P453" s="137" t="str"/>
      <x:c r="Q453" s="137" t="str"/>
      <x:c r="R453" s="137" t="str"/>
      <x:c r="S453" s="138" t="str"/>
      <x:c r="T453" s="137" t="str"/>
      <x:c r="U453" s="137" t="str"/>
      <x:c r="V453" s="137" t="str"/>
      <x:c r="W453" s="137" t="str"/>
      <x:c r="X453" s="137" t="str"/>
      <x:c r="Y453" s="199" t="str"/>
    </x:row>
    <x:row r="454">
      <x:c r="A454" s="137" t="str"/>
      <x:c r="B454" s="137" t="str"/>
      <x:c r="C454" s="138" t="str"/>
      <x:c r="D454" s="137" t="str"/>
      <x:c r="E454" s="137" t="str"/>
      <x:c r="F454" s="137" t="str"/>
      <x:c r="G454" s="137" t="str"/>
      <x:c r="H454" s="137" t="str"/>
      <x:c r="I454" s="137" t="str"/>
      <x:c r="J454" s="137" t="str"/>
      <x:c r="K454" s="137" t="str"/>
      <x:c r="L454" s="137" t="str"/>
      <x:c r="M454" s="160" t="str"/>
      <x:c r="N454" s="160" t="str"/>
      <x:c r="O454" s="137" t="str"/>
      <x:c r="P454" s="137" t="str"/>
      <x:c r="Q454" s="137" t="str"/>
      <x:c r="R454" s="137" t="str"/>
      <x:c r="S454" s="138" t="str"/>
      <x:c r="T454" s="137" t="str"/>
      <x:c r="U454" s="137" t="str"/>
      <x:c r="V454" s="137" t="str"/>
      <x:c r="W454" s="137" t="str"/>
      <x:c r="X454" s="137" t="str"/>
      <x:c r="Y454" s="199" t="str"/>
    </x:row>
    <x:row r="455">
      <x:c r="A455" s="137" t="str"/>
      <x:c r="B455" s="137" t="str"/>
      <x:c r="C455" s="138" t="str"/>
      <x:c r="D455" s="137" t="str"/>
      <x:c r="E455" s="137" t="str"/>
      <x:c r="F455" s="137" t="str"/>
      <x:c r="G455" s="137" t="str"/>
      <x:c r="H455" s="137" t="str"/>
      <x:c r="I455" s="137" t="str"/>
      <x:c r="J455" s="137" t="str"/>
      <x:c r="K455" s="137" t="str"/>
      <x:c r="L455" s="137" t="str"/>
      <x:c r="M455" s="160" t="str"/>
      <x:c r="N455" s="160" t="str"/>
      <x:c r="O455" s="137" t="str"/>
      <x:c r="P455" s="137" t="str"/>
      <x:c r="Q455" s="137" t="str"/>
      <x:c r="R455" s="137" t="str"/>
      <x:c r="S455" s="138" t="str"/>
      <x:c r="T455" s="137" t="str"/>
      <x:c r="U455" s="137" t="str"/>
      <x:c r="V455" s="137" t="str"/>
      <x:c r="W455" s="137" t="str"/>
      <x:c r="X455" s="137" t="str"/>
      <x:c r="Y455" s="199" t="str"/>
    </x:row>
    <x:row r="456">
      <x:c r="A456" s="137" t="str"/>
      <x:c r="B456" s="137" t="str"/>
      <x:c r="C456" s="138" t="str"/>
      <x:c r="D456" s="137" t="str"/>
      <x:c r="E456" s="137" t="str"/>
      <x:c r="F456" s="137" t="str"/>
      <x:c r="G456" s="137" t="str"/>
      <x:c r="H456" s="137" t="str"/>
      <x:c r="I456" s="137" t="str"/>
      <x:c r="J456" s="137" t="str"/>
      <x:c r="K456" s="137" t="str"/>
      <x:c r="L456" s="137" t="str"/>
      <x:c r="M456" s="160" t="str"/>
      <x:c r="N456" s="160" t="str"/>
      <x:c r="O456" s="137" t="str"/>
      <x:c r="P456" s="137" t="str"/>
      <x:c r="Q456" s="137" t="str"/>
      <x:c r="R456" s="137" t="str"/>
      <x:c r="S456" s="138" t="str"/>
      <x:c r="T456" s="137" t="str"/>
      <x:c r="U456" s="137" t="str"/>
      <x:c r="V456" s="137" t="str"/>
      <x:c r="W456" s="137" t="str"/>
      <x:c r="X456" s="137" t="str"/>
      <x:c r="Y456" s="199" t="str"/>
    </x:row>
    <x:row r="457">
      <x:c r="A457" s="137" t="str"/>
      <x:c r="B457" s="137" t="str"/>
      <x:c r="C457" s="138" t="str"/>
      <x:c r="D457" s="137" t="str"/>
      <x:c r="E457" s="137" t="str"/>
      <x:c r="F457" s="137" t="str"/>
      <x:c r="G457" s="137" t="str"/>
      <x:c r="H457" s="137" t="str"/>
      <x:c r="I457" s="137" t="str"/>
      <x:c r="J457" s="137" t="str"/>
      <x:c r="K457" s="137" t="str"/>
      <x:c r="L457" s="137" t="str"/>
      <x:c r="M457" s="160" t="str"/>
      <x:c r="N457" s="160" t="str"/>
      <x:c r="O457" s="137" t="str"/>
      <x:c r="P457" s="137" t="str"/>
      <x:c r="Q457" s="137" t="str"/>
      <x:c r="R457" s="137" t="str"/>
      <x:c r="S457" s="138" t="str"/>
      <x:c r="T457" s="137" t="str"/>
      <x:c r="U457" s="137" t="str"/>
      <x:c r="V457" s="137" t="str"/>
      <x:c r="W457" s="137" t="str"/>
      <x:c r="X457" s="137" t="str"/>
      <x:c r="Y457" s="199" t="str"/>
    </x:row>
    <x:row r="458">
      <x:c r="A458" s="137" t="str"/>
      <x:c r="B458" s="137" t="str"/>
      <x:c r="C458" s="138" t="str"/>
      <x:c r="D458" s="137" t="str"/>
      <x:c r="E458" s="137" t="str"/>
      <x:c r="F458" s="137" t="str"/>
      <x:c r="G458" s="137" t="str"/>
      <x:c r="H458" s="137" t="str"/>
      <x:c r="I458" s="137" t="str"/>
      <x:c r="J458" s="137" t="str"/>
      <x:c r="K458" s="137" t="str"/>
      <x:c r="L458" s="137" t="str"/>
      <x:c r="M458" s="160" t="str"/>
      <x:c r="N458" s="160" t="str"/>
      <x:c r="O458" s="137" t="str"/>
      <x:c r="P458" s="137" t="str"/>
      <x:c r="Q458" s="137" t="str"/>
      <x:c r="R458" s="137" t="str"/>
      <x:c r="S458" s="138" t="str"/>
      <x:c r="T458" s="137" t="str"/>
      <x:c r="U458" s="137" t="str"/>
      <x:c r="V458" s="137" t="str"/>
      <x:c r="W458" s="137" t="str"/>
      <x:c r="X458" s="137" t="str"/>
      <x:c r="Y458" s="199" t="str"/>
    </x:row>
    <x:row r="459">
      <x:c r="A459" s="137" t="str"/>
      <x:c r="B459" s="137" t="str"/>
      <x:c r="C459" s="138" t="str"/>
      <x:c r="D459" s="137" t="str"/>
      <x:c r="E459" s="137" t="str"/>
      <x:c r="F459" s="137" t="str"/>
      <x:c r="G459" s="137" t="str"/>
      <x:c r="H459" s="137" t="str"/>
      <x:c r="I459" s="137" t="str"/>
      <x:c r="J459" s="137" t="str"/>
      <x:c r="K459" s="137" t="str"/>
      <x:c r="L459" s="137" t="str"/>
      <x:c r="M459" s="160" t="str"/>
      <x:c r="N459" s="160" t="str"/>
      <x:c r="O459" s="137" t="str"/>
      <x:c r="P459" s="137" t="str"/>
      <x:c r="Q459" s="137" t="str"/>
      <x:c r="R459" s="137" t="str"/>
      <x:c r="S459" s="138" t="str"/>
      <x:c r="T459" s="137" t="str"/>
      <x:c r="U459" s="137" t="str"/>
      <x:c r="V459" s="137" t="str"/>
      <x:c r="W459" s="137" t="str"/>
      <x:c r="X459" s="137" t="str"/>
      <x:c r="Y459" s="199" t="str"/>
    </x:row>
    <x:row r="460">
      <x:c r="A460" s="137" t="str"/>
      <x:c r="B460" s="137" t="str"/>
      <x:c r="C460" s="138" t="str"/>
      <x:c r="D460" s="137" t="str"/>
      <x:c r="E460" s="137" t="str"/>
      <x:c r="F460" s="137" t="str"/>
      <x:c r="G460" s="137" t="str"/>
      <x:c r="H460" s="137" t="str"/>
      <x:c r="I460" s="137" t="str"/>
      <x:c r="J460" s="137" t="str"/>
      <x:c r="K460" s="137" t="str"/>
      <x:c r="L460" s="137" t="str"/>
      <x:c r="M460" s="160" t="str"/>
      <x:c r="N460" s="160" t="str"/>
      <x:c r="O460" s="137" t="str"/>
      <x:c r="P460" s="137" t="str"/>
      <x:c r="Q460" s="137" t="str"/>
      <x:c r="R460" s="137" t="str"/>
      <x:c r="S460" s="138" t="str"/>
      <x:c r="T460" s="137" t="str"/>
      <x:c r="U460" s="137" t="str"/>
      <x:c r="V460" s="137" t="str"/>
      <x:c r="W460" s="137" t="str"/>
      <x:c r="X460" s="137" t="str"/>
      <x:c r="Y460" s="199" t="str"/>
    </x:row>
    <x:row r="461">
      <x:c r="A461" s="137" t="str"/>
      <x:c r="B461" s="137" t="str"/>
      <x:c r="C461" s="138" t="str"/>
      <x:c r="D461" s="137" t="str"/>
      <x:c r="E461" s="137" t="str"/>
      <x:c r="F461" s="137" t="str"/>
      <x:c r="G461" s="137" t="str"/>
      <x:c r="H461" s="137" t="str"/>
      <x:c r="I461" s="137" t="str"/>
      <x:c r="J461" s="137" t="str"/>
      <x:c r="K461" s="137" t="str"/>
      <x:c r="L461" s="137" t="str"/>
      <x:c r="M461" s="160" t="str"/>
      <x:c r="N461" s="160" t="str"/>
      <x:c r="O461" s="137" t="str"/>
      <x:c r="P461" s="137" t="str"/>
      <x:c r="Q461" s="137" t="str"/>
      <x:c r="R461" s="137" t="str"/>
      <x:c r="S461" s="138" t="str"/>
      <x:c r="T461" s="137" t="str"/>
      <x:c r="U461" s="137" t="str"/>
      <x:c r="V461" s="137" t="str"/>
      <x:c r="W461" s="137" t="str"/>
      <x:c r="X461" s="137" t="str"/>
      <x:c r="Y461" s="199" t="str"/>
    </x:row>
    <x:row r="462">
      <x:c r="A462" s="137" t="str"/>
      <x:c r="B462" s="137" t="str"/>
      <x:c r="C462" s="138" t="str"/>
      <x:c r="D462" s="137" t="str"/>
      <x:c r="E462" s="137" t="str"/>
      <x:c r="F462" s="137" t="str"/>
      <x:c r="G462" s="137" t="str"/>
      <x:c r="H462" s="137" t="str"/>
      <x:c r="I462" s="137" t="str"/>
      <x:c r="J462" s="137" t="str"/>
      <x:c r="K462" s="137" t="str"/>
      <x:c r="L462" s="137" t="str"/>
      <x:c r="M462" s="160" t="str"/>
      <x:c r="N462" s="160" t="str"/>
      <x:c r="O462" s="137" t="str"/>
      <x:c r="P462" s="137" t="str"/>
      <x:c r="Q462" s="137" t="str"/>
      <x:c r="R462" s="137" t="str"/>
      <x:c r="S462" s="138" t="str"/>
      <x:c r="T462" s="137" t="str"/>
      <x:c r="U462" s="137" t="str"/>
      <x:c r="V462" s="137" t="str"/>
      <x:c r="W462" s="137" t="str"/>
      <x:c r="X462" s="137" t="str"/>
      <x:c r="Y462" s="199" t="str"/>
    </x:row>
    <x:row r="463">
      <x:c r="A463" s="137" t="str"/>
      <x:c r="B463" s="137" t="str"/>
      <x:c r="C463" s="138" t="str"/>
      <x:c r="D463" s="137" t="str"/>
      <x:c r="E463" s="137" t="str"/>
      <x:c r="F463" s="137" t="str"/>
      <x:c r="G463" s="137" t="str"/>
      <x:c r="H463" s="137" t="str"/>
      <x:c r="I463" s="137" t="str"/>
      <x:c r="J463" s="137" t="str"/>
      <x:c r="K463" s="137" t="str"/>
      <x:c r="L463" s="137" t="str"/>
      <x:c r="M463" s="160" t="str"/>
      <x:c r="N463" s="160" t="str"/>
      <x:c r="O463" s="137" t="str"/>
      <x:c r="P463" s="137" t="str"/>
      <x:c r="Q463" s="137" t="str"/>
      <x:c r="R463" s="137" t="str"/>
      <x:c r="S463" s="138" t="str"/>
      <x:c r="T463" s="137" t="str"/>
      <x:c r="U463" s="137" t="str"/>
      <x:c r="V463" s="137" t="str"/>
      <x:c r="W463" s="137" t="str"/>
      <x:c r="X463" s="137" t="str"/>
      <x:c r="Y463" s="199" t="str"/>
    </x:row>
    <x:row r="464">
      <x:c r="A464" s="137" t="str"/>
      <x:c r="B464" s="137" t="str"/>
      <x:c r="C464" s="138" t="str"/>
      <x:c r="D464" s="137" t="str"/>
      <x:c r="E464" s="137" t="str"/>
      <x:c r="F464" s="137" t="str"/>
      <x:c r="G464" s="137" t="str"/>
      <x:c r="H464" s="137" t="str"/>
      <x:c r="I464" s="137" t="str"/>
      <x:c r="J464" s="137" t="str"/>
      <x:c r="K464" s="137" t="str"/>
      <x:c r="L464" s="137" t="str"/>
      <x:c r="M464" s="160" t="str"/>
      <x:c r="N464" s="160" t="str"/>
      <x:c r="O464" s="137" t="str"/>
      <x:c r="P464" s="137" t="str"/>
      <x:c r="Q464" s="137" t="str"/>
      <x:c r="R464" s="137" t="str"/>
      <x:c r="S464" s="138" t="str"/>
      <x:c r="T464" s="137" t="str"/>
      <x:c r="U464" s="137" t="str"/>
      <x:c r="V464" s="137" t="str"/>
      <x:c r="W464" s="137" t="str"/>
      <x:c r="X464" s="137" t="str"/>
      <x:c r="Y464" s="199" t="str"/>
    </x:row>
    <x:row r="465">
      <x:c r="A465" s="137" t="str"/>
      <x:c r="B465" s="137" t="str"/>
      <x:c r="C465" s="138" t="str"/>
      <x:c r="D465" s="137" t="str"/>
      <x:c r="E465" s="137" t="str"/>
      <x:c r="F465" s="137" t="str"/>
      <x:c r="G465" s="137" t="str"/>
      <x:c r="H465" s="137" t="str"/>
      <x:c r="I465" s="137" t="str"/>
      <x:c r="J465" s="137" t="str"/>
      <x:c r="K465" s="137" t="str"/>
      <x:c r="L465" s="137" t="str"/>
      <x:c r="M465" s="160" t="str"/>
      <x:c r="N465" s="160" t="str"/>
      <x:c r="O465" s="137" t="str"/>
      <x:c r="P465" s="137" t="str"/>
      <x:c r="Q465" s="137" t="str"/>
      <x:c r="R465" s="137" t="str"/>
      <x:c r="S465" s="138" t="str"/>
      <x:c r="T465" s="137" t="str"/>
      <x:c r="U465" s="137" t="str"/>
      <x:c r="V465" s="137" t="str"/>
      <x:c r="W465" s="137" t="str"/>
      <x:c r="X465" s="137" t="str"/>
      <x:c r="Y465" s="199" t="str"/>
    </x:row>
    <x:row r="466">
      <x:c r="A466" s="137" t="str"/>
      <x:c r="B466" s="137" t="str"/>
      <x:c r="C466" s="138" t="str"/>
      <x:c r="D466" s="137" t="str"/>
      <x:c r="E466" s="137" t="str"/>
      <x:c r="F466" s="137" t="str"/>
      <x:c r="G466" s="137" t="str"/>
      <x:c r="H466" s="137" t="str"/>
      <x:c r="I466" s="137" t="str"/>
      <x:c r="J466" s="137" t="str"/>
      <x:c r="K466" s="137" t="str"/>
      <x:c r="L466" s="137" t="str"/>
      <x:c r="M466" s="160" t="str"/>
      <x:c r="N466" s="160" t="str"/>
      <x:c r="O466" s="137" t="str"/>
      <x:c r="P466" s="137" t="str"/>
      <x:c r="Q466" s="137" t="str"/>
      <x:c r="R466" s="137" t="str"/>
      <x:c r="S466" s="138" t="str"/>
      <x:c r="T466" s="137" t="str"/>
      <x:c r="U466" s="137" t="str"/>
      <x:c r="V466" s="137" t="str"/>
      <x:c r="W466" s="137" t="str"/>
      <x:c r="X466" s="137" t="str"/>
      <x:c r="Y466" s="199" t="str"/>
    </x:row>
    <x:row r="467">
      <x:c r="A467" s="137" t="str"/>
      <x:c r="B467" s="137" t="str"/>
      <x:c r="C467" s="138" t="str"/>
      <x:c r="D467" s="137" t="str"/>
      <x:c r="E467" s="137" t="str"/>
      <x:c r="F467" s="137" t="str"/>
      <x:c r="G467" s="137" t="str"/>
      <x:c r="H467" s="137" t="str"/>
      <x:c r="I467" s="137" t="str"/>
      <x:c r="J467" s="137" t="str"/>
      <x:c r="K467" s="137" t="str"/>
      <x:c r="L467" s="137" t="str"/>
      <x:c r="M467" s="160" t="str"/>
      <x:c r="N467" s="160" t="str"/>
      <x:c r="O467" s="137" t="str"/>
      <x:c r="P467" s="137" t="str"/>
      <x:c r="Q467" s="137" t="str"/>
      <x:c r="R467" s="137" t="str"/>
      <x:c r="S467" s="138" t="str"/>
      <x:c r="T467" s="137" t="str"/>
      <x:c r="U467" s="137" t="str"/>
      <x:c r="V467" s="137" t="str"/>
      <x:c r="W467" s="137" t="str"/>
      <x:c r="X467" s="137" t="str"/>
      <x:c r="Y467" s="199" t="str"/>
    </x:row>
    <x:row r="468">
      <x:c r="A468" s="137" t="str"/>
      <x:c r="B468" s="137" t="str"/>
      <x:c r="C468" s="138" t="str"/>
      <x:c r="D468" s="137" t="str"/>
      <x:c r="E468" s="137" t="str"/>
      <x:c r="F468" s="137" t="str"/>
      <x:c r="G468" s="137" t="str"/>
      <x:c r="H468" s="137" t="str"/>
      <x:c r="I468" s="137" t="str"/>
      <x:c r="J468" s="137" t="str"/>
      <x:c r="K468" s="137" t="str"/>
      <x:c r="L468" s="137" t="str"/>
      <x:c r="M468" s="160" t="str"/>
      <x:c r="N468" s="160" t="str"/>
      <x:c r="O468" s="137" t="str"/>
      <x:c r="P468" s="137" t="str"/>
      <x:c r="Q468" s="137" t="str"/>
      <x:c r="R468" s="137" t="str"/>
      <x:c r="S468" s="138" t="str"/>
      <x:c r="T468" s="137" t="str"/>
      <x:c r="U468" s="137" t="str"/>
      <x:c r="V468" s="137" t="str"/>
      <x:c r="W468" s="137" t="str"/>
      <x:c r="X468" s="137" t="str"/>
      <x:c r="Y468" s="199" t="str"/>
    </x:row>
    <x:row r="469">
      <x:c r="A469" s="137" t="str"/>
      <x:c r="B469" s="137" t="str"/>
      <x:c r="C469" s="138" t="str"/>
      <x:c r="D469" s="137" t="str"/>
      <x:c r="E469" s="137" t="str"/>
      <x:c r="F469" s="137" t="str"/>
      <x:c r="G469" s="137" t="str"/>
      <x:c r="H469" s="137" t="str"/>
      <x:c r="I469" s="137" t="str"/>
      <x:c r="J469" s="137" t="str"/>
      <x:c r="K469" s="137" t="str"/>
      <x:c r="L469" s="137" t="str"/>
      <x:c r="M469" s="160" t="str"/>
      <x:c r="N469" s="160" t="str"/>
      <x:c r="O469" s="137" t="str"/>
      <x:c r="P469" s="137" t="str"/>
      <x:c r="Q469" s="137" t="str"/>
      <x:c r="R469" s="137" t="str"/>
      <x:c r="S469" s="138" t="str"/>
      <x:c r="T469" s="137" t="str"/>
      <x:c r="U469" s="137" t="str"/>
      <x:c r="V469" s="137" t="str"/>
      <x:c r="W469" s="137" t="str"/>
      <x:c r="X469" s="137" t="str"/>
      <x:c r="Y469" s="199" t="str"/>
    </x:row>
    <x:row r="470">
      <x:c r="A470" s="137" t="str"/>
      <x:c r="B470" s="137" t="str"/>
      <x:c r="C470" s="138" t="str"/>
      <x:c r="D470" s="137" t="str"/>
      <x:c r="E470" s="137" t="str"/>
      <x:c r="F470" s="137" t="str"/>
      <x:c r="G470" s="137" t="str"/>
      <x:c r="H470" s="137" t="str"/>
      <x:c r="I470" s="137" t="str"/>
      <x:c r="J470" s="137" t="str"/>
      <x:c r="K470" s="137" t="str"/>
      <x:c r="L470" s="137" t="str"/>
      <x:c r="M470" s="160" t="str"/>
      <x:c r="N470" s="160" t="str"/>
      <x:c r="O470" s="137" t="str"/>
      <x:c r="P470" s="137" t="str"/>
      <x:c r="Q470" s="137" t="str"/>
      <x:c r="R470" s="137" t="str"/>
      <x:c r="S470" s="138" t="str"/>
      <x:c r="T470" s="137" t="str"/>
      <x:c r="U470" s="137" t="str"/>
      <x:c r="V470" s="137" t="str"/>
      <x:c r="W470" s="137" t="str"/>
      <x:c r="X470" s="137" t="str"/>
      <x:c r="Y470" s="199" t="str"/>
    </x:row>
    <x:row r="471">
      <x:c r="A471" s="137" t="str"/>
      <x:c r="B471" s="137" t="str"/>
      <x:c r="C471" s="138" t="str"/>
      <x:c r="D471" s="137" t="str"/>
      <x:c r="E471" s="137" t="str"/>
      <x:c r="F471" s="137" t="str"/>
      <x:c r="G471" s="137" t="str"/>
      <x:c r="H471" s="137" t="str"/>
      <x:c r="I471" s="137" t="str"/>
      <x:c r="J471" s="137" t="str"/>
      <x:c r="K471" s="137" t="str"/>
      <x:c r="L471" s="137" t="str"/>
      <x:c r="M471" s="160" t="str"/>
      <x:c r="N471" s="160" t="str"/>
      <x:c r="O471" s="137" t="str"/>
      <x:c r="P471" s="137" t="str"/>
      <x:c r="Q471" s="137" t="str"/>
      <x:c r="R471" s="137" t="str"/>
      <x:c r="S471" s="138" t="str"/>
      <x:c r="T471" s="137" t="str"/>
      <x:c r="U471" s="137" t="str"/>
      <x:c r="V471" s="137" t="str"/>
      <x:c r="W471" s="137" t="str"/>
      <x:c r="X471" s="137" t="str"/>
      <x:c r="Y471" s="199" t="str"/>
    </x:row>
    <x:row r="472">
      <x:c r="A472" s="137" t="str"/>
      <x:c r="B472" s="137" t="str"/>
      <x:c r="C472" s="138" t="str"/>
      <x:c r="D472" s="137" t="str"/>
      <x:c r="E472" s="137" t="str"/>
      <x:c r="F472" s="137" t="str"/>
      <x:c r="G472" s="137" t="str"/>
      <x:c r="H472" s="137" t="str"/>
      <x:c r="I472" s="137" t="str"/>
      <x:c r="J472" s="137" t="str"/>
      <x:c r="K472" s="137" t="str"/>
      <x:c r="L472" s="137" t="str"/>
      <x:c r="M472" s="160" t="str"/>
      <x:c r="N472" s="160" t="str"/>
      <x:c r="O472" s="137" t="str"/>
      <x:c r="P472" s="137" t="str"/>
      <x:c r="Q472" s="137" t="str"/>
      <x:c r="R472" s="137" t="str"/>
      <x:c r="S472" s="138" t="str"/>
      <x:c r="T472" s="137" t="str"/>
      <x:c r="U472" s="137" t="str"/>
      <x:c r="V472" s="137" t="str"/>
      <x:c r="W472" s="137" t="str"/>
      <x:c r="X472" s="137" t="str"/>
      <x:c r="Y472" s="199" t="str"/>
    </x:row>
    <x:row r="473">
      <x:c r="A473" s="137" t="str"/>
      <x:c r="B473" s="137" t="str"/>
      <x:c r="C473" s="138" t="str"/>
      <x:c r="D473" s="137" t="str"/>
      <x:c r="E473" s="137" t="str"/>
      <x:c r="F473" s="137" t="str"/>
      <x:c r="G473" s="137" t="str"/>
      <x:c r="H473" s="137" t="str"/>
      <x:c r="I473" s="137" t="str"/>
      <x:c r="J473" s="137" t="str"/>
      <x:c r="K473" s="137" t="str"/>
      <x:c r="L473" s="137" t="str"/>
      <x:c r="M473" s="160" t="str"/>
      <x:c r="N473" s="160" t="str"/>
      <x:c r="O473" s="137" t="str"/>
      <x:c r="P473" s="137" t="str"/>
      <x:c r="Q473" s="137" t="str"/>
      <x:c r="R473" s="137" t="str"/>
      <x:c r="S473" s="138" t="str"/>
      <x:c r="T473" s="137" t="str"/>
      <x:c r="U473" s="137" t="str"/>
      <x:c r="V473" s="137" t="str"/>
      <x:c r="W473" s="137" t="str"/>
      <x:c r="X473" s="137" t="str"/>
      <x:c r="Y473" s="199" t="str"/>
    </x:row>
    <x:row r="474">
      <x:c r="A474" s="137" t="str"/>
      <x:c r="B474" s="137" t="str"/>
      <x:c r="C474" s="138" t="str"/>
      <x:c r="D474" s="137" t="str"/>
      <x:c r="E474" s="137" t="str"/>
      <x:c r="F474" s="137" t="str"/>
      <x:c r="G474" s="137" t="str"/>
      <x:c r="H474" s="137" t="str"/>
      <x:c r="I474" s="137" t="str"/>
      <x:c r="J474" s="137" t="str"/>
      <x:c r="K474" s="137" t="str"/>
      <x:c r="L474" s="137" t="str"/>
      <x:c r="M474" s="160" t="str"/>
      <x:c r="N474" s="160" t="str"/>
      <x:c r="O474" s="137" t="str"/>
      <x:c r="P474" s="137" t="str"/>
      <x:c r="Q474" s="137" t="str"/>
      <x:c r="R474" s="137" t="str"/>
      <x:c r="S474" s="138" t="str"/>
      <x:c r="T474" s="137" t="str"/>
      <x:c r="U474" s="137" t="str"/>
      <x:c r="V474" s="137" t="str"/>
      <x:c r="W474" s="137" t="str"/>
      <x:c r="X474" s="137" t="str"/>
      <x:c r="Y474" s="199" t="str"/>
    </x:row>
    <x:row r="475">
      <x:c r="A475" s="137" t="str"/>
      <x:c r="B475" s="137" t="str"/>
      <x:c r="C475" s="138" t="str"/>
      <x:c r="D475" s="137" t="str"/>
      <x:c r="E475" s="137" t="str"/>
      <x:c r="F475" s="137" t="str"/>
      <x:c r="G475" s="137" t="str"/>
      <x:c r="H475" s="137" t="str"/>
      <x:c r="I475" s="137" t="str"/>
      <x:c r="J475" s="137" t="str"/>
      <x:c r="K475" s="137" t="str"/>
      <x:c r="L475" s="137" t="str"/>
      <x:c r="M475" s="160" t="str"/>
      <x:c r="N475" s="160" t="str"/>
      <x:c r="O475" s="137" t="str"/>
      <x:c r="P475" s="137" t="str"/>
      <x:c r="Q475" s="137" t="str"/>
      <x:c r="R475" s="137" t="str"/>
      <x:c r="S475" s="138" t="str"/>
      <x:c r="T475" s="137" t="str"/>
      <x:c r="U475" s="137" t="str"/>
      <x:c r="V475" s="137" t="str"/>
      <x:c r="W475" s="137" t="str"/>
      <x:c r="X475" s="137" t="str"/>
      <x:c r="Y475" s="199" t="str"/>
    </x:row>
    <x:row r="476">
      <x:c r="A476" s="137" t="str"/>
      <x:c r="B476" s="137" t="str"/>
      <x:c r="C476" s="138" t="str"/>
      <x:c r="D476" s="137" t="str"/>
      <x:c r="E476" s="137" t="str"/>
      <x:c r="F476" s="137" t="str"/>
      <x:c r="G476" s="137" t="str"/>
      <x:c r="H476" s="137" t="str"/>
      <x:c r="I476" s="137" t="str"/>
      <x:c r="J476" s="137" t="str"/>
      <x:c r="K476" s="137" t="str"/>
      <x:c r="L476" s="137" t="str"/>
      <x:c r="M476" s="160" t="str"/>
      <x:c r="N476" s="160" t="str"/>
      <x:c r="O476" s="137" t="str"/>
      <x:c r="P476" s="137" t="str"/>
      <x:c r="Q476" s="137" t="str"/>
      <x:c r="R476" s="137" t="str"/>
      <x:c r="S476" s="138" t="str"/>
      <x:c r="T476" s="137" t="str"/>
      <x:c r="U476" s="137" t="str"/>
      <x:c r="V476" s="137" t="str"/>
      <x:c r="W476" s="137" t="str"/>
      <x:c r="X476" s="137" t="str"/>
      <x:c r="Y476" s="199" t="str"/>
    </x:row>
    <x:row r="477">
      <x:c r="A477" s="137" t="str"/>
      <x:c r="B477" s="137" t="str"/>
      <x:c r="C477" s="138" t="str"/>
      <x:c r="D477" s="137" t="str"/>
      <x:c r="E477" s="137" t="str"/>
      <x:c r="F477" s="137" t="str"/>
      <x:c r="G477" s="137" t="str"/>
      <x:c r="H477" s="137" t="str"/>
      <x:c r="I477" s="137" t="str"/>
      <x:c r="J477" s="137" t="str"/>
      <x:c r="K477" s="137" t="str"/>
      <x:c r="L477" s="137" t="str"/>
      <x:c r="M477" s="160" t="str"/>
      <x:c r="N477" s="160" t="str"/>
      <x:c r="O477" s="137" t="str"/>
      <x:c r="P477" s="137" t="str"/>
      <x:c r="Q477" s="137" t="str"/>
      <x:c r="R477" s="137" t="str"/>
      <x:c r="S477" s="138" t="str"/>
      <x:c r="T477" s="137" t="str"/>
      <x:c r="U477" s="137" t="str"/>
      <x:c r="V477" s="137" t="str"/>
      <x:c r="W477" s="137" t="str"/>
      <x:c r="X477" s="137" t="str"/>
      <x:c r="Y477" s="199" t="str"/>
    </x:row>
    <x:row r="478">
      <x:c r="A478" s="137" t="str"/>
      <x:c r="B478" s="137" t="str"/>
      <x:c r="C478" s="138" t="str"/>
      <x:c r="D478" s="137" t="str"/>
      <x:c r="E478" s="137" t="str"/>
      <x:c r="F478" s="137" t="str"/>
      <x:c r="G478" s="137" t="str"/>
      <x:c r="H478" s="137" t="str"/>
      <x:c r="I478" s="137" t="str"/>
      <x:c r="J478" s="137" t="str"/>
      <x:c r="K478" s="137" t="str"/>
      <x:c r="L478" s="137" t="str"/>
      <x:c r="M478" s="160" t="str"/>
      <x:c r="N478" s="160" t="str"/>
      <x:c r="O478" s="137" t="str"/>
      <x:c r="P478" s="137" t="str"/>
      <x:c r="Q478" s="137" t="str"/>
      <x:c r="R478" s="137" t="str"/>
      <x:c r="S478" s="138" t="str"/>
      <x:c r="T478" s="137" t="str"/>
      <x:c r="U478" s="137" t="str"/>
      <x:c r="V478" s="137" t="str"/>
      <x:c r="W478" s="137" t="str"/>
      <x:c r="X478" s="137" t="str"/>
      <x:c r="Y478" s="199" t="str"/>
    </x:row>
    <x:row r="479">
      <x:c r="A479" s="137" t="str"/>
      <x:c r="B479" s="137" t="str"/>
      <x:c r="C479" s="138" t="str"/>
      <x:c r="D479" s="137" t="str"/>
      <x:c r="E479" s="137" t="str"/>
      <x:c r="F479" s="137" t="str"/>
      <x:c r="G479" s="137" t="str"/>
      <x:c r="H479" s="137" t="str"/>
      <x:c r="I479" s="137" t="str"/>
      <x:c r="J479" s="137" t="str"/>
      <x:c r="K479" s="137" t="str"/>
      <x:c r="L479" s="137" t="str"/>
      <x:c r="M479" s="160" t="str"/>
      <x:c r="N479" s="160" t="str"/>
      <x:c r="O479" s="137" t="str"/>
      <x:c r="P479" s="137" t="str"/>
      <x:c r="Q479" s="137" t="str"/>
      <x:c r="R479" s="137" t="str"/>
      <x:c r="S479" s="138" t="str"/>
      <x:c r="T479" s="137" t="str"/>
      <x:c r="U479" s="137" t="str"/>
      <x:c r="V479" s="137" t="str"/>
      <x:c r="W479" s="137" t="str"/>
      <x:c r="X479" s="137" t="str"/>
      <x:c r="Y479" s="199" t="str"/>
    </x:row>
    <x:row r="480">
      <x:c r="A480" s="137" t="str"/>
      <x:c r="B480" s="137" t="str"/>
      <x:c r="C480" s="138" t="str"/>
      <x:c r="D480" s="137" t="str"/>
      <x:c r="E480" s="137" t="str"/>
      <x:c r="F480" s="137" t="str"/>
      <x:c r="G480" s="137" t="str"/>
      <x:c r="H480" s="137" t="str"/>
      <x:c r="I480" s="137" t="str"/>
      <x:c r="J480" s="137" t="str"/>
      <x:c r="K480" s="137" t="str"/>
      <x:c r="L480" s="137" t="str"/>
      <x:c r="M480" s="160" t="str"/>
      <x:c r="N480" s="160" t="str"/>
      <x:c r="O480" s="137" t="str"/>
      <x:c r="P480" s="137" t="str"/>
      <x:c r="Q480" s="137" t="str"/>
      <x:c r="R480" s="137" t="str"/>
      <x:c r="S480" s="138" t="str"/>
      <x:c r="T480" s="137" t="str"/>
      <x:c r="U480" s="137" t="str"/>
      <x:c r="V480" s="137" t="str"/>
      <x:c r="W480" s="137" t="str"/>
      <x:c r="X480" s="137" t="str"/>
      <x:c r="Y480" s="199" t="str"/>
    </x:row>
    <x:row r="481">
      <x:c r="A481" s="137" t="str"/>
      <x:c r="B481" s="137" t="str"/>
      <x:c r="C481" s="138" t="str"/>
      <x:c r="D481" s="137" t="str"/>
      <x:c r="E481" s="137" t="str"/>
      <x:c r="F481" s="137" t="str"/>
      <x:c r="G481" s="137" t="str"/>
      <x:c r="H481" s="137" t="str"/>
      <x:c r="I481" s="137" t="str"/>
      <x:c r="J481" s="137" t="str"/>
      <x:c r="K481" s="137" t="str"/>
      <x:c r="L481" s="137" t="str"/>
      <x:c r="M481" s="160" t="str"/>
      <x:c r="N481" s="160" t="str"/>
      <x:c r="O481" s="137" t="str"/>
      <x:c r="P481" s="137" t="str"/>
      <x:c r="Q481" s="137" t="str"/>
      <x:c r="R481" s="137" t="str"/>
      <x:c r="S481" s="138" t="str"/>
      <x:c r="T481" s="137" t="str"/>
      <x:c r="U481" s="137" t="str"/>
      <x:c r="V481" s="137" t="str"/>
      <x:c r="W481" s="137" t="str"/>
      <x:c r="X481" s="137" t="str"/>
      <x:c r="Y481" s="199" t="str"/>
    </x:row>
    <x:row r="482">
      <x:c r="A482" s="137" t="str"/>
      <x:c r="B482" s="137" t="str"/>
      <x:c r="C482" s="138" t="str"/>
      <x:c r="D482" s="137" t="str"/>
      <x:c r="E482" s="137" t="str"/>
      <x:c r="F482" s="137" t="str"/>
      <x:c r="G482" s="137" t="str"/>
      <x:c r="H482" s="137" t="str"/>
      <x:c r="I482" s="137" t="str"/>
      <x:c r="J482" s="137" t="str"/>
      <x:c r="K482" s="137" t="str"/>
      <x:c r="L482" s="137" t="str"/>
      <x:c r="M482" s="160" t="str"/>
      <x:c r="N482" s="160" t="str"/>
      <x:c r="O482" s="137" t="str"/>
      <x:c r="P482" s="137" t="str"/>
      <x:c r="Q482" s="137" t="str"/>
      <x:c r="R482" s="137" t="str"/>
      <x:c r="S482" s="138" t="str"/>
      <x:c r="T482" s="137" t="str"/>
      <x:c r="U482" s="137" t="str"/>
      <x:c r="V482" s="137" t="str"/>
      <x:c r="W482" s="137" t="str"/>
      <x:c r="X482" s="137" t="str"/>
      <x:c r="Y482" s="199" t="str"/>
    </x:row>
    <x:row r="483">
      <x:c r="A483" s="137" t="str"/>
      <x:c r="B483" s="137" t="str"/>
      <x:c r="C483" s="138" t="str"/>
      <x:c r="D483" s="137" t="str"/>
      <x:c r="E483" s="137" t="str"/>
      <x:c r="F483" s="137" t="str"/>
      <x:c r="G483" s="137" t="str"/>
      <x:c r="H483" s="137" t="str"/>
      <x:c r="I483" s="137" t="str"/>
      <x:c r="J483" s="137" t="str"/>
      <x:c r="K483" s="137" t="str"/>
      <x:c r="L483" s="137" t="str"/>
      <x:c r="M483" s="160" t="str"/>
      <x:c r="N483" s="160" t="str"/>
      <x:c r="O483" s="137" t="str"/>
      <x:c r="P483" s="137" t="str"/>
      <x:c r="Q483" s="137" t="str"/>
      <x:c r="R483" s="137" t="str"/>
      <x:c r="S483" s="138" t="str"/>
      <x:c r="T483" s="137" t="str"/>
      <x:c r="U483" s="137" t="str"/>
      <x:c r="V483" s="137" t="str"/>
      <x:c r="W483" s="137" t="str"/>
      <x:c r="X483" s="137" t="str"/>
      <x:c r="Y483" s="199" t="str"/>
    </x:row>
    <x:row r="484">
      <x:c r="A484" s="137" t="str"/>
      <x:c r="B484" s="137" t="str"/>
      <x:c r="C484" s="138" t="str"/>
      <x:c r="D484" s="137" t="str"/>
      <x:c r="E484" s="137" t="str"/>
      <x:c r="F484" s="137" t="str"/>
      <x:c r="G484" s="137" t="str"/>
      <x:c r="H484" s="137" t="str"/>
      <x:c r="I484" s="137" t="str"/>
      <x:c r="J484" s="137" t="str"/>
      <x:c r="K484" s="137" t="str"/>
      <x:c r="L484" s="137" t="str"/>
      <x:c r="M484" s="160" t="str"/>
      <x:c r="N484" s="160" t="str"/>
      <x:c r="O484" s="137" t="str"/>
      <x:c r="P484" s="137" t="str"/>
      <x:c r="Q484" s="137" t="str"/>
      <x:c r="R484" s="137" t="str"/>
      <x:c r="S484" s="138" t="str"/>
      <x:c r="T484" s="137" t="str"/>
      <x:c r="U484" s="137" t="str"/>
      <x:c r="V484" s="137" t="str"/>
      <x:c r="W484" s="137" t="str"/>
      <x:c r="X484" s="137" t="str"/>
      <x:c r="Y484" s="199" t="str"/>
    </x:row>
    <x:row r="485">
      <x:c r="A485" s="137" t="str"/>
      <x:c r="B485" s="137" t="str"/>
      <x:c r="C485" s="138" t="str"/>
      <x:c r="D485" s="137" t="str"/>
      <x:c r="E485" s="137" t="str"/>
      <x:c r="F485" s="137" t="str"/>
      <x:c r="G485" s="137" t="str"/>
      <x:c r="H485" s="137" t="str"/>
      <x:c r="I485" s="137" t="str"/>
      <x:c r="J485" s="137" t="str"/>
      <x:c r="K485" s="137" t="str"/>
      <x:c r="L485" s="137" t="str"/>
      <x:c r="M485" s="160" t="str"/>
      <x:c r="N485" s="160" t="str"/>
      <x:c r="O485" s="137" t="str"/>
      <x:c r="P485" s="137" t="str"/>
      <x:c r="Q485" s="137" t="str"/>
      <x:c r="R485" s="137" t="str"/>
      <x:c r="S485" s="138" t="str"/>
      <x:c r="T485" s="137" t="str"/>
      <x:c r="U485" s="137" t="str"/>
      <x:c r="V485" s="137" t="str"/>
      <x:c r="W485" s="137" t="str"/>
      <x:c r="X485" s="137" t="str"/>
      <x:c r="Y485" s="199" t="str"/>
    </x:row>
    <x:row r="486">
      <x:c r="A486" s="137" t="str"/>
      <x:c r="B486" s="137" t="str"/>
      <x:c r="C486" s="138" t="str"/>
      <x:c r="D486" s="137" t="str"/>
      <x:c r="E486" s="137" t="str"/>
      <x:c r="F486" s="137" t="str"/>
      <x:c r="G486" s="137" t="str"/>
      <x:c r="H486" s="137" t="str"/>
      <x:c r="I486" s="137" t="str"/>
      <x:c r="J486" s="137" t="str"/>
      <x:c r="K486" s="137" t="str"/>
      <x:c r="L486" s="137" t="str"/>
      <x:c r="M486" s="160" t="str"/>
      <x:c r="N486" s="160" t="str"/>
      <x:c r="O486" s="137" t="str"/>
      <x:c r="P486" s="137" t="str"/>
      <x:c r="Q486" s="137" t="str"/>
      <x:c r="R486" s="137" t="str"/>
      <x:c r="S486" s="138" t="str"/>
      <x:c r="T486" s="137" t="str"/>
      <x:c r="U486" s="137" t="str"/>
      <x:c r="V486" s="137" t="str"/>
      <x:c r="W486" s="137" t="str"/>
      <x:c r="X486" s="137" t="str"/>
      <x:c r="Y486" s="199" t="str"/>
    </x:row>
    <x:row r="487">
      <x:c r="A487" s="137" t="str"/>
      <x:c r="B487" s="137" t="str"/>
      <x:c r="C487" s="138" t="str"/>
      <x:c r="D487" s="137" t="str"/>
      <x:c r="E487" s="137" t="str"/>
      <x:c r="F487" s="137" t="str"/>
      <x:c r="G487" s="137" t="str"/>
      <x:c r="H487" s="137" t="str"/>
      <x:c r="I487" s="137" t="str"/>
      <x:c r="J487" s="137" t="str"/>
      <x:c r="K487" s="137" t="str"/>
      <x:c r="L487" s="137" t="str"/>
      <x:c r="M487" s="160" t="str"/>
      <x:c r="N487" s="160" t="str"/>
      <x:c r="O487" s="137" t="str"/>
      <x:c r="P487" s="137" t="str"/>
      <x:c r="Q487" s="137" t="str"/>
      <x:c r="R487" s="137" t="str"/>
      <x:c r="S487" s="138" t="str"/>
      <x:c r="T487" s="137" t="str"/>
      <x:c r="U487" s="137" t="str"/>
      <x:c r="V487" s="137" t="str"/>
      <x:c r="W487" s="137" t="str"/>
      <x:c r="X487" s="137" t="str"/>
      <x:c r="Y487" s="199" t="str"/>
    </x:row>
    <x:row r="488">
      <x:c r="A488" s="137" t="str"/>
      <x:c r="B488" s="137" t="str"/>
      <x:c r="C488" s="138" t="str"/>
      <x:c r="D488" s="137" t="str"/>
      <x:c r="E488" s="137" t="str"/>
      <x:c r="F488" s="137" t="str"/>
      <x:c r="G488" s="137" t="str"/>
      <x:c r="H488" s="137" t="str"/>
      <x:c r="I488" s="137" t="str"/>
      <x:c r="J488" s="137" t="str"/>
      <x:c r="K488" s="137" t="str"/>
      <x:c r="L488" s="137" t="str"/>
      <x:c r="M488" s="160" t="str"/>
      <x:c r="N488" s="160" t="str"/>
      <x:c r="O488" s="137" t="str"/>
      <x:c r="P488" s="137" t="str"/>
      <x:c r="Q488" s="137" t="str"/>
      <x:c r="R488" s="137" t="str"/>
      <x:c r="S488" s="138" t="str"/>
      <x:c r="T488" s="137" t="str"/>
      <x:c r="U488" s="137" t="str"/>
      <x:c r="V488" s="137" t="str"/>
      <x:c r="W488" s="137" t="str"/>
      <x:c r="X488" s="137" t="str"/>
      <x:c r="Y488" s="199" t="str"/>
    </x:row>
    <x:row r="489">
      <x:c r="A489" s="137" t="str"/>
      <x:c r="B489" s="137" t="str"/>
      <x:c r="C489" s="138" t="str"/>
      <x:c r="D489" s="137" t="str"/>
      <x:c r="E489" s="137" t="str"/>
      <x:c r="F489" s="137" t="str"/>
      <x:c r="G489" s="137" t="str"/>
      <x:c r="H489" s="137" t="str"/>
      <x:c r="I489" s="137" t="str"/>
      <x:c r="J489" s="137" t="str"/>
      <x:c r="K489" s="137" t="str"/>
      <x:c r="L489" s="137" t="str"/>
      <x:c r="M489" s="160" t="str"/>
      <x:c r="N489" s="160" t="str"/>
      <x:c r="O489" s="137" t="str"/>
      <x:c r="P489" s="137" t="str"/>
      <x:c r="Q489" s="137" t="str"/>
      <x:c r="R489" s="137" t="str"/>
      <x:c r="S489" s="138" t="str"/>
      <x:c r="T489" s="137" t="str"/>
      <x:c r="U489" s="137" t="str"/>
      <x:c r="V489" s="137" t="str"/>
      <x:c r="W489" s="137" t="str"/>
      <x:c r="X489" s="137" t="str"/>
      <x:c r="Y489" s="199" t="str"/>
    </x:row>
    <x:row r="490">
      <x:c r="A490" s="137" t="str"/>
      <x:c r="B490" s="137" t="str"/>
      <x:c r="C490" s="138" t="str"/>
      <x:c r="D490" s="137" t="str"/>
      <x:c r="E490" s="137" t="str"/>
      <x:c r="F490" s="137" t="str"/>
      <x:c r="G490" s="137" t="str"/>
      <x:c r="H490" s="137" t="str"/>
      <x:c r="I490" s="137" t="str"/>
      <x:c r="J490" s="137" t="str"/>
      <x:c r="K490" s="137" t="str"/>
      <x:c r="L490" s="137" t="str"/>
      <x:c r="M490" s="160" t="str"/>
      <x:c r="N490" s="160" t="str"/>
      <x:c r="O490" s="137" t="str"/>
      <x:c r="P490" s="137" t="str"/>
      <x:c r="Q490" s="137" t="str"/>
      <x:c r="R490" s="137" t="str"/>
      <x:c r="S490" s="138" t="str"/>
      <x:c r="T490" s="137" t="str"/>
      <x:c r="U490" s="137" t="str"/>
      <x:c r="V490" s="137" t="str"/>
      <x:c r="W490" s="137" t="str"/>
      <x:c r="X490" s="137" t="str"/>
      <x:c r="Y490" s="199" t="str"/>
    </x:row>
    <x:row r="491">
      <x:c r="A491" s="137" t="str"/>
      <x:c r="B491" s="137" t="str"/>
      <x:c r="C491" s="138" t="str"/>
      <x:c r="D491" s="137" t="str"/>
      <x:c r="E491" s="137" t="str"/>
      <x:c r="F491" s="137" t="str"/>
      <x:c r="G491" s="137" t="str"/>
      <x:c r="H491" s="137" t="str"/>
      <x:c r="I491" s="137" t="str"/>
      <x:c r="J491" s="137" t="str"/>
      <x:c r="K491" s="137" t="str"/>
      <x:c r="L491" s="137" t="str"/>
      <x:c r="M491" s="160" t="str"/>
      <x:c r="N491" s="160" t="str"/>
      <x:c r="O491" s="137" t="str"/>
      <x:c r="P491" s="137" t="str"/>
      <x:c r="Q491" s="137" t="str"/>
      <x:c r="R491" s="137" t="str"/>
      <x:c r="S491" s="138" t="str"/>
      <x:c r="T491" s="137" t="str"/>
      <x:c r="U491" s="137" t="str"/>
      <x:c r="V491" s="137" t="str"/>
      <x:c r="W491" s="137" t="str"/>
      <x:c r="X491" s="137" t="str"/>
      <x:c r="Y491" s="199" t="str"/>
    </x:row>
    <x:row r="492">
      <x:c r="A492" s="137" t="str"/>
      <x:c r="B492" s="137" t="str"/>
      <x:c r="C492" s="138" t="str"/>
      <x:c r="D492" s="137" t="str"/>
      <x:c r="E492" s="137" t="str"/>
      <x:c r="F492" s="137" t="str"/>
      <x:c r="G492" s="137" t="str"/>
      <x:c r="H492" s="137" t="str"/>
      <x:c r="I492" s="137" t="str"/>
      <x:c r="J492" s="137" t="str"/>
      <x:c r="K492" s="137" t="str"/>
      <x:c r="L492" s="137" t="str"/>
      <x:c r="M492" s="160" t="str"/>
      <x:c r="N492" s="160" t="str"/>
      <x:c r="O492" s="137" t="str"/>
      <x:c r="P492" s="137" t="str"/>
      <x:c r="Q492" s="137" t="str"/>
      <x:c r="R492" s="137" t="str"/>
      <x:c r="S492" s="138" t="str"/>
      <x:c r="T492" s="137" t="str"/>
      <x:c r="U492" s="137" t="str"/>
      <x:c r="V492" s="137" t="str"/>
      <x:c r="W492" s="137" t="str"/>
      <x:c r="X492" s="137" t="str"/>
      <x:c r="Y492" s="199" t="str"/>
    </x:row>
    <x:row r="493">
      <x:c r="A493" s="137" t="str"/>
      <x:c r="B493" s="137" t="str"/>
      <x:c r="C493" s="138" t="str"/>
      <x:c r="D493" s="137" t="str"/>
      <x:c r="E493" s="137" t="str"/>
      <x:c r="F493" s="137" t="str"/>
      <x:c r="G493" s="137" t="str"/>
      <x:c r="H493" s="137" t="str"/>
      <x:c r="I493" s="137" t="str"/>
      <x:c r="J493" s="137" t="str"/>
      <x:c r="K493" s="137" t="str"/>
      <x:c r="L493" s="137" t="str"/>
      <x:c r="M493" s="160" t="str"/>
      <x:c r="N493" s="160" t="str"/>
      <x:c r="O493" s="137" t="str"/>
      <x:c r="P493" s="137" t="str"/>
      <x:c r="Q493" s="137" t="str"/>
      <x:c r="R493" s="137" t="str"/>
      <x:c r="S493" s="138" t="str"/>
      <x:c r="T493" s="137" t="str"/>
      <x:c r="U493" s="137" t="str"/>
      <x:c r="V493" s="137" t="str"/>
      <x:c r="W493" s="137" t="str"/>
      <x:c r="X493" s="137" t="str"/>
      <x:c r="Y493" s="199" t="str"/>
    </x:row>
    <x:row r="494">
      <x:c r="A494" s="137" t="str"/>
      <x:c r="B494" s="137" t="str"/>
      <x:c r="C494" s="138" t="str"/>
      <x:c r="D494" s="137" t="str"/>
      <x:c r="E494" s="137" t="str"/>
      <x:c r="F494" s="137" t="str"/>
      <x:c r="G494" s="137" t="str"/>
      <x:c r="H494" s="137" t="str"/>
      <x:c r="I494" s="137" t="str"/>
      <x:c r="J494" s="137" t="str"/>
      <x:c r="K494" s="137" t="str"/>
      <x:c r="L494" s="137" t="str"/>
      <x:c r="M494" s="160" t="str"/>
      <x:c r="N494" s="160" t="str"/>
      <x:c r="O494" s="137" t="str"/>
      <x:c r="P494" s="137" t="str"/>
      <x:c r="Q494" s="137" t="str"/>
      <x:c r="R494" s="137" t="str"/>
      <x:c r="S494" s="138" t="str"/>
      <x:c r="T494" s="137" t="str"/>
      <x:c r="U494" s="137" t="str"/>
      <x:c r="V494" s="137" t="str"/>
      <x:c r="W494" s="137" t="str"/>
      <x:c r="X494" s="137" t="str"/>
      <x:c r="Y494" s="199" t="str"/>
    </x:row>
    <x:row r="495">
      <x:c r="A495" s="137" t="str"/>
      <x:c r="B495" s="137" t="str"/>
      <x:c r="C495" s="138" t="str"/>
      <x:c r="D495" s="137" t="str"/>
      <x:c r="E495" s="137" t="str"/>
      <x:c r="F495" s="137" t="str"/>
      <x:c r="G495" s="137" t="str"/>
      <x:c r="H495" s="137" t="str"/>
      <x:c r="I495" s="137" t="str"/>
      <x:c r="J495" s="137" t="str"/>
      <x:c r="K495" s="137" t="str"/>
      <x:c r="L495" s="137" t="str"/>
      <x:c r="M495" s="160" t="str"/>
      <x:c r="N495" s="160" t="str"/>
      <x:c r="O495" s="137" t="str"/>
      <x:c r="P495" s="137" t="str"/>
      <x:c r="Q495" s="137" t="str"/>
      <x:c r="R495" s="137" t="str"/>
      <x:c r="S495" s="138" t="str"/>
      <x:c r="T495" s="137" t="str"/>
      <x:c r="U495" s="137" t="str"/>
      <x:c r="V495" s="137" t="str"/>
      <x:c r="W495" s="137" t="str"/>
      <x:c r="X495" s="137" t="str"/>
      <x:c r="Y495" s="199" t="str"/>
    </x:row>
    <x:row r="496">
      <x:c r="A496" s="137" t="str"/>
      <x:c r="B496" s="137" t="str"/>
      <x:c r="C496" s="138" t="str"/>
      <x:c r="D496" s="137" t="str"/>
      <x:c r="E496" s="137" t="str"/>
      <x:c r="F496" s="137" t="str"/>
      <x:c r="G496" s="137" t="str"/>
      <x:c r="H496" s="137" t="str"/>
      <x:c r="I496" s="137" t="str"/>
      <x:c r="J496" s="137" t="str"/>
      <x:c r="K496" s="137" t="str"/>
      <x:c r="L496" s="137" t="str"/>
      <x:c r="M496" s="160" t="str"/>
      <x:c r="N496" s="160" t="str"/>
      <x:c r="O496" s="137" t="str"/>
      <x:c r="P496" s="137" t="str"/>
      <x:c r="Q496" s="137" t="str"/>
      <x:c r="R496" s="137" t="str"/>
      <x:c r="S496" s="138" t="str"/>
      <x:c r="T496" s="137" t="str"/>
      <x:c r="U496" s="137" t="str"/>
      <x:c r="V496" s="137" t="str"/>
      <x:c r="W496" s="137" t="str"/>
      <x:c r="X496" s="137" t="str"/>
      <x:c r="Y496" s="199" t="str"/>
    </x:row>
    <x:row r="497">
      <x:c r="A497" s="137" t="str"/>
      <x:c r="B497" s="137" t="str"/>
      <x:c r="C497" s="138" t="str"/>
      <x:c r="D497" s="137" t="str"/>
      <x:c r="E497" s="137" t="str"/>
      <x:c r="F497" s="137" t="str"/>
      <x:c r="G497" s="137" t="str"/>
      <x:c r="H497" s="137" t="str"/>
      <x:c r="I497" s="137" t="str"/>
      <x:c r="J497" s="137" t="str"/>
      <x:c r="K497" s="137" t="str"/>
      <x:c r="L497" s="137" t="str"/>
      <x:c r="M497" s="160" t="str"/>
      <x:c r="N497" s="160" t="str"/>
      <x:c r="O497" s="137" t="str"/>
      <x:c r="P497" s="137" t="str"/>
      <x:c r="Q497" s="137" t="str"/>
      <x:c r="R497" s="137" t="str"/>
      <x:c r="S497" s="138" t="str"/>
      <x:c r="T497" s="137" t="str"/>
      <x:c r="U497" s="137" t="str"/>
      <x:c r="V497" s="137" t="str"/>
      <x:c r="W497" s="137" t="str"/>
      <x:c r="X497" s="137" t="str"/>
      <x:c r="Y497" s="199" t="str"/>
    </x:row>
    <x:row r="498">
      <x:c r="A498" s="137" t="str"/>
      <x:c r="B498" s="137" t="str"/>
      <x:c r="C498" s="138" t="str"/>
      <x:c r="D498" s="137" t="str"/>
      <x:c r="E498" s="137" t="str"/>
      <x:c r="F498" s="137" t="str"/>
      <x:c r="G498" s="137" t="str"/>
      <x:c r="H498" s="137" t="str"/>
      <x:c r="I498" s="137" t="str"/>
      <x:c r="J498" s="137" t="str"/>
      <x:c r="K498" s="137" t="str"/>
      <x:c r="L498" s="137" t="str"/>
      <x:c r="M498" s="160" t="str"/>
      <x:c r="N498" s="160" t="str"/>
      <x:c r="O498" s="137" t="str"/>
      <x:c r="P498" s="137" t="str"/>
      <x:c r="Q498" s="137" t="str"/>
      <x:c r="R498" s="137" t="str"/>
      <x:c r="S498" s="138" t="str"/>
      <x:c r="T498" s="137" t="str"/>
      <x:c r="U498" s="137" t="str"/>
      <x:c r="V498" s="137" t="str"/>
      <x:c r="W498" s="137" t="str"/>
      <x:c r="X498" s="137" t="str"/>
      <x:c r="Y498" s="199" t="str"/>
    </x:row>
    <x:row r="499">
      <x:c r="A499" s="137" t="str"/>
      <x:c r="B499" s="137" t="str"/>
      <x:c r="C499" s="138" t="str"/>
      <x:c r="D499" s="137" t="str"/>
      <x:c r="E499" s="137" t="str"/>
      <x:c r="F499" s="137" t="str"/>
      <x:c r="G499" s="137" t="str"/>
      <x:c r="H499" s="137" t="str"/>
      <x:c r="I499" s="137" t="str"/>
      <x:c r="J499" s="137" t="str"/>
      <x:c r="K499" s="137" t="str"/>
      <x:c r="L499" s="137" t="str"/>
      <x:c r="M499" s="160" t="str"/>
      <x:c r="N499" s="160" t="str"/>
      <x:c r="O499" s="137" t="str"/>
      <x:c r="P499" s="137" t="str"/>
      <x:c r="Q499" s="137" t="str"/>
      <x:c r="R499" s="137" t="str"/>
      <x:c r="S499" s="138" t="str"/>
      <x:c r="T499" s="137" t="str"/>
      <x:c r="U499" s="137" t="str"/>
      <x:c r="V499" s="137" t="str"/>
      <x:c r="W499" s="137" t="str"/>
      <x:c r="X499" s="137" t="str"/>
      <x:c r="Y499" s="199" t="str"/>
    </x:row>
    <x:row r="500">
      <x:c r="A500" s="137" t="str"/>
      <x:c r="B500" s="137" t="str"/>
      <x:c r="C500" s="138" t="str"/>
      <x:c r="D500" s="137" t="str"/>
      <x:c r="E500" s="137" t="str"/>
      <x:c r="F500" s="137" t="str"/>
      <x:c r="G500" s="137" t="str"/>
      <x:c r="H500" s="137" t="str"/>
      <x:c r="I500" s="137" t="str"/>
      <x:c r="J500" s="137" t="str"/>
      <x:c r="K500" s="137" t="str"/>
      <x:c r="L500" s="137" t="str"/>
      <x:c r="M500" s="160" t="str"/>
      <x:c r="N500" s="160" t="str"/>
      <x:c r="O500" s="137" t="str"/>
      <x:c r="P500" s="137" t="str"/>
      <x:c r="Q500" s="137" t="str"/>
      <x:c r="R500" s="137" t="str"/>
      <x:c r="S500" s="138" t="str"/>
      <x:c r="T500" s="137" t="str"/>
      <x:c r="U500" s="137" t="str"/>
      <x:c r="V500" s="137" t="str"/>
      <x:c r="W500" s="137" t="str"/>
      <x:c r="X500" s="137" t="str"/>
      <x:c r="Y500" s="199" t="str"/>
    </x:row>
    <x:row r="501">
      <x:c r="A501" s="137" t="str"/>
      <x:c r="B501" s="137" t="str"/>
      <x:c r="C501" s="138" t="str"/>
      <x:c r="D501" s="137" t="str"/>
      <x:c r="E501" s="137" t="str"/>
      <x:c r="F501" s="137" t="str"/>
      <x:c r="G501" s="137" t="str"/>
      <x:c r="H501" s="137" t="str"/>
      <x:c r="I501" s="137" t="str"/>
      <x:c r="J501" s="137" t="str"/>
      <x:c r="K501" s="137" t="str"/>
      <x:c r="L501" s="137" t="str"/>
      <x:c r="M501" s="160" t="str"/>
      <x:c r="N501" s="160" t="str"/>
      <x:c r="O501" s="137" t="str"/>
      <x:c r="P501" s="137" t="str"/>
      <x:c r="Q501" s="137" t="str"/>
      <x:c r="R501" s="137" t="str"/>
      <x:c r="S501" s="138" t="str"/>
      <x:c r="T501" s="137" t="str"/>
      <x:c r="U501" s="137" t="str"/>
      <x:c r="V501" s="137" t="str"/>
      <x:c r="W501" s="137" t="str"/>
      <x:c r="X501" s="137" t="str"/>
      <x:c r="Y501" s="199" t="str"/>
    </x:row>
    <x:row r="502">
      <x:c r="A502" s="137" t="str"/>
      <x:c r="B502" s="137" t="str"/>
      <x:c r="C502" s="138" t="str"/>
      <x:c r="D502" s="137" t="str"/>
      <x:c r="E502" s="137" t="str"/>
      <x:c r="F502" s="137" t="str"/>
      <x:c r="G502" s="137" t="str"/>
      <x:c r="H502" s="137" t="str"/>
      <x:c r="I502" s="137" t="str"/>
      <x:c r="J502" s="137" t="str"/>
      <x:c r="K502" s="137" t="str"/>
      <x:c r="L502" s="137" t="str"/>
      <x:c r="M502" s="160" t="str"/>
      <x:c r="N502" s="160" t="str"/>
      <x:c r="O502" s="137" t="str"/>
      <x:c r="P502" s="137" t="str"/>
      <x:c r="Q502" s="137" t="str"/>
      <x:c r="R502" s="137" t="str"/>
      <x:c r="S502" s="138" t="str"/>
      <x:c r="T502" s="137" t="str"/>
      <x:c r="U502" s="137" t="str"/>
      <x:c r="V502" s="137" t="str"/>
      <x:c r="W502" s="137" t="str"/>
      <x:c r="X502" s="137" t="str"/>
      <x:c r="Y502" s="199" t="str"/>
    </x:row>
    <x:row r="503">
      <x:c r="A503" s="137" t="str"/>
      <x:c r="B503" s="137" t="str"/>
      <x:c r="C503" s="138" t="str"/>
      <x:c r="D503" s="137" t="str"/>
      <x:c r="E503" s="137" t="str"/>
      <x:c r="F503" s="137" t="str"/>
      <x:c r="G503" s="137" t="str"/>
      <x:c r="H503" s="137" t="str"/>
      <x:c r="I503" s="137" t="str"/>
      <x:c r="J503" s="137" t="str"/>
      <x:c r="K503" s="137" t="str"/>
      <x:c r="L503" s="137" t="str"/>
      <x:c r="M503" s="160" t="str"/>
      <x:c r="N503" s="160" t="str"/>
      <x:c r="O503" s="137" t="str"/>
      <x:c r="P503" s="137" t="str"/>
      <x:c r="Q503" s="137" t="str"/>
      <x:c r="R503" s="137" t="str"/>
      <x:c r="S503" s="138" t="str"/>
      <x:c r="T503" s="137" t="str"/>
      <x:c r="U503" s="137" t="str"/>
      <x:c r="V503" s="137" t="str"/>
      <x:c r="W503" s="137" t="str"/>
      <x:c r="X503" s="137" t="str"/>
      <x:c r="Y503" s="199" t="str"/>
    </x:row>
    <x:row r="504">
      <x:c r="A504" s="139" t="str"/>
      <x:c r="B504" s="139" t="str"/>
      <x:c r="C504" s="145" t="str"/>
      <x:c r="D504" s="139" t="str"/>
      <x:c r="E504" s="139" t="str"/>
      <x:c r="F504" s="139" t="str"/>
      <x:c r="G504" s="139" t="str"/>
      <x:c r="H504" s="139" t="str"/>
      <x:c r="I504" s="139" t="str"/>
      <x:c r="J504" s="139" t="str"/>
      <x:c r="K504" s="139" t="str"/>
      <x:c r="L504" s="139" t="str"/>
      <x:c r="M504" s="162" t="str"/>
      <x:c r="N504" s="162" t="str"/>
      <x:c r="O504" s="139" t="str"/>
      <x:c r="P504" s="139" t="str"/>
      <x:c r="Q504" s="139" t="str"/>
      <x:c r="R504" s="139" t="str"/>
      <x:c r="S504" s="145" t="str"/>
      <x:c r="T504" s="139" t="str"/>
      <x:c r="U504" s="139" t="str"/>
      <x:c r="V504" s="139" t="str"/>
      <x:c r="W504" s="139" t="str"/>
      <x:c r="X504" s="139" t="str"/>
      <x:c r="Y504" s="200" t="str"/>
    </x:row>
  </x:sheetData>
  <x:mergeCells>
    <x:mergeCell ref="A1:Y1"/>
    <x:mergeCell ref="A2:Y2"/>
    <x:mergeCell ref="A3:Y3"/>
  </x:mergeCells>
  <x:dataValidations count="6">
    <x:dataValidation type="list" sqref="D5:D504">
      <x:formula1>"General,A,B,C"</x:formula1>
    </x:dataValidation>
    <x:dataValidation type="list" sqref="E5:E504">
      <x:formula1>'Lists - Do Not Edit'!$A$2:$A$14</x:formula1>
    </x:dataValidation>
    <x:dataValidation type="list" sqref="J5:J504">
      <x:formula1>'Lists - Do Not Edit'!$S$2:$S$17</x:formula1>
    </x:dataValidation>
    <x:dataValidation type="list" sqref="L5:L504">
      <x:formula1>'Lists - Do Not Edit'!$B$2:$B$12</x:formula1>
    </x:dataValidation>
    <x:dataValidation type="list" sqref="Q5:Q504">
      <x:formula1>"Draft,Released,Locked,Replanned,Completed,Cancelled"</x:formula1>
    </x:dataValidation>
    <x:dataValidation type="list" sqref="R5:R5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3cbd76bd6b447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22" hidden="0" customWidth="1"/>
    <x:col min="5" max="5" width="22" hidden="0" customWidth="1"/>
    <x:col min="6" max="6" width="16" hidden="0" customWidth="1"/>
    <x:col min="7" max="7" width="18" hidden="0" customWidth="1"/>
    <x:col min="8" max="8" width="25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8" hidden="0" customWidth="1"/>
    <x:col min="22" max="22" width="16" hidden="0" customWidth="1"/>
    <x:col min="23" max="23" width="18" hidden="0" customWidth="1"/>
    <x:col min="24" max="24" width="18" hidden="0" customWidth="1"/>
    <x:col min="25" max="25" width="12" hidden="0" customWidth="1"/>
    <x:col min="26" max="26" width="20" hidden="0" customWidth="1"/>
    <x:col min="27" max="27" width="34" hidden="0" customWidth="1"/>
    <x:col min="28" max="28" width="34" hidden="0" customWidth="1"/>
    <x:col min="29" max="29" width="20" hidden="0" customWidth="1"/>
    <x:col min="30" max="30" width="20" hidden="0" customWidth="1"/>
  </x:cols>
  <x:sheetData>
    <x:row r="1" ht="30" customHeight="1">
      <x:c r="A1" s="140" t="str">
        <x:v>Actual Production by Machine &amp; Shift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  <x:c r="U1" s="122"/>
      <x:c r="V1" s="122"/>
      <x:c r="W1" s="122"/>
      <x:c r="X1" s="122"/>
      <x:c r="Y1" s="122"/>
      <x:c r="Z1" s="122"/>
      <x:c r="AA1" s="122"/>
      <x:c r="AB1" s="122"/>
      <x:c r="AC1" s="122"/>
      <x:c r="AD1" s="122"/>
    </x:row>
    <x:row r="2" ht="34" customHeight="1">
      <x:c r="A2" s="123" t="str">
        <x:v>One row per machine/order/stage/shift. Good, reject, rework and WIP quantities must reconcile before the shift is approved.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  <x:c r="W2" s="123"/>
      <x:c r="X2" s="123"/>
      <x:c r="Y2" s="123"/>
      <x:c r="Z2" s="123"/>
      <x:c r="AA2" s="123"/>
      <x:c r="AB2" s="123"/>
      <x:c r="AC2" s="123"/>
      <x:c r="AD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  <x:c r="T3" s="124"/>
      <x:c r="U3" s="124"/>
      <x:c r="V3" s="124"/>
      <x:c r="W3" s="124"/>
      <x:c r="X3" s="124"/>
      <x:c r="Y3" s="124"/>
      <x:c r="Z3" s="124"/>
      <x:c r="AA3" s="124"/>
      <x:c r="AB3" s="124"/>
      <x:c r="AC3" s="124"/>
      <x:c r="AD3" s="124"/>
    </x:row>
    <x:row r="4" ht="34" customHeight="1">
      <x:c r="A4" s="141" t="str">
        <x:v>Actual ID</x:v>
      </x:c>
      <x:c r="B4" s="142" t="str">
        <x:v>Production Date</x:v>
      </x:c>
      <x:c r="C4" s="142" t="str">
        <x:v>Shift</x:v>
      </x:c>
      <x:c r="D4" s="142" t="str">
        <x:v>Work Centre Code</x:v>
      </x:c>
      <x:c r="E4" s="142" t="str">
        <x:v>Machine / Line ID</x:v>
      </x:c>
      <x:c r="F4" s="142" t="str">
        <x:v>PI No</x:v>
      </x:c>
      <x:c r="G4" s="142" t="str">
        <x:v>Order ID</x:v>
      </x:c>
      <x:c r="H4" s="142" t="str">
        <x:v>Article Code</x:v>
      </x:c>
      <x:c r="I4" s="142" t="str">
        <x:v>Article Type</x:v>
      </x:c>
      <x:c r="J4" s="142" t="str">
        <x:v>Size / Range</x:v>
      </x:c>
      <x:c r="K4" s="142" t="str">
        <x:v>Stage</x:v>
      </x:c>
      <x:c r="L4" s="142" t="str">
        <x:v>Start Time</x:v>
      </x:c>
      <x:c r="M4" s="142" t="str">
        <x:v>End Time</x:v>
      </x:c>
      <x:c r="N4" s="142" t="str">
        <x:v>Planned Pairs</x:v>
      </x:c>
      <x:c r="O4" s="142" t="str">
        <x:v>Opening WIP</x:v>
      </x:c>
      <x:c r="P4" s="142" t="str">
        <x:v>Input Pairs</x:v>
      </x:c>
      <x:c r="Q4" s="142" t="str">
        <x:v>Good Pairs</x:v>
      </x:c>
      <x:c r="R4" s="142" t="str">
        <x:v>Reject Pairs</x:v>
      </x:c>
      <x:c r="S4" s="142" t="str">
        <x:v>Rework Pairs</x:v>
      </x:c>
      <x:c r="T4" s="142" t="str">
        <x:v>Closing WIP</x:v>
      </x:c>
      <x:c r="U4" s="142" t="str">
        <x:v>Variance to Plan</x:v>
      </x:c>
      <x:c r="V4" s="142" t="str">
        <x:v>Attainment %</x:v>
      </x:c>
      <x:c r="W4" s="142" t="str">
        <x:v>Running Minutes</x:v>
      </x:c>
      <x:c r="X4" s="142" t="str">
        <x:v>Downtime Minutes</x:v>
      </x:c>
      <x:c r="Y4" s="142" t="str">
        <x:v>Operators</x:v>
      </x:c>
      <x:c r="Z4" s="142" t="str">
        <x:v>Supervisor</x:v>
      </x:c>
      <x:c r="AA4" s="142" t="str">
        <x:v>Variance / Reject Reason</x:v>
      </x:c>
      <x:c r="AB4" s="142" t="str">
        <x:v>Corrective Action</x:v>
      </x:c>
      <x:c r="AC4" s="142" t="str">
        <x:v>Approved By</x:v>
      </x:c>
      <x:c r="AD4" s="143" t="str">
        <x:v>Updated Timestamp</x:v>
      </x:c>
    </x:row>
    <x:row r="5">
      <x:c r="A5" s="136" t="str"/>
      <x:c r="B5" s="144" t="str"/>
      <x:c r="C5" s="136" t="str"/>
      <x:c r="D5" s="136" t="str"/>
      <x:c r="E5" s="136" t="str"/>
      <x:c r="F5" s="136" t="str"/>
      <x:c r="G5" s="136" t="str"/>
      <x:c r="H5" s="136" t="str"/>
      <x:c r="I5" s="136" t="str"/>
      <x:c r="J5" s="136" t="str"/>
      <x:c r="K5" s="136" t="str"/>
      <x:c r="L5" s="158" t="str"/>
      <x:c r="M5" s="158" t="str"/>
      <x:c r="N5" s="147" t="str"/>
      <x:c r="O5" s="147" t="str"/>
      <x:c r="P5" s="147" t="str"/>
      <x:c r="Q5" s="147" t="str"/>
      <x:c r="R5" s="147" t="str"/>
      <x:c r="S5" s="147" t="str"/>
      <x:c r="T5" s="148" t="n">
        <x:f>IF(COUNTA(O5:S5)=0,"",MAX(0,IF(O5="",0,O5)+IF(P5="",0,P5)-IF(Q5="",0,Q5)-IF(R5="",0,R5)))</x:f>
        <x:v>0</x:v>
      </x:c>
      <x:c r="U5" s="148" t="str">
        <x:f>IF(OR(N5="",Q5=""),"",Q5-N5)</x:f>
      </x:c>
      <x:c r="V5" s="201" t="str">
        <x:f>IFERROR(Q5/N5,"")</x:f>
      </x:c>
      <x:c r="W5" s="136" t="str"/>
      <x:c r="X5" s="136" t="str"/>
      <x:c r="Y5" s="136" t="str"/>
      <x:c r="Z5" s="136" t="str"/>
      <x:c r="AA5" s="136" t="str"/>
      <x:c r="AB5" s="136" t="str"/>
      <x:c r="AC5" s="136" t="str"/>
      <x:c r="AD5" s="198" t="str"/>
    </x:row>
    <x:row r="6">
      <x:c r="A6" s="137" t="str"/>
      <x:c r="B6" s="138" t="str"/>
      <x:c r="C6" s="137" t="str"/>
      <x:c r="D6" s="137" t="str"/>
      <x:c r="E6" s="137" t="str"/>
      <x:c r="F6" s="137" t="str"/>
      <x:c r="G6" s="137" t="str"/>
      <x:c r="H6" s="137" t="str"/>
      <x:c r="I6" s="137" t="str"/>
      <x:c r="J6" s="137" t="str"/>
      <x:c r="K6" s="137" t="str"/>
      <x:c r="L6" s="160" t="str"/>
      <x:c r="M6" s="160" t="str"/>
      <x:c r="N6" s="151" t="str"/>
      <x:c r="O6" s="151" t="str"/>
      <x:c r="P6" s="151" t="str"/>
      <x:c r="Q6" s="151" t="str"/>
      <x:c r="R6" s="151" t="str"/>
      <x:c r="S6" s="151" t="str"/>
      <x:c r="T6" s="152" t="n">
        <x:f>IF(COUNTA(O6:S6)=0,"",MAX(0,IF(O6="",0,O6)+IF(P6="",0,P6)-IF(Q6="",0,Q6)-IF(R6="",0,R6)))</x:f>
        <x:v>0</x:v>
      </x:c>
      <x:c r="U6" s="152" t="str">
        <x:f>IF(OR(N6="",Q6=""),"",Q6-N6)</x:f>
      </x:c>
      <x:c r="V6" s="202" t="str">
        <x:f>IFERROR(Q6/N6,"")</x:f>
      </x:c>
      <x:c r="W6" s="137" t="str"/>
      <x:c r="X6" s="137" t="str"/>
      <x:c r="Y6" s="137" t="str"/>
      <x:c r="Z6" s="137" t="str"/>
      <x:c r="AA6" s="137" t="str"/>
      <x:c r="AB6" s="137" t="str"/>
      <x:c r="AC6" s="137" t="str"/>
      <x:c r="AD6" s="199" t="str"/>
    </x:row>
    <x:row r="7">
      <x:c r="A7" s="137" t="str"/>
      <x:c r="B7" s="138" t="str"/>
      <x:c r="C7" s="137" t="str"/>
      <x:c r="D7" s="137" t="str"/>
      <x:c r="E7" s="137" t="str"/>
      <x:c r="F7" s="137" t="str"/>
      <x:c r="G7" s="137" t="str"/>
      <x:c r="H7" s="137" t="str"/>
      <x:c r="I7" s="137" t="str"/>
      <x:c r="J7" s="137" t="str"/>
      <x:c r="K7" s="137" t="str"/>
      <x:c r="L7" s="160" t="str"/>
      <x:c r="M7" s="160" t="str"/>
      <x:c r="N7" s="151" t="str"/>
      <x:c r="O7" s="151" t="str"/>
      <x:c r="P7" s="151" t="str"/>
      <x:c r="Q7" s="151" t="str"/>
      <x:c r="R7" s="151" t="str"/>
      <x:c r="S7" s="151" t="str"/>
      <x:c r="T7" s="152" t="n">
        <x:f>IF(COUNTA(O7:S7)=0,"",MAX(0,IF(O7="",0,O7)+IF(P7="",0,P7)-IF(Q7="",0,Q7)-IF(R7="",0,R7)))</x:f>
        <x:v>0</x:v>
      </x:c>
      <x:c r="U7" s="152" t="str">
        <x:f>IF(OR(N7="",Q7=""),"",Q7-N7)</x:f>
      </x:c>
      <x:c r="V7" s="202" t="str">
        <x:f>IFERROR(Q7/N7,"")</x:f>
      </x:c>
      <x:c r="W7" s="137" t="str"/>
      <x:c r="X7" s="137" t="str"/>
      <x:c r="Y7" s="137" t="str"/>
      <x:c r="Z7" s="137" t="str"/>
      <x:c r="AA7" s="137" t="str"/>
      <x:c r="AB7" s="137" t="str"/>
      <x:c r="AC7" s="137" t="str"/>
      <x:c r="AD7" s="199" t="str"/>
    </x:row>
    <x:row r="8">
      <x:c r="A8" s="137" t="str"/>
      <x:c r="B8" s="138" t="str"/>
      <x:c r="C8" s="137" t="str"/>
      <x:c r="D8" s="137" t="str"/>
      <x:c r="E8" s="137" t="str"/>
      <x:c r="F8" s="137" t="str"/>
      <x:c r="G8" s="137" t="str"/>
      <x:c r="H8" s="137" t="str"/>
      <x:c r="I8" s="137" t="str"/>
      <x:c r="J8" s="137" t="str"/>
      <x:c r="K8" s="137" t="str"/>
      <x:c r="L8" s="160" t="str"/>
      <x:c r="M8" s="160" t="str"/>
      <x:c r="N8" s="151" t="str"/>
      <x:c r="O8" s="151" t="str"/>
      <x:c r="P8" s="151" t="str"/>
      <x:c r="Q8" s="151" t="str"/>
      <x:c r="R8" s="151" t="str"/>
      <x:c r="S8" s="151" t="str"/>
      <x:c r="T8" s="152" t="n">
        <x:f>IF(COUNTA(O8:S8)=0,"",MAX(0,IF(O8="",0,O8)+IF(P8="",0,P8)-IF(Q8="",0,Q8)-IF(R8="",0,R8)))</x:f>
        <x:v>0</x:v>
      </x:c>
      <x:c r="U8" s="152" t="str">
        <x:f>IF(OR(N8="",Q8=""),"",Q8-N8)</x:f>
      </x:c>
      <x:c r="V8" s="202" t="str">
        <x:f>IFERROR(Q8/N8,"")</x:f>
      </x:c>
      <x:c r="W8" s="137" t="str"/>
      <x:c r="X8" s="137" t="str"/>
      <x:c r="Y8" s="137" t="str"/>
      <x:c r="Z8" s="137" t="str"/>
      <x:c r="AA8" s="137" t="str"/>
      <x:c r="AB8" s="137" t="str"/>
      <x:c r="AC8" s="137" t="str"/>
      <x:c r="AD8" s="199" t="str"/>
    </x:row>
    <x:row r="9">
      <x:c r="A9" s="137" t="str"/>
      <x:c r="B9" s="138" t="str"/>
      <x:c r="C9" s="137" t="str"/>
      <x:c r="D9" s="137" t="str"/>
      <x:c r="E9" s="137" t="str"/>
      <x:c r="F9" s="137" t="str"/>
      <x:c r="G9" s="137" t="str"/>
      <x:c r="H9" s="137" t="str"/>
      <x:c r="I9" s="137" t="str"/>
      <x:c r="J9" s="137" t="str"/>
      <x:c r="K9" s="137" t="str"/>
      <x:c r="L9" s="160" t="str"/>
      <x:c r="M9" s="160" t="str"/>
      <x:c r="N9" s="151" t="str"/>
      <x:c r="O9" s="151" t="str"/>
      <x:c r="P9" s="151" t="str"/>
      <x:c r="Q9" s="151" t="str"/>
      <x:c r="R9" s="151" t="str"/>
      <x:c r="S9" s="151" t="str"/>
      <x:c r="T9" s="152" t="n">
        <x:f>IF(COUNTA(O9:S9)=0,"",MAX(0,IF(O9="",0,O9)+IF(P9="",0,P9)-IF(Q9="",0,Q9)-IF(R9="",0,R9)))</x:f>
        <x:v>0</x:v>
      </x:c>
      <x:c r="U9" s="152" t="str">
        <x:f>IF(OR(N9="",Q9=""),"",Q9-N9)</x:f>
      </x:c>
      <x:c r="V9" s="202" t="str">
        <x:f>IFERROR(Q9/N9,"")</x:f>
      </x:c>
      <x:c r="W9" s="137" t="str"/>
      <x:c r="X9" s="137" t="str"/>
      <x:c r="Y9" s="137" t="str"/>
      <x:c r="Z9" s="137" t="str"/>
      <x:c r="AA9" s="137" t="str"/>
      <x:c r="AB9" s="137" t="str"/>
      <x:c r="AC9" s="137" t="str"/>
      <x:c r="AD9" s="199" t="str"/>
    </x:row>
    <x:row r="10">
      <x:c r="A10" s="137" t="str"/>
      <x:c r="B10" s="138" t="str"/>
      <x:c r="C10" s="137" t="str"/>
      <x:c r="D10" s="137" t="str"/>
      <x:c r="E10" s="137" t="str"/>
      <x:c r="F10" s="137" t="str"/>
      <x:c r="G10" s="137" t="str"/>
      <x:c r="H10" s="137" t="str"/>
      <x:c r="I10" s="137" t="str"/>
      <x:c r="J10" s="137" t="str"/>
      <x:c r="K10" s="137" t="str"/>
      <x:c r="L10" s="160" t="str"/>
      <x:c r="M10" s="160" t="str"/>
      <x:c r="N10" s="151" t="str"/>
      <x:c r="O10" s="151" t="str"/>
      <x:c r="P10" s="151" t="str"/>
      <x:c r="Q10" s="151" t="str"/>
      <x:c r="R10" s="151" t="str"/>
      <x:c r="S10" s="151" t="str"/>
      <x:c r="T10" s="152" t="n">
        <x:f>IF(COUNTA(O10:S10)=0,"",MAX(0,IF(O10="",0,O10)+IF(P10="",0,P10)-IF(Q10="",0,Q10)-IF(R10="",0,R10)))</x:f>
        <x:v>0</x:v>
      </x:c>
      <x:c r="U10" s="152" t="str">
        <x:f>IF(OR(N10="",Q10=""),"",Q10-N10)</x:f>
      </x:c>
      <x:c r="V10" s="202" t="str">
        <x:f>IFERROR(Q10/N10,"")</x:f>
      </x:c>
      <x:c r="W10" s="137" t="str"/>
      <x:c r="X10" s="137" t="str"/>
      <x:c r="Y10" s="137" t="str"/>
      <x:c r="Z10" s="137" t="str"/>
      <x:c r="AA10" s="137" t="str"/>
      <x:c r="AB10" s="137" t="str"/>
      <x:c r="AC10" s="137" t="str"/>
      <x:c r="AD10" s="199" t="str"/>
    </x:row>
    <x:row r="11">
      <x:c r="A11" s="137" t="str"/>
      <x:c r="B11" s="138" t="str"/>
      <x:c r="C11" s="137" t="str"/>
      <x:c r="D11" s="137" t="str"/>
      <x:c r="E11" s="137" t="str"/>
      <x:c r="F11" s="137" t="str"/>
      <x:c r="G11" s="137" t="str"/>
      <x:c r="H11" s="137" t="str"/>
      <x:c r="I11" s="137" t="str"/>
      <x:c r="J11" s="137" t="str"/>
      <x:c r="K11" s="137" t="str"/>
      <x:c r="L11" s="160" t="str"/>
      <x:c r="M11" s="160" t="str"/>
      <x:c r="N11" s="151" t="str"/>
      <x:c r="O11" s="151" t="str"/>
      <x:c r="P11" s="151" t="str"/>
      <x:c r="Q11" s="151" t="str"/>
      <x:c r="R11" s="151" t="str"/>
      <x:c r="S11" s="151" t="str"/>
      <x:c r="T11" s="152" t="n">
        <x:f>IF(COUNTA(O11:S11)=0,"",MAX(0,IF(O11="",0,O11)+IF(P11="",0,P11)-IF(Q11="",0,Q11)-IF(R11="",0,R11)))</x:f>
        <x:v>0</x:v>
      </x:c>
      <x:c r="U11" s="152" t="str">
        <x:f>IF(OR(N11="",Q11=""),"",Q11-N11)</x:f>
      </x:c>
      <x:c r="V11" s="202" t="str">
        <x:f>IFERROR(Q11/N11,"")</x:f>
      </x:c>
      <x:c r="W11" s="137" t="str"/>
      <x:c r="X11" s="137" t="str"/>
      <x:c r="Y11" s="137" t="str"/>
      <x:c r="Z11" s="137" t="str"/>
      <x:c r="AA11" s="137" t="str"/>
      <x:c r="AB11" s="137" t="str"/>
      <x:c r="AC11" s="137" t="str"/>
      <x:c r="AD11" s="199" t="str"/>
    </x:row>
    <x:row r="12">
      <x:c r="A12" s="137" t="str"/>
      <x:c r="B12" s="138" t="str"/>
      <x:c r="C12" s="137" t="str"/>
      <x:c r="D12" s="137" t="str"/>
      <x:c r="E12" s="137" t="str"/>
      <x:c r="F12" s="137" t="str"/>
      <x:c r="G12" s="137" t="str"/>
      <x:c r="H12" s="137" t="str"/>
      <x:c r="I12" s="137" t="str"/>
      <x:c r="J12" s="137" t="str"/>
      <x:c r="K12" s="137" t="str"/>
      <x:c r="L12" s="160" t="str"/>
      <x:c r="M12" s="160" t="str"/>
      <x:c r="N12" s="151" t="str"/>
      <x:c r="O12" s="151" t="str"/>
      <x:c r="P12" s="151" t="str"/>
      <x:c r="Q12" s="151" t="str"/>
      <x:c r="R12" s="151" t="str"/>
      <x:c r="S12" s="151" t="str"/>
      <x:c r="T12" s="152" t="n">
        <x:f>IF(COUNTA(O12:S12)=0,"",MAX(0,IF(O12="",0,O12)+IF(P12="",0,P12)-IF(Q12="",0,Q12)-IF(R12="",0,R12)))</x:f>
        <x:v>0</x:v>
      </x:c>
      <x:c r="U12" s="152" t="str">
        <x:f>IF(OR(N12="",Q12=""),"",Q12-N12)</x:f>
      </x:c>
      <x:c r="V12" s="202" t="str">
        <x:f>IFERROR(Q12/N12,"")</x:f>
      </x:c>
      <x:c r="W12" s="137" t="str"/>
      <x:c r="X12" s="137" t="str"/>
      <x:c r="Y12" s="137" t="str"/>
      <x:c r="Z12" s="137" t="str"/>
      <x:c r="AA12" s="137" t="str"/>
      <x:c r="AB12" s="137" t="str"/>
      <x:c r="AC12" s="137" t="str"/>
      <x:c r="AD12" s="199" t="str"/>
    </x:row>
    <x:row r="13">
      <x:c r="A13" s="137" t="str"/>
      <x:c r="B13" s="138" t="str"/>
      <x:c r="C13" s="137" t="str"/>
      <x:c r="D13" s="137" t="str"/>
      <x:c r="E13" s="137" t="str"/>
      <x:c r="F13" s="137" t="str"/>
      <x:c r="G13" s="137" t="str"/>
      <x:c r="H13" s="137" t="str"/>
      <x:c r="I13" s="137" t="str"/>
      <x:c r="J13" s="137" t="str"/>
      <x:c r="K13" s="137" t="str"/>
      <x:c r="L13" s="160" t="str"/>
      <x:c r="M13" s="160" t="str"/>
      <x:c r="N13" s="151" t="str"/>
      <x:c r="O13" s="151" t="str"/>
      <x:c r="P13" s="151" t="str"/>
      <x:c r="Q13" s="151" t="str"/>
      <x:c r="R13" s="151" t="str"/>
      <x:c r="S13" s="151" t="str"/>
      <x:c r="T13" s="152" t="n">
        <x:f>IF(COUNTA(O13:S13)=0,"",MAX(0,IF(O13="",0,O13)+IF(P13="",0,P13)-IF(Q13="",0,Q13)-IF(R13="",0,R13)))</x:f>
        <x:v>0</x:v>
      </x:c>
      <x:c r="U13" s="152" t="str">
        <x:f>IF(OR(N13="",Q13=""),"",Q13-N13)</x:f>
      </x:c>
      <x:c r="V13" s="202" t="str">
        <x:f>IFERROR(Q13/N13,"")</x:f>
      </x:c>
      <x:c r="W13" s="137" t="str"/>
      <x:c r="X13" s="137" t="str"/>
      <x:c r="Y13" s="137" t="str"/>
      <x:c r="Z13" s="137" t="str"/>
      <x:c r="AA13" s="137" t="str"/>
      <x:c r="AB13" s="137" t="str"/>
      <x:c r="AC13" s="137" t="str"/>
      <x:c r="AD13" s="199" t="str"/>
    </x:row>
    <x:row r="14">
      <x:c r="A14" s="137" t="str"/>
      <x:c r="B14" s="138" t="str"/>
      <x:c r="C14" s="137" t="str"/>
      <x:c r="D14" s="137" t="str"/>
      <x:c r="E14" s="137" t="str"/>
      <x:c r="F14" s="137" t="str"/>
      <x:c r="G14" s="137" t="str"/>
      <x:c r="H14" s="137" t="str"/>
      <x:c r="I14" s="137" t="str"/>
      <x:c r="J14" s="137" t="str"/>
      <x:c r="K14" s="137" t="str"/>
      <x:c r="L14" s="160" t="str"/>
      <x:c r="M14" s="160" t="str"/>
      <x:c r="N14" s="151" t="str"/>
      <x:c r="O14" s="151" t="str"/>
      <x:c r="P14" s="151" t="str"/>
      <x:c r="Q14" s="151" t="str"/>
      <x:c r="R14" s="151" t="str"/>
      <x:c r="S14" s="151" t="str"/>
      <x:c r="T14" s="152" t="n">
        <x:f>IF(COUNTA(O14:S14)=0,"",MAX(0,IF(O14="",0,O14)+IF(P14="",0,P14)-IF(Q14="",0,Q14)-IF(R14="",0,R14)))</x:f>
        <x:v>0</x:v>
      </x:c>
      <x:c r="U14" s="152" t="str">
        <x:f>IF(OR(N14="",Q14=""),"",Q14-N14)</x:f>
      </x:c>
      <x:c r="V14" s="202" t="str">
        <x:f>IFERROR(Q14/N14,"")</x:f>
      </x:c>
      <x:c r="W14" s="137" t="str"/>
      <x:c r="X14" s="137" t="str"/>
      <x:c r="Y14" s="137" t="str"/>
      <x:c r="Z14" s="137" t="str"/>
      <x:c r="AA14" s="137" t="str"/>
      <x:c r="AB14" s="137" t="str"/>
      <x:c r="AC14" s="137" t="str"/>
      <x:c r="AD14" s="199" t="str"/>
    </x:row>
    <x:row r="15">
      <x:c r="A15" s="137" t="str"/>
      <x:c r="B15" s="138" t="str"/>
      <x:c r="C15" s="137" t="str"/>
      <x:c r="D15" s="137" t="str"/>
      <x:c r="E15" s="137" t="str"/>
      <x:c r="F15" s="137" t="str"/>
      <x:c r="G15" s="137" t="str"/>
      <x:c r="H15" s="137" t="str"/>
      <x:c r="I15" s="137" t="str"/>
      <x:c r="J15" s="137" t="str"/>
      <x:c r="K15" s="137" t="str"/>
      <x:c r="L15" s="160" t="str"/>
      <x:c r="M15" s="160" t="str"/>
      <x:c r="N15" s="151" t="str"/>
      <x:c r="O15" s="151" t="str"/>
      <x:c r="P15" s="151" t="str"/>
      <x:c r="Q15" s="151" t="str"/>
      <x:c r="R15" s="151" t="str"/>
      <x:c r="S15" s="151" t="str"/>
      <x:c r="T15" s="152" t="n">
        <x:f>IF(COUNTA(O15:S15)=0,"",MAX(0,IF(O15="",0,O15)+IF(P15="",0,P15)-IF(Q15="",0,Q15)-IF(R15="",0,R15)))</x:f>
        <x:v>0</x:v>
      </x:c>
      <x:c r="U15" s="152" t="str">
        <x:f>IF(OR(N15="",Q15=""),"",Q15-N15)</x:f>
      </x:c>
      <x:c r="V15" s="202" t="str">
        <x:f>IFERROR(Q15/N15,"")</x:f>
      </x:c>
      <x:c r="W15" s="137" t="str"/>
      <x:c r="X15" s="137" t="str"/>
      <x:c r="Y15" s="137" t="str"/>
      <x:c r="Z15" s="137" t="str"/>
      <x:c r="AA15" s="137" t="str"/>
      <x:c r="AB15" s="137" t="str"/>
      <x:c r="AC15" s="137" t="str"/>
      <x:c r="AD15" s="199" t="str"/>
    </x:row>
    <x:row r="16">
      <x:c r="A16" s="137" t="str"/>
      <x:c r="B16" s="138" t="str"/>
      <x:c r="C16" s="137" t="str"/>
      <x:c r="D16" s="137" t="str"/>
      <x:c r="E16" s="137" t="str"/>
      <x:c r="F16" s="137" t="str"/>
      <x:c r="G16" s="137" t="str"/>
      <x:c r="H16" s="137" t="str"/>
      <x:c r="I16" s="137" t="str"/>
      <x:c r="J16" s="137" t="str"/>
      <x:c r="K16" s="137" t="str"/>
      <x:c r="L16" s="160" t="str"/>
      <x:c r="M16" s="160" t="str"/>
      <x:c r="N16" s="151" t="str"/>
      <x:c r="O16" s="151" t="str"/>
      <x:c r="P16" s="151" t="str"/>
      <x:c r="Q16" s="151" t="str"/>
      <x:c r="R16" s="151" t="str"/>
      <x:c r="S16" s="151" t="str"/>
      <x:c r="T16" s="152" t="n">
        <x:f>IF(COUNTA(O16:S16)=0,"",MAX(0,IF(O16="",0,O16)+IF(P16="",0,P16)-IF(Q16="",0,Q16)-IF(R16="",0,R16)))</x:f>
        <x:v>0</x:v>
      </x:c>
      <x:c r="U16" s="152" t="str">
        <x:f>IF(OR(N16="",Q16=""),"",Q16-N16)</x:f>
      </x:c>
      <x:c r="V16" s="202" t="str">
        <x:f>IFERROR(Q16/N16,"")</x:f>
      </x:c>
      <x:c r="W16" s="137" t="str"/>
      <x:c r="X16" s="137" t="str"/>
      <x:c r="Y16" s="137" t="str"/>
      <x:c r="Z16" s="137" t="str"/>
      <x:c r="AA16" s="137" t="str"/>
      <x:c r="AB16" s="137" t="str"/>
      <x:c r="AC16" s="137" t="str"/>
      <x:c r="AD16" s="199" t="str"/>
    </x:row>
    <x:row r="17">
      <x:c r="A17" s="137" t="str"/>
      <x:c r="B17" s="138" t="str"/>
      <x:c r="C17" s="137" t="str"/>
      <x:c r="D17" s="137" t="str"/>
      <x:c r="E17" s="137" t="str"/>
      <x:c r="F17" s="137" t="str"/>
      <x:c r="G17" s="137" t="str"/>
      <x:c r="H17" s="137" t="str"/>
      <x:c r="I17" s="137" t="str"/>
      <x:c r="J17" s="137" t="str"/>
      <x:c r="K17" s="137" t="str"/>
      <x:c r="L17" s="160" t="str"/>
      <x:c r="M17" s="160" t="str"/>
      <x:c r="N17" s="151" t="str"/>
      <x:c r="O17" s="151" t="str"/>
      <x:c r="P17" s="151" t="str"/>
      <x:c r="Q17" s="151" t="str"/>
      <x:c r="R17" s="151" t="str"/>
      <x:c r="S17" s="151" t="str"/>
      <x:c r="T17" s="152" t="n">
        <x:f>IF(COUNTA(O17:S17)=0,"",MAX(0,IF(O17="",0,O17)+IF(P17="",0,P17)-IF(Q17="",0,Q17)-IF(R17="",0,R17)))</x:f>
        <x:v>0</x:v>
      </x:c>
      <x:c r="U17" s="152" t="str">
        <x:f>IF(OR(N17="",Q17=""),"",Q17-N17)</x:f>
      </x:c>
      <x:c r="V17" s="202" t="str">
        <x:f>IFERROR(Q17/N17,"")</x:f>
      </x:c>
      <x:c r="W17" s="137" t="str"/>
      <x:c r="X17" s="137" t="str"/>
      <x:c r="Y17" s="137" t="str"/>
      <x:c r="Z17" s="137" t="str"/>
      <x:c r="AA17" s="137" t="str"/>
      <x:c r="AB17" s="137" t="str"/>
      <x:c r="AC17" s="137" t="str"/>
      <x:c r="AD17" s="199" t="str"/>
    </x:row>
    <x:row r="18">
      <x:c r="A18" s="137" t="str"/>
      <x:c r="B18" s="138" t="str"/>
      <x:c r="C18" s="137" t="str"/>
      <x:c r="D18" s="137" t="str"/>
      <x:c r="E18" s="137" t="str"/>
      <x:c r="F18" s="137" t="str"/>
      <x:c r="G18" s="137" t="str"/>
      <x:c r="H18" s="137" t="str"/>
      <x:c r="I18" s="137" t="str"/>
      <x:c r="J18" s="137" t="str"/>
      <x:c r="K18" s="137" t="str"/>
      <x:c r="L18" s="160" t="str"/>
      <x:c r="M18" s="160" t="str"/>
      <x:c r="N18" s="151" t="str"/>
      <x:c r="O18" s="151" t="str"/>
      <x:c r="P18" s="151" t="str"/>
      <x:c r="Q18" s="151" t="str"/>
      <x:c r="R18" s="151" t="str"/>
      <x:c r="S18" s="151" t="str"/>
      <x:c r="T18" s="152" t="n">
        <x:f>IF(COUNTA(O18:S18)=0,"",MAX(0,IF(O18="",0,O18)+IF(P18="",0,P18)-IF(Q18="",0,Q18)-IF(R18="",0,R18)))</x:f>
        <x:v>0</x:v>
      </x:c>
      <x:c r="U18" s="152" t="str">
        <x:f>IF(OR(N18="",Q18=""),"",Q18-N18)</x:f>
      </x:c>
      <x:c r="V18" s="202" t="str">
        <x:f>IFERROR(Q18/N18,"")</x:f>
      </x:c>
      <x:c r="W18" s="137" t="str"/>
      <x:c r="X18" s="137" t="str"/>
      <x:c r="Y18" s="137" t="str"/>
      <x:c r="Z18" s="137" t="str"/>
      <x:c r="AA18" s="137" t="str"/>
      <x:c r="AB18" s="137" t="str"/>
      <x:c r="AC18" s="137" t="str"/>
      <x:c r="AD18" s="199" t="str"/>
    </x:row>
    <x:row r="19">
      <x:c r="A19" s="137" t="str"/>
      <x:c r="B19" s="138" t="str"/>
      <x:c r="C19" s="137" t="str"/>
      <x:c r="D19" s="137" t="str"/>
      <x:c r="E19" s="137" t="str"/>
      <x:c r="F19" s="137" t="str"/>
      <x:c r="G19" s="137" t="str"/>
      <x:c r="H19" s="137" t="str"/>
      <x:c r="I19" s="137" t="str"/>
      <x:c r="J19" s="137" t="str"/>
      <x:c r="K19" s="137" t="str"/>
      <x:c r="L19" s="160" t="str"/>
      <x:c r="M19" s="160" t="str"/>
      <x:c r="N19" s="151" t="str"/>
      <x:c r="O19" s="151" t="str"/>
      <x:c r="P19" s="151" t="str"/>
      <x:c r="Q19" s="151" t="str"/>
      <x:c r="R19" s="151" t="str"/>
      <x:c r="S19" s="151" t="str"/>
      <x:c r="T19" s="152" t="n">
        <x:f>IF(COUNTA(O19:S19)=0,"",MAX(0,IF(O19="",0,O19)+IF(P19="",0,P19)-IF(Q19="",0,Q19)-IF(R19="",0,R19)))</x:f>
        <x:v>0</x:v>
      </x:c>
      <x:c r="U19" s="152" t="str">
        <x:f>IF(OR(N19="",Q19=""),"",Q19-N19)</x:f>
      </x:c>
      <x:c r="V19" s="202" t="str">
        <x:f>IFERROR(Q19/N19,"")</x:f>
      </x:c>
      <x:c r="W19" s="137" t="str"/>
      <x:c r="X19" s="137" t="str"/>
      <x:c r="Y19" s="137" t="str"/>
      <x:c r="Z19" s="137" t="str"/>
      <x:c r="AA19" s="137" t="str"/>
      <x:c r="AB19" s="137" t="str"/>
      <x:c r="AC19" s="137" t="str"/>
      <x:c r="AD19" s="199" t="str"/>
    </x:row>
    <x:row r="20">
      <x:c r="A20" s="137" t="str"/>
      <x:c r="B20" s="138" t="str"/>
      <x:c r="C20" s="137" t="str"/>
      <x:c r="D20" s="137" t="str"/>
      <x:c r="E20" s="137" t="str"/>
      <x:c r="F20" s="137" t="str"/>
      <x:c r="G20" s="137" t="str"/>
      <x:c r="H20" s="137" t="str"/>
      <x:c r="I20" s="137" t="str"/>
      <x:c r="J20" s="137" t="str"/>
      <x:c r="K20" s="137" t="str"/>
      <x:c r="L20" s="160" t="str"/>
      <x:c r="M20" s="160" t="str"/>
      <x:c r="N20" s="151" t="str"/>
      <x:c r="O20" s="151" t="str"/>
      <x:c r="P20" s="151" t="str"/>
      <x:c r="Q20" s="151" t="str"/>
      <x:c r="R20" s="151" t="str"/>
      <x:c r="S20" s="151" t="str"/>
      <x:c r="T20" s="152" t="n">
        <x:f>IF(COUNTA(O20:S20)=0,"",MAX(0,IF(O20="",0,O20)+IF(P20="",0,P20)-IF(Q20="",0,Q20)-IF(R20="",0,R20)))</x:f>
        <x:v>0</x:v>
      </x:c>
      <x:c r="U20" s="152" t="str">
        <x:f>IF(OR(N20="",Q20=""),"",Q20-N20)</x:f>
      </x:c>
      <x:c r="V20" s="202" t="str">
        <x:f>IFERROR(Q20/N20,"")</x:f>
      </x:c>
      <x:c r="W20" s="137" t="str"/>
      <x:c r="X20" s="137" t="str"/>
      <x:c r="Y20" s="137" t="str"/>
      <x:c r="Z20" s="137" t="str"/>
      <x:c r="AA20" s="137" t="str"/>
      <x:c r="AB20" s="137" t="str"/>
      <x:c r="AC20" s="137" t="str"/>
      <x:c r="AD20" s="199" t="str"/>
    </x:row>
    <x:row r="21">
      <x:c r="A21" s="137" t="str"/>
      <x:c r="B21" s="138" t="str"/>
      <x:c r="C21" s="137" t="str"/>
      <x:c r="D21" s="137" t="str"/>
      <x:c r="E21" s="137" t="str"/>
      <x:c r="F21" s="137" t="str"/>
      <x:c r="G21" s="137" t="str"/>
      <x:c r="H21" s="137" t="str"/>
      <x:c r="I21" s="137" t="str"/>
      <x:c r="J21" s="137" t="str"/>
      <x:c r="K21" s="137" t="str"/>
      <x:c r="L21" s="160" t="str"/>
      <x:c r="M21" s="160" t="str"/>
      <x:c r="N21" s="151" t="str"/>
      <x:c r="O21" s="151" t="str"/>
      <x:c r="P21" s="151" t="str"/>
      <x:c r="Q21" s="151" t="str"/>
      <x:c r="R21" s="151" t="str"/>
      <x:c r="S21" s="151" t="str"/>
      <x:c r="T21" s="152" t="n">
        <x:f>IF(COUNTA(O21:S21)=0,"",MAX(0,IF(O21="",0,O21)+IF(P21="",0,P21)-IF(Q21="",0,Q21)-IF(R21="",0,R21)))</x:f>
        <x:v>0</x:v>
      </x:c>
      <x:c r="U21" s="152" t="str">
        <x:f>IF(OR(N21="",Q21=""),"",Q21-N21)</x:f>
      </x:c>
      <x:c r="V21" s="202" t="str">
        <x:f>IFERROR(Q21/N21,"")</x:f>
      </x:c>
      <x:c r="W21" s="137" t="str"/>
      <x:c r="X21" s="137" t="str"/>
      <x:c r="Y21" s="137" t="str"/>
      <x:c r="Z21" s="137" t="str"/>
      <x:c r="AA21" s="137" t="str"/>
      <x:c r="AB21" s="137" t="str"/>
      <x:c r="AC21" s="137" t="str"/>
      <x:c r="AD21" s="199" t="str"/>
    </x:row>
    <x:row r="22">
      <x:c r="A22" s="137" t="str"/>
      <x:c r="B22" s="138" t="str"/>
      <x:c r="C22" s="137" t="str"/>
      <x:c r="D22" s="137" t="str"/>
      <x:c r="E22" s="137" t="str"/>
      <x:c r="F22" s="137" t="str"/>
      <x:c r="G22" s="137" t="str"/>
      <x:c r="H22" s="137" t="str"/>
      <x:c r="I22" s="137" t="str"/>
      <x:c r="J22" s="137" t="str"/>
      <x:c r="K22" s="137" t="str"/>
      <x:c r="L22" s="160" t="str"/>
      <x:c r="M22" s="160" t="str"/>
      <x:c r="N22" s="151" t="str"/>
      <x:c r="O22" s="151" t="str"/>
      <x:c r="P22" s="151" t="str"/>
      <x:c r="Q22" s="151" t="str"/>
      <x:c r="R22" s="151" t="str"/>
      <x:c r="S22" s="151" t="str"/>
      <x:c r="T22" s="152" t="n">
        <x:f>IF(COUNTA(O22:S22)=0,"",MAX(0,IF(O22="",0,O22)+IF(P22="",0,P22)-IF(Q22="",0,Q22)-IF(R22="",0,R22)))</x:f>
        <x:v>0</x:v>
      </x:c>
      <x:c r="U22" s="152" t="str">
        <x:f>IF(OR(N22="",Q22=""),"",Q22-N22)</x:f>
      </x:c>
      <x:c r="V22" s="202" t="str">
        <x:f>IFERROR(Q22/N22,"")</x:f>
      </x:c>
      <x:c r="W22" s="137" t="str"/>
      <x:c r="X22" s="137" t="str"/>
      <x:c r="Y22" s="137" t="str"/>
      <x:c r="Z22" s="137" t="str"/>
      <x:c r="AA22" s="137" t="str"/>
      <x:c r="AB22" s="137" t="str"/>
      <x:c r="AC22" s="137" t="str"/>
      <x:c r="AD22" s="199" t="str"/>
    </x:row>
    <x:row r="23">
      <x:c r="A23" s="137" t="str"/>
      <x:c r="B23" s="138" t="str"/>
      <x:c r="C23" s="137" t="str"/>
      <x:c r="D23" s="137" t="str"/>
      <x:c r="E23" s="137" t="str"/>
      <x:c r="F23" s="137" t="str"/>
      <x:c r="G23" s="137" t="str"/>
      <x:c r="H23" s="137" t="str"/>
      <x:c r="I23" s="137" t="str"/>
      <x:c r="J23" s="137" t="str"/>
      <x:c r="K23" s="137" t="str"/>
      <x:c r="L23" s="160" t="str"/>
      <x:c r="M23" s="160" t="str"/>
      <x:c r="N23" s="151" t="str"/>
      <x:c r="O23" s="151" t="str"/>
      <x:c r="P23" s="151" t="str"/>
      <x:c r="Q23" s="151" t="str"/>
      <x:c r="R23" s="151" t="str"/>
      <x:c r="S23" s="151" t="str"/>
      <x:c r="T23" s="152" t="n">
        <x:f>IF(COUNTA(O23:S23)=0,"",MAX(0,IF(O23="",0,O23)+IF(P23="",0,P23)-IF(Q23="",0,Q23)-IF(R23="",0,R23)))</x:f>
        <x:v>0</x:v>
      </x:c>
      <x:c r="U23" s="152" t="str">
        <x:f>IF(OR(N23="",Q23=""),"",Q23-N23)</x:f>
      </x:c>
      <x:c r="V23" s="202" t="str">
        <x:f>IFERROR(Q23/N23,"")</x:f>
      </x:c>
      <x:c r="W23" s="137" t="str"/>
      <x:c r="X23" s="137" t="str"/>
      <x:c r="Y23" s="137" t="str"/>
      <x:c r="Z23" s="137" t="str"/>
      <x:c r="AA23" s="137" t="str"/>
      <x:c r="AB23" s="137" t="str"/>
      <x:c r="AC23" s="137" t="str"/>
      <x:c r="AD23" s="199" t="str"/>
    </x:row>
    <x:row r="24">
      <x:c r="A24" s="137" t="str"/>
      <x:c r="B24" s="138" t="str"/>
      <x:c r="C24" s="137" t="str"/>
      <x:c r="D24" s="137" t="str"/>
      <x:c r="E24" s="137" t="str"/>
      <x:c r="F24" s="137" t="str"/>
      <x:c r="G24" s="137" t="str"/>
      <x:c r="H24" s="137" t="str"/>
      <x:c r="I24" s="137" t="str"/>
      <x:c r="J24" s="137" t="str"/>
      <x:c r="K24" s="137" t="str"/>
      <x:c r="L24" s="160" t="str"/>
      <x:c r="M24" s="160" t="str"/>
      <x:c r="N24" s="151" t="str"/>
      <x:c r="O24" s="151" t="str"/>
      <x:c r="P24" s="151" t="str"/>
      <x:c r="Q24" s="151" t="str"/>
      <x:c r="R24" s="151" t="str"/>
      <x:c r="S24" s="151" t="str"/>
      <x:c r="T24" s="152" t="n">
        <x:f>IF(COUNTA(O24:S24)=0,"",MAX(0,IF(O24="",0,O24)+IF(P24="",0,P24)-IF(Q24="",0,Q24)-IF(R24="",0,R24)))</x:f>
        <x:v>0</x:v>
      </x:c>
      <x:c r="U24" s="152" t="str">
        <x:f>IF(OR(N24="",Q24=""),"",Q24-N24)</x:f>
      </x:c>
      <x:c r="V24" s="202" t="str">
        <x:f>IFERROR(Q24/N24,"")</x:f>
      </x:c>
      <x:c r="W24" s="137" t="str"/>
      <x:c r="X24" s="137" t="str"/>
      <x:c r="Y24" s="137" t="str"/>
      <x:c r="Z24" s="137" t="str"/>
      <x:c r="AA24" s="137" t="str"/>
      <x:c r="AB24" s="137" t="str"/>
      <x:c r="AC24" s="137" t="str"/>
      <x:c r="AD24" s="199" t="str"/>
    </x:row>
    <x:row r="25">
      <x:c r="A25" s="137" t="str"/>
      <x:c r="B25" s="138" t="str"/>
      <x:c r="C25" s="137" t="str"/>
      <x:c r="D25" s="137" t="str"/>
      <x:c r="E25" s="137" t="str"/>
      <x:c r="F25" s="137" t="str"/>
      <x:c r="G25" s="137" t="str"/>
      <x:c r="H25" s="137" t="str"/>
      <x:c r="I25" s="137" t="str"/>
      <x:c r="J25" s="137" t="str"/>
      <x:c r="K25" s="137" t="str"/>
      <x:c r="L25" s="160" t="str"/>
      <x:c r="M25" s="160" t="str"/>
      <x:c r="N25" s="151" t="str"/>
      <x:c r="O25" s="151" t="str"/>
      <x:c r="P25" s="151" t="str"/>
      <x:c r="Q25" s="151" t="str"/>
      <x:c r="R25" s="151" t="str"/>
      <x:c r="S25" s="151" t="str"/>
      <x:c r="T25" s="152" t="n">
        <x:f>IF(COUNTA(O25:S25)=0,"",MAX(0,IF(O25="",0,O25)+IF(P25="",0,P25)-IF(Q25="",0,Q25)-IF(R25="",0,R25)))</x:f>
        <x:v>0</x:v>
      </x:c>
      <x:c r="U25" s="152" t="str">
        <x:f>IF(OR(N25="",Q25=""),"",Q25-N25)</x:f>
      </x:c>
      <x:c r="V25" s="202" t="str">
        <x:f>IFERROR(Q25/N25,"")</x:f>
      </x:c>
      <x:c r="W25" s="137" t="str"/>
      <x:c r="X25" s="137" t="str"/>
      <x:c r="Y25" s="137" t="str"/>
      <x:c r="Z25" s="137" t="str"/>
      <x:c r="AA25" s="137" t="str"/>
      <x:c r="AB25" s="137" t="str"/>
      <x:c r="AC25" s="137" t="str"/>
      <x:c r="AD25" s="199" t="str"/>
    </x:row>
    <x:row r="26">
      <x:c r="A26" s="137" t="str"/>
      <x:c r="B26" s="138" t="str"/>
      <x:c r="C26" s="137" t="str"/>
      <x:c r="D26" s="137" t="str"/>
      <x:c r="E26" s="137" t="str"/>
      <x:c r="F26" s="137" t="str"/>
      <x:c r="G26" s="137" t="str"/>
      <x:c r="H26" s="137" t="str"/>
      <x:c r="I26" s="137" t="str"/>
      <x:c r="J26" s="137" t="str"/>
      <x:c r="K26" s="137" t="str"/>
      <x:c r="L26" s="160" t="str"/>
      <x:c r="M26" s="160" t="str"/>
      <x:c r="N26" s="151" t="str"/>
      <x:c r="O26" s="151" t="str"/>
      <x:c r="P26" s="151" t="str"/>
      <x:c r="Q26" s="151" t="str"/>
      <x:c r="R26" s="151" t="str"/>
      <x:c r="S26" s="151" t="str"/>
      <x:c r="T26" s="152" t="n">
        <x:f>IF(COUNTA(O26:S26)=0,"",MAX(0,IF(O26="",0,O26)+IF(P26="",0,P26)-IF(Q26="",0,Q26)-IF(R26="",0,R26)))</x:f>
        <x:v>0</x:v>
      </x:c>
      <x:c r="U26" s="152" t="str">
        <x:f>IF(OR(N26="",Q26=""),"",Q26-N26)</x:f>
      </x:c>
      <x:c r="V26" s="202" t="str">
        <x:f>IFERROR(Q26/N26,"")</x:f>
      </x:c>
      <x:c r="W26" s="137" t="str"/>
      <x:c r="X26" s="137" t="str"/>
      <x:c r="Y26" s="137" t="str"/>
      <x:c r="Z26" s="137" t="str"/>
      <x:c r="AA26" s="137" t="str"/>
      <x:c r="AB26" s="137" t="str"/>
      <x:c r="AC26" s="137" t="str"/>
      <x:c r="AD26" s="199" t="str"/>
    </x:row>
    <x:row r="27">
      <x:c r="A27" s="137" t="str"/>
      <x:c r="B27" s="138" t="str"/>
      <x:c r="C27" s="137" t="str"/>
      <x:c r="D27" s="137" t="str"/>
      <x:c r="E27" s="137" t="str"/>
      <x:c r="F27" s="137" t="str"/>
      <x:c r="G27" s="137" t="str"/>
      <x:c r="H27" s="137" t="str"/>
      <x:c r="I27" s="137" t="str"/>
      <x:c r="J27" s="137" t="str"/>
      <x:c r="K27" s="137" t="str"/>
      <x:c r="L27" s="160" t="str"/>
      <x:c r="M27" s="160" t="str"/>
      <x:c r="N27" s="151" t="str"/>
      <x:c r="O27" s="151" t="str"/>
      <x:c r="P27" s="151" t="str"/>
      <x:c r="Q27" s="151" t="str"/>
      <x:c r="R27" s="151" t="str"/>
      <x:c r="S27" s="151" t="str"/>
      <x:c r="T27" s="152" t="n">
        <x:f>IF(COUNTA(O27:S27)=0,"",MAX(0,IF(O27="",0,O27)+IF(P27="",0,P27)-IF(Q27="",0,Q27)-IF(R27="",0,R27)))</x:f>
        <x:v>0</x:v>
      </x:c>
      <x:c r="U27" s="152" t="str">
        <x:f>IF(OR(N27="",Q27=""),"",Q27-N27)</x:f>
      </x:c>
      <x:c r="V27" s="202" t="str">
        <x:f>IFERROR(Q27/N27,"")</x:f>
      </x:c>
      <x:c r="W27" s="137" t="str"/>
      <x:c r="X27" s="137" t="str"/>
      <x:c r="Y27" s="137" t="str"/>
      <x:c r="Z27" s="137" t="str"/>
      <x:c r="AA27" s="137" t="str"/>
      <x:c r="AB27" s="137" t="str"/>
      <x:c r="AC27" s="137" t="str"/>
      <x:c r="AD27" s="199" t="str"/>
    </x:row>
    <x:row r="28">
      <x:c r="A28" s="137" t="str"/>
      <x:c r="B28" s="138" t="str"/>
      <x:c r="C28" s="137" t="str"/>
      <x:c r="D28" s="137" t="str"/>
      <x:c r="E28" s="137" t="str"/>
      <x:c r="F28" s="137" t="str"/>
      <x:c r="G28" s="137" t="str"/>
      <x:c r="H28" s="137" t="str"/>
      <x:c r="I28" s="137" t="str"/>
      <x:c r="J28" s="137" t="str"/>
      <x:c r="K28" s="137" t="str"/>
      <x:c r="L28" s="160" t="str"/>
      <x:c r="M28" s="160" t="str"/>
      <x:c r="N28" s="151" t="str"/>
      <x:c r="O28" s="151" t="str"/>
      <x:c r="P28" s="151" t="str"/>
      <x:c r="Q28" s="151" t="str"/>
      <x:c r="R28" s="151" t="str"/>
      <x:c r="S28" s="151" t="str"/>
      <x:c r="T28" s="152" t="n">
        <x:f>IF(COUNTA(O28:S28)=0,"",MAX(0,IF(O28="",0,O28)+IF(P28="",0,P28)-IF(Q28="",0,Q28)-IF(R28="",0,R28)))</x:f>
        <x:v>0</x:v>
      </x:c>
      <x:c r="U28" s="152" t="str">
        <x:f>IF(OR(N28="",Q28=""),"",Q28-N28)</x:f>
      </x:c>
      <x:c r="V28" s="202" t="str">
        <x:f>IFERROR(Q28/N28,"")</x:f>
      </x:c>
      <x:c r="W28" s="137" t="str"/>
      <x:c r="X28" s="137" t="str"/>
      <x:c r="Y28" s="137" t="str"/>
      <x:c r="Z28" s="137" t="str"/>
      <x:c r="AA28" s="137" t="str"/>
      <x:c r="AB28" s="137" t="str"/>
      <x:c r="AC28" s="137" t="str"/>
      <x:c r="AD28" s="199" t="str"/>
    </x:row>
    <x:row r="29">
      <x:c r="A29" s="137" t="str"/>
      <x:c r="B29" s="138" t="str"/>
      <x:c r="C29" s="137" t="str"/>
      <x:c r="D29" s="137" t="str"/>
      <x:c r="E29" s="137" t="str"/>
      <x:c r="F29" s="137" t="str"/>
      <x:c r="G29" s="137" t="str"/>
      <x:c r="H29" s="137" t="str"/>
      <x:c r="I29" s="137" t="str"/>
      <x:c r="J29" s="137" t="str"/>
      <x:c r="K29" s="137" t="str"/>
      <x:c r="L29" s="160" t="str"/>
      <x:c r="M29" s="160" t="str"/>
      <x:c r="N29" s="151" t="str"/>
      <x:c r="O29" s="151" t="str"/>
      <x:c r="P29" s="151" t="str"/>
      <x:c r="Q29" s="151" t="str"/>
      <x:c r="R29" s="151" t="str"/>
      <x:c r="S29" s="151" t="str"/>
      <x:c r="T29" s="152" t="n">
        <x:f>IF(COUNTA(O29:S29)=0,"",MAX(0,IF(O29="",0,O29)+IF(P29="",0,P29)-IF(Q29="",0,Q29)-IF(R29="",0,R29)))</x:f>
        <x:v>0</x:v>
      </x:c>
      <x:c r="U29" s="152" t="str">
        <x:f>IF(OR(N29="",Q29=""),"",Q29-N29)</x:f>
      </x:c>
      <x:c r="V29" s="202" t="str">
        <x:f>IFERROR(Q29/N29,"")</x:f>
      </x:c>
      <x:c r="W29" s="137" t="str"/>
      <x:c r="X29" s="137" t="str"/>
      <x:c r="Y29" s="137" t="str"/>
      <x:c r="Z29" s="137" t="str"/>
      <x:c r="AA29" s="137" t="str"/>
      <x:c r="AB29" s="137" t="str"/>
      <x:c r="AC29" s="137" t="str"/>
      <x:c r="AD29" s="199" t="str"/>
    </x:row>
    <x:row r="30">
      <x:c r="A30" s="137" t="str"/>
      <x:c r="B30" s="138" t="str"/>
      <x:c r="C30" s="137" t="str"/>
      <x:c r="D30" s="137" t="str"/>
      <x:c r="E30" s="137" t="str"/>
      <x:c r="F30" s="137" t="str"/>
      <x:c r="G30" s="137" t="str"/>
      <x:c r="H30" s="137" t="str"/>
      <x:c r="I30" s="137" t="str"/>
      <x:c r="J30" s="137" t="str"/>
      <x:c r="K30" s="137" t="str"/>
      <x:c r="L30" s="160" t="str"/>
      <x:c r="M30" s="160" t="str"/>
      <x:c r="N30" s="151" t="str"/>
      <x:c r="O30" s="151" t="str"/>
      <x:c r="P30" s="151" t="str"/>
      <x:c r="Q30" s="151" t="str"/>
      <x:c r="R30" s="151" t="str"/>
      <x:c r="S30" s="151" t="str"/>
      <x:c r="T30" s="152" t="n">
        <x:f>IF(COUNTA(O30:S30)=0,"",MAX(0,IF(O30="",0,O30)+IF(P30="",0,P30)-IF(Q30="",0,Q30)-IF(R30="",0,R30)))</x:f>
        <x:v>0</x:v>
      </x:c>
      <x:c r="U30" s="152" t="str">
        <x:f>IF(OR(N30="",Q30=""),"",Q30-N30)</x:f>
      </x:c>
      <x:c r="V30" s="202" t="str">
        <x:f>IFERROR(Q30/N30,"")</x:f>
      </x:c>
      <x:c r="W30" s="137" t="str"/>
      <x:c r="X30" s="137" t="str"/>
      <x:c r="Y30" s="137" t="str"/>
      <x:c r="Z30" s="137" t="str"/>
      <x:c r="AA30" s="137" t="str"/>
      <x:c r="AB30" s="137" t="str"/>
      <x:c r="AC30" s="137" t="str"/>
      <x:c r="AD30" s="199" t="str"/>
    </x:row>
    <x:row r="31">
      <x:c r="A31" s="137" t="str"/>
      <x:c r="B31" s="138" t="str"/>
      <x:c r="C31" s="137" t="str"/>
      <x:c r="D31" s="137" t="str"/>
      <x:c r="E31" s="137" t="str"/>
      <x:c r="F31" s="137" t="str"/>
      <x:c r="G31" s="137" t="str"/>
      <x:c r="H31" s="137" t="str"/>
      <x:c r="I31" s="137" t="str"/>
      <x:c r="J31" s="137" t="str"/>
      <x:c r="K31" s="137" t="str"/>
      <x:c r="L31" s="160" t="str"/>
      <x:c r="M31" s="160" t="str"/>
      <x:c r="N31" s="151" t="str"/>
      <x:c r="O31" s="151" t="str"/>
      <x:c r="P31" s="151" t="str"/>
      <x:c r="Q31" s="151" t="str"/>
      <x:c r="R31" s="151" t="str"/>
      <x:c r="S31" s="151" t="str"/>
      <x:c r="T31" s="152" t="n">
        <x:f>IF(COUNTA(O31:S31)=0,"",MAX(0,IF(O31="",0,O31)+IF(P31="",0,P31)-IF(Q31="",0,Q31)-IF(R31="",0,R31)))</x:f>
        <x:v>0</x:v>
      </x:c>
      <x:c r="U31" s="152" t="str">
        <x:f>IF(OR(N31="",Q31=""),"",Q31-N31)</x:f>
      </x:c>
      <x:c r="V31" s="202" t="str">
        <x:f>IFERROR(Q31/N31,"")</x:f>
      </x:c>
      <x:c r="W31" s="137" t="str"/>
      <x:c r="X31" s="137" t="str"/>
      <x:c r="Y31" s="137" t="str"/>
      <x:c r="Z31" s="137" t="str"/>
      <x:c r="AA31" s="137" t="str"/>
      <x:c r="AB31" s="137" t="str"/>
      <x:c r="AC31" s="137" t="str"/>
      <x:c r="AD31" s="199" t="str"/>
    </x:row>
    <x:row r="32">
      <x:c r="A32" s="137" t="str"/>
      <x:c r="B32" s="138" t="str"/>
      <x:c r="C32" s="137" t="str"/>
      <x:c r="D32" s="137" t="str"/>
      <x:c r="E32" s="137" t="str"/>
      <x:c r="F32" s="137" t="str"/>
      <x:c r="G32" s="137" t="str"/>
      <x:c r="H32" s="137" t="str"/>
      <x:c r="I32" s="137" t="str"/>
      <x:c r="J32" s="137" t="str"/>
      <x:c r="K32" s="137" t="str"/>
      <x:c r="L32" s="160" t="str"/>
      <x:c r="M32" s="160" t="str"/>
      <x:c r="N32" s="151" t="str"/>
      <x:c r="O32" s="151" t="str"/>
      <x:c r="P32" s="151" t="str"/>
      <x:c r="Q32" s="151" t="str"/>
      <x:c r="R32" s="151" t="str"/>
      <x:c r="S32" s="151" t="str"/>
      <x:c r="T32" s="152" t="n">
        <x:f>IF(COUNTA(O32:S32)=0,"",MAX(0,IF(O32="",0,O32)+IF(P32="",0,P32)-IF(Q32="",0,Q32)-IF(R32="",0,R32)))</x:f>
        <x:v>0</x:v>
      </x:c>
      <x:c r="U32" s="152" t="str">
        <x:f>IF(OR(N32="",Q32=""),"",Q32-N32)</x:f>
      </x:c>
      <x:c r="V32" s="202" t="str">
        <x:f>IFERROR(Q32/N32,"")</x:f>
      </x:c>
      <x:c r="W32" s="137" t="str"/>
      <x:c r="X32" s="137" t="str"/>
      <x:c r="Y32" s="137" t="str"/>
      <x:c r="Z32" s="137" t="str"/>
      <x:c r="AA32" s="137" t="str"/>
      <x:c r="AB32" s="137" t="str"/>
      <x:c r="AC32" s="137" t="str"/>
      <x:c r="AD32" s="199" t="str"/>
    </x:row>
    <x:row r="33">
      <x:c r="A33" s="137" t="str"/>
      <x:c r="B33" s="138" t="str"/>
      <x:c r="C33" s="137" t="str"/>
      <x:c r="D33" s="137" t="str"/>
      <x:c r="E33" s="137" t="str"/>
      <x:c r="F33" s="137" t="str"/>
      <x:c r="G33" s="137" t="str"/>
      <x:c r="H33" s="137" t="str"/>
      <x:c r="I33" s="137" t="str"/>
      <x:c r="J33" s="137" t="str"/>
      <x:c r="K33" s="137" t="str"/>
      <x:c r="L33" s="160" t="str"/>
      <x:c r="M33" s="160" t="str"/>
      <x:c r="N33" s="151" t="str"/>
      <x:c r="O33" s="151" t="str"/>
      <x:c r="P33" s="151" t="str"/>
      <x:c r="Q33" s="151" t="str"/>
      <x:c r="R33" s="151" t="str"/>
      <x:c r="S33" s="151" t="str"/>
      <x:c r="T33" s="152" t="n">
        <x:f>IF(COUNTA(O33:S33)=0,"",MAX(0,IF(O33="",0,O33)+IF(P33="",0,P33)-IF(Q33="",0,Q33)-IF(R33="",0,R33)))</x:f>
        <x:v>0</x:v>
      </x:c>
      <x:c r="U33" s="152" t="str">
        <x:f>IF(OR(N33="",Q33=""),"",Q33-N33)</x:f>
      </x:c>
      <x:c r="V33" s="202" t="str">
        <x:f>IFERROR(Q33/N33,"")</x:f>
      </x:c>
      <x:c r="W33" s="137" t="str"/>
      <x:c r="X33" s="137" t="str"/>
      <x:c r="Y33" s="137" t="str"/>
      <x:c r="Z33" s="137" t="str"/>
      <x:c r="AA33" s="137" t="str"/>
      <x:c r="AB33" s="137" t="str"/>
      <x:c r="AC33" s="137" t="str"/>
      <x:c r="AD33" s="199" t="str"/>
    </x:row>
    <x:row r="34">
      <x:c r="A34" s="137" t="str"/>
      <x:c r="B34" s="138" t="str"/>
      <x:c r="C34" s="137" t="str"/>
      <x:c r="D34" s="137" t="str"/>
      <x:c r="E34" s="137" t="str"/>
      <x:c r="F34" s="137" t="str"/>
      <x:c r="G34" s="137" t="str"/>
      <x:c r="H34" s="137" t="str"/>
      <x:c r="I34" s="137" t="str"/>
      <x:c r="J34" s="137" t="str"/>
      <x:c r="K34" s="137" t="str"/>
      <x:c r="L34" s="160" t="str"/>
      <x:c r="M34" s="160" t="str"/>
      <x:c r="N34" s="151" t="str"/>
      <x:c r="O34" s="151" t="str"/>
      <x:c r="P34" s="151" t="str"/>
      <x:c r="Q34" s="151" t="str"/>
      <x:c r="R34" s="151" t="str"/>
      <x:c r="S34" s="151" t="str"/>
      <x:c r="T34" s="152" t="n">
        <x:f>IF(COUNTA(O34:S34)=0,"",MAX(0,IF(O34="",0,O34)+IF(P34="",0,P34)-IF(Q34="",0,Q34)-IF(R34="",0,R34)))</x:f>
        <x:v>0</x:v>
      </x:c>
      <x:c r="U34" s="152" t="str">
        <x:f>IF(OR(N34="",Q34=""),"",Q34-N34)</x:f>
      </x:c>
      <x:c r="V34" s="202" t="str">
        <x:f>IFERROR(Q34/N34,"")</x:f>
      </x:c>
      <x:c r="W34" s="137" t="str"/>
      <x:c r="X34" s="137" t="str"/>
      <x:c r="Y34" s="137" t="str"/>
      <x:c r="Z34" s="137" t="str"/>
      <x:c r="AA34" s="137" t="str"/>
      <x:c r="AB34" s="137" t="str"/>
      <x:c r="AC34" s="137" t="str"/>
      <x:c r="AD34" s="199" t="str"/>
    </x:row>
    <x:row r="35">
      <x:c r="A35" s="137" t="str"/>
      <x:c r="B35" s="138" t="str"/>
      <x:c r="C35" s="137" t="str"/>
      <x:c r="D35" s="137" t="str"/>
      <x:c r="E35" s="137" t="str"/>
      <x:c r="F35" s="137" t="str"/>
      <x:c r="G35" s="137" t="str"/>
      <x:c r="H35" s="137" t="str"/>
      <x:c r="I35" s="137" t="str"/>
      <x:c r="J35" s="137" t="str"/>
      <x:c r="K35" s="137" t="str"/>
      <x:c r="L35" s="160" t="str"/>
      <x:c r="M35" s="160" t="str"/>
      <x:c r="N35" s="151" t="str"/>
      <x:c r="O35" s="151" t="str"/>
      <x:c r="P35" s="151" t="str"/>
      <x:c r="Q35" s="151" t="str"/>
      <x:c r="R35" s="151" t="str"/>
      <x:c r="S35" s="151" t="str"/>
      <x:c r="T35" s="152" t="n">
        <x:f>IF(COUNTA(O35:S35)=0,"",MAX(0,IF(O35="",0,O35)+IF(P35="",0,P35)-IF(Q35="",0,Q35)-IF(R35="",0,R35)))</x:f>
        <x:v>0</x:v>
      </x:c>
      <x:c r="U35" s="152" t="str">
        <x:f>IF(OR(N35="",Q35=""),"",Q35-N35)</x:f>
      </x:c>
      <x:c r="V35" s="202" t="str">
        <x:f>IFERROR(Q35/N35,"")</x:f>
      </x:c>
      <x:c r="W35" s="137" t="str"/>
      <x:c r="X35" s="137" t="str"/>
      <x:c r="Y35" s="137" t="str"/>
      <x:c r="Z35" s="137" t="str"/>
      <x:c r="AA35" s="137" t="str"/>
      <x:c r="AB35" s="137" t="str"/>
      <x:c r="AC35" s="137" t="str"/>
      <x:c r="AD35" s="199" t="str"/>
    </x:row>
    <x:row r="36">
      <x:c r="A36" s="137" t="str"/>
      <x:c r="B36" s="138" t="str"/>
      <x:c r="C36" s="137" t="str"/>
      <x:c r="D36" s="137" t="str"/>
      <x:c r="E36" s="137" t="str"/>
      <x:c r="F36" s="137" t="str"/>
      <x:c r="G36" s="137" t="str"/>
      <x:c r="H36" s="137" t="str"/>
      <x:c r="I36" s="137" t="str"/>
      <x:c r="J36" s="137" t="str"/>
      <x:c r="K36" s="137" t="str"/>
      <x:c r="L36" s="160" t="str"/>
      <x:c r="M36" s="160" t="str"/>
      <x:c r="N36" s="151" t="str"/>
      <x:c r="O36" s="151" t="str"/>
      <x:c r="P36" s="151" t="str"/>
      <x:c r="Q36" s="151" t="str"/>
      <x:c r="R36" s="151" t="str"/>
      <x:c r="S36" s="151" t="str"/>
      <x:c r="T36" s="152" t="n">
        <x:f>IF(COUNTA(O36:S36)=0,"",MAX(0,IF(O36="",0,O36)+IF(P36="",0,P36)-IF(Q36="",0,Q36)-IF(R36="",0,R36)))</x:f>
        <x:v>0</x:v>
      </x:c>
      <x:c r="U36" s="152" t="str">
        <x:f>IF(OR(N36="",Q36=""),"",Q36-N36)</x:f>
      </x:c>
      <x:c r="V36" s="202" t="str">
        <x:f>IFERROR(Q36/N36,"")</x:f>
      </x:c>
      <x:c r="W36" s="137" t="str"/>
      <x:c r="X36" s="137" t="str"/>
      <x:c r="Y36" s="137" t="str"/>
      <x:c r="Z36" s="137" t="str"/>
      <x:c r="AA36" s="137" t="str"/>
      <x:c r="AB36" s="137" t="str"/>
      <x:c r="AC36" s="137" t="str"/>
      <x:c r="AD36" s="199" t="str"/>
    </x:row>
    <x:row r="37">
      <x:c r="A37" s="137" t="str"/>
      <x:c r="B37" s="138" t="str"/>
      <x:c r="C37" s="137" t="str"/>
      <x:c r="D37" s="137" t="str"/>
      <x:c r="E37" s="137" t="str"/>
      <x:c r="F37" s="137" t="str"/>
      <x:c r="G37" s="137" t="str"/>
      <x:c r="H37" s="137" t="str"/>
      <x:c r="I37" s="137" t="str"/>
      <x:c r="J37" s="137" t="str"/>
      <x:c r="K37" s="137" t="str"/>
      <x:c r="L37" s="160" t="str"/>
      <x:c r="M37" s="160" t="str"/>
      <x:c r="N37" s="151" t="str"/>
      <x:c r="O37" s="151" t="str"/>
      <x:c r="P37" s="151" t="str"/>
      <x:c r="Q37" s="151" t="str"/>
      <x:c r="R37" s="151" t="str"/>
      <x:c r="S37" s="151" t="str"/>
      <x:c r="T37" s="152" t="n">
        <x:f>IF(COUNTA(O37:S37)=0,"",MAX(0,IF(O37="",0,O37)+IF(P37="",0,P37)-IF(Q37="",0,Q37)-IF(R37="",0,R37)))</x:f>
        <x:v>0</x:v>
      </x:c>
      <x:c r="U37" s="152" t="str">
        <x:f>IF(OR(N37="",Q37=""),"",Q37-N37)</x:f>
      </x:c>
      <x:c r="V37" s="202" t="str">
        <x:f>IFERROR(Q37/N37,"")</x:f>
      </x:c>
      <x:c r="W37" s="137" t="str"/>
      <x:c r="X37" s="137" t="str"/>
      <x:c r="Y37" s="137" t="str"/>
      <x:c r="Z37" s="137" t="str"/>
      <x:c r="AA37" s="137" t="str"/>
      <x:c r="AB37" s="137" t="str"/>
      <x:c r="AC37" s="137" t="str"/>
      <x:c r="AD37" s="199" t="str"/>
    </x:row>
    <x:row r="38">
      <x:c r="A38" s="137" t="str"/>
      <x:c r="B38" s="138" t="str"/>
      <x:c r="C38" s="137" t="str"/>
      <x:c r="D38" s="137" t="str"/>
      <x:c r="E38" s="137" t="str"/>
      <x:c r="F38" s="137" t="str"/>
      <x:c r="G38" s="137" t="str"/>
      <x:c r="H38" s="137" t="str"/>
      <x:c r="I38" s="137" t="str"/>
      <x:c r="J38" s="137" t="str"/>
      <x:c r="K38" s="137" t="str"/>
      <x:c r="L38" s="160" t="str"/>
      <x:c r="M38" s="160" t="str"/>
      <x:c r="N38" s="151" t="str"/>
      <x:c r="O38" s="151" t="str"/>
      <x:c r="P38" s="151" t="str"/>
      <x:c r="Q38" s="151" t="str"/>
      <x:c r="R38" s="151" t="str"/>
      <x:c r="S38" s="151" t="str"/>
      <x:c r="T38" s="152" t="n">
        <x:f>IF(COUNTA(O38:S38)=0,"",MAX(0,IF(O38="",0,O38)+IF(P38="",0,P38)-IF(Q38="",0,Q38)-IF(R38="",0,R38)))</x:f>
        <x:v>0</x:v>
      </x:c>
      <x:c r="U38" s="152" t="str">
        <x:f>IF(OR(N38="",Q38=""),"",Q38-N38)</x:f>
      </x:c>
      <x:c r="V38" s="202" t="str">
        <x:f>IFERROR(Q38/N38,"")</x:f>
      </x:c>
      <x:c r="W38" s="137" t="str"/>
      <x:c r="X38" s="137" t="str"/>
      <x:c r="Y38" s="137" t="str"/>
      <x:c r="Z38" s="137" t="str"/>
      <x:c r="AA38" s="137" t="str"/>
      <x:c r="AB38" s="137" t="str"/>
      <x:c r="AC38" s="137" t="str"/>
      <x:c r="AD38" s="199" t="str"/>
    </x:row>
    <x:row r="39">
      <x:c r="A39" s="137" t="str"/>
      <x:c r="B39" s="138" t="str"/>
      <x:c r="C39" s="137" t="str"/>
      <x:c r="D39" s="137" t="str"/>
      <x:c r="E39" s="137" t="str"/>
      <x:c r="F39" s="137" t="str"/>
      <x:c r="G39" s="137" t="str"/>
      <x:c r="H39" s="137" t="str"/>
      <x:c r="I39" s="137" t="str"/>
      <x:c r="J39" s="137" t="str"/>
      <x:c r="K39" s="137" t="str"/>
      <x:c r="L39" s="160" t="str"/>
      <x:c r="M39" s="160" t="str"/>
      <x:c r="N39" s="151" t="str"/>
      <x:c r="O39" s="151" t="str"/>
      <x:c r="P39" s="151" t="str"/>
      <x:c r="Q39" s="151" t="str"/>
      <x:c r="R39" s="151" t="str"/>
      <x:c r="S39" s="151" t="str"/>
      <x:c r="T39" s="152" t="n">
        <x:f>IF(COUNTA(O39:S39)=0,"",MAX(0,IF(O39="",0,O39)+IF(P39="",0,P39)-IF(Q39="",0,Q39)-IF(R39="",0,R39)))</x:f>
        <x:v>0</x:v>
      </x:c>
      <x:c r="U39" s="152" t="str">
        <x:f>IF(OR(N39="",Q39=""),"",Q39-N39)</x:f>
      </x:c>
      <x:c r="V39" s="202" t="str">
        <x:f>IFERROR(Q39/N39,"")</x:f>
      </x:c>
      <x:c r="W39" s="137" t="str"/>
      <x:c r="X39" s="137" t="str"/>
      <x:c r="Y39" s="137" t="str"/>
      <x:c r="Z39" s="137" t="str"/>
      <x:c r="AA39" s="137" t="str"/>
      <x:c r="AB39" s="137" t="str"/>
      <x:c r="AC39" s="137" t="str"/>
      <x:c r="AD39" s="199" t="str"/>
    </x:row>
    <x:row r="40">
      <x:c r="A40" s="137" t="str"/>
      <x:c r="B40" s="138" t="str"/>
      <x:c r="C40" s="137" t="str"/>
      <x:c r="D40" s="137" t="str"/>
      <x:c r="E40" s="137" t="str"/>
      <x:c r="F40" s="137" t="str"/>
      <x:c r="G40" s="137" t="str"/>
      <x:c r="H40" s="137" t="str"/>
      <x:c r="I40" s="137" t="str"/>
      <x:c r="J40" s="137" t="str"/>
      <x:c r="K40" s="137" t="str"/>
      <x:c r="L40" s="160" t="str"/>
      <x:c r="M40" s="160" t="str"/>
      <x:c r="N40" s="151" t="str"/>
      <x:c r="O40" s="151" t="str"/>
      <x:c r="P40" s="151" t="str"/>
      <x:c r="Q40" s="151" t="str"/>
      <x:c r="R40" s="151" t="str"/>
      <x:c r="S40" s="151" t="str"/>
      <x:c r="T40" s="152" t="n">
        <x:f>IF(COUNTA(O40:S40)=0,"",MAX(0,IF(O40="",0,O40)+IF(P40="",0,P40)-IF(Q40="",0,Q40)-IF(R40="",0,R40)))</x:f>
        <x:v>0</x:v>
      </x:c>
      <x:c r="U40" s="152" t="str">
        <x:f>IF(OR(N40="",Q40=""),"",Q40-N40)</x:f>
      </x:c>
      <x:c r="V40" s="202" t="str">
        <x:f>IFERROR(Q40/N40,"")</x:f>
      </x:c>
      <x:c r="W40" s="137" t="str"/>
      <x:c r="X40" s="137" t="str"/>
      <x:c r="Y40" s="137" t="str"/>
      <x:c r="Z40" s="137" t="str"/>
      <x:c r="AA40" s="137" t="str"/>
      <x:c r="AB40" s="137" t="str"/>
      <x:c r="AC40" s="137" t="str"/>
      <x:c r="AD40" s="199" t="str"/>
    </x:row>
    <x:row r="41">
      <x:c r="A41" s="137" t="str"/>
      <x:c r="B41" s="138" t="str"/>
      <x:c r="C41" s="137" t="str"/>
      <x:c r="D41" s="137" t="str"/>
      <x:c r="E41" s="137" t="str"/>
      <x:c r="F41" s="137" t="str"/>
      <x:c r="G41" s="137" t="str"/>
      <x:c r="H41" s="137" t="str"/>
      <x:c r="I41" s="137" t="str"/>
      <x:c r="J41" s="137" t="str"/>
      <x:c r="K41" s="137" t="str"/>
      <x:c r="L41" s="160" t="str"/>
      <x:c r="M41" s="160" t="str"/>
      <x:c r="N41" s="151" t="str"/>
      <x:c r="O41" s="151" t="str"/>
      <x:c r="P41" s="151" t="str"/>
      <x:c r="Q41" s="151" t="str"/>
      <x:c r="R41" s="151" t="str"/>
      <x:c r="S41" s="151" t="str"/>
      <x:c r="T41" s="152" t="n">
        <x:f>IF(COUNTA(O41:S41)=0,"",MAX(0,IF(O41="",0,O41)+IF(P41="",0,P41)-IF(Q41="",0,Q41)-IF(R41="",0,R41)))</x:f>
        <x:v>0</x:v>
      </x:c>
      <x:c r="U41" s="152" t="str">
        <x:f>IF(OR(N41="",Q41=""),"",Q41-N41)</x:f>
      </x:c>
      <x:c r="V41" s="202" t="str">
        <x:f>IFERROR(Q41/N41,"")</x:f>
      </x:c>
      <x:c r="W41" s="137" t="str"/>
      <x:c r="X41" s="137" t="str"/>
      <x:c r="Y41" s="137" t="str"/>
      <x:c r="Z41" s="137" t="str"/>
      <x:c r="AA41" s="137" t="str"/>
      <x:c r="AB41" s="137" t="str"/>
      <x:c r="AC41" s="137" t="str"/>
      <x:c r="AD41" s="199" t="str"/>
    </x:row>
    <x:row r="42">
      <x:c r="A42" s="137" t="str"/>
      <x:c r="B42" s="138" t="str"/>
      <x:c r="C42" s="137" t="str"/>
      <x:c r="D42" s="137" t="str"/>
      <x:c r="E42" s="137" t="str"/>
      <x:c r="F42" s="137" t="str"/>
      <x:c r="G42" s="137" t="str"/>
      <x:c r="H42" s="137" t="str"/>
      <x:c r="I42" s="137" t="str"/>
      <x:c r="J42" s="137" t="str"/>
      <x:c r="K42" s="137" t="str"/>
      <x:c r="L42" s="160" t="str"/>
      <x:c r="M42" s="160" t="str"/>
      <x:c r="N42" s="151" t="str"/>
      <x:c r="O42" s="151" t="str"/>
      <x:c r="P42" s="151" t="str"/>
      <x:c r="Q42" s="151" t="str"/>
      <x:c r="R42" s="151" t="str"/>
      <x:c r="S42" s="151" t="str"/>
      <x:c r="T42" s="152" t="n">
        <x:f>IF(COUNTA(O42:S42)=0,"",MAX(0,IF(O42="",0,O42)+IF(P42="",0,P42)-IF(Q42="",0,Q42)-IF(R42="",0,R42)))</x:f>
        <x:v>0</x:v>
      </x:c>
      <x:c r="U42" s="152" t="str">
        <x:f>IF(OR(N42="",Q42=""),"",Q42-N42)</x:f>
      </x:c>
      <x:c r="V42" s="202" t="str">
        <x:f>IFERROR(Q42/N42,"")</x:f>
      </x:c>
      <x:c r="W42" s="137" t="str"/>
      <x:c r="X42" s="137" t="str"/>
      <x:c r="Y42" s="137" t="str"/>
      <x:c r="Z42" s="137" t="str"/>
      <x:c r="AA42" s="137" t="str"/>
      <x:c r="AB42" s="137" t="str"/>
      <x:c r="AC42" s="137" t="str"/>
      <x:c r="AD42" s="199" t="str"/>
    </x:row>
    <x:row r="43">
      <x:c r="A43" s="137" t="str"/>
      <x:c r="B43" s="138" t="str"/>
      <x:c r="C43" s="137" t="str"/>
      <x:c r="D43" s="137" t="str"/>
      <x:c r="E43" s="137" t="str"/>
      <x:c r="F43" s="137" t="str"/>
      <x:c r="G43" s="137" t="str"/>
      <x:c r="H43" s="137" t="str"/>
      <x:c r="I43" s="137" t="str"/>
      <x:c r="J43" s="137" t="str"/>
      <x:c r="K43" s="137" t="str"/>
      <x:c r="L43" s="160" t="str"/>
      <x:c r="M43" s="160" t="str"/>
      <x:c r="N43" s="151" t="str"/>
      <x:c r="O43" s="151" t="str"/>
      <x:c r="P43" s="151" t="str"/>
      <x:c r="Q43" s="151" t="str"/>
      <x:c r="R43" s="151" t="str"/>
      <x:c r="S43" s="151" t="str"/>
      <x:c r="T43" s="152" t="n">
        <x:f>IF(COUNTA(O43:S43)=0,"",MAX(0,IF(O43="",0,O43)+IF(P43="",0,P43)-IF(Q43="",0,Q43)-IF(R43="",0,R43)))</x:f>
        <x:v>0</x:v>
      </x:c>
      <x:c r="U43" s="152" t="str">
        <x:f>IF(OR(N43="",Q43=""),"",Q43-N43)</x:f>
      </x:c>
      <x:c r="V43" s="202" t="str">
        <x:f>IFERROR(Q43/N43,"")</x:f>
      </x:c>
      <x:c r="W43" s="137" t="str"/>
      <x:c r="X43" s="137" t="str"/>
      <x:c r="Y43" s="137" t="str"/>
      <x:c r="Z43" s="137" t="str"/>
      <x:c r="AA43" s="137" t="str"/>
      <x:c r="AB43" s="137" t="str"/>
      <x:c r="AC43" s="137" t="str"/>
      <x:c r="AD43" s="199" t="str"/>
    </x:row>
    <x:row r="44">
      <x:c r="A44" s="137" t="str"/>
      <x:c r="B44" s="138" t="str"/>
      <x:c r="C44" s="137" t="str"/>
      <x:c r="D44" s="137" t="str"/>
      <x:c r="E44" s="137" t="str"/>
      <x:c r="F44" s="137" t="str"/>
      <x:c r="G44" s="137" t="str"/>
      <x:c r="H44" s="137" t="str"/>
      <x:c r="I44" s="137" t="str"/>
      <x:c r="J44" s="137" t="str"/>
      <x:c r="K44" s="137" t="str"/>
      <x:c r="L44" s="160" t="str"/>
      <x:c r="M44" s="160" t="str"/>
      <x:c r="N44" s="151" t="str"/>
      <x:c r="O44" s="151" t="str"/>
      <x:c r="P44" s="151" t="str"/>
      <x:c r="Q44" s="151" t="str"/>
      <x:c r="R44" s="151" t="str"/>
      <x:c r="S44" s="151" t="str"/>
      <x:c r="T44" s="152" t="n">
        <x:f>IF(COUNTA(O44:S44)=0,"",MAX(0,IF(O44="",0,O44)+IF(P44="",0,P44)-IF(Q44="",0,Q44)-IF(R44="",0,R44)))</x:f>
        <x:v>0</x:v>
      </x:c>
      <x:c r="U44" s="152" t="str">
        <x:f>IF(OR(N44="",Q44=""),"",Q44-N44)</x:f>
      </x:c>
      <x:c r="V44" s="202" t="str">
        <x:f>IFERROR(Q44/N44,"")</x:f>
      </x:c>
      <x:c r="W44" s="137" t="str"/>
      <x:c r="X44" s="137" t="str"/>
      <x:c r="Y44" s="137" t="str"/>
      <x:c r="Z44" s="137" t="str"/>
      <x:c r="AA44" s="137" t="str"/>
      <x:c r="AB44" s="137" t="str"/>
      <x:c r="AC44" s="137" t="str"/>
      <x:c r="AD44" s="199" t="str"/>
    </x:row>
    <x:row r="45">
      <x:c r="A45" s="137" t="str"/>
      <x:c r="B45" s="138" t="str"/>
      <x:c r="C45" s="137" t="str"/>
      <x:c r="D45" s="137" t="str"/>
      <x:c r="E45" s="137" t="str"/>
      <x:c r="F45" s="137" t="str"/>
      <x:c r="G45" s="137" t="str"/>
      <x:c r="H45" s="137" t="str"/>
      <x:c r="I45" s="137" t="str"/>
      <x:c r="J45" s="137" t="str"/>
      <x:c r="K45" s="137" t="str"/>
      <x:c r="L45" s="160" t="str"/>
      <x:c r="M45" s="160" t="str"/>
      <x:c r="N45" s="151" t="str"/>
      <x:c r="O45" s="151" t="str"/>
      <x:c r="P45" s="151" t="str"/>
      <x:c r="Q45" s="151" t="str"/>
      <x:c r="R45" s="151" t="str"/>
      <x:c r="S45" s="151" t="str"/>
      <x:c r="T45" s="152" t="n">
        <x:f>IF(COUNTA(O45:S45)=0,"",MAX(0,IF(O45="",0,O45)+IF(P45="",0,P45)-IF(Q45="",0,Q45)-IF(R45="",0,R45)))</x:f>
        <x:v>0</x:v>
      </x:c>
      <x:c r="U45" s="152" t="str">
        <x:f>IF(OR(N45="",Q45=""),"",Q45-N45)</x:f>
      </x:c>
      <x:c r="V45" s="202" t="str">
        <x:f>IFERROR(Q45/N45,"")</x:f>
      </x:c>
      <x:c r="W45" s="137" t="str"/>
      <x:c r="X45" s="137" t="str"/>
      <x:c r="Y45" s="137" t="str"/>
      <x:c r="Z45" s="137" t="str"/>
      <x:c r="AA45" s="137" t="str"/>
      <x:c r="AB45" s="137" t="str"/>
      <x:c r="AC45" s="137" t="str"/>
      <x:c r="AD45" s="199" t="str"/>
    </x:row>
    <x:row r="46">
      <x:c r="A46" s="137" t="str"/>
      <x:c r="B46" s="138" t="str"/>
      <x:c r="C46" s="137" t="str"/>
      <x:c r="D46" s="137" t="str"/>
      <x:c r="E46" s="137" t="str"/>
      <x:c r="F46" s="137" t="str"/>
      <x:c r="G46" s="137" t="str"/>
      <x:c r="H46" s="137" t="str"/>
      <x:c r="I46" s="137" t="str"/>
      <x:c r="J46" s="137" t="str"/>
      <x:c r="K46" s="137" t="str"/>
      <x:c r="L46" s="160" t="str"/>
      <x:c r="M46" s="160" t="str"/>
      <x:c r="N46" s="151" t="str"/>
      <x:c r="O46" s="151" t="str"/>
      <x:c r="P46" s="151" t="str"/>
      <x:c r="Q46" s="151" t="str"/>
      <x:c r="R46" s="151" t="str"/>
      <x:c r="S46" s="151" t="str"/>
      <x:c r="T46" s="152" t="n">
        <x:f>IF(COUNTA(O46:S46)=0,"",MAX(0,IF(O46="",0,O46)+IF(P46="",0,P46)-IF(Q46="",0,Q46)-IF(R46="",0,R46)))</x:f>
        <x:v>0</x:v>
      </x:c>
      <x:c r="U46" s="152" t="str">
        <x:f>IF(OR(N46="",Q46=""),"",Q46-N46)</x:f>
      </x:c>
      <x:c r="V46" s="202" t="str">
        <x:f>IFERROR(Q46/N46,"")</x:f>
      </x:c>
      <x:c r="W46" s="137" t="str"/>
      <x:c r="X46" s="137" t="str"/>
      <x:c r="Y46" s="137" t="str"/>
      <x:c r="Z46" s="137" t="str"/>
      <x:c r="AA46" s="137" t="str"/>
      <x:c r="AB46" s="137" t="str"/>
      <x:c r="AC46" s="137" t="str"/>
      <x:c r="AD46" s="199" t="str"/>
    </x:row>
    <x:row r="47">
      <x:c r="A47" s="137" t="str"/>
      <x:c r="B47" s="138" t="str"/>
      <x:c r="C47" s="137" t="str"/>
      <x:c r="D47" s="137" t="str"/>
      <x:c r="E47" s="137" t="str"/>
      <x:c r="F47" s="137" t="str"/>
      <x:c r="G47" s="137" t="str"/>
      <x:c r="H47" s="137" t="str"/>
      <x:c r="I47" s="137" t="str"/>
      <x:c r="J47" s="137" t="str"/>
      <x:c r="K47" s="137" t="str"/>
      <x:c r="L47" s="160" t="str"/>
      <x:c r="M47" s="160" t="str"/>
      <x:c r="N47" s="151" t="str"/>
      <x:c r="O47" s="151" t="str"/>
      <x:c r="P47" s="151" t="str"/>
      <x:c r="Q47" s="151" t="str"/>
      <x:c r="R47" s="151" t="str"/>
      <x:c r="S47" s="151" t="str"/>
      <x:c r="T47" s="152" t="n">
        <x:f>IF(COUNTA(O47:S47)=0,"",MAX(0,IF(O47="",0,O47)+IF(P47="",0,P47)-IF(Q47="",0,Q47)-IF(R47="",0,R47)))</x:f>
        <x:v>0</x:v>
      </x:c>
      <x:c r="U47" s="152" t="str">
        <x:f>IF(OR(N47="",Q47=""),"",Q47-N47)</x:f>
      </x:c>
      <x:c r="V47" s="202" t="str">
        <x:f>IFERROR(Q47/N47,"")</x:f>
      </x:c>
      <x:c r="W47" s="137" t="str"/>
      <x:c r="X47" s="137" t="str"/>
      <x:c r="Y47" s="137" t="str"/>
      <x:c r="Z47" s="137" t="str"/>
      <x:c r="AA47" s="137" t="str"/>
      <x:c r="AB47" s="137" t="str"/>
      <x:c r="AC47" s="137" t="str"/>
      <x:c r="AD47" s="199" t="str"/>
    </x:row>
    <x:row r="48">
      <x:c r="A48" s="137" t="str"/>
      <x:c r="B48" s="138" t="str"/>
      <x:c r="C48" s="137" t="str"/>
      <x:c r="D48" s="137" t="str"/>
      <x:c r="E48" s="137" t="str"/>
      <x:c r="F48" s="137" t="str"/>
      <x:c r="G48" s="137" t="str"/>
      <x:c r="H48" s="137" t="str"/>
      <x:c r="I48" s="137" t="str"/>
      <x:c r="J48" s="137" t="str"/>
      <x:c r="K48" s="137" t="str"/>
      <x:c r="L48" s="160" t="str"/>
      <x:c r="M48" s="160" t="str"/>
      <x:c r="N48" s="151" t="str"/>
      <x:c r="O48" s="151" t="str"/>
      <x:c r="P48" s="151" t="str"/>
      <x:c r="Q48" s="151" t="str"/>
      <x:c r="R48" s="151" t="str"/>
      <x:c r="S48" s="151" t="str"/>
      <x:c r="T48" s="152" t="n">
        <x:f>IF(COUNTA(O48:S48)=0,"",MAX(0,IF(O48="",0,O48)+IF(P48="",0,P48)-IF(Q48="",0,Q48)-IF(R48="",0,R48)))</x:f>
        <x:v>0</x:v>
      </x:c>
      <x:c r="U48" s="152" t="str">
        <x:f>IF(OR(N48="",Q48=""),"",Q48-N48)</x:f>
      </x:c>
      <x:c r="V48" s="202" t="str">
        <x:f>IFERROR(Q48/N48,"")</x:f>
      </x:c>
      <x:c r="W48" s="137" t="str"/>
      <x:c r="X48" s="137" t="str"/>
      <x:c r="Y48" s="137" t="str"/>
      <x:c r="Z48" s="137" t="str"/>
      <x:c r="AA48" s="137" t="str"/>
      <x:c r="AB48" s="137" t="str"/>
      <x:c r="AC48" s="137" t="str"/>
      <x:c r="AD48" s="199" t="str"/>
    </x:row>
    <x:row r="49">
      <x:c r="A49" s="137" t="str"/>
      <x:c r="B49" s="138" t="str"/>
      <x:c r="C49" s="137" t="str"/>
      <x:c r="D49" s="137" t="str"/>
      <x:c r="E49" s="137" t="str"/>
      <x:c r="F49" s="137" t="str"/>
      <x:c r="G49" s="137" t="str"/>
      <x:c r="H49" s="137" t="str"/>
      <x:c r="I49" s="137" t="str"/>
      <x:c r="J49" s="137" t="str"/>
      <x:c r="K49" s="137" t="str"/>
      <x:c r="L49" s="160" t="str"/>
      <x:c r="M49" s="160" t="str"/>
      <x:c r="N49" s="151" t="str"/>
      <x:c r="O49" s="151" t="str"/>
      <x:c r="P49" s="151" t="str"/>
      <x:c r="Q49" s="151" t="str"/>
      <x:c r="R49" s="151" t="str"/>
      <x:c r="S49" s="151" t="str"/>
      <x:c r="T49" s="152" t="n">
        <x:f>IF(COUNTA(O49:S49)=0,"",MAX(0,IF(O49="",0,O49)+IF(P49="",0,P49)-IF(Q49="",0,Q49)-IF(R49="",0,R49)))</x:f>
        <x:v>0</x:v>
      </x:c>
      <x:c r="U49" s="152" t="str">
        <x:f>IF(OR(N49="",Q49=""),"",Q49-N49)</x:f>
      </x:c>
      <x:c r="V49" s="202" t="str">
        <x:f>IFERROR(Q49/N49,"")</x:f>
      </x:c>
      <x:c r="W49" s="137" t="str"/>
      <x:c r="X49" s="137" t="str"/>
      <x:c r="Y49" s="137" t="str"/>
      <x:c r="Z49" s="137" t="str"/>
      <x:c r="AA49" s="137" t="str"/>
      <x:c r="AB49" s="137" t="str"/>
      <x:c r="AC49" s="137" t="str"/>
      <x:c r="AD49" s="199" t="str"/>
    </x:row>
    <x:row r="50">
      <x:c r="A50" s="137" t="str"/>
      <x:c r="B50" s="138" t="str"/>
      <x:c r="C50" s="137" t="str"/>
      <x:c r="D50" s="137" t="str"/>
      <x:c r="E50" s="137" t="str"/>
      <x:c r="F50" s="137" t="str"/>
      <x:c r="G50" s="137" t="str"/>
      <x:c r="H50" s="137" t="str"/>
      <x:c r="I50" s="137" t="str"/>
      <x:c r="J50" s="137" t="str"/>
      <x:c r="K50" s="137" t="str"/>
      <x:c r="L50" s="160" t="str"/>
      <x:c r="M50" s="160" t="str"/>
      <x:c r="N50" s="151" t="str"/>
      <x:c r="O50" s="151" t="str"/>
      <x:c r="P50" s="151" t="str"/>
      <x:c r="Q50" s="151" t="str"/>
      <x:c r="R50" s="151" t="str"/>
      <x:c r="S50" s="151" t="str"/>
      <x:c r="T50" s="152" t="n">
        <x:f>IF(COUNTA(O50:S50)=0,"",MAX(0,IF(O50="",0,O50)+IF(P50="",0,P50)-IF(Q50="",0,Q50)-IF(R50="",0,R50)))</x:f>
        <x:v>0</x:v>
      </x:c>
      <x:c r="U50" s="152" t="str">
        <x:f>IF(OR(N50="",Q50=""),"",Q50-N50)</x:f>
      </x:c>
      <x:c r="V50" s="202" t="str">
        <x:f>IFERROR(Q50/N50,"")</x:f>
      </x:c>
      <x:c r="W50" s="137" t="str"/>
      <x:c r="X50" s="137" t="str"/>
      <x:c r="Y50" s="137" t="str"/>
      <x:c r="Z50" s="137" t="str"/>
      <x:c r="AA50" s="137" t="str"/>
      <x:c r="AB50" s="137" t="str"/>
      <x:c r="AC50" s="137" t="str"/>
      <x:c r="AD50" s="199" t="str"/>
    </x:row>
    <x:row r="51">
      <x:c r="A51" s="137" t="str"/>
      <x:c r="B51" s="138" t="str"/>
      <x:c r="C51" s="137" t="str"/>
      <x:c r="D51" s="137" t="str"/>
      <x:c r="E51" s="137" t="str"/>
      <x:c r="F51" s="137" t="str"/>
      <x:c r="G51" s="137" t="str"/>
      <x:c r="H51" s="137" t="str"/>
      <x:c r="I51" s="137" t="str"/>
      <x:c r="J51" s="137" t="str"/>
      <x:c r="K51" s="137" t="str"/>
      <x:c r="L51" s="160" t="str"/>
      <x:c r="M51" s="160" t="str"/>
      <x:c r="N51" s="151" t="str"/>
      <x:c r="O51" s="151" t="str"/>
      <x:c r="P51" s="151" t="str"/>
      <x:c r="Q51" s="151" t="str"/>
      <x:c r="R51" s="151" t="str"/>
      <x:c r="S51" s="151" t="str"/>
      <x:c r="T51" s="152" t="n">
        <x:f>IF(COUNTA(O51:S51)=0,"",MAX(0,IF(O51="",0,O51)+IF(P51="",0,P51)-IF(Q51="",0,Q51)-IF(R51="",0,R51)))</x:f>
        <x:v>0</x:v>
      </x:c>
      <x:c r="U51" s="152" t="str">
        <x:f>IF(OR(N51="",Q51=""),"",Q51-N51)</x:f>
      </x:c>
      <x:c r="V51" s="202" t="str">
        <x:f>IFERROR(Q51/N51,"")</x:f>
      </x:c>
      <x:c r="W51" s="137" t="str"/>
      <x:c r="X51" s="137" t="str"/>
      <x:c r="Y51" s="137" t="str"/>
      <x:c r="Z51" s="137" t="str"/>
      <x:c r="AA51" s="137" t="str"/>
      <x:c r="AB51" s="137" t="str"/>
      <x:c r="AC51" s="137" t="str"/>
      <x:c r="AD51" s="199" t="str"/>
    </x:row>
    <x:row r="52">
      <x:c r="A52" s="137" t="str"/>
      <x:c r="B52" s="138" t="str"/>
      <x:c r="C52" s="137" t="str"/>
      <x:c r="D52" s="137" t="str"/>
      <x:c r="E52" s="137" t="str"/>
      <x:c r="F52" s="137" t="str"/>
      <x:c r="G52" s="137" t="str"/>
      <x:c r="H52" s="137" t="str"/>
      <x:c r="I52" s="137" t="str"/>
      <x:c r="J52" s="137" t="str"/>
      <x:c r="K52" s="137" t="str"/>
      <x:c r="L52" s="160" t="str"/>
      <x:c r="M52" s="160" t="str"/>
      <x:c r="N52" s="151" t="str"/>
      <x:c r="O52" s="151" t="str"/>
      <x:c r="P52" s="151" t="str"/>
      <x:c r="Q52" s="151" t="str"/>
      <x:c r="R52" s="151" t="str"/>
      <x:c r="S52" s="151" t="str"/>
      <x:c r="T52" s="152" t="n">
        <x:f>IF(COUNTA(O52:S52)=0,"",MAX(0,IF(O52="",0,O52)+IF(P52="",0,P52)-IF(Q52="",0,Q52)-IF(R52="",0,R52)))</x:f>
        <x:v>0</x:v>
      </x:c>
      <x:c r="U52" s="152" t="str">
        <x:f>IF(OR(N52="",Q52=""),"",Q52-N52)</x:f>
      </x:c>
      <x:c r="V52" s="202" t="str">
        <x:f>IFERROR(Q52/N52,"")</x:f>
      </x:c>
      <x:c r="W52" s="137" t="str"/>
      <x:c r="X52" s="137" t="str"/>
      <x:c r="Y52" s="137" t="str"/>
      <x:c r="Z52" s="137" t="str"/>
      <x:c r="AA52" s="137" t="str"/>
      <x:c r="AB52" s="137" t="str"/>
      <x:c r="AC52" s="137" t="str"/>
      <x:c r="AD52" s="199" t="str"/>
    </x:row>
    <x:row r="53">
      <x:c r="A53" s="137" t="str"/>
      <x:c r="B53" s="138" t="str"/>
      <x:c r="C53" s="137" t="str"/>
      <x:c r="D53" s="137" t="str"/>
      <x:c r="E53" s="137" t="str"/>
      <x:c r="F53" s="137" t="str"/>
      <x:c r="G53" s="137" t="str"/>
      <x:c r="H53" s="137" t="str"/>
      <x:c r="I53" s="137" t="str"/>
      <x:c r="J53" s="137" t="str"/>
      <x:c r="K53" s="137" t="str"/>
      <x:c r="L53" s="160" t="str"/>
      <x:c r="M53" s="160" t="str"/>
      <x:c r="N53" s="151" t="str"/>
      <x:c r="O53" s="151" t="str"/>
      <x:c r="P53" s="151" t="str"/>
      <x:c r="Q53" s="151" t="str"/>
      <x:c r="R53" s="151" t="str"/>
      <x:c r="S53" s="151" t="str"/>
      <x:c r="T53" s="152" t="n">
        <x:f>IF(COUNTA(O53:S53)=0,"",MAX(0,IF(O53="",0,O53)+IF(P53="",0,P53)-IF(Q53="",0,Q53)-IF(R53="",0,R53)))</x:f>
        <x:v>0</x:v>
      </x:c>
      <x:c r="U53" s="152" t="str">
        <x:f>IF(OR(N53="",Q53=""),"",Q53-N53)</x:f>
      </x:c>
      <x:c r="V53" s="202" t="str">
        <x:f>IFERROR(Q53/N53,"")</x:f>
      </x:c>
      <x:c r="W53" s="137" t="str"/>
      <x:c r="X53" s="137" t="str"/>
      <x:c r="Y53" s="137" t="str"/>
      <x:c r="Z53" s="137" t="str"/>
      <x:c r="AA53" s="137" t="str"/>
      <x:c r="AB53" s="137" t="str"/>
      <x:c r="AC53" s="137" t="str"/>
      <x:c r="AD53" s="199" t="str"/>
    </x:row>
    <x:row r="54">
      <x:c r="A54" s="137" t="str"/>
      <x:c r="B54" s="138" t="str"/>
      <x:c r="C54" s="137" t="str"/>
      <x:c r="D54" s="137" t="str"/>
      <x:c r="E54" s="137" t="str"/>
      <x:c r="F54" s="137" t="str"/>
      <x:c r="G54" s="137" t="str"/>
      <x:c r="H54" s="137" t="str"/>
      <x:c r="I54" s="137" t="str"/>
      <x:c r="J54" s="137" t="str"/>
      <x:c r="K54" s="137" t="str"/>
      <x:c r="L54" s="160" t="str"/>
      <x:c r="M54" s="160" t="str"/>
      <x:c r="N54" s="151" t="str"/>
      <x:c r="O54" s="151" t="str"/>
      <x:c r="P54" s="151" t="str"/>
      <x:c r="Q54" s="151" t="str"/>
      <x:c r="R54" s="151" t="str"/>
      <x:c r="S54" s="151" t="str"/>
      <x:c r="T54" s="152" t="n">
        <x:f>IF(COUNTA(O54:S54)=0,"",MAX(0,IF(O54="",0,O54)+IF(P54="",0,P54)-IF(Q54="",0,Q54)-IF(R54="",0,R54)))</x:f>
        <x:v>0</x:v>
      </x:c>
      <x:c r="U54" s="152" t="str">
        <x:f>IF(OR(N54="",Q54=""),"",Q54-N54)</x:f>
      </x:c>
      <x:c r="V54" s="202" t="str">
        <x:f>IFERROR(Q54/N54,"")</x:f>
      </x:c>
      <x:c r="W54" s="137" t="str"/>
      <x:c r="X54" s="137" t="str"/>
      <x:c r="Y54" s="137" t="str"/>
      <x:c r="Z54" s="137" t="str"/>
      <x:c r="AA54" s="137" t="str"/>
      <x:c r="AB54" s="137" t="str"/>
      <x:c r="AC54" s="137" t="str"/>
      <x:c r="AD54" s="199" t="str"/>
    </x:row>
    <x:row r="55">
      <x:c r="A55" s="137" t="str"/>
      <x:c r="B55" s="138" t="str"/>
      <x:c r="C55" s="137" t="str"/>
      <x:c r="D55" s="137" t="str"/>
      <x:c r="E55" s="137" t="str"/>
      <x:c r="F55" s="137" t="str"/>
      <x:c r="G55" s="137" t="str"/>
      <x:c r="H55" s="137" t="str"/>
      <x:c r="I55" s="137" t="str"/>
      <x:c r="J55" s="137" t="str"/>
      <x:c r="K55" s="137" t="str"/>
      <x:c r="L55" s="160" t="str"/>
      <x:c r="M55" s="160" t="str"/>
      <x:c r="N55" s="151" t="str"/>
      <x:c r="O55" s="151" t="str"/>
      <x:c r="P55" s="151" t="str"/>
      <x:c r="Q55" s="151" t="str"/>
      <x:c r="R55" s="151" t="str"/>
      <x:c r="S55" s="151" t="str"/>
      <x:c r="T55" s="152" t="n">
        <x:f>IF(COUNTA(O55:S55)=0,"",MAX(0,IF(O55="",0,O55)+IF(P55="",0,P55)-IF(Q55="",0,Q55)-IF(R55="",0,R55)))</x:f>
        <x:v>0</x:v>
      </x:c>
      <x:c r="U55" s="152" t="str">
        <x:f>IF(OR(N55="",Q55=""),"",Q55-N55)</x:f>
      </x:c>
      <x:c r="V55" s="202" t="str">
        <x:f>IFERROR(Q55/N55,"")</x:f>
      </x:c>
      <x:c r="W55" s="137" t="str"/>
      <x:c r="X55" s="137" t="str"/>
      <x:c r="Y55" s="137" t="str"/>
      <x:c r="Z55" s="137" t="str"/>
      <x:c r="AA55" s="137" t="str"/>
      <x:c r="AB55" s="137" t="str"/>
      <x:c r="AC55" s="137" t="str"/>
      <x:c r="AD55" s="199" t="str"/>
    </x:row>
    <x:row r="56">
      <x:c r="A56" s="137" t="str"/>
      <x:c r="B56" s="138" t="str"/>
      <x:c r="C56" s="137" t="str"/>
      <x:c r="D56" s="137" t="str"/>
      <x:c r="E56" s="137" t="str"/>
      <x:c r="F56" s="137" t="str"/>
      <x:c r="G56" s="137" t="str"/>
      <x:c r="H56" s="137" t="str"/>
      <x:c r="I56" s="137" t="str"/>
      <x:c r="J56" s="137" t="str"/>
      <x:c r="K56" s="137" t="str"/>
      <x:c r="L56" s="160" t="str"/>
      <x:c r="M56" s="160" t="str"/>
      <x:c r="N56" s="151" t="str"/>
      <x:c r="O56" s="151" t="str"/>
      <x:c r="P56" s="151" t="str"/>
      <x:c r="Q56" s="151" t="str"/>
      <x:c r="R56" s="151" t="str"/>
      <x:c r="S56" s="151" t="str"/>
      <x:c r="T56" s="152" t="n">
        <x:f>IF(COUNTA(O56:S56)=0,"",MAX(0,IF(O56="",0,O56)+IF(P56="",0,P56)-IF(Q56="",0,Q56)-IF(R56="",0,R56)))</x:f>
        <x:v>0</x:v>
      </x:c>
      <x:c r="U56" s="152" t="str">
        <x:f>IF(OR(N56="",Q56=""),"",Q56-N56)</x:f>
      </x:c>
      <x:c r="V56" s="202" t="str">
        <x:f>IFERROR(Q56/N56,"")</x:f>
      </x:c>
      <x:c r="W56" s="137" t="str"/>
      <x:c r="X56" s="137" t="str"/>
      <x:c r="Y56" s="137" t="str"/>
      <x:c r="Z56" s="137" t="str"/>
      <x:c r="AA56" s="137" t="str"/>
      <x:c r="AB56" s="137" t="str"/>
      <x:c r="AC56" s="137" t="str"/>
      <x:c r="AD56" s="199" t="str"/>
    </x:row>
    <x:row r="57">
      <x:c r="A57" s="137" t="str"/>
      <x:c r="B57" s="138" t="str"/>
      <x:c r="C57" s="137" t="str"/>
      <x:c r="D57" s="137" t="str"/>
      <x:c r="E57" s="137" t="str"/>
      <x:c r="F57" s="137" t="str"/>
      <x:c r="G57" s="137" t="str"/>
      <x:c r="H57" s="137" t="str"/>
      <x:c r="I57" s="137" t="str"/>
      <x:c r="J57" s="137" t="str"/>
      <x:c r="K57" s="137" t="str"/>
      <x:c r="L57" s="160" t="str"/>
      <x:c r="M57" s="160" t="str"/>
      <x:c r="N57" s="151" t="str"/>
      <x:c r="O57" s="151" t="str"/>
      <x:c r="P57" s="151" t="str"/>
      <x:c r="Q57" s="151" t="str"/>
      <x:c r="R57" s="151" t="str"/>
      <x:c r="S57" s="151" t="str"/>
      <x:c r="T57" s="152" t="n">
        <x:f>IF(COUNTA(O57:S57)=0,"",MAX(0,IF(O57="",0,O57)+IF(P57="",0,P57)-IF(Q57="",0,Q57)-IF(R57="",0,R57)))</x:f>
        <x:v>0</x:v>
      </x:c>
      <x:c r="U57" s="152" t="str">
        <x:f>IF(OR(N57="",Q57=""),"",Q57-N57)</x:f>
      </x:c>
      <x:c r="V57" s="202" t="str">
        <x:f>IFERROR(Q57/N57,"")</x:f>
      </x:c>
      <x:c r="W57" s="137" t="str"/>
      <x:c r="X57" s="137" t="str"/>
      <x:c r="Y57" s="137" t="str"/>
      <x:c r="Z57" s="137" t="str"/>
      <x:c r="AA57" s="137" t="str"/>
      <x:c r="AB57" s="137" t="str"/>
      <x:c r="AC57" s="137" t="str"/>
      <x:c r="AD57" s="199" t="str"/>
    </x:row>
    <x:row r="58">
      <x:c r="A58" s="137" t="str"/>
      <x:c r="B58" s="138" t="str"/>
      <x:c r="C58" s="137" t="str"/>
      <x:c r="D58" s="137" t="str"/>
      <x:c r="E58" s="137" t="str"/>
      <x:c r="F58" s="137" t="str"/>
      <x:c r="G58" s="137" t="str"/>
      <x:c r="H58" s="137" t="str"/>
      <x:c r="I58" s="137" t="str"/>
      <x:c r="J58" s="137" t="str"/>
      <x:c r="K58" s="137" t="str"/>
      <x:c r="L58" s="160" t="str"/>
      <x:c r="M58" s="160" t="str"/>
      <x:c r="N58" s="151" t="str"/>
      <x:c r="O58" s="151" t="str"/>
      <x:c r="P58" s="151" t="str"/>
      <x:c r="Q58" s="151" t="str"/>
      <x:c r="R58" s="151" t="str"/>
      <x:c r="S58" s="151" t="str"/>
      <x:c r="T58" s="152" t="n">
        <x:f>IF(COUNTA(O58:S58)=0,"",MAX(0,IF(O58="",0,O58)+IF(P58="",0,P58)-IF(Q58="",0,Q58)-IF(R58="",0,R58)))</x:f>
        <x:v>0</x:v>
      </x:c>
      <x:c r="U58" s="152" t="str">
        <x:f>IF(OR(N58="",Q58=""),"",Q58-N58)</x:f>
      </x:c>
      <x:c r="V58" s="202" t="str">
        <x:f>IFERROR(Q58/N58,"")</x:f>
      </x:c>
      <x:c r="W58" s="137" t="str"/>
      <x:c r="X58" s="137" t="str"/>
      <x:c r="Y58" s="137" t="str"/>
      <x:c r="Z58" s="137" t="str"/>
      <x:c r="AA58" s="137" t="str"/>
      <x:c r="AB58" s="137" t="str"/>
      <x:c r="AC58" s="137" t="str"/>
      <x:c r="AD58" s="199" t="str"/>
    </x:row>
    <x:row r="59">
      <x:c r="A59" s="137" t="str"/>
      <x:c r="B59" s="138" t="str"/>
      <x:c r="C59" s="137" t="str"/>
      <x:c r="D59" s="137" t="str"/>
      <x:c r="E59" s="137" t="str"/>
      <x:c r="F59" s="137" t="str"/>
      <x:c r="G59" s="137" t="str"/>
      <x:c r="H59" s="137" t="str"/>
      <x:c r="I59" s="137" t="str"/>
      <x:c r="J59" s="137" t="str"/>
      <x:c r="K59" s="137" t="str"/>
      <x:c r="L59" s="160" t="str"/>
      <x:c r="M59" s="160" t="str"/>
      <x:c r="N59" s="151" t="str"/>
      <x:c r="O59" s="151" t="str"/>
      <x:c r="P59" s="151" t="str"/>
      <x:c r="Q59" s="151" t="str"/>
      <x:c r="R59" s="151" t="str"/>
      <x:c r="S59" s="151" t="str"/>
      <x:c r="T59" s="152" t="n">
        <x:f>IF(COUNTA(O59:S59)=0,"",MAX(0,IF(O59="",0,O59)+IF(P59="",0,P59)-IF(Q59="",0,Q59)-IF(R59="",0,R59)))</x:f>
        <x:v>0</x:v>
      </x:c>
      <x:c r="U59" s="152" t="str">
        <x:f>IF(OR(N59="",Q59=""),"",Q59-N59)</x:f>
      </x:c>
      <x:c r="V59" s="202" t="str">
        <x:f>IFERROR(Q59/N59,"")</x:f>
      </x:c>
      <x:c r="W59" s="137" t="str"/>
      <x:c r="X59" s="137" t="str"/>
      <x:c r="Y59" s="137" t="str"/>
      <x:c r="Z59" s="137" t="str"/>
      <x:c r="AA59" s="137" t="str"/>
      <x:c r="AB59" s="137" t="str"/>
      <x:c r="AC59" s="137" t="str"/>
      <x:c r="AD59" s="199" t="str"/>
    </x:row>
    <x:row r="60">
      <x:c r="A60" s="137" t="str"/>
      <x:c r="B60" s="138" t="str"/>
      <x:c r="C60" s="137" t="str"/>
      <x:c r="D60" s="137" t="str"/>
      <x:c r="E60" s="137" t="str"/>
      <x:c r="F60" s="137" t="str"/>
      <x:c r="G60" s="137" t="str"/>
      <x:c r="H60" s="137" t="str"/>
      <x:c r="I60" s="137" t="str"/>
      <x:c r="J60" s="137" t="str"/>
      <x:c r="K60" s="137" t="str"/>
      <x:c r="L60" s="160" t="str"/>
      <x:c r="M60" s="160" t="str"/>
      <x:c r="N60" s="151" t="str"/>
      <x:c r="O60" s="151" t="str"/>
      <x:c r="P60" s="151" t="str"/>
      <x:c r="Q60" s="151" t="str"/>
      <x:c r="R60" s="151" t="str"/>
      <x:c r="S60" s="151" t="str"/>
      <x:c r="T60" s="152" t="n">
        <x:f>IF(COUNTA(O60:S60)=0,"",MAX(0,IF(O60="",0,O60)+IF(P60="",0,P60)-IF(Q60="",0,Q60)-IF(R60="",0,R60)))</x:f>
        <x:v>0</x:v>
      </x:c>
      <x:c r="U60" s="152" t="str">
        <x:f>IF(OR(N60="",Q60=""),"",Q60-N60)</x:f>
      </x:c>
      <x:c r="V60" s="202" t="str">
        <x:f>IFERROR(Q60/N60,"")</x:f>
      </x:c>
      <x:c r="W60" s="137" t="str"/>
      <x:c r="X60" s="137" t="str"/>
      <x:c r="Y60" s="137" t="str"/>
      <x:c r="Z60" s="137" t="str"/>
      <x:c r="AA60" s="137" t="str"/>
      <x:c r="AB60" s="137" t="str"/>
      <x:c r="AC60" s="137" t="str"/>
      <x:c r="AD60" s="199" t="str"/>
    </x:row>
    <x:row r="61">
      <x:c r="A61" s="137" t="str"/>
      <x:c r="B61" s="138" t="str"/>
      <x:c r="C61" s="137" t="str"/>
      <x:c r="D61" s="137" t="str"/>
      <x:c r="E61" s="137" t="str"/>
      <x:c r="F61" s="137" t="str"/>
      <x:c r="G61" s="137" t="str"/>
      <x:c r="H61" s="137" t="str"/>
      <x:c r="I61" s="137" t="str"/>
      <x:c r="J61" s="137" t="str"/>
      <x:c r="K61" s="137" t="str"/>
      <x:c r="L61" s="160" t="str"/>
      <x:c r="M61" s="160" t="str"/>
      <x:c r="N61" s="151" t="str"/>
      <x:c r="O61" s="151" t="str"/>
      <x:c r="P61" s="151" t="str"/>
      <x:c r="Q61" s="151" t="str"/>
      <x:c r="R61" s="151" t="str"/>
      <x:c r="S61" s="151" t="str"/>
      <x:c r="T61" s="152" t="n">
        <x:f>IF(COUNTA(O61:S61)=0,"",MAX(0,IF(O61="",0,O61)+IF(P61="",0,P61)-IF(Q61="",0,Q61)-IF(R61="",0,R61)))</x:f>
        <x:v>0</x:v>
      </x:c>
      <x:c r="U61" s="152" t="str">
        <x:f>IF(OR(N61="",Q61=""),"",Q61-N61)</x:f>
      </x:c>
      <x:c r="V61" s="202" t="str">
        <x:f>IFERROR(Q61/N61,"")</x:f>
      </x:c>
      <x:c r="W61" s="137" t="str"/>
      <x:c r="X61" s="137" t="str"/>
      <x:c r="Y61" s="137" t="str"/>
      <x:c r="Z61" s="137" t="str"/>
      <x:c r="AA61" s="137" t="str"/>
      <x:c r="AB61" s="137" t="str"/>
      <x:c r="AC61" s="137" t="str"/>
      <x:c r="AD61" s="199" t="str"/>
    </x:row>
    <x:row r="62">
      <x:c r="A62" s="137" t="str"/>
      <x:c r="B62" s="138" t="str"/>
      <x:c r="C62" s="137" t="str"/>
      <x:c r="D62" s="137" t="str"/>
      <x:c r="E62" s="137" t="str"/>
      <x:c r="F62" s="137" t="str"/>
      <x:c r="G62" s="137" t="str"/>
      <x:c r="H62" s="137" t="str"/>
      <x:c r="I62" s="137" t="str"/>
      <x:c r="J62" s="137" t="str"/>
      <x:c r="K62" s="137" t="str"/>
      <x:c r="L62" s="160" t="str"/>
      <x:c r="M62" s="160" t="str"/>
      <x:c r="N62" s="151" t="str"/>
      <x:c r="O62" s="151" t="str"/>
      <x:c r="P62" s="151" t="str"/>
      <x:c r="Q62" s="151" t="str"/>
      <x:c r="R62" s="151" t="str"/>
      <x:c r="S62" s="151" t="str"/>
      <x:c r="T62" s="152" t="n">
        <x:f>IF(COUNTA(O62:S62)=0,"",MAX(0,IF(O62="",0,O62)+IF(P62="",0,P62)-IF(Q62="",0,Q62)-IF(R62="",0,R62)))</x:f>
        <x:v>0</x:v>
      </x:c>
      <x:c r="U62" s="152" t="str">
        <x:f>IF(OR(N62="",Q62=""),"",Q62-N62)</x:f>
      </x:c>
      <x:c r="V62" s="202" t="str">
        <x:f>IFERROR(Q62/N62,"")</x:f>
      </x:c>
      <x:c r="W62" s="137" t="str"/>
      <x:c r="X62" s="137" t="str"/>
      <x:c r="Y62" s="137" t="str"/>
      <x:c r="Z62" s="137" t="str"/>
      <x:c r="AA62" s="137" t="str"/>
      <x:c r="AB62" s="137" t="str"/>
      <x:c r="AC62" s="137" t="str"/>
      <x:c r="AD62" s="199" t="str"/>
    </x:row>
    <x:row r="63">
      <x:c r="A63" s="137" t="str"/>
      <x:c r="B63" s="138" t="str"/>
      <x:c r="C63" s="137" t="str"/>
      <x:c r="D63" s="137" t="str"/>
      <x:c r="E63" s="137" t="str"/>
      <x:c r="F63" s="137" t="str"/>
      <x:c r="G63" s="137" t="str"/>
      <x:c r="H63" s="137" t="str"/>
      <x:c r="I63" s="137" t="str"/>
      <x:c r="J63" s="137" t="str"/>
      <x:c r="K63" s="137" t="str"/>
      <x:c r="L63" s="160" t="str"/>
      <x:c r="M63" s="160" t="str"/>
      <x:c r="N63" s="151" t="str"/>
      <x:c r="O63" s="151" t="str"/>
      <x:c r="P63" s="151" t="str"/>
      <x:c r="Q63" s="151" t="str"/>
      <x:c r="R63" s="151" t="str"/>
      <x:c r="S63" s="151" t="str"/>
      <x:c r="T63" s="152" t="n">
        <x:f>IF(COUNTA(O63:S63)=0,"",MAX(0,IF(O63="",0,O63)+IF(P63="",0,P63)-IF(Q63="",0,Q63)-IF(R63="",0,R63)))</x:f>
        <x:v>0</x:v>
      </x:c>
      <x:c r="U63" s="152" t="str">
        <x:f>IF(OR(N63="",Q63=""),"",Q63-N63)</x:f>
      </x:c>
      <x:c r="V63" s="202" t="str">
        <x:f>IFERROR(Q63/N63,"")</x:f>
      </x:c>
      <x:c r="W63" s="137" t="str"/>
      <x:c r="X63" s="137" t="str"/>
      <x:c r="Y63" s="137" t="str"/>
      <x:c r="Z63" s="137" t="str"/>
      <x:c r="AA63" s="137" t="str"/>
      <x:c r="AB63" s="137" t="str"/>
      <x:c r="AC63" s="137" t="str"/>
      <x:c r="AD63" s="199" t="str"/>
    </x:row>
    <x:row r="64">
      <x:c r="A64" s="137" t="str"/>
      <x:c r="B64" s="138" t="str"/>
      <x:c r="C64" s="137" t="str"/>
      <x:c r="D64" s="137" t="str"/>
      <x:c r="E64" s="137" t="str"/>
      <x:c r="F64" s="137" t="str"/>
      <x:c r="G64" s="137" t="str"/>
      <x:c r="H64" s="137" t="str"/>
      <x:c r="I64" s="137" t="str"/>
      <x:c r="J64" s="137" t="str"/>
      <x:c r="K64" s="137" t="str"/>
      <x:c r="L64" s="160" t="str"/>
      <x:c r="M64" s="160" t="str"/>
      <x:c r="N64" s="151" t="str"/>
      <x:c r="O64" s="151" t="str"/>
      <x:c r="P64" s="151" t="str"/>
      <x:c r="Q64" s="151" t="str"/>
      <x:c r="R64" s="151" t="str"/>
      <x:c r="S64" s="151" t="str"/>
      <x:c r="T64" s="152" t="n">
        <x:f>IF(COUNTA(O64:S64)=0,"",MAX(0,IF(O64="",0,O64)+IF(P64="",0,P64)-IF(Q64="",0,Q64)-IF(R64="",0,R64)))</x:f>
        <x:v>0</x:v>
      </x:c>
      <x:c r="U64" s="152" t="str">
        <x:f>IF(OR(N64="",Q64=""),"",Q64-N64)</x:f>
      </x:c>
      <x:c r="V64" s="202" t="str">
        <x:f>IFERROR(Q64/N64,"")</x:f>
      </x:c>
      <x:c r="W64" s="137" t="str"/>
      <x:c r="X64" s="137" t="str"/>
      <x:c r="Y64" s="137" t="str"/>
      <x:c r="Z64" s="137" t="str"/>
      <x:c r="AA64" s="137" t="str"/>
      <x:c r="AB64" s="137" t="str"/>
      <x:c r="AC64" s="137" t="str"/>
      <x:c r="AD64" s="199" t="str"/>
    </x:row>
    <x:row r="65">
      <x:c r="A65" s="137" t="str"/>
      <x:c r="B65" s="138" t="str"/>
      <x:c r="C65" s="137" t="str"/>
      <x:c r="D65" s="137" t="str"/>
      <x:c r="E65" s="137" t="str"/>
      <x:c r="F65" s="137" t="str"/>
      <x:c r="G65" s="137" t="str"/>
      <x:c r="H65" s="137" t="str"/>
      <x:c r="I65" s="137" t="str"/>
      <x:c r="J65" s="137" t="str"/>
      <x:c r="K65" s="137" t="str"/>
      <x:c r="L65" s="160" t="str"/>
      <x:c r="M65" s="160" t="str"/>
      <x:c r="N65" s="151" t="str"/>
      <x:c r="O65" s="151" t="str"/>
      <x:c r="P65" s="151" t="str"/>
      <x:c r="Q65" s="151" t="str"/>
      <x:c r="R65" s="151" t="str"/>
      <x:c r="S65" s="151" t="str"/>
      <x:c r="T65" s="152" t="n">
        <x:f>IF(COUNTA(O65:S65)=0,"",MAX(0,IF(O65="",0,O65)+IF(P65="",0,P65)-IF(Q65="",0,Q65)-IF(R65="",0,R65)))</x:f>
        <x:v>0</x:v>
      </x:c>
      <x:c r="U65" s="152" t="str">
        <x:f>IF(OR(N65="",Q65=""),"",Q65-N65)</x:f>
      </x:c>
      <x:c r="V65" s="202" t="str">
        <x:f>IFERROR(Q65/N65,"")</x:f>
      </x:c>
      <x:c r="W65" s="137" t="str"/>
      <x:c r="X65" s="137" t="str"/>
      <x:c r="Y65" s="137" t="str"/>
      <x:c r="Z65" s="137" t="str"/>
      <x:c r="AA65" s="137" t="str"/>
      <x:c r="AB65" s="137" t="str"/>
      <x:c r="AC65" s="137" t="str"/>
      <x:c r="AD65" s="199" t="str"/>
    </x:row>
    <x:row r="66">
      <x:c r="A66" s="137" t="str"/>
      <x:c r="B66" s="138" t="str"/>
      <x:c r="C66" s="137" t="str"/>
      <x:c r="D66" s="137" t="str"/>
      <x:c r="E66" s="137" t="str"/>
      <x:c r="F66" s="137" t="str"/>
      <x:c r="G66" s="137" t="str"/>
      <x:c r="H66" s="137" t="str"/>
      <x:c r="I66" s="137" t="str"/>
      <x:c r="J66" s="137" t="str"/>
      <x:c r="K66" s="137" t="str"/>
      <x:c r="L66" s="160" t="str"/>
      <x:c r="M66" s="160" t="str"/>
      <x:c r="N66" s="151" t="str"/>
      <x:c r="O66" s="151" t="str"/>
      <x:c r="P66" s="151" t="str"/>
      <x:c r="Q66" s="151" t="str"/>
      <x:c r="R66" s="151" t="str"/>
      <x:c r="S66" s="151" t="str"/>
      <x:c r="T66" s="152" t="n">
        <x:f>IF(COUNTA(O66:S66)=0,"",MAX(0,IF(O66="",0,O66)+IF(P66="",0,P66)-IF(Q66="",0,Q66)-IF(R66="",0,R66)))</x:f>
        <x:v>0</x:v>
      </x:c>
      <x:c r="U66" s="152" t="str">
        <x:f>IF(OR(N66="",Q66=""),"",Q66-N66)</x:f>
      </x:c>
      <x:c r="V66" s="202" t="str">
        <x:f>IFERROR(Q66/N66,"")</x:f>
      </x:c>
      <x:c r="W66" s="137" t="str"/>
      <x:c r="X66" s="137" t="str"/>
      <x:c r="Y66" s="137" t="str"/>
      <x:c r="Z66" s="137" t="str"/>
      <x:c r="AA66" s="137" t="str"/>
      <x:c r="AB66" s="137" t="str"/>
      <x:c r="AC66" s="137" t="str"/>
      <x:c r="AD66" s="199" t="str"/>
    </x:row>
    <x:row r="67">
      <x:c r="A67" s="137" t="str"/>
      <x:c r="B67" s="138" t="str"/>
      <x:c r="C67" s="137" t="str"/>
      <x:c r="D67" s="137" t="str"/>
      <x:c r="E67" s="137" t="str"/>
      <x:c r="F67" s="137" t="str"/>
      <x:c r="G67" s="137" t="str"/>
      <x:c r="H67" s="137" t="str"/>
      <x:c r="I67" s="137" t="str"/>
      <x:c r="J67" s="137" t="str"/>
      <x:c r="K67" s="137" t="str"/>
      <x:c r="L67" s="160" t="str"/>
      <x:c r="M67" s="160" t="str"/>
      <x:c r="N67" s="151" t="str"/>
      <x:c r="O67" s="151" t="str"/>
      <x:c r="P67" s="151" t="str"/>
      <x:c r="Q67" s="151" t="str"/>
      <x:c r="R67" s="151" t="str"/>
      <x:c r="S67" s="151" t="str"/>
      <x:c r="T67" s="152" t="n">
        <x:f>IF(COUNTA(O67:S67)=0,"",MAX(0,IF(O67="",0,O67)+IF(P67="",0,P67)-IF(Q67="",0,Q67)-IF(R67="",0,R67)))</x:f>
        <x:v>0</x:v>
      </x:c>
      <x:c r="U67" s="152" t="str">
        <x:f>IF(OR(N67="",Q67=""),"",Q67-N67)</x:f>
      </x:c>
      <x:c r="V67" s="202" t="str">
        <x:f>IFERROR(Q67/N67,"")</x:f>
      </x:c>
      <x:c r="W67" s="137" t="str"/>
      <x:c r="X67" s="137" t="str"/>
      <x:c r="Y67" s="137" t="str"/>
      <x:c r="Z67" s="137" t="str"/>
      <x:c r="AA67" s="137" t="str"/>
      <x:c r="AB67" s="137" t="str"/>
      <x:c r="AC67" s="137" t="str"/>
      <x:c r="AD67" s="199" t="str"/>
    </x:row>
    <x:row r="68">
      <x:c r="A68" s="137" t="str"/>
      <x:c r="B68" s="138" t="str"/>
      <x:c r="C68" s="137" t="str"/>
      <x:c r="D68" s="137" t="str"/>
      <x:c r="E68" s="137" t="str"/>
      <x:c r="F68" s="137" t="str"/>
      <x:c r="G68" s="137" t="str"/>
      <x:c r="H68" s="137" t="str"/>
      <x:c r="I68" s="137" t="str"/>
      <x:c r="J68" s="137" t="str"/>
      <x:c r="K68" s="137" t="str"/>
      <x:c r="L68" s="160" t="str"/>
      <x:c r="M68" s="160" t="str"/>
      <x:c r="N68" s="151" t="str"/>
      <x:c r="O68" s="151" t="str"/>
      <x:c r="P68" s="151" t="str"/>
      <x:c r="Q68" s="151" t="str"/>
      <x:c r="R68" s="151" t="str"/>
      <x:c r="S68" s="151" t="str"/>
      <x:c r="T68" s="152" t="n">
        <x:f>IF(COUNTA(O68:S68)=0,"",MAX(0,IF(O68="",0,O68)+IF(P68="",0,P68)-IF(Q68="",0,Q68)-IF(R68="",0,R68)))</x:f>
        <x:v>0</x:v>
      </x:c>
      <x:c r="U68" s="152" t="str">
        <x:f>IF(OR(N68="",Q68=""),"",Q68-N68)</x:f>
      </x:c>
      <x:c r="V68" s="202" t="str">
        <x:f>IFERROR(Q68/N68,"")</x:f>
      </x:c>
      <x:c r="W68" s="137" t="str"/>
      <x:c r="X68" s="137" t="str"/>
      <x:c r="Y68" s="137" t="str"/>
      <x:c r="Z68" s="137" t="str"/>
      <x:c r="AA68" s="137" t="str"/>
      <x:c r="AB68" s="137" t="str"/>
      <x:c r="AC68" s="137" t="str"/>
      <x:c r="AD68" s="199" t="str"/>
    </x:row>
    <x:row r="69">
      <x:c r="A69" s="137" t="str"/>
      <x:c r="B69" s="138" t="str"/>
      <x:c r="C69" s="137" t="str"/>
      <x:c r="D69" s="137" t="str"/>
      <x:c r="E69" s="137" t="str"/>
      <x:c r="F69" s="137" t="str"/>
      <x:c r="G69" s="137" t="str"/>
      <x:c r="H69" s="137" t="str"/>
      <x:c r="I69" s="137" t="str"/>
      <x:c r="J69" s="137" t="str"/>
      <x:c r="K69" s="137" t="str"/>
      <x:c r="L69" s="160" t="str"/>
      <x:c r="M69" s="160" t="str"/>
      <x:c r="N69" s="151" t="str"/>
      <x:c r="O69" s="151" t="str"/>
      <x:c r="P69" s="151" t="str"/>
      <x:c r="Q69" s="151" t="str"/>
      <x:c r="R69" s="151" t="str"/>
      <x:c r="S69" s="151" t="str"/>
      <x:c r="T69" s="152" t="n">
        <x:f>IF(COUNTA(O69:S69)=0,"",MAX(0,IF(O69="",0,O69)+IF(P69="",0,P69)-IF(Q69="",0,Q69)-IF(R69="",0,R69)))</x:f>
        <x:v>0</x:v>
      </x:c>
      <x:c r="U69" s="152" t="str">
        <x:f>IF(OR(N69="",Q69=""),"",Q69-N69)</x:f>
      </x:c>
      <x:c r="V69" s="202" t="str">
        <x:f>IFERROR(Q69/N69,"")</x:f>
      </x:c>
      <x:c r="W69" s="137" t="str"/>
      <x:c r="X69" s="137" t="str"/>
      <x:c r="Y69" s="137" t="str"/>
      <x:c r="Z69" s="137" t="str"/>
      <x:c r="AA69" s="137" t="str"/>
      <x:c r="AB69" s="137" t="str"/>
      <x:c r="AC69" s="137" t="str"/>
      <x:c r="AD69" s="199" t="str"/>
    </x:row>
    <x:row r="70">
      <x:c r="A70" s="137" t="str"/>
      <x:c r="B70" s="138" t="str"/>
      <x:c r="C70" s="137" t="str"/>
      <x:c r="D70" s="137" t="str"/>
      <x:c r="E70" s="137" t="str"/>
      <x:c r="F70" s="137" t="str"/>
      <x:c r="G70" s="137" t="str"/>
      <x:c r="H70" s="137" t="str"/>
      <x:c r="I70" s="137" t="str"/>
      <x:c r="J70" s="137" t="str"/>
      <x:c r="K70" s="137" t="str"/>
      <x:c r="L70" s="160" t="str"/>
      <x:c r="M70" s="160" t="str"/>
      <x:c r="N70" s="151" t="str"/>
      <x:c r="O70" s="151" t="str"/>
      <x:c r="P70" s="151" t="str"/>
      <x:c r="Q70" s="151" t="str"/>
      <x:c r="R70" s="151" t="str"/>
      <x:c r="S70" s="151" t="str"/>
      <x:c r="T70" s="152" t="n">
        <x:f>IF(COUNTA(O70:S70)=0,"",MAX(0,IF(O70="",0,O70)+IF(P70="",0,P70)-IF(Q70="",0,Q70)-IF(R70="",0,R70)))</x:f>
        <x:v>0</x:v>
      </x:c>
      <x:c r="U70" s="152" t="str">
        <x:f>IF(OR(N70="",Q70=""),"",Q70-N70)</x:f>
      </x:c>
      <x:c r="V70" s="202" t="str">
        <x:f>IFERROR(Q70/N70,"")</x:f>
      </x:c>
      <x:c r="W70" s="137" t="str"/>
      <x:c r="X70" s="137" t="str"/>
      <x:c r="Y70" s="137" t="str"/>
      <x:c r="Z70" s="137" t="str"/>
      <x:c r="AA70" s="137" t="str"/>
      <x:c r="AB70" s="137" t="str"/>
      <x:c r="AC70" s="137" t="str"/>
      <x:c r="AD70" s="199" t="str"/>
    </x:row>
    <x:row r="71">
      <x:c r="A71" s="137" t="str"/>
      <x:c r="B71" s="138" t="str"/>
      <x:c r="C71" s="137" t="str"/>
      <x:c r="D71" s="137" t="str"/>
      <x:c r="E71" s="137" t="str"/>
      <x:c r="F71" s="137" t="str"/>
      <x:c r="G71" s="137" t="str"/>
      <x:c r="H71" s="137" t="str"/>
      <x:c r="I71" s="137" t="str"/>
      <x:c r="J71" s="137" t="str"/>
      <x:c r="K71" s="137" t="str"/>
      <x:c r="L71" s="160" t="str"/>
      <x:c r="M71" s="160" t="str"/>
      <x:c r="N71" s="151" t="str"/>
      <x:c r="O71" s="151" t="str"/>
      <x:c r="P71" s="151" t="str"/>
      <x:c r="Q71" s="151" t="str"/>
      <x:c r="R71" s="151" t="str"/>
      <x:c r="S71" s="151" t="str"/>
      <x:c r="T71" s="152" t="n">
        <x:f>IF(COUNTA(O71:S71)=0,"",MAX(0,IF(O71="",0,O71)+IF(P71="",0,P71)-IF(Q71="",0,Q71)-IF(R71="",0,R71)))</x:f>
        <x:v>0</x:v>
      </x:c>
      <x:c r="U71" s="152" t="str">
        <x:f>IF(OR(N71="",Q71=""),"",Q71-N71)</x:f>
      </x:c>
      <x:c r="V71" s="202" t="str">
        <x:f>IFERROR(Q71/N71,"")</x:f>
      </x:c>
      <x:c r="W71" s="137" t="str"/>
      <x:c r="X71" s="137" t="str"/>
      <x:c r="Y71" s="137" t="str"/>
      <x:c r="Z71" s="137" t="str"/>
      <x:c r="AA71" s="137" t="str"/>
      <x:c r="AB71" s="137" t="str"/>
      <x:c r="AC71" s="137" t="str"/>
      <x:c r="AD71" s="199" t="str"/>
    </x:row>
    <x:row r="72">
      <x:c r="A72" s="137" t="str"/>
      <x:c r="B72" s="138" t="str"/>
      <x:c r="C72" s="137" t="str"/>
      <x:c r="D72" s="137" t="str"/>
      <x:c r="E72" s="137" t="str"/>
      <x:c r="F72" s="137" t="str"/>
      <x:c r="G72" s="137" t="str"/>
      <x:c r="H72" s="137" t="str"/>
      <x:c r="I72" s="137" t="str"/>
      <x:c r="J72" s="137" t="str"/>
      <x:c r="K72" s="137" t="str"/>
      <x:c r="L72" s="160" t="str"/>
      <x:c r="M72" s="160" t="str"/>
      <x:c r="N72" s="151" t="str"/>
      <x:c r="O72" s="151" t="str"/>
      <x:c r="P72" s="151" t="str"/>
      <x:c r="Q72" s="151" t="str"/>
      <x:c r="R72" s="151" t="str"/>
      <x:c r="S72" s="151" t="str"/>
      <x:c r="T72" s="152" t="n">
        <x:f>IF(COUNTA(O72:S72)=0,"",MAX(0,IF(O72="",0,O72)+IF(P72="",0,P72)-IF(Q72="",0,Q72)-IF(R72="",0,R72)))</x:f>
        <x:v>0</x:v>
      </x:c>
      <x:c r="U72" s="152" t="str">
        <x:f>IF(OR(N72="",Q72=""),"",Q72-N72)</x:f>
      </x:c>
      <x:c r="V72" s="202" t="str">
        <x:f>IFERROR(Q72/N72,"")</x:f>
      </x:c>
      <x:c r="W72" s="137" t="str"/>
      <x:c r="X72" s="137" t="str"/>
      <x:c r="Y72" s="137" t="str"/>
      <x:c r="Z72" s="137" t="str"/>
      <x:c r="AA72" s="137" t="str"/>
      <x:c r="AB72" s="137" t="str"/>
      <x:c r="AC72" s="137" t="str"/>
      <x:c r="AD72" s="199" t="str"/>
    </x:row>
    <x:row r="73">
      <x:c r="A73" s="137" t="str"/>
      <x:c r="B73" s="138" t="str"/>
      <x:c r="C73" s="137" t="str"/>
      <x:c r="D73" s="137" t="str"/>
      <x:c r="E73" s="137" t="str"/>
      <x:c r="F73" s="137" t="str"/>
      <x:c r="G73" s="137" t="str"/>
      <x:c r="H73" s="137" t="str"/>
      <x:c r="I73" s="137" t="str"/>
      <x:c r="J73" s="137" t="str"/>
      <x:c r="K73" s="137" t="str"/>
      <x:c r="L73" s="160" t="str"/>
      <x:c r="M73" s="160" t="str"/>
      <x:c r="N73" s="151" t="str"/>
      <x:c r="O73" s="151" t="str"/>
      <x:c r="P73" s="151" t="str"/>
      <x:c r="Q73" s="151" t="str"/>
      <x:c r="R73" s="151" t="str"/>
      <x:c r="S73" s="151" t="str"/>
      <x:c r="T73" s="152" t="n">
        <x:f>IF(COUNTA(O73:S73)=0,"",MAX(0,IF(O73="",0,O73)+IF(P73="",0,P73)-IF(Q73="",0,Q73)-IF(R73="",0,R73)))</x:f>
        <x:v>0</x:v>
      </x:c>
      <x:c r="U73" s="152" t="str">
        <x:f>IF(OR(N73="",Q73=""),"",Q73-N73)</x:f>
      </x:c>
      <x:c r="V73" s="202" t="str">
        <x:f>IFERROR(Q73/N73,"")</x:f>
      </x:c>
      <x:c r="W73" s="137" t="str"/>
      <x:c r="X73" s="137" t="str"/>
      <x:c r="Y73" s="137" t="str"/>
      <x:c r="Z73" s="137" t="str"/>
      <x:c r="AA73" s="137" t="str"/>
      <x:c r="AB73" s="137" t="str"/>
      <x:c r="AC73" s="137" t="str"/>
      <x:c r="AD73" s="199" t="str"/>
    </x:row>
    <x:row r="74">
      <x:c r="A74" s="137" t="str"/>
      <x:c r="B74" s="138" t="str"/>
      <x:c r="C74" s="137" t="str"/>
      <x:c r="D74" s="137" t="str"/>
      <x:c r="E74" s="137" t="str"/>
      <x:c r="F74" s="137" t="str"/>
      <x:c r="G74" s="137" t="str"/>
      <x:c r="H74" s="137" t="str"/>
      <x:c r="I74" s="137" t="str"/>
      <x:c r="J74" s="137" t="str"/>
      <x:c r="K74" s="137" t="str"/>
      <x:c r="L74" s="160" t="str"/>
      <x:c r="M74" s="160" t="str"/>
      <x:c r="N74" s="151" t="str"/>
      <x:c r="O74" s="151" t="str"/>
      <x:c r="P74" s="151" t="str"/>
      <x:c r="Q74" s="151" t="str"/>
      <x:c r="R74" s="151" t="str"/>
      <x:c r="S74" s="151" t="str"/>
      <x:c r="T74" s="152" t="n">
        <x:f>IF(COUNTA(O74:S74)=0,"",MAX(0,IF(O74="",0,O74)+IF(P74="",0,P74)-IF(Q74="",0,Q74)-IF(R74="",0,R74)))</x:f>
        <x:v>0</x:v>
      </x:c>
      <x:c r="U74" s="152" t="str">
        <x:f>IF(OR(N74="",Q74=""),"",Q74-N74)</x:f>
      </x:c>
      <x:c r="V74" s="202" t="str">
        <x:f>IFERROR(Q74/N74,"")</x:f>
      </x:c>
      <x:c r="W74" s="137" t="str"/>
      <x:c r="X74" s="137" t="str"/>
      <x:c r="Y74" s="137" t="str"/>
      <x:c r="Z74" s="137" t="str"/>
      <x:c r="AA74" s="137" t="str"/>
      <x:c r="AB74" s="137" t="str"/>
      <x:c r="AC74" s="137" t="str"/>
      <x:c r="AD74" s="199" t="str"/>
    </x:row>
    <x:row r="75">
      <x:c r="A75" s="137" t="str"/>
      <x:c r="B75" s="138" t="str"/>
      <x:c r="C75" s="137" t="str"/>
      <x:c r="D75" s="137" t="str"/>
      <x:c r="E75" s="137" t="str"/>
      <x:c r="F75" s="137" t="str"/>
      <x:c r="G75" s="137" t="str"/>
      <x:c r="H75" s="137" t="str"/>
      <x:c r="I75" s="137" t="str"/>
      <x:c r="J75" s="137" t="str"/>
      <x:c r="K75" s="137" t="str"/>
      <x:c r="L75" s="160" t="str"/>
      <x:c r="M75" s="160" t="str"/>
      <x:c r="N75" s="151" t="str"/>
      <x:c r="O75" s="151" t="str"/>
      <x:c r="P75" s="151" t="str"/>
      <x:c r="Q75" s="151" t="str"/>
      <x:c r="R75" s="151" t="str"/>
      <x:c r="S75" s="151" t="str"/>
      <x:c r="T75" s="152" t="n">
        <x:f>IF(COUNTA(O75:S75)=0,"",MAX(0,IF(O75="",0,O75)+IF(P75="",0,P75)-IF(Q75="",0,Q75)-IF(R75="",0,R75)))</x:f>
        <x:v>0</x:v>
      </x:c>
      <x:c r="U75" s="152" t="str">
        <x:f>IF(OR(N75="",Q75=""),"",Q75-N75)</x:f>
      </x:c>
      <x:c r="V75" s="202" t="str">
        <x:f>IFERROR(Q75/N75,"")</x:f>
      </x:c>
      <x:c r="W75" s="137" t="str"/>
      <x:c r="X75" s="137" t="str"/>
      <x:c r="Y75" s="137" t="str"/>
      <x:c r="Z75" s="137" t="str"/>
      <x:c r="AA75" s="137" t="str"/>
      <x:c r="AB75" s="137" t="str"/>
      <x:c r="AC75" s="137" t="str"/>
      <x:c r="AD75" s="199" t="str"/>
    </x:row>
    <x:row r="76">
      <x:c r="A76" s="137" t="str"/>
      <x:c r="B76" s="138" t="str"/>
      <x:c r="C76" s="137" t="str"/>
      <x:c r="D76" s="137" t="str"/>
      <x:c r="E76" s="137" t="str"/>
      <x:c r="F76" s="137" t="str"/>
      <x:c r="G76" s="137" t="str"/>
      <x:c r="H76" s="137" t="str"/>
      <x:c r="I76" s="137" t="str"/>
      <x:c r="J76" s="137" t="str"/>
      <x:c r="K76" s="137" t="str"/>
      <x:c r="L76" s="160" t="str"/>
      <x:c r="M76" s="160" t="str"/>
      <x:c r="N76" s="151" t="str"/>
      <x:c r="O76" s="151" t="str"/>
      <x:c r="P76" s="151" t="str"/>
      <x:c r="Q76" s="151" t="str"/>
      <x:c r="R76" s="151" t="str"/>
      <x:c r="S76" s="151" t="str"/>
      <x:c r="T76" s="152" t="n">
        <x:f>IF(COUNTA(O76:S76)=0,"",MAX(0,IF(O76="",0,O76)+IF(P76="",0,P76)-IF(Q76="",0,Q76)-IF(R76="",0,R76)))</x:f>
        <x:v>0</x:v>
      </x:c>
      <x:c r="U76" s="152" t="str">
        <x:f>IF(OR(N76="",Q76=""),"",Q76-N76)</x:f>
      </x:c>
      <x:c r="V76" s="202" t="str">
        <x:f>IFERROR(Q76/N76,"")</x:f>
      </x:c>
      <x:c r="W76" s="137" t="str"/>
      <x:c r="X76" s="137" t="str"/>
      <x:c r="Y76" s="137" t="str"/>
      <x:c r="Z76" s="137" t="str"/>
      <x:c r="AA76" s="137" t="str"/>
      <x:c r="AB76" s="137" t="str"/>
      <x:c r="AC76" s="137" t="str"/>
      <x:c r="AD76" s="199" t="str"/>
    </x:row>
    <x:row r="77">
      <x:c r="A77" s="137" t="str"/>
      <x:c r="B77" s="138" t="str"/>
      <x:c r="C77" s="137" t="str"/>
      <x:c r="D77" s="137" t="str"/>
      <x:c r="E77" s="137" t="str"/>
      <x:c r="F77" s="137" t="str"/>
      <x:c r="G77" s="137" t="str"/>
      <x:c r="H77" s="137" t="str"/>
      <x:c r="I77" s="137" t="str"/>
      <x:c r="J77" s="137" t="str"/>
      <x:c r="K77" s="137" t="str"/>
      <x:c r="L77" s="160" t="str"/>
      <x:c r="M77" s="160" t="str"/>
      <x:c r="N77" s="151" t="str"/>
      <x:c r="O77" s="151" t="str"/>
      <x:c r="P77" s="151" t="str"/>
      <x:c r="Q77" s="151" t="str"/>
      <x:c r="R77" s="151" t="str"/>
      <x:c r="S77" s="151" t="str"/>
      <x:c r="T77" s="152" t="n">
        <x:f>IF(COUNTA(O77:S77)=0,"",MAX(0,IF(O77="",0,O77)+IF(P77="",0,P77)-IF(Q77="",0,Q77)-IF(R77="",0,R77)))</x:f>
        <x:v>0</x:v>
      </x:c>
      <x:c r="U77" s="152" t="str">
        <x:f>IF(OR(N77="",Q77=""),"",Q77-N77)</x:f>
      </x:c>
      <x:c r="V77" s="202" t="str">
        <x:f>IFERROR(Q77/N77,"")</x:f>
      </x:c>
      <x:c r="W77" s="137" t="str"/>
      <x:c r="X77" s="137" t="str"/>
      <x:c r="Y77" s="137" t="str"/>
      <x:c r="Z77" s="137" t="str"/>
      <x:c r="AA77" s="137" t="str"/>
      <x:c r="AB77" s="137" t="str"/>
      <x:c r="AC77" s="137" t="str"/>
      <x:c r="AD77" s="199" t="str"/>
    </x:row>
    <x:row r="78">
      <x:c r="A78" s="137" t="str"/>
      <x:c r="B78" s="138" t="str"/>
      <x:c r="C78" s="137" t="str"/>
      <x:c r="D78" s="137" t="str"/>
      <x:c r="E78" s="137" t="str"/>
      <x:c r="F78" s="137" t="str"/>
      <x:c r="G78" s="137" t="str"/>
      <x:c r="H78" s="137" t="str"/>
      <x:c r="I78" s="137" t="str"/>
      <x:c r="J78" s="137" t="str"/>
      <x:c r="K78" s="137" t="str"/>
      <x:c r="L78" s="160" t="str"/>
      <x:c r="M78" s="160" t="str"/>
      <x:c r="N78" s="151" t="str"/>
      <x:c r="O78" s="151" t="str"/>
      <x:c r="P78" s="151" t="str"/>
      <x:c r="Q78" s="151" t="str"/>
      <x:c r="R78" s="151" t="str"/>
      <x:c r="S78" s="151" t="str"/>
      <x:c r="T78" s="152" t="n">
        <x:f>IF(COUNTA(O78:S78)=0,"",MAX(0,IF(O78="",0,O78)+IF(P78="",0,P78)-IF(Q78="",0,Q78)-IF(R78="",0,R78)))</x:f>
        <x:v>0</x:v>
      </x:c>
      <x:c r="U78" s="152" t="str">
        <x:f>IF(OR(N78="",Q78=""),"",Q78-N78)</x:f>
      </x:c>
      <x:c r="V78" s="202" t="str">
        <x:f>IFERROR(Q78/N78,"")</x:f>
      </x:c>
      <x:c r="W78" s="137" t="str"/>
      <x:c r="X78" s="137" t="str"/>
      <x:c r="Y78" s="137" t="str"/>
      <x:c r="Z78" s="137" t="str"/>
      <x:c r="AA78" s="137" t="str"/>
      <x:c r="AB78" s="137" t="str"/>
      <x:c r="AC78" s="137" t="str"/>
      <x:c r="AD78" s="199" t="str"/>
    </x:row>
    <x:row r="79">
      <x:c r="A79" s="137" t="str"/>
      <x:c r="B79" s="138" t="str"/>
      <x:c r="C79" s="137" t="str"/>
      <x:c r="D79" s="137" t="str"/>
      <x:c r="E79" s="137" t="str"/>
      <x:c r="F79" s="137" t="str"/>
      <x:c r="G79" s="137" t="str"/>
      <x:c r="H79" s="137" t="str"/>
      <x:c r="I79" s="137" t="str"/>
      <x:c r="J79" s="137" t="str"/>
      <x:c r="K79" s="137" t="str"/>
      <x:c r="L79" s="160" t="str"/>
      <x:c r="M79" s="160" t="str"/>
      <x:c r="N79" s="151" t="str"/>
      <x:c r="O79" s="151" t="str"/>
      <x:c r="P79" s="151" t="str"/>
      <x:c r="Q79" s="151" t="str"/>
      <x:c r="R79" s="151" t="str"/>
      <x:c r="S79" s="151" t="str"/>
      <x:c r="T79" s="152" t="n">
        <x:f>IF(COUNTA(O79:S79)=0,"",MAX(0,IF(O79="",0,O79)+IF(P79="",0,P79)-IF(Q79="",0,Q79)-IF(R79="",0,R79)))</x:f>
        <x:v>0</x:v>
      </x:c>
      <x:c r="U79" s="152" t="str">
        <x:f>IF(OR(N79="",Q79=""),"",Q79-N79)</x:f>
      </x:c>
      <x:c r="V79" s="202" t="str">
        <x:f>IFERROR(Q79/N79,"")</x:f>
      </x:c>
      <x:c r="W79" s="137" t="str"/>
      <x:c r="X79" s="137" t="str"/>
      <x:c r="Y79" s="137" t="str"/>
      <x:c r="Z79" s="137" t="str"/>
      <x:c r="AA79" s="137" t="str"/>
      <x:c r="AB79" s="137" t="str"/>
      <x:c r="AC79" s="137" t="str"/>
      <x:c r="AD79" s="199" t="str"/>
    </x:row>
    <x:row r="80">
      <x:c r="A80" s="137" t="str"/>
      <x:c r="B80" s="138" t="str"/>
      <x:c r="C80" s="137" t="str"/>
      <x:c r="D80" s="137" t="str"/>
      <x:c r="E80" s="137" t="str"/>
      <x:c r="F80" s="137" t="str"/>
      <x:c r="G80" s="137" t="str"/>
      <x:c r="H80" s="137" t="str"/>
      <x:c r="I80" s="137" t="str"/>
      <x:c r="J80" s="137" t="str"/>
      <x:c r="K80" s="137" t="str"/>
      <x:c r="L80" s="160" t="str"/>
      <x:c r="M80" s="160" t="str"/>
      <x:c r="N80" s="151" t="str"/>
      <x:c r="O80" s="151" t="str"/>
      <x:c r="P80" s="151" t="str"/>
      <x:c r="Q80" s="151" t="str"/>
      <x:c r="R80" s="151" t="str"/>
      <x:c r="S80" s="151" t="str"/>
      <x:c r="T80" s="152" t="n">
        <x:f>IF(COUNTA(O80:S80)=0,"",MAX(0,IF(O80="",0,O80)+IF(P80="",0,P80)-IF(Q80="",0,Q80)-IF(R80="",0,R80)))</x:f>
        <x:v>0</x:v>
      </x:c>
      <x:c r="U80" s="152" t="str">
        <x:f>IF(OR(N80="",Q80=""),"",Q80-N80)</x:f>
      </x:c>
      <x:c r="V80" s="202" t="str">
        <x:f>IFERROR(Q80/N80,"")</x:f>
      </x:c>
      <x:c r="W80" s="137" t="str"/>
      <x:c r="X80" s="137" t="str"/>
      <x:c r="Y80" s="137" t="str"/>
      <x:c r="Z80" s="137" t="str"/>
      <x:c r="AA80" s="137" t="str"/>
      <x:c r="AB80" s="137" t="str"/>
      <x:c r="AC80" s="137" t="str"/>
      <x:c r="AD80" s="199" t="str"/>
    </x:row>
    <x:row r="81">
      <x:c r="A81" s="137" t="str"/>
      <x:c r="B81" s="138" t="str"/>
      <x:c r="C81" s="137" t="str"/>
      <x:c r="D81" s="137" t="str"/>
      <x:c r="E81" s="137" t="str"/>
      <x:c r="F81" s="137" t="str"/>
      <x:c r="G81" s="137" t="str"/>
      <x:c r="H81" s="137" t="str"/>
      <x:c r="I81" s="137" t="str"/>
      <x:c r="J81" s="137" t="str"/>
      <x:c r="K81" s="137" t="str"/>
      <x:c r="L81" s="160" t="str"/>
      <x:c r="M81" s="160" t="str"/>
      <x:c r="N81" s="151" t="str"/>
      <x:c r="O81" s="151" t="str"/>
      <x:c r="P81" s="151" t="str"/>
      <x:c r="Q81" s="151" t="str"/>
      <x:c r="R81" s="151" t="str"/>
      <x:c r="S81" s="151" t="str"/>
      <x:c r="T81" s="152" t="n">
        <x:f>IF(COUNTA(O81:S81)=0,"",MAX(0,IF(O81="",0,O81)+IF(P81="",0,P81)-IF(Q81="",0,Q81)-IF(R81="",0,R81)))</x:f>
        <x:v>0</x:v>
      </x:c>
      <x:c r="U81" s="152" t="str">
        <x:f>IF(OR(N81="",Q81=""),"",Q81-N81)</x:f>
      </x:c>
      <x:c r="V81" s="202" t="str">
        <x:f>IFERROR(Q81/N81,"")</x:f>
      </x:c>
      <x:c r="W81" s="137" t="str"/>
      <x:c r="X81" s="137" t="str"/>
      <x:c r="Y81" s="137" t="str"/>
      <x:c r="Z81" s="137" t="str"/>
      <x:c r="AA81" s="137" t="str"/>
      <x:c r="AB81" s="137" t="str"/>
      <x:c r="AC81" s="137" t="str"/>
      <x:c r="AD81" s="199" t="str"/>
    </x:row>
    <x:row r="82">
      <x:c r="A82" s="137" t="str"/>
      <x:c r="B82" s="138" t="str"/>
      <x:c r="C82" s="137" t="str"/>
      <x:c r="D82" s="137" t="str"/>
      <x:c r="E82" s="137" t="str"/>
      <x:c r="F82" s="137" t="str"/>
      <x:c r="G82" s="137" t="str"/>
      <x:c r="H82" s="137" t="str"/>
      <x:c r="I82" s="137" t="str"/>
      <x:c r="J82" s="137" t="str"/>
      <x:c r="K82" s="137" t="str"/>
      <x:c r="L82" s="160" t="str"/>
      <x:c r="M82" s="160" t="str"/>
      <x:c r="N82" s="151" t="str"/>
      <x:c r="O82" s="151" t="str"/>
      <x:c r="P82" s="151" t="str"/>
      <x:c r="Q82" s="151" t="str"/>
      <x:c r="R82" s="151" t="str"/>
      <x:c r="S82" s="151" t="str"/>
      <x:c r="T82" s="152" t="n">
        <x:f>IF(COUNTA(O82:S82)=0,"",MAX(0,IF(O82="",0,O82)+IF(P82="",0,P82)-IF(Q82="",0,Q82)-IF(R82="",0,R82)))</x:f>
        <x:v>0</x:v>
      </x:c>
      <x:c r="U82" s="152" t="str">
        <x:f>IF(OR(N82="",Q82=""),"",Q82-N82)</x:f>
      </x:c>
      <x:c r="V82" s="202" t="str">
        <x:f>IFERROR(Q82/N82,"")</x:f>
      </x:c>
      <x:c r="W82" s="137" t="str"/>
      <x:c r="X82" s="137" t="str"/>
      <x:c r="Y82" s="137" t="str"/>
      <x:c r="Z82" s="137" t="str"/>
      <x:c r="AA82" s="137" t="str"/>
      <x:c r="AB82" s="137" t="str"/>
      <x:c r="AC82" s="137" t="str"/>
      <x:c r="AD82" s="199" t="str"/>
    </x:row>
    <x:row r="83">
      <x:c r="A83" s="137" t="str"/>
      <x:c r="B83" s="138" t="str"/>
      <x:c r="C83" s="137" t="str"/>
      <x:c r="D83" s="137" t="str"/>
      <x:c r="E83" s="137" t="str"/>
      <x:c r="F83" s="137" t="str"/>
      <x:c r="G83" s="137" t="str"/>
      <x:c r="H83" s="137" t="str"/>
      <x:c r="I83" s="137" t="str"/>
      <x:c r="J83" s="137" t="str"/>
      <x:c r="K83" s="137" t="str"/>
      <x:c r="L83" s="160" t="str"/>
      <x:c r="M83" s="160" t="str"/>
      <x:c r="N83" s="151" t="str"/>
      <x:c r="O83" s="151" t="str"/>
      <x:c r="P83" s="151" t="str"/>
      <x:c r="Q83" s="151" t="str"/>
      <x:c r="R83" s="151" t="str"/>
      <x:c r="S83" s="151" t="str"/>
      <x:c r="T83" s="152" t="n">
        <x:f>IF(COUNTA(O83:S83)=0,"",MAX(0,IF(O83="",0,O83)+IF(P83="",0,P83)-IF(Q83="",0,Q83)-IF(R83="",0,R83)))</x:f>
        <x:v>0</x:v>
      </x:c>
      <x:c r="U83" s="152" t="str">
        <x:f>IF(OR(N83="",Q83=""),"",Q83-N83)</x:f>
      </x:c>
      <x:c r="V83" s="202" t="str">
        <x:f>IFERROR(Q83/N83,"")</x:f>
      </x:c>
      <x:c r="W83" s="137" t="str"/>
      <x:c r="X83" s="137" t="str"/>
      <x:c r="Y83" s="137" t="str"/>
      <x:c r="Z83" s="137" t="str"/>
      <x:c r="AA83" s="137" t="str"/>
      <x:c r="AB83" s="137" t="str"/>
      <x:c r="AC83" s="137" t="str"/>
      <x:c r="AD83" s="199" t="str"/>
    </x:row>
    <x:row r="84">
      <x:c r="A84" s="137" t="str"/>
      <x:c r="B84" s="138" t="str"/>
      <x:c r="C84" s="137" t="str"/>
      <x:c r="D84" s="137" t="str"/>
      <x:c r="E84" s="137" t="str"/>
      <x:c r="F84" s="137" t="str"/>
      <x:c r="G84" s="137" t="str"/>
      <x:c r="H84" s="137" t="str"/>
      <x:c r="I84" s="137" t="str"/>
      <x:c r="J84" s="137" t="str"/>
      <x:c r="K84" s="137" t="str"/>
      <x:c r="L84" s="160" t="str"/>
      <x:c r="M84" s="160" t="str"/>
      <x:c r="N84" s="151" t="str"/>
      <x:c r="O84" s="151" t="str"/>
      <x:c r="P84" s="151" t="str"/>
      <x:c r="Q84" s="151" t="str"/>
      <x:c r="R84" s="151" t="str"/>
      <x:c r="S84" s="151" t="str"/>
      <x:c r="T84" s="152" t="n">
        <x:f>IF(COUNTA(O84:S84)=0,"",MAX(0,IF(O84="",0,O84)+IF(P84="",0,P84)-IF(Q84="",0,Q84)-IF(R84="",0,R84)))</x:f>
        <x:v>0</x:v>
      </x:c>
      <x:c r="U84" s="152" t="str">
        <x:f>IF(OR(N84="",Q84=""),"",Q84-N84)</x:f>
      </x:c>
      <x:c r="V84" s="202" t="str">
        <x:f>IFERROR(Q84/N84,"")</x:f>
      </x:c>
      <x:c r="W84" s="137" t="str"/>
      <x:c r="X84" s="137" t="str"/>
      <x:c r="Y84" s="137" t="str"/>
      <x:c r="Z84" s="137" t="str"/>
      <x:c r="AA84" s="137" t="str"/>
      <x:c r="AB84" s="137" t="str"/>
      <x:c r="AC84" s="137" t="str"/>
      <x:c r="AD84" s="199" t="str"/>
    </x:row>
    <x:row r="85">
      <x:c r="A85" s="137" t="str"/>
      <x:c r="B85" s="138" t="str"/>
      <x:c r="C85" s="137" t="str"/>
      <x:c r="D85" s="137" t="str"/>
      <x:c r="E85" s="137" t="str"/>
      <x:c r="F85" s="137" t="str"/>
      <x:c r="G85" s="137" t="str"/>
      <x:c r="H85" s="137" t="str"/>
      <x:c r="I85" s="137" t="str"/>
      <x:c r="J85" s="137" t="str"/>
      <x:c r="K85" s="137" t="str"/>
      <x:c r="L85" s="160" t="str"/>
      <x:c r="M85" s="160" t="str"/>
      <x:c r="N85" s="151" t="str"/>
      <x:c r="O85" s="151" t="str"/>
      <x:c r="P85" s="151" t="str"/>
      <x:c r="Q85" s="151" t="str"/>
      <x:c r="R85" s="151" t="str"/>
      <x:c r="S85" s="151" t="str"/>
      <x:c r="T85" s="152" t="n">
        <x:f>IF(COUNTA(O85:S85)=0,"",MAX(0,IF(O85="",0,O85)+IF(P85="",0,P85)-IF(Q85="",0,Q85)-IF(R85="",0,R85)))</x:f>
        <x:v>0</x:v>
      </x:c>
      <x:c r="U85" s="152" t="str">
        <x:f>IF(OR(N85="",Q85=""),"",Q85-N85)</x:f>
      </x:c>
      <x:c r="V85" s="202" t="str">
        <x:f>IFERROR(Q85/N85,"")</x:f>
      </x:c>
      <x:c r="W85" s="137" t="str"/>
      <x:c r="X85" s="137" t="str"/>
      <x:c r="Y85" s="137" t="str"/>
      <x:c r="Z85" s="137" t="str"/>
      <x:c r="AA85" s="137" t="str"/>
      <x:c r="AB85" s="137" t="str"/>
      <x:c r="AC85" s="137" t="str"/>
      <x:c r="AD85" s="199" t="str"/>
    </x:row>
    <x:row r="86">
      <x:c r="A86" s="137" t="str"/>
      <x:c r="B86" s="138" t="str"/>
      <x:c r="C86" s="137" t="str"/>
      <x:c r="D86" s="137" t="str"/>
      <x:c r="E86" s="137" t="str"/>
      <x:c r="F86" s="137" t="str"/>
      <x:c r="G86" s="137" t="str"/>
      <x:c r="H86" s="137" t="str"/>
      <x:c r="I86" s="137" t="str"/>
      <x:c r="J86" s="137" t="str"/>
      <x:c r="K86" s="137" t="str"/>
      <x:c r="L86" s="160" t="str"/>
      <x:c r="M86" s="160" t="str"/>
      <x:c r="N86" s="151" t="str"/>
      <x:c r="O86" s="151" t="str"/>
      <x:c r="P86" s="151" t="str"/>
      <x:c r="Q86" s="151" t="str"/>
      <x:c r="R86" s="151" t="str"/>
      <x:c r="S86" s="151" t="str"/>
      <x:c r="T86" s="152" t="n">
        <x:f>IF(COUNTA(O86:S86)=0,"",MAX(0,IF(O86="",0,O86)+IF(P86="",0,P86)-IF(Q86="",0,Q86)-IF(R86="",0,R86)))</x:f>
        <x:v>0</x:v>
      </x:c>
      <x:c r="U86" s="152" t="str">
        <x:f>IF(OR(N86="",Q86=""),"",Q86-N86)</x:f>
      </x:c>
      <x:c r="V86" s="202" t="str">
        <x:f>IFERROR(Q86/N86,"")</x:f>
      </x:c>
      <x:c r="W86" s="137" t="str"/>
      <x:c r="X86" s="137" t="str"/>
      <x:c r="Y86" s="137" t="str"/>
      <x:c r="Z86" s="137" t="str"/>
      <x:c r="AA86" s="137" t="str"/>
      <x:c r="AB86" s="137" t="str"/>
      <x:c r="AC86" s="137" t="str"/>
      <x:c r="AD86" s="199" t="str"/>
    </x:row>
    <x:row r="87">
      <x:c r="A87" s="137" t="str"/>
      <x:c r="B87" s="138" t="str"/>
      <x:c r="C87" s="137" t="str"/>
      <x:c r="D87" s="137" t="str"/>
      <x:c r="E87" s="137" t="str"/>
      <x:c r="F87" s="137" t="str"/>
      <x:c r="G87" s="137" t="str"/>
      <x:c r="H87" s="137" t="str"/>
      <x:c r="I87" s="137" t="str"/>
      <x:c r="J87" s="137" t="str"/>
      <x:c r="K87" s="137" t="str"/>
      <x:c r="L87" s="160" t="str"/>
      <x:c r="M87" s="160" t="str"/>
      <x:c r="N87" s="151" t="str"/>
      <x:c r="O87" s="151" t="str"/>
      <x:c r="P87" s="151" t="str"/>
      <x:c r="Q87" s="151" t="str"/>
      <x:c r="R87" s="151" t="str"/>
      <x:c r="S87" s="151" t="str"/>
      <x:c r="T87" s="152" t="n">
        <x:f>IF(COUNTA(O87:S87)=0,"",MAX(0,IF(O87="",0,O87)+IF(P87="",0,P87)-IF(Q87="",0,Q87)-IF(R87="",0,R87)))</x:f>
        <x:v>0</x:v>
      </x:c>
      <x:c r="U87" s="152" t="str">
        <x:f>IF(OR(N87="",Q87=""),"",Q87-N87)</x:f>
      </x:c>
      <x:c r="V87" s="202" t="str">
        <x:f>IFERROR(Q87/N87,"")</x:f>
      </x:c>
      <x:c r="W87" s="137" t="str"/>
      <x:c r="X87" s="137" t="str"/>
      <x:c r="Y87" s="137" t="str"/>
      <x:c r="Z87" s="137" t="str"/>
      <x:c r="AA87" s="137" t="str"/>
      <x:c r="AB87" s="137" t="str"/>
      <x:c r="AC87" s="137" t="str"/>
      <x:c r="AD87" s="199" t="str"/>
    </x:row>
    <x:row r="88">
      <x:c r="A88" s="137" t="str"/>
      <x:c r="B88" s="138" t="str"/>
      <x:c r="C88" s="137" t="str"/>
      <x:c r="D88" s="137" t="str"/>
      <x:c r="E88" s="137" t="str"/>
      <x:c r="F88" s="137" t="str"/>
      <x:c r="G88" s="137" t="str"/>
      <x:c r="H88" s="137" t="str"/>
      <x:c r="I88" s="137" t="str"/>
      <x:c r="J88" s="137" t="str"/>
      <x:c r="K88" s="137" t="str"/>
      <x:c r="L88" s="160" t="str"/>
      <x:c r="M88" s="160" t="str"/>
      <x:c r="N88" s="151" t="str"/>
      <x:c r="O88" s="151" t="str"/>
      <x:c r="P88" s="151" t="str"/>
      <x:c r="Q88" s="151" t="str"/>
      <x:c r="R88" s="151" t="str"/>
      <x:c r="S88" s="151" t="str"/>
      <x:c r="T88" s="152" t="n">
        <x:f>IF(COUNTA(O88:S88)=0,"",MAX(0,IF(O88="",0,O88)+IF(P88="",0,P88)-IF(Q88="",0,Q88)-IF(R88="",0,R88)))</x:f>
        <x:v>0</x:v>
      </x:c>
      <x:c r="U88" s="152" t="str">
        <x:f>IF(OR(N88="",Q88=""),"",Q88-N88)</x:f>
      </x:c>
      <x:c r="V88" s="202" t="str">
        <x:f>IFERROR(Q88/N88,"")</x:f>
      </x:c>
      <x:c r="W88" s="137" t="str"/>
      <x:c r="X88" s="137" t="str"/>
      <x:c r="Y88" s="137" t="str"/>
      <x:c r="Z88" s="137" t="str"/>
      <x:c r="AA88" s="137" t="str"/>
      <x:c r="AB88" s="137" t="str"/>
      <x:c r="AC88" s="137" t="str"/>
      <x:c r="AD88" s="199" t="str"/>
    </x:row>
    <x:row r="89">
      <x:c r="A89" s="137" t="str"/>
      <x:c r="B89" s="138" t="str"/>
      <x:c r="C89" s="137" t="str"/>
      <x:c r="D89" s="137" t="str"/>
      <x:c r="E89" s="137" t="str"/>
      <x:c r="F89" s="137" t="str"/>
      <x:c r="G89" s="137" t="str"/>
      <x:c r="H89" s="137" t="str"/>
      <x:c r="I89" s="137" t="str"/>
      <x:c r="J89" s="137" t="str"/>
      <x:c r="K89" s="137" t="str"/>
      <x:c r="L89" s="160" t="str"/>
      <x:c r="M89" s="160" t="str"/>
      <x:c r="N89" s="151" t="str"/>
      <x:c r="O89" s="151" t="str"/>
      <x:c r="P89" s="151" t="str"/>
      <x:c r="Q89" s="151" t="str"/>
      <x:c r="R89" s="151" t="str"/>
      <x:c r="S89" s="151" t="str"/>
      <x:c r="T89" s="152" t="n">
        <x:f>IF(COUNTA(O89:S89)=0,"",MAX(0,IF(O89="",0,O89)+IF(P89="",0,P89)-IF(Q89="",0,Q89)-IF(R89="",0,R89)))</x:f>
        <x:v>0</x:v>
      </x:c>
      <x:c r="U89" s="152" t="str">
        <x:f>IF(OR(N89="",Q89=""),"",Q89-N89)</x:f>
      </x:c>
      <x:c r="V89" s="202" t="str">
        <x:f>IFERROR(Q89/N89,"")</x:f>
      </x:c>
      <x:c r="W89" s="137" t="str"/>
      <x:c r="X89" s="137" t="str"/>
      <x:c r="Y89" s="137" t="str"/>
      <x:c r="Z89" s="137" t="str"/>
      <x:c r="AA89" s="137" t="str"/>
      <x:c r="AB89" s="137" t="str"/>
      <x:c r="AC89" s="137" t="str"/>
      <x:c r="AD89" s="199" t="str"/>
    </x:row>
    <x:row r="90">
      <x:c r="A90" s="137" t="str"/>
      <x:c r="B90" s="138" t="str"/>
      <x:c r="C90" s="137" t="str"/>
      <x:c r="D90" s="137" t="str"/>
      <x:c r="E90" s="137" t="str"/>
      <x:c r="F90" s="137" t="str"/>
      <x:c r="G90" s="137" t="str"/>
      <x:c r="H90" s="137" t="str"/>
      <x:c r="I90" s="137" t="str"/>
      <x:c r="J90" s="137" t="str"/>
      <x:c r="K90" s="137" t="str"/>
      <x:c r="L90" s="160" t="str"/>
      <x:c r="M90" s="160" t="str"/>
      <x:c r="N90" s="151" t="str"/>
      <x:c r="O90" s="151" t="str"/>
      <x:c r="P90" s="151" t="str"/>
      <x:c r="Q90" s="151" t="str"/>
      <x:c r="R90" s="151" t="str"/>
      <x:c r="S90" s="151" t="str"/>
      <x:c r="T90" s="152" t="n">
        <x:f>IF(COUNTA(O90:S90)=0,"",MAX(0,IF(O90="",0,O90)+IF(P90="",0,P90)-IF(Q90="",0,Q90)-IF(R90="",0,R90)))</x:f>
        <x:v>0</x:v>
      </x:c>
      <x:c r="U90" s="152" t="str">
        <x:f>IF(OR(N90="",Q90=""),"",Q90-N90)</x:f>
      </x:c>
      <x:c r="V90" s="202" t="str">
        <x:f>IFERROR(Q90/N90,"")</x:f>
      </x:c>
      <x:c r="W90" s="137" t="str"/>
      <x:c r="X90" s="137" t="str"/>
      <x:c r="Y90" s="137" t="str"/>
      <x:c r="Z90" s="137" t="str"/>
      <x:c r="AA90" s="137" t="str"/>
      <x:c r="AB90" s="137" t="str"/>
      <x:c r="AC90" s="137" t="str"/>
      <x:c r="AD90" s="199" t="str"/>
    </x:row>
    <x:row r="91">
      <x:c r="A91" s="137" t="str"/>
      <x:c r="B91" s="138" t="str"/>
      <x:c r="C91" s="137" t="str"/>
      <x:c r="D91" s="137" t="str"/>
      <x:c r="E91" s="137" t="str"/>
      <x:c r="F91" s="137" t="str"/>
      <x:c r="G91" s="137" t="str"/>
      <x:c r="H91" s="137" t="str"/>
      <x:c r="I91" s="137" t="str"/>
      <x:c r="J91" s="137" t="str"/>
      <x:c r="K91" s="137" t="str"/>
      <x:c r="L91" s="160" t="str"/>
      <x:c r="M91" s="160" t="str"/>
      <x:c r="N91" s="151" t="str"/>
      <x:c r="O91" s="151" t="str"/>
      <x:c r="P91" s="151" t="str"/>
      <x:c r="Q91" s="151" t="str"/>
      <x:c r="R91" s="151" t="str"/>
      <x:c r="S91" s="151" t="str"/>
      <x:c r="T91" s="152" t="n">
        <x:f>IF(COUNTA(O91:S91)=0,"",MAX(0,IF(O91="",0,O91)+IF(P91="",0,P91)-IF(Q91="",0,Q91)-IF(R91="",0,R91)))</x:f>
        <x:v>0</x:v>
      </x:c>
      <x:c r="U91" s="152" t="str">
        <x:f>IF(OR(N91="",Q91=""),"",Q91-N91)</x:f>
      </x:c>
      <x:c r="V91" s="202" t="str">
        <x:f>IFERROR(Q91/N91,"")</x:f>
      </x:c>
      <x:c r="W91" s="137" t="str"/>
      <x:c r="X91" s="137" t="str"/>
      <x:c r="Y91" s="137" t="str"/>
      <x:c r="Z91" s="137" t="str"/>
      <x:c r="AA91" s="137" t="str"/>
      <x:c r="AB91" s="137" t="str"/>
      <x:c r="AC91" s="137" t="str"/>
      <x:c r="AD91" s="199" t="str"/>
    </x:row>
    <x:row r="92">
      <x:c r="A92" s="137" t="str"/>
      <x:c r="B92" s="138" t="str"/>
      <x:c r="C92" s="137" t="str"/>
      <x:c r="D92" s="137" t="str"/>
      <x:c r="E92" s="137" t="str"/>
      <x:c r="F92" s="137" t="str"/>
      <x:c r="G92" s="137" t="str"/>
      <x:c r="H92" s="137" t="str"/>
      <x:c r="I92" s="137" t="str"/>
      <x:c r="J92" s="137" t="str"/>
      <x:c r="K92" s="137" t="str"/>
      <x:c r="L92" s="160" t="str"/>
      <x:c r="M92" s="160" t="str"/>
      <x:c r="N92" s="151" t="str"/>
      <x:c r="O92" s="151" t="str"/>
      <x:c r="P92" s="151" t="str"/>
      <x:c r="Q92" s="151" t="str"/>
      <x:c r="R92" s="151" t="str"/>
      <x:c r="S92" s="151" t="str"/>
      <x:c r="T92" s="152" t="n">
        <x:f>IF(COUNTA(O92:S92)=0,"",MAX(0,IF(O92="",0,O92)+IF(P92="",0,P92)-IF(Q92="",0,Q92)-IF(R92="",0,R92)))</x:f>
        <x:v>0</x:v>
      </x:c>
      <x:c r="U92" s="152" t="str">
        <x:f>IF(OR(N92="",Q92=""),"",Q92-N92)</x:f>
      </x:c>
      <x:c r="V92" s="202" t="str">
        <x:f>IFERROR(Q92/N92,"")</x:f>
      </x:c>
      <x:c r="W92" s="137" t="str"/>
      <x:c r="X92" s="137" t="str"/>
      <x:c r="Y92" s="137" t="str"/>
      <x:c r="Z92" s="137" t="str"/>
      <x:c r="AA92" s="137" t="str"/>
      <x:c r="AB92" s="137" t="str"/>
      <x:c r="AC92" s="137" t="str"/>
      <x:c r="AD92" s="199" t="str"/>
    </x:row>
    <x:row r="93">
      <x:c r="A93" s="137" t="str"/>
      <x:c r="B93" s="138" t="str"/>
      <x:c r="C93" s="137" t="str"/>
      <x:c r="D93" s="137" t="str"/>
      <x:c r="E93" s="137" t="str"/>
      <x:c r="F93" s="137" t="str"/>
      <x:c r="G93" s="137" t="str"/>
      <x:c r="H93" s="137" t="str"/>
      <x:c r="I93" s="137" t="str"/>
      <x:c r="J93" s="137" t="str"/>
      <x:c r="K93" s="137" t="str"/>
      <x:c r="L93" s="160" t="str"/>
      <x:c r="M93" s="160" t="str"/>
      <x:c r="N93" s="151" t="str"/>
      <x:c r="O93" s="151" t="str"/>
      <x:c r="P93" s="151" t="str"/>
      <x:c r="Q93" s="151" t="str"/>
      <x:c r="R93" s="151" t="str"/>
      <x:c r="S93" s="151" t="str"/>
      <x:c r="T93" s="152" t="n">
        <x:f>IF(COUNTA(O93:S93)=0,"",MAX(0,IF(O93="",0,O93)+IF(P93="",0,P93)-IF(Q93="",0,Q93)-IF(R93="",0,R93)))</x:f>
        <x:v>0</x:v>
      </x:c>
      <x:c r="U93" s="152" t="str">
        <x:f>IF(OR(N93="",Q93=""),"",Q93-N93)</x:f>
      </x:c>
      <x:c r="V93" s="202" t="str">
        <x:f>IFERROR(Q93/N93,"")</x:f>
      </x:c>
      <x:c r="W93" s="137" t="str"/>
      <x:c r="X93" s="137" t="str"/>
      <x:c r="Y93" s="137" t="str"/>
      <x:c r="Z93" s="137" t="str"/>
      <x:c r="AA93" s="137" t="str"/>
      <x:c r="AB93" s="137" t="str"/>
      <x:c r="AC93" s="137" t="str"/>
      <x:c r="AD93" s="199" t="str"/>
    </x:row>
    <x:row r="94">
      <x:c r="A94" s="137" t="str"/>
      <x:c r="B94" s="138" t="str"/>
      <x:c r="C94" s="137" t="str"/>
      <x:c r="D94" s="137" t="str"/>
      <x:c r="E94" s="137" t="str"/>
      <x:c r="F94" s="137" t="str"/>
      <x:c r="G94" s="137" t="str"/>
      <x:c r="H94" s="137" t="str"/>
      <x:c r="I94" s="137" t="str"/>
      <x:c r="J94" s="137" t="str"/>
      <x:c r="K94" s="137" t="str"/>
      <x:c r="L94" s="160" t="str"/>
      <x:c r="M94" s="160" t="str"/>
      <x:c r="N94" s="151" t="str"/>
      <x:c r="O94" s="151" t="str"/>
      <x:c r="P94" s="151" t="str"/>
      <x:c r="Q94" s="151" t="str"/>
      <x:c r="R94" s="151" t="str"/>
      <x:c r="S94" s="151" t="str"/>
      <x:c r="T94" s="152" t="n">
        <x:f>IF(COUNTA(O94:S94)=0,"",MAX(0,IF(O94="",0,O94)+IF(P94="",0,P94)-IF(Q94="",0,Q94)-IF(R94="",0,R94)))</x:f>
        <x:v>0</x:v>
      </x:c>
      <x:c r="U94" s="152" t="str">
        <x:f>IF(OR(N94="",Q94=""),"",Q94-N94)</x:f>
      </x:c>
      <x:c r="V94" s="202" t="str">
        <x:f>IFERROR(Q94/N94,"")</x:f>
      </x:c>
      <x:c r="W94" s="137" t="str"/>
      <x:c r="X94" s="137" t="str"/>
      <x:c r="Y94" s="137" t="str"/>
      <x:c r="Z94" s="137" t="str"/>
      <x:c r="AA94" s="137" t="str"/>
      <x:c r="AB94" s="137" t="str"/>
      <x:c r="AC94" s="137" t="str"/>
      <x:c r="AD94" s="199" t="str"/>
    </x:row>
    <x:row r="95">
      <x:c r="A95" s="137" t="str"/>
      <x:c r="B95" s="138" t="str"/>
      <x:c r="C95" s="137" t="str"/>
      <x:c r="D95" s="137" t="str"/>
      <x:c r="E95" s="137" t="str"/>
      <x:c r="F95" s="137" t="str"/>
      <x:c r="G95" s="137" t="str"/>
      <x:c r="H95" s="137" t="str"/>
      <x:c r="I95" s="137" t="str"/>
      <x:c r="J95" s="137" t="str"/>
      <x:c r="K95" s="137" t="str"/>
      <x:c r="L95" s="160" t="str"/>
      <x:c r="M95" s="160" t="str"/>
      <x:c r="N95" s="151" t="str"/>
      <x:c r="O95" s="151" t="str"/>
      <x:c r="P95" s="151" t="str"/>
      <x:c r="Q95" s="151" t="str"/>
      <x:c r="R95" s="151" t="str"/>
      <x:c r="S95" s="151" t="str"/>
      <x:c r="T95" s="152" t="n">
        <x:f>IF(COUNTA(O95:S95)=0,"",MAX(0,IF(O95="",0,O95)+IF(P95="",0,P95)-IF(Q95="",0,Q95)-IF(R95="",0,R95)))</x:f>
        <x:v>0</x:v>
      </x:c>
      <x:c r="U95" s="152" t="str">
        <x:f>IF(OR(N95="",Q95=""),"",Q95-N95)</x:f>
      </x:c>
      <x:c r="V95" s="202" t="str">
        <x:f>IFERROR(Q95/N95,"")</x:f>
      </x:c>
      <x:c r="W95" s="137" t="str"/>
      <x:c r="X95" s="137" t="str"/>
      <x:c r="Y95" s="137" t="str"/>
      <x:c r="Z95" s="137" t="str"/>
      <x:c r="AA95" s="137" t="str"/>
      <x:c r="AB95" s="137" t="str"/>
      <x:c r="AC95" s="137" t="str"/>
      <x:c r="AD95" s="199" t="str"/>
    </x:row>
    <x:row r="96">
      <x:c r="A96" s="137" t="str"/>
      <x:c r="B96" s="138" t="str"/>
      <x:c r="C96" s="137" t="str"/>
      <x:c r="D96" s="137" t="str"/>
      <x:c r="E96" s="137" t="str"/>
      <x:c r="F96" s="137" t="str"/>
      <x:c r="G96" s="137" t="str"/>
      <x:c r="H96" s="137" t="str"/>
      <x:c r="I96" s="137" t="str"/>
      <x:c r="J96" s="137" t="str"/>
      <x:c r="K96" s="137" t="str"/>
      <x:c r="L96" s="160" t="str"/>
      <x:c r="M96" s="160" t="str"/>
      <x:c r="N96" s="151" t="str"/>
      <x:c r="O96" s="151" t="str"/>
      <x:c r="P96" s="151" t="str"/>
      <x:c r="Q96" s="151" t="str"/>
      <x:c r="R96" s="151" t="str"/>
      <x:c r="S96" s="151" t="str"/>
      <x:c r="T96" s="152" t="n">
        <x:f>IF(COUNTA(O96:S96)=0,"",MAX(0,IF(O96="",0,O96)+IF(P96="",0,P96)-IF(Q96="",0,Q96)-IF(R96="",0,R96)))</x:f>
        <x:v>0</x:v>
      </x:c>
      <x:c r="U96" s="152" t="str">
        <x:f>IF(OR(N96="",Q96=""),"",Q96-N96)</x:f>
      </x:c>
      <x:c r="V96" s="202" t="str">
        <x:f>IFERROR(Q96/N96,"")</x:f>
      </x:c>
      <x:c r="W96" s="137" t="str"/>
      <x:c r="X96" s="137" t="str"/>
      <x:c r="Y96" s="137" t="str"/>
      <x:c r="Z96" s="137" t="str"/>
      <x:c r="AA96" s="137" t="str"/>
      <x:c r="AB96" s="137" t="str"/>
      <x:c r="AC96" s="137" t="str"/>
      <x:c r="AD96" s="199" t="str"/>
    </x:row>
    <x:row r="97">
      <x:c r="A97" s="137" t="str"/>
      <x:c r="B97" s="138" t="str"/>
      <x:c r="C97" s="137" t="str"/>
      <x:c r="D97" s="137" t="str"/>
      <x:c r="E97" s="137" t="str"/>
      <x:c r="F97" s="137" t="str"/>
      <x:c r="G97" s="137" t="str"/>
      <x:c r="H97" s="137" t="str"/>
      <x:c r="I97" s="137" t="str"/>
      <x:c r="J97" s="137" t="str"/>
      <x:c r="K97" s="137" t="str"/>
      <x:c r="L97" s="160" t="str"/>
      <x:c r="M97" s="160" t="str"/>
      <x:c r="N97" s="151" t="str"/>
      <x:c r="O97" s="151" t="str"/>
      <x:c r="P97" s="151" t="str"/>
      <x:c r="Q97" s="151" t="str"/>
      <x:c r="R97" s="151" t="str"/>
      <x:c r="S97" s="151" t="str"/>
      <x:c r="T97" s="152" t="n">
        <x:f>IF(COUNTA(O97:S97)=0,"",MAX(0,IF(O97="",0,O97)+IF(P97="",0,P97)-IF(Q97="",0,Q97)-IF(R97="",0,R97)))</x:f>
        <x:v>0</x:v>
      </x:c>
      <x:c r="U97" s="152" t="str">
        <x:f>IF(OR(N97="",Q97=""),"",Q97-N97)</x:f>
      </x:c>
      <x:c r="V97" s="202" t="str">
        <x:f>IFERROR(Q97/N97,"")</x:f>
      </x:c>
      <x:c r="W97" s="137" t="str"/>
      <x:c r="X97" s="137" t="str"/>
      <x:c r="Y97" s="137" t="str"/>
      <x:c r="Z97" s="137" t="str"/>
      <x:c r="AA97" s="137" t="str"/>
      <x:c r="AB97" s="137" t="str"/>
      <x:c r="AC97" s="137" t="str"/>
      <x:c r="AD97" s="199" t="str"/>
    </x:row>
    <x:row r="98">
      <x:c r="A98" s="137" t="str"/>
      <x:c r="B98" s="138" t="str"/>
      <x:c r="C98" s="137" t="str"/>
      <x:c r="D98" s="137" t="str"/>
      <x:c r="E98" s="137" t="str"/>
      <x:c r="F98" s="137" t="str"/>
      <x:c r="G98" s="137" t="str"/>
      <x:c r="H98" s="137" t="str"/>
      <x:c r="I98" s="137" t="str"/>
      <x:c r="J98" s="137" t="str"/>
      <x:c r="K98" s="137" t="str"/>
      <x:c r="L98" s="160" t="str"/>
      <x:c r="M98" s="160" t="str"/>
      <x:c r="N98" s="151" t="str"/>
      <x:c r="O98" s="151" t="str"/>
      <x:c r="P98" s="151" t="str"/>
      <x:c r="Q98" s="151" t="str"/>
      <x:c r="R98" s="151" t="str"/>
      <x:c r="S98" s="151" t="str"/>
      <x:c r="T98" s="152" t="n">
        <x:f>IF(COUNTA(O98:S98)=0,"",MAX(0,IF(O98="",0,O98)+IF(P98="",0,P98)-IF(Q98="",0,Q98)-IF(R98="",0,R98)))</x:f>
        <x:v>0</x:v>
      </x:c>
      <x:c r="U98" s="152" t="str">
        <x:f>IF(OR(N98="",Q98=""),"",Q98-N98)</x:f>
      </x:c>
      <x:c r="V98" s="202" t="str">
        <x:f>IFERROR(Q98/N98,"")</x:f>
      </x:c>
      <x:c r="W98" s="137" t="str"/>
      <x:c r="X98" s="137" t="str"/>
      <x:c r="Y98" s="137" t="str"/>
      <x:c r="Z98" s="137" t="str"/>
      <x:c r="AA98" s="137" t="str"/>
      <x:c r="AB98" s="137" t="str"/>
      <x:c r="AC98" s="137" t="str"/>
      <x:c r="AD98" s="199" t="str"/>
    </x:row>
    <x:row r="99">
      <x:c r="A99" s="137" t="str"/>
      <x:c r="B99" s="138" t="str"/>
      <x:c r="C99" s="137" t="str"/>
      <x:c r="D99" s="137" t="str"/>
      <x:c r="E99" s="137" t="str"/>
      <x:c r="F99" s="137" t="str"/>
      <x:c r="G99" s="137" t="str"/>
      <x:c r="H99" s="137" t="str"/>
      <x:c r="I99" s="137" t="str"/>
      <x:c r="J99" s="137" t="str"/>
      <x:c r="K99" s="137" t="str"/>
      <x:c r="L99" s="160" t="str"/>
      <x:c r="M99" s="160" t="str"/>
      <x:c r="N99" s="151" t="str"/>
      <x:c r="O99" s="151" t="str"/>
      <x:c r="P99" s="151" t="str"/>
      <x:c r="Q99" s="151" t="str"/>
      <x:c r="R99" s="151" t="str"/>
      <x:c r="S99" s="151" t="str"/>
      <x:c r="T99" s="152" t="n">
        <x:f>IF(COUNTA(O99:S99)=0,"",MAX(0,IF(O99="",0,O99)+IF(P99="",0,P99)-IF(Q99="",0,Q99)-IF(R99="",0,R99)))</x:f>
        <x:v>0</x:v>
      </x:c>
      <x:c r="U99" s="152" t="str">
        <x:f>IF(OR(N99="",Q99=""),"",Q99-N99)</x:f>
      </x:c>
      <x:c r="V99" s="202" t="str">
        <x:f>IFERROR(Q99/N99,"")</x:f>
      </x:c>
      <x:c r="W99" s="137" t="str"/>
      <x:c r="X99" s="137" t="str"/>
      <x:c r="Y99" s="137" t="str"/>
      <x:c r="Z99" s="137" t="str"/>
      <x:c r="AA99" s="137" t="str"/>
      <x:c r="AB99" s="137" t="str"/>
      <x:c r="AC99" s="137" t="str"/>
      <x:c r="AD99" s="199" t="str"/>
    </x:row>
    <x:row r="100">
      <x:c r="A100" s="137" t="str"/>
      <x:c r="B100" s="138" t="str"/>
      <x:c r="C100" s="137" t="str"/>
      <x:c r="D100" s="137" t="str"/>
      <x:c r="E100" s="137" t="str"/>
      <x:c r="F100" s="137" t="str"/>
      <x:c r="G100" s="137" t="str"/>
      <x:c r="H100" s="137" t="str"/>
      <x:c r="I100" s="137" t="str"/>
      <x:c r="J100" s="137" t="str"/>
      <x:c r="K100" s="137" t="str"/>
      <x:c r="L100" s="160" t="str"/>
      <x:c r="M100" s="160" t="str"/>
      <x:c r="N100" s="151" t="str"/>
      <x:c r="O100" s="151" t="str"/>
      <x:c r="P100" s="151" t="str"/>
      <x:c r="Q100" s="151" t="str"/>
      <x:c r="R100" s="151" t="str"/>
      <x:c r="S100" s="151" t="str"/>
      <x:c r="T100" s="152" t="n">
        <x:f>IF(COUNTA(O100:S100)=0,"",MAX(0,IF(O100="",0,O100)+IF(P100="",0,P100)-IF(Q100="",0,Q100)-IF(R100="",0,R100)))</x:f>
        <x:v>0</x:v>
      </x:c>
      <x:c r="U100" s="152" t="str">
        <x:f>IF(OR(N100="",Q100=""),"",Q100-N100)</x:f>
      </x:c>
      <x:c r="V100" s="202" t="str">
        <x:f>IFERROR(Q100/N100,"")</x:f>
      </x:c>
      <x:c r="W100" s="137" t="str"/>
      <x:c r="X100" s="137" t="str"/>
      <x:c r="Y100" s="137" t="str"/>
      <x:c r="Z100" s="137" t="str"/>
      <x:c r="AA100" s="137" t="str"/>
      <x:c r="AB100" s="137" t="str"/>
      <x:c r="AC100" s="137" t="str"/>
      <x:c r="AD100" s="199" t="str"/>
    </x:row>
    <x:row r="101">
      <x:c r="A101" s="137" t="str"/>
      <x:c r="B101" s="138" t="str"/>
      <x:c r="C101" s="137" t="str"/>
      <x:c r="D101" s="137" t="str"/>
      <x:c r="E101" s="137" t="str"/>
      <x:c r="F101" s="137" t="str"/>
      <x:c r="G101" s="137" t="str"/>
      <x:c r="H101" s="137" t="str"/>
      <x:c r="I101" s="137" t="str"/>
      <x:c r="J101" s="137" t="str"/>
      <x:c r="K101" s="137" t="str"/>
      <x:c r="L101" s="160" t="str"/>
      <x:c r="M101" s="160" t="str"/>
      <x:c r="N101" s="151" t="str"/>
      <x:c r="O101" s="151" t="str"/>
      <x:c r="P101" s="151" t="str"/>
      <x:c r="Q101" s="151" t="str"/>
      <x:c r="R101" s="151" t="str"/>
      <x:c r="S101" s="151" t="str"/>
      <x:c r="T101" s="152" t="n">
        <x:f>IF(COUNTA(O101:S101)=0,"",MAX(0,IF(O101="",0,O101)+IF(P101="",0,P101)-IF(Q101="",0,Q101)-IF(R101="",0,R101)))</x:f>
        <x:v>0</x:v>
      </x:c>
      <x:c r="U101" s="152" t="str">
        <x:f>IF(OR(N101="",Q101=""),"",Q101-N101)</x:f>
      </x:c>
      <x:c r="V101" s="202" t="str">
        <x:f>IFERROR(Q101/N101,"")</x:f>
      </x:c>
      <x:c r="W101" s="137" t="str"/>
      <x:c r="X101" s="137" t="str"/>
      <x:c r="Y101" s="137" t="str"/>
      <x:c r="Z101" s="137" t="str"/>
      <x:c r="AA101" s="137" t="str"/>
      <x:c r="AB101" s="137" t="str"/>
      <x:c r="AC101" s="137" t="str"/>
      <x:c r="AD101" s="199" t="str"/>
    </x:row>
    <x:row r="102">
      <x:c r="A102" s="137" t="str"/>
      <x:c r="B102" s="138" t="str"/>
      <x:c r="C102" s="137" t="str"/>
      <x:c r="D102" s="137" t="str"/>
      <x:c r="E102" s="137" t="str"/>
      <x:c r="F102" s="137" t="str"/>
      <x:c r="G102" s="137" t="str"/>
      <x:c r="H102" s="137" t="str"/>
      <x:c r="I102" s="137" t="str"/>
      <x:c r="J102" s="137" t="str"/>
      <x:c r="K102" s="137" t="str"/>
      <x:c r="L102" s="160" t="str"/>
      <x:c r="M102" s="160" t="str"/>
      <x:c r="N102" s="151" t="str"/>
      <x:c r="O102" s="151" t="str"/>
      <x:c r="P102" s="151" t="str"/>
      <x:c r="Q102" s="151" t="str"/>
      <x:c r="R102" s="151" t="str"/>
      <x:c r="S102" s="151" t="str"/>
      <x:c r="T102" s="152" t="n">
        <x:f>IF(COUNTA(O102:S102)=0,"",MAX(0,IF(O102="",0,O102)+IF(P102="",0,P102)-IF(Q102="",0,Q102)-IF(R102="",0,R102)))</x:f>
        <x:v>0</x:v>
      </x:c>
      <x:c r="U102" s="152" t="str">
        <x:f>IF(OR(N102="",Q102=""),"",Q102-N102)</x:f>
      </x:c>
      <x:c r="V102" s="202" t="str">
        <x:f>IFERROR(Q102/N102,"")</x:f>
      </x:c>
      <x:c r="W102" s="137" t="str"/>
      <x:c r="X102" s="137" t="str"/>
      <x:c r="Y102" s="137" t="str"/>
      <x:c r="Z102" s="137" t="str"/>
      <x:c r="AA102" s="137" t="str"/>
      <x:c r="AB102" s="137" t="str"/>
      <x:c r="AC102" s="137" t="str"/>
      <x:c r="AD102" s="199" t="str"/>
    </x:row>
    <x:row r="103">
      <x:c r="A103" s="137" t="str"/>
      <x:c r="B103" s="138" t="str"/>
      <x:c r="C103" s="137" t="str"/>
      <x:c r="D103" s="137" t="str"/>
      <x:c r="E103" s="137" t="str"/>
      <x:c r="F103" s="137" t="str"/>
      <x:c r="G103" s="137" t="str"/>
      <x:c r="H103" s="137" t="str"/>
      <x:c r="I103" s="137" t="str"/>
      <x:c r="J103" s="137" t="str"/>
      <x:c r="K103" s="137" t="str"/>
      <x:c r="L103" s="160" t="str"/>
      <x:c r="M103" s="160" t="str"/>
      <x:c r="N103" s="151" t="str"/>
      <x:c r="O103" s="151" t="str"/>
      <x:c r="P103" s="151" t="str"/>
      <x:c r="Q103" s="151" t="str"/>
      <x:c r="R103" s="151" t="str"/>
      <x:c r="S103" s="151" t="str"/>
      <x:c r="T103" s="152" t="n">
        <x:f>IF(COUNTA(O103:S103)=0,"",MAX(0,IF(O103="",0,O103)+IF(P103="",0,P103)-IF(Q103="",0,Q103)-IF(R103="",0,R103)))</x:f>
        <x:v>0</x:v>
      </x:c>
      <x:c r="U103" s="152" t="str">
        <x:f>IF(OR(N103="",Q103=""),"",Q103-N103)</x:f>
      </x:c>
      <x:c r="V103" s="202" t="str">
        <x:f>IFERROR(Q103/N103,"")</x:f>
      </x:c>
      <x:c r="W103" s="137" t="str"/>
      <x:c r="X103" s="137" t="str"/>
      <x:c r="Y103" s="137" t="str"/>
      <x:c r="Z103" s="137" t="str"/>
      <x:c r="AA103" s="137" t="str"/>
      <x:c r="AB103" s="137" t="str"/>
      <x:c r="AC103" s="137" t="str"/>
      <x:c r="AD103" s="199" t="str"/>
    </x:row>
    <x:row r="104">
      <x:c r="A104" s="137" t="str"/>
      <x:c r="B104" s="138" t="str"/>
      <x:c r="C104" s="137" t="str"/>
      <x:c r="D104" s="137" t="str"/>
      <x:c r="E104" s="137" t="str"/>
      <x:c r="F104" s="137" t="str"/>
      <x:c r="G104" s="137" t="str"/>
      <x:c r="H104" s="137" t="str"/>
      <x:c r="I104" s="137" t="str"/>
      <x:c r="J104" s="137" t="str"/>
      <x:c r="K104" s="137" t="str"/>
      <x:c r="L104" s="160" t="str"/>
      <x:c r="M104" s="160" t="str"/>
      <x:c r="N104" s="151" t="str"/>
      <x:c r="O104" s="151" t="str"/>
      <x:c r="P104" s="151" t="str"/>
      <x:c r="Q104" s="151" t="str"/>
      <x:c r="R104" s="151" t="str"/>
      <x:c r="S104" s="151" t="str"/>
      <x:c r="T104" s="152" t="n">
        <x:f>IF(COUNTA(O104:S104)=0,"",MAX(0,IF(O104="",0,O104)+IF(P104="",0,P104)-IF(Q104="",0,Q104)-IF(R104="",0,R104)))</x:f>
        <x:v>0</x:v>
      </x:c>
      <x:c r="U104" s="152" t="str">
        <x:f>IF(OR(N104="",Q104=""),"",Q104-N104)</x:f>
      </x:c>
      <x:c r="V104" s="202" t="str">
        <x:f>IFERROR(Q104/N104,"")</x:f>
      </x:c>
      <x:c r="W104" s="137" t="str"/>
      <x:c r="X104" s="137" t="str"/>
      <x:c r="Y104" s="137" t="str"/>
      <x:c r="Z104" s="137" t="str"/>
      <x:c r="AA104" s="137" t="str"/>
      <x:c r="AB104" s="137" t="str"/>
      <x:c r="AC104" s="137" t="str"/>
      <x:c r="AD104" s="199" t="str"/>
    </x:row>
    <x:row r="105">
      <x:c r="A105" s="137" t="str"/>
      <x:c r="B105" s="138" t="str"/>
      <x:c r="C105" s="137" t="str"/>
      <x:c r="D105" s="137" t="str"/>
      <x:c r="E105" s="137" t="str"/>
      <x:c r="F105" s="137" t="str"/>
      <x:c r="G105" s="137" t="str"/>
      <x:c r="H105" s="137" t="str"/>
      <x:c r="I105" s="137" t="str"/>
      <x:c r="J105" s="137" t="str"/>
      <x:c r="K105" s="137" t="str"/>
      <x:c r="L105" s="160" t="str"/>
      <x:c r="M105" s="160" t="str"/>
      <x:c r="N105" s="151" t="str"/>
      <x:c r="O105" s="151" t="str"/>
      <x:c r="P105" s="151" t="str"/>
      <x:c r="Q105" s="151" t="str"/>
      <x:c r="R105" s="151" t="str"/>
      <x:c r="S105" s="151" t="str"/>
      <x:c r="T105" s="152" t="n">
        <x:f>IF(COUNTA(O105:S105)=0,"",MAX(0,IF(O105="",0,O105)+IF(P105="",0,P105)-IF(Q105="",0,Q105)-IF(R105="",0,R105)))</x:f>
        <x:v>0</x:v>
      </x:c>
      <x:c r="U105" s="152" t="str">
        <x:f>IF(OR(N105="",Q105=""),"",Q105-N105)</x:f>
      </x:c>
      <x:c r="V105" s="202" t="str">
        <x:f>IFERROR(Q105/N105,"")</x:f>
      </x:c>
      <x:c r="W105" s="137" t="str"/>
      <x:c r="X105" s="137" t="str"/>
      <x:c r="Y105" s="137" t="str"/>
      <x:c r="Z105" s="137" t="str"/>
      <x:c r="AA105" s="137" t="str"/>
      <x:c r="AB105" s="137" t="str"/>
      <x:c r="AC105" s="137" t="str"/>
      <x:c r="AD105" s="199" t="str"/>
    </x:row>
    <x:row r="106">
      <x:c r="A106" s="137" t="str"/>
      <x:c r="B106" s="138" t="str"/>
      <x:c r="C106" s="137" t="str"/>
      <x:c r="D106" s="137" t="str"/>
      <x:c r="E106" s="137" t="str"/>
      <x:c r="F106" s="137" t="str"/>
      <x:c r="G106" s="137" t="str"/>
      <x:c r="H106" s="137" t="str"/>
      <x:c r="I106" s="137" t="str"/>
      <x:c r="J106" s="137" t="str"/>
      <x:c r="K106" s="137" t="str"/>
      <x:c r="L106" s="160" t="str"/>
      <x:c r="M106" s="160" t="str"/>
      <x:c r="N106" s="151" t="str"/>
      <x:c r="O106" s="151" t="str"/>
      <x:c r="P106" s="151" t="str"/>
      <x:c r="Q106" s="151" t="str"/>
      <x:c r="R106" s="151" t="str"/>
      <x:c r="S106" s="151" t="str"/>
      <x:c r="T106" s="152" t="n">
        <x:f>IF(COUNTA(O106:S106)=0,"",MAX(0,IF(O106="",0,O106)+IF(P106="",0,P106)-IF(Q106="",0,Q106)-IF(R106="",0,R106)))</x:f>
        <x:v>0</x:v>
      </x:c>
      <x:c r="U106" s="152" t="str">
        <x:f>IF(OR(N106="",Q106=""),"",Q106-N106)</x:f>
      </x:c>
      <x:c r="V106" s="202" t="str">
        <x:f>IFERROR(Q106/N106,"")</x:f>
      </x:c>
      <x:c r="W106" s="137" t="str"/>
      <x:c r="X106" s="137" t="str"/>
      <x:c r="Y106" s="137" t="str"/>
      <x:c r="Z106" s="137" t="str"/>
      <x:c r="AA106" s="137" t="str"/>
      <x:c r="AB106" s="137" t="str"/>
      <x:c r="AC106" s="137" t="str"/>
      <x:c r="AD106" s="199" t="str"/>
    </x:row>
    <x:row r="107">
      <x:c r="A107" s="137" t="str"/>
      <x:c r="B107" s="138" t="str"/>
      <x:c r="C107" s="137" t="str"/>
      <x:c r="D107" s="137" t="str"/>
      <x:c r="E107" s="137" t="str"/>
      <x:c r="F107" s="137" t="str"/>
      <x:c r="G107" s="137" t="str"/>
      <x:c r="H107" s="137" t="str"/>
      <x:c r="I107" s="137" t="str"/>
      <x:c r="J107" s="137" t="str"/>
      <x:c r="K107" s="137" t="str"/>
      <x:c r="L107" s="160" t="str"/>
      <x:c r="M107" s="160" t="str"/>
      <x:c r="N107" s="151" t="str"/>
      <x:c r="O107" s="151" t="str"/>
      <x:c r="P107" s="151" t="str"/>
      <x:c r="Q107" s="151" t="str"/>
      <x:c r="R107" s="151" t="str"/>
      <x:c r="S107" s="151" t="str"/>
      <x:c r="T107" s="152" t="n">
        <x:f>IF(COUNTA(O107:S107)=0,"",MAX(0,IF(O107="",0,O107)+IF(P107="",0,P107)-IF(Q107="",0,Q107)-IF(R107="",0,R107)))</x:f>
        <x:v>0</x:v>
      </x:c>
      <x:c r="U107" s="152" t="str">
        <x:f>IF(OR(N107="",Q107=""),"",Q107-N107)</x:f>
      </x:c>
      <x:c r="V107" s="202" t="str">
        <x:f>IFERROR(Q107/N107,"")</x:f>
      </x:c>
      <x:c r="W107" s="137" t="str"/>
      <x:c r="X107" s="137" t="str"/>
      <x:c r="Y107" s="137" t="str"/>
      <x:c r="Z107" s="137" t="str"/>
      <x:c r="AA107" s="137" t="str"/>
      <x:c r="AB107" s="137" t="str"/>
      <x:c r="AC107" s="137" t="str"/>
      <x:c r="AD107" s="199" t="str"/>
    </x:row>
    <x:row r="108">
      <x:c r="A108" s="137" t="str"/>
      <x:c r="B108" s="138" t="str"/>
      <x:c r="C108" s="137" t="str"/>
      <x:c r="D108" s="137" t="str"/>
      <x:c r="E108" s="137" t="str"/>
      <x:c r="F108" s="137" t="str"/>
      <x:c r="G108" s="137" t="str"/>
      <x:c r="H108" s="137" t="str"/>
      <x:c r="I108" s="137" t="str"/>
      <x:c r="J108" s="137" t="str"/>
      <x:c r="K108" s="137" t="str"/>
      <x:c r="L108" s="160" t="str"/>
      <x:c r="M108" s="160" t="str"/>
      <x:c r="N108" s="151" t="str"/>
      <x:c r="O108" s="151" t="str"/>
      <x:c r="P108" s="151" t="str"/>
      <x:c r="Q108" s="151" t="str"/>
      <x:c r="R108" s="151" t="str"/>
      <x:c r="S108" s="151" t="str"/>
      <x:c r="T108" s="152" t="n">
        <x:f>IF(COUNTA(O108:S108)=0,"",MAX(0,IF(O108="",0,O108)+IF(P108="",0,P108)-IF(Q108="",0,Q108)-IF(R108="",0,R108)))</x:f>
        <x:v>0</x:v>
      </x:c>
      <x:c r="U108" s="152" t="str">
        <x:f>IF(OR(N108="",Q108=""),"",Q108-N108)</x:f>
      </x:c>
      <x:c r="V108" s="202" t="str">
        <x:f>IFERROR(Q108/N108,"")</x:f>
      </x:c>
      <x:c r="W108" s="137" t="str"/>
      <x:c r="X108" s="137" t="str"/>
      <x:c r="Y108" s="137" t="str"/>
      <x:c r="Z108" s="137" t="str"/>
      <x:c r="AA108" s="137" t="str"/>
      <x:c r="AB108" s="137" t="str"/>
      <x:c r="AC108" s="137" t="str"/>
      <x:c r="AD108" s="199" t="str"/>
    </x:row>
    <x:row r="109">
      <x:c r="A109" s="137" t="str"/>
      <x:c r="B109" s="138" t="str"/>
      <x:c r="C109" s="137" t="str"/>
      <x:c r="D109" s="137" t="str"/>
      <x:c r="E109" s="137" t="str"/>
      <x:c r="F109" s="137" t="str"/>
      <x:c r="G109" s="137" t="str"/>
      <x:c r="H109" s="137" t="str"/>
      <x:c r="I109" s="137" t="str"/>
      <x:c r="J109" s="137" t="str"/>
      <x:c r="K109" s="137" t="str"/>
      <x:c r="L109" s="160" t="str"/>
      <x:c r="M109" s="160" t="str"/>
      <x:c r="N109" s="151" t="str"/>
      <x:c r="O109" s="151" t="str"/>
      <x:c r="P109" s="151" t="str"/>
      <x:c r="Q109" s="151" t="str"/>
      <x:c r="R109" s="151" t="str"/>
      <x:c r="S109" s="151" t="str"/>
      <x:c r="T109" s="152" t="n">
        <x:f>IF(COUNTA(O109:S109)=0,"",MAX(0,IF(O109="",0,O109)+IF(P109="",0,P109)-IF(Q109="",0,Q109)-IF(R109="",0,R109)))</x:f>
        <x:v>0</x:v>
      </x:c>
      <x:c r="U109" s="152" t="str">
        <x:f>IF(OR(N109="",Q109=""),"",Q109-N109)</x:f>
      </x:c>
      <x:c r="V109" s="202" t="str">
        <x:f>IFERROR(Q109/N109,"")</x:f>
      </x:c>
      <x:c r="W109" s="137" t="str"/>
      <x:c r="X109" s="137" t="str"/>
      <x:c r="Y109" s="137" t="str"/>
      <x:c r="Z109" s="137" t="str"/>
      <x:c r="AA109" s="137" t="str"/>
      <x:c r="AB109" s="137" t="str"/>
      <x:c r="AC109" s="137" t="str"/>
      <x:c r="AD109" s="199" t="str"/>
    </x:row>
    <x:row r="110">
      <x:c r="A110" s="137" t="str"/>
      <x:c r="B110" s="138" t="str"/>
      <x:c r="C110" s="137" t="str"/>
      <x:c r="D110" s="137" t="str"/>
      <x:c r="E110" s="137" t="str"/>
      <x:c r="F110" s="137" t="str"/>
      <x:c r="G110" s="137" t="str"/>
      <x:c r="H110" s="137" t="str"/>
      <x:c r="I110" s="137" t="str"/>
      <x:c r="J110" s="137" t="str"/>
      <x:c r="K110" s="137" t="str"/>
      <x:c r="L110" s="160" t="str"/>
      <x:c r="M110" s="160" t="str"/>
      <x:c r="N110" s="151" t="str"/>
      <x:c r="O110" s="151" t="str"/>
      <x:c r="P110" s="151" t="str"/>
      <x:c r="Q110" s="151" t="str"/>
      <x:c r="R110" s="151" t="str"/>
      <x:c r="S110" s="151" t="str"/>
      <x:c r="T110" s="152" t="n">
        <x:f>IF(COUNTA(O110:S110)=0,"",MAX(0,IF(O110="",0,O110)+IF(P110="",0,P110)-IF(Q110="",0,Q110)-IF(R110="",0,R110)))</x:f>
        <x:v>0</x:v>
      </x:c>
      <x:c r="U110" s="152" t="str">
        <x:f>IF(OR(N110="",Q110=""),"",Q110-N110)</x:f>
      </x:c>
      <x:c r="V110" s="202" t="str">
        <x:f>IFERROR(Q110/N110,"")</x:f>
      </x:c>
      <x:c r="W110" s="137" t="str"/>
      <x:c r="X110" s="137" t="str"/>
      <x:c r="Y110" s="137" t="str"/>
      <x:c r="Z110" s="137" t="str"/>
      <x:c r="AA110" s="137" t="str"/>
      <x:c r="AB110" s="137" t="str"/>
      <x:c r="AC110" s="137" t="str"/>
      <x:c r="AD110" s="199" t="str"/>
    </x:row>
    <x:row r="111">
      <x:c r="A111" s="137" t="str"/>
      <x:c r="B111" s="138" t="str"/>
      <x:c r="C111" s="137" t="str"/>
      <x:c r="D111" s="137" t="str"/>
      <x:c r="E111" s="137" t="str"/>
      <x:c r="F111" s="137" t="str"/>
      <x:c r="G111" s="137" t="str"/>
      <x:c r="H111" s="137" t="str"/>
      <x:c r="I111" s="137" t="str"/>
      <x:c r="J111" s="137" t="str"/>
      <x:c r="K111" s="137" t="str"/>
      <x:c r="L111" s="160" t="str"/>
      <x:c r="M111" s="160" t="str"/>
      <x:c r="N111" s="151" t="str"/>
      <x:c r="O111" s="151" t="str"/>
      <x:c r="P111" s="151" t="str"/>
      <x:c r="Q111" s="151" t="str"/>
      <x:c r="R111" s="151" t="str"/>
      <x:c r="S111" s="151" t="str"/>
      <x:c r="T111" s="152" t="n">
        <x:f>IF(COUNTA(O111:S111)=0,"",MAX(0,IF(O111="",0,O111)+IF(P111="",0,P111)-IF(Q111="",0,Q111)-IF(R111="",0,R111)))</x:f>
        <x:v>0</x:v>
      </x:c>
      <x:c r="U111" s="152" t="str">
        <x:f>IF(OR(N111="",Q111=""),"",Q111-N111)</x:f>
      </x:c>
      <x:c r="V111" s="202" t="str">
        <x:f>IFERROR(Q111/N111,"")</x:f>
      </x:c>
      <x:c r="W111" s="137" t="str"/>
      <x:c r="X111" s="137" t="str"/>
      <x:c r="Y111" s="137" t="str"/>
      <x:c r="Z111" s="137" t="str"/>
      <x:c r="AA111" s="137" t="str"/>
      <x:c r="AB111" s="137" t="str"/>
      <x:c r="AC111" s="137" t="str"/>
      <x:c r="AD111" s="199" t="str"/>
    </x:row>
    <x:row r="112">
      <x:c r="A112" s="137" t="str"/>
      <x:c r="B112" s="138" t="str"/>
      <x:c r="C112" s="137" t="str"/>
      <x:c r="D112" s="137" t="str"/>
      <x:c r="E112" s="137" t="str"/>
      <x:c r="F112" s="137" t="str"/>
      <x:c r="G112" s="137" t="str"/>
      <x:c r="H112" s="137" t="str"/>
      <x:c r="I112" s="137" t="str"/>
      <x:c r="J112" s="137" t="str"/>
      <x:c r="K112" s="137" t="str"/>
      <x:c r="L112" s="160" t="str"/>
      <x:c r="M112" s="160" t="str"/>
      <x:c r="N112" s="151" t="str"/>
      <x:c r="O112" s="151" t="str"/>
      <x:c r="P112" s="151" t="str"/>
      <x:c r="Q112" s="151" t="str"/>
      <x:c r="R112" s="151" t="str"/>
      <x:c r="S112" s="151" t="str"/>
      <x:c r="T112" s="152" t="n">
        <x:f>IF(COUNTA(O112:S112)=0,"",MAX(0,IF(O112="",0,O112)+IF(P112="",0,P112)-IF(Q112="",0,Q112)-IF(R112="",0,R112)))</x:f>
        <x:v>0</x:v>
      </x:c>
      <x:c r="U112" s="152" t="str">
        <x:f>IF(OR(N112="",Q112=""),"",Q112-N112)</x:f>
      </x:c>
      <x:c r="V112" s="202" t="str">
        <x:f>IFERROR(Q112/N112,"")</x:f>
      </x:c>
      <x:c r="W112" s="137" t="str"/>
      <x:c r="X112" s="137" t="str"/>
      <x:c r="Y112" s="137" t="str"/>
      <x:c r="Z112" s="137" t="str"/>
      <x:c r="AA112" s="137" t="str"/>
      <x:c r="AB112" s="137" t="str"/>
      <x:c r="AC112" s="137" t="str"/>
      <x:c r="AD112" s="199" t="str"/>
    </x:row>
    <x:row r="113">
      <x:c r="A113" s="137" t="str"/>
      <x:c r="B113" s="138" t="str"/>
      <x:c r="C113" s="137" t="str"/>
      <x:c r="D113" s="137" t="str"/>
      <x:c r="E113" s="137" t="str"/>
      <x:c r="F113" s="137" t="str"/>
      <x:c r="G113" s="137" t="str"/>
      <x:c r="H113" s="137" t="str"/>
      <x:c r="I113" s="137" t="str"/>
      <x:c r="J113" s="137" t="str"/>
      <x:c r="K113" s="137" t="str"/>
      <x:c r="L113" s="160" t="str"/>
      <x:c r="M113" s="160" t="str"/>
      <x:c r="N113" s="151" t="str"/>
      <x:c r="O113" s="151" t="str"/>
      <x:c r="P113" s="151" t="str"/>
      <x:c r="Q113" s="151" t="str"/>
      <x:c r="R113" s="151" t="str"/>
      <x:c r="S113" s="151" t="str"/>
      <x:c r="T113" s="152" t="n">
        <x:f>IF(COUNTA(O113:S113)=0,"",MAX(0,IF(O113="",0,O113)+IF(P113="",0,P113)-IF(Q113="",0,Q113)-IF(R113="",0,R113)))</x:f>
        <x:v>0</x:v>
      </x:c>
      <x:c r="U113" s="152" t="str">
        <x:f>IF(OR(N113="",Q113=""),"",Q113-N113)</x:f>
      </x:c>
      <x:c r="V113" s="202" t="str">
        <x:f>IFERROR(Q113/N113,"")</x:f>
      </x:c>
      <x:c r="W113" s="137" t="str"/>
      <x:c r="X113" s="137" t="str"/>
      <x:c r="Y113" s="137" t="str"/>
      <x:c r="Z113" s="137" t="str"/>
      <x:c r="AA113" s="137" t="str"/>
      <x:c r="AB113" s="137" t="str"/>
      <x:c r="AC113" s="137" t="str"/>
      <x:c r="AD113" s="199" t="str"/>
    </x:row>
    <x:row r="114">
      <x:c r="A114" s="137" t="str"/>
      <x:c r="B114" s="138" t="str"/>
      <x:c r="C114" s="137" t="str"/>
      <x:c r="D114" s="137" t="str"/>
      <x:c r="E114" s="137" t="str"/>
      <x:c r="F114" s="137" t="str"/>
      <x:c r="G114" s="137" t="str"/>
      <x:c r="H114" s="137" t="str"/>
      <x:c r="I114" s="137" t="str"/>
      <x:c r="J114" s="137" t="str"/>
      <x:c r="K114" s="137" t="str"/>
      <x:c r="L114" s="160" t="str"/>
      <x:c r="M114" s="160" t="str"/>
      <x:c r="N114" s="151" t="str"/>
      <x:c r="O114" s="151" t="str"/>
      <x:c r="P114" s="151" t="str"/>
      <x:c r="Q114" s="151" t="str"/>
      <x:c r="R114" s="151" t="str"/>
      <x:c r="S114" s="151" t="str"/>
      <x:c r="T114" s="152" t="n">
        <x:f>IF(COUNTA(O114:S114)=0,"",MAX(0,IF(O114="",0,O114)+IF(P114="",0,P114)-IF(Q114="",0,Q114)-IF(R114="",0,R114)))</x:f>
        <x:v>0</x:v>
      </x:c>
      <x:c r="U114" s="152" t="str">
        <x:f>IF(OR(N114="",Q114=""),"",Q114-N114)</x:f>
      </x:c>
      <x:c r="V114" s="202" t="str">
        <x:f>IFERROR(Q114/N114,"")</x:f>
      </x:c>
      <x:c r="W114" s="137" t="str"/>
      <x:c r="X114" s="137" t="str"/>
      <x:c r="Y114" s="137" t="str"/>
      <x:c r="Z114" s="137" t="str"/>
      <x:c r="AA114" s="137" t="str"/>
      <x:c r="AB114" s="137" t="str"/>
      <x:c r="AC114" s="137" t="str"/>
      <x:c r="AD114" s="199" t="str"/>
    </x:row>
    <x:row r="115">
      <x:c r="A115" s="137" t="str"/>
      <x:c r="B115" s="138" t="str"/>
      <x:c r="C115" s="137" t="str"/>
      <x:c r="D115" s="137" t="str"/>
      <x:c r="E115" s="137" t="str"/>
      <x:c r="F115" s="137" t="str"/>
      <x:c r="G115" s="137" t="str"/>
      <x:c r="H115" s="137" t="str"/>
      <x:c r="I115" s="137" t="str"/>
      <x:c r="J115" s="137" t="str"/>
      <x:c r="K115" s="137" t="str"/>
      <x:c r="L115" s="160" t="str"/>
      <x:c r="M115" s="160" t="str"/>
      <x:c r="N115" s="151" t="str"/>
      <x:c r="O115" s="151" t="str"/>
      <x:c r="P115" s="151" t="str"/>
      <x:c r="Q115" s="151" t="str"/>
      <x:c r="R115" s="151" t="str"/>
      <x:c r="S115" s="151" t="str"/>
      <x:c r="T115" s="152" t="n">
        <x:f>IF(COUNTA(O115:S115)=0,"",MAX(0,IF(O115="",0,O115)+IF(P115="",0,P115)-IF(Q115="",0,Q115)-IF(R115="",0,R115)))</x:f>
        <x:v>0</x:v>
      </x:c>
      <x:c r="U115" s="152" t="str">
        <x:f>IF(OR(N115="",Q115=""),"",Q115-N115)</x:f>
      </x:c>
      <x:c r="V115" s="202" t="str">
        <x:f>IFERROR(Q115/N115,"")</x:f>
      </x:c>
      <x:c r="W115" s="137" t="str"/>
      <x:c r="X115" s="137" t="str"/>
      <x:c r="Y115" s="137" t="str"/>
      <x:c r="Z115" s="137" t="str"/>
      <x:c r="AA115" s="137" t="str"/>
      <x:c r="AB115" s="137" t="str"/>
      <x:c r="AC115" s="137" t="str"/>
      <x:c r="AD115" s="199" t="str"/>
    </x:row>
    <x:row r="116">
      <x:c r="A116" s="137" t="str"/>
      <x:c r="B116" s="138" t="str"/>
      <x:c r="C116" s="137" t="str"/>
      <x:c r="D116" s="137" t="str"/>
      <x:c r="E116" s="137" t="str"/>
      <x:c r="F116" s="137" t="str"/>
      <x:c r="G116" s="137" t="str"/>
      <x:c r="H116" s="137" t="str"/>
      <x:c r="I116" s="137" t="str"/>
      <x:c r="J116" s="137" t="str"/>
      <x:c r="K116" s="137" t="str"/>
      <x:c r="L116" s="160" t="str"/>
      <x:c r="M116" s="160" t="str"/>
      <x:c r="N116" s="151" t="str"/>
      <x:c r="O116" s="151" t="str"/>
      <x:c r="P116" s="151" t="str"/>
      <x:c r="Q116" s="151" t="str"/>
      <x:c r="R116" s="151" t="str"/>
      <x:c r="S116" s="151" t="str"/>
      <x:c r="T116" s="152" t="n">
        <x:f>IF(COUNTA(O116:S116)=0,"",MAX(0,IF(O116="",0,O116)+IF(P116="",0,P116)-IF(Q116="",0,Q116)-IF(R116="",0,R116)))</x:f>
        <x:v>0</x:v>
      </x:c>
      <x:c r="U116" s="152" t="str">
        <x:f>IF(OR(N116="",Q116=""),"",Q116-N116)</x:f>
      </x:c>
      <x:c r="V116" s="202" t="str">
        <x:f>IFERROR(Q116/N116,"")</x:f>
      </x:c>
      <x:c r="W116" s="137" t="str"/>
      <x:c r="X116" s="137" t="str"/>
      <x:c r="Y116" s="137" t="str"/>
      <x:c r="Z116" s="137" t="str"/>
      <x:c r="AA116" s="137" t="str"/>
      <x:c r="AB116" s="137" t="str"/>
      <x:c r="AC116" s="137" t="str"/>
      <x:c r="AD116" s="199" t="str"/>
    </x:row>
    <x:row r="117">
      <x:c r="A117" s="137" t="str"/>
      <x:c r="B117" s="138" t="str"/>
      <x:c r="C117" s="137" t="str"/>
      <x:c r="D117" s="137" t="str"/>
      <x:c r="E117" s="137" t="str"/>
      <x:c r="F117" s="137" t="str"/>
      <x:c r="G117" s="137" t="str"/>
      <x:c r="H117" s="137" t="str"/>
      <x:c r="I117" s="137" t="str"/>
      <x:c r="J117" s="137" t="str"/>
      <x:c r="K117" s="137" t="str"/>
      <x:c r="L117" s="160" t="str"/>
      <x:c r="M117" s="160" t="str"/>
      <x:c r="N117" s="151" t="str"/>
      <x:c r="O117" s="151" t="str"/>
      <x:c r="P117" s="151" t="str"/>
      <x:c r="Q117" s="151" t="str"/>
      <x:c r="R117" s="151" t="str"/>
      <x:c r="S117" s="151" t="str"/>
      <x:c r="T117" s="152" t="n">
        <x:f>IF(COUNTA(O117:S117)=0,"",MAX(0,IF(O117="",0,O117)+IF(P117="",0,P117)-IF(Q117="",0,Q117)-IF(R117="",0,R117)))</x:f>
        <x:v>0</x:v>
      </x:c>
      <x:c r="U117" s="152" t="str">
        <x:f>IF(OR(N117="",Q117=""),"",Q117-N117)</x:f>
      </x:c>
      <x:c r="V117" s="202" t="str">
        <x:f>IFERROR(Q117/N117,"")</x:f>
      </x:c>
      <x:c r="W117" s="137" t="str"/>
      <x:c r="X117" s="137" t="str"/>
      <x:c r="Y117" s="137" t="str"/>
      <x:c r="Z117" s="137" t="str"/>
      <x:c r="AA117" s="137" t="str"/>
      <x:c r="AB117" s="137" t="str"/>
      <x:c r="AC117" s="137" t="str"/>
      <x:c r="AD117" s="199" t="str"/>
    </x:row>
    <x:row r="118">
      <x:c r="A118" s="137" t="str"/>
      <x:c r="B118" s="138" t="str"/>
      <x:c r="C118" s="137" t="str"/>
      <x:c r="D118" s="137" t="str"/>
      <x:c r="E118" s="137" t="str"/>
      <x:c r="F118" s="137" t="str"/>
      <x:c r="G118" s="137" t="str"/>
      <x:c r="H118" s="137" t="str"/>
      <x:c r="I118" s="137" t="str"/>
      <x:c r="J118" s="137" t="str"/>
      <x:c r="K118" s="137" t="str"/>
      <x:c r="L118" s="160" t="str"/>
      <x:c r="M118" s="160" t="str"/>
      <x:c r="N118" s="151" t="str"/>
      <x:c r="O118" s="151" t="str"/>
      <x:c r="P118" s="151" t="str"/>
      <x:c r="Q118" s="151" t="str"/>
      <x:c r="R118" s="151" t="str"/>
      <x:c r="S118" s="151" t="str"/>
      <x:c r="T118" s="152" t="n">
        <x:f>IF(COUNTA(O118:S118)=0,"",MAX(0,IF(O118="",0,O118)+IF(P118="",0,P118)-IF(Q118="",0,Q118)-IF(R118="",0,R118)))</x:f>
        <x:v>0</x:v>
      </x:c>
      <x:c r="U118" s="152" t="str">
        <x:f>IF(OR(N118="",Q118=""),"",Q118-N118)</x:f>
      </x:c>
      <x:c r="V118" s="202" t="str">
        <x:f>IFERROR(Q118/N118,"")</x:f>
      </x:c>
      <x:c r="W118" s="137" t="str"/>
      <x:c r="X118" s="137" t="str"/>
      <x:c r="Y118" s="137" t="str"/>
      <x:c r="Z118" s="137" t="str"/>
      <x:c r="AA118" s="137" t="str"/>
      <x:c r="AB118" s="137" t="str"/>
      <x:c r="AC118" s="137" t="str"/>
      <x:c r="AD118" s="199" t="str"/>
    </x:row>
    <x:row r="119">
      <x:c r="A119" s="137" t="str"/>
      <x:c r="B119" s="138" t="str"/>
      <x:c r="C119" s="137" t="str"/>
      <x:c r="D119" s="137" t="str"/>
      <x:c r="E119" s="137" t="str"/>
      <x:c r="F119" s="137" t="str"/>
      <x:c r="G119" s="137" t="str"/>
      <x:c r="H119" s="137" t="str"/>
      <x:c r="I119" s="137" t="str"/>
      <x:c r="J119" s="137" t="str"/>
      <x:c r="K119" s="137" t="str"/>
      <x:c r="L119" s="160" t="str"/>
      <x:c r="M119" s="160" t="str"/>
      <x:c r="N119" s="151" t="str"/>
      <x:c r="O119" s="151" t="str"/>
      <x:c r="P119" s="151" t="str"/>
      <x:c r="Q119" s="151" t="str"/>
      <x:c r="R119" s="151" t="str"/>
      <x:c r="S119" s="151" t="str"/>
      <x:c r="T119" s="152" t="n">
        <x:f>IF(COUNTA(O119:S119)=0,"",MAX(0,IF(O119="",0,O119)+IF(P119="",0,P119)-IF(Q119="",0,Q119)-IF(R119="",0,R119)))</x:f>
        <x:v>0</x:v>
      </x:c>
      <x:c r="U119" s="152" t="str">
        <x:f>IF(OR(N119="",Q119=""),"",Q119-N119)</x:f>
      </x:c>
      <x:c r="V119" s="202" t="str">
        <x:f>IFERROR(Q119/N119,"")</x:f>
      </x:c>
      <x:c r="W119" s="137" t="str"/>
      <x:c r="X119" s="137" t="str"/>
      <x:c r="Y119" s="137" t="str"/>
      <x:c r="Z119" s="137" t="str"/>
      <x:c r="AA119" s="137" t="str"/>
      <x:c r="AB119" s="137" t="str"/>
      <x:c r="AC119" s="137" t="str"/>
      <x:c r="AD119" s="199" t="str"/>
    </x:row>
    <x:row r="120">
      <x:c r="A120" s="137" t="str"/>
      <x:c r="B120" s="138" t="str"/>
      <x:c r="C120" s="137" t="str"/>
      <x:c r="D120" s="137" t="str"/>
      <x:c r="E120" s="137" t="str"/>
      <x:c r="F120" s="137" t="str"/>
      <x:c r="G120" s="137" t="str"/>
      <x:c r="H120" s="137" t="str"/>
      <x:c r="I120" s="137" t="str"/>
      <x:c r="J120" s="137" t="str"/>
      <x:c r="K120" s="137" t="str"/>
      <x:c r="L120" s="160" t="str"/>
      <x:c r="M120" s="160" t="str"/>
      <x:c r="N120" s="151" t="str"/>
      <x:c r="O120" s="151" t="str"/>
      <x:c r="P120" s="151" t="str"/>
      <x:c r="Q120" s="151" t="str"/>
      <x:c r="R120" s="151" t="str"/>
      <x:c r="S120" s="151" t="str"/>
      <x:c r="T120" s="152" t="n">
        <x:f>IF(COUNTA(O120:S120)=0,"",MAX(0,IF(O120="",0,O120)+IF(P120="",0,P120)-IF(Q120="",0,Q120)-IF(R120="",0,R120)))</x:f>
        <x:v>0</x:v>
      </x:c>
      <x:c r="U120" s="152" t="str">
        <x:f>IF(OR(N120="",Q120=""),"",Q120-N120)</x:f>
      </x:c>
      <x:c r="V120" s="202" t="str">
        <x:f>IFERROR(Q120/N120,"")</x:f>
      </x:c>
      <x:c r="W120" s="137" t="str"/>
      <x:c r="X120" s="137" t="str"/>
      <x:c r="Y120" s="137" t="str"/>
      <x:c r="Z120" s="137" t="str"/>
      <x:c r="AA120" s="137" t="str"/>
      <x:c r="AB120" s="137" t="str"/>
      <x:c r="AC120" s="137" t="str"/>
      <x:c r="AD120" s="199" t="str"/>
    </x:row>
    <x:row r="121">
      <x:c r="A121" s="137" t="str"/>
      <x:c r="B121" s="138" t="str"/>
      <x:c r="C121" s="137" t="str"/>
      <x:c r="D121" s="137" t="str"/>
      <x:c r="E121" s="137" t="str"/>
      <x:c r="F121" s="137" t="str"/>
      <x:c r="G121" s="137" t="str"/>
      <x:c r="H121" s="137" t="str"/>
      <x:c r="I121" s="137" t="str"/>
      <x:c r="J121" s="137" t="str"/>
      <x:c r="K121" s="137" t="str"/>
      <x:c r="L121" s="160" t="str"/>
      <x:c r="M121" s="160" t="str"/>
      <x:c r="N121" s="151" t="str"/>
      <x:c r="O121" s="151" t="str"/>
      <x:c r="P121" s="151" t="str"/>
      <x:c r="Q121" s="151" t="str"/>
      <x:c r="R121" s="151" t="str"/>
      <x:c r="S121" s="151" t="str"/>
      <x:c r="T121" s="152" t="n">
        <x:f>IF(COUNTA(O121:S121)=0,"",MAX(0,IF(O121="",0,O121)+IF(P121="",0,P121)-IF(Q121="",0,Q121)-IF(R121="",0,R121)))</x:f>
        <x:v>0</x:v>
      </x:c>
      <x:c r="U121" s="152" t="str">
        <x:f>IF(OR(N121="",Q121=""),"",Q121-N121)</x:f>
      </x:c>
      <x:c r="V121" s="202" t="str">
        <x:f>IFERROR(Q121/N121,"")</x:f>
      </x:c>
      <x:c r="W121" s="137" t="str"/>
      <x:c r="X121" s="137" t="str"/>
      <x:c r="Y121" s="137" t="str"/>
      <x:c r="Z121" s="137" t="str"/>
      <x:c r="AA121" s="137" t="str"/>
      <x:c r="AB121" s="137" t="str"/>
      <x:c r="AC121" s="137" t="str"/>
      <x:c r="AD121" s="199" t="str"/>
    </x:row>
    <x:row r="122">
      <x:c r="A122" s="137" t="str"/>
      <x:c r="B122" s="138" t="str"/>
      <x:c r="C122" s="137" t="str"/>
      <x:c r="D122" s="137" t="str"/>
      <x:c r="E122" s="137" t="str"/>
      <x:c r="F122" s="137" t="str"/>
      <x:c r="G122" s="137" t="str"/>
      <x:c r="H122" s="137" t="str"/>
      <x:c r="I122" s="137" t="str"/>
      <x:c r="J122" s="137" t="str"/>
      <x:c r="K122" s="137" t="str"/>
      <x:c r="L122" s="160" t="str"/>
      <x:c r="M122" s="160" t="str"/>
      <x:c r="N122" s="151" t="str"/>
      <x:c r="O122" s="151" t="str"/>
      <x:c r="P122" s="151" t="str"/>
      <x:c r="Q122" s="151" t="str"/>
      <x:c r="R122" s="151" t="str"/>
      <x:c r="S122" s="151" t="str"/>
      <x:c r="T122" s="152" t="n">
        <x:f>IF(COUNTA(O122:S122)=0,"",MAX(0,IF(O122="",0,O122)+IF(P122="",0,P122)-IF(Q122="",0,Q122)-IF(R122="",0,R122)))</x:f>
        <x:v>0</x:v>
      </x:c>
      <x:c r="U122" s="152" t="str">
        <x:f>IF(OR(N122="",Q122=""),"",Q122-N122)</x:f>
      </x:c>
      <x:c r="V122" s="202" t="str">
        <x:f>IFERROR(Q122/N122,"")</x:f>
      </x:c>
      <x:c r="W122" s="137" t="str"/>
      <x:c r="X122" s="137" t="str"/>
      <x:c r="Y122" s="137" t="str"/>
      <x:c r="Z122" s="137" t="str"/>
      <x:c r="AA122" s="137" t="str"/>
      <x:c r="AB122" s="137" t="str"/>
      <x:c r="AC122" s="137" t="str"/>
      <x:c r="AD122" s="199" t="str"/>
    </x:row>
    <x:row r="123">
      <x:c r="A123" s="137" t="str"/>
      <x:c r="B123" s="138" t="str"/>
      <x:c r="C123" s="137" t="str"/>
      <x:c r="D123" s="137" t="str"/>
      <x:c r="E123" s="137" t="str"/>
      <x:c r="F123" s="137" t="str"/>
      <x:c r="G123" s="137" t="str"/>
      <x:c r="H123" s="137" t="str"/>
      <x:c r="I123" s="137" t="str"/>
      <x:c r="J123" s="137" t="str"/>
      <x:c r="K123" s="137" t="str"/>
      <x:c r="L123" s="160" t="str"/>
      <x:c r="M123" s="160" t="str"/>
      <x:c r="N123" s="151" t="str"/>
      <x:c r="O123" s="151" t="str"/>
      <x:c r="P123" s="151" t="str"/>
      <x:c r="Q123" s="151" t="str"/>
      <x:c r="R123" s="151" t="str"/>
      <x:c r="S123" s="151" t="str"/>
      <x:c r="T123" s="152" t="n">
        <x:f>IF(COUNTA(O123:S123)=0,"",MAX(0,IF(O123="",0,O123)+IF(P123="",0,P123)-IF(Q123="",0,Q123)-IF(R123="",0,R123)))</x:f>
        <x:v>0</x:v>
      </x:c>
      <x:c r="U123" s="152" t="str">
        <x:f>IF(OR(N123="",Q123=""),"",Q123-N123)</x:f>
      </x:c>
      <x:c r="V123" s="202" t="str">
        <x:f>IFERROR(Q123/N123,"")</x:f>
      </x:c>
      <x:c r="W123" s="137" t="str"/>
      <x:c r="X123" s="137" t="str"/>
      <x:c r="Y123" s="137" t="str"/>
      <x:c r="Z123" s="137" t="str"/>
      <x:c r="AA123" s="137" t="str"/>
      <x:c r="AB123" s="137" t="str"/>
      <x:c r="AC123" s="137" t="str"/>
      <x:c r="AD123" s="199" t="str"/>
    </x:row>
    <x:row r="124">
      <x:c r="A124" s="137" t="str"/>
      <x:c r="B124" s="138" t="str"/>
      <x:c r="C124" s="137" t="str"/>
      <x:c r="D124" s="137" t="str"/>
      <x:c r="E124" s="137" t="str"/>
      <x:c r="F124" s="137" t="str"/>
      <x:c r="G124" s="137" t="str"/>
      <x:c r="H124" s="137" t="str"/>
      <x:c r="I124" s="137" t="str"/>
      <x:c r="J124" s="137" t="str"/>
      <x:c r="K124" s="137" t="str"/>
      <x:c r="L124" s="160" t="str"/>
      <x:c r="M124" s="160" t="str"/>
      <x:c r="N124" s="151" t="str"/>
      <x:c r="O124" s="151" t="str"/>
      <x:c r="P124" s="151" t="str"/>
      <x:c r="Q124" s="151" t="str"/>
      <x:c r="R124" s="151" t="str"/>
      <x:c r="S124" s="151" t="str"/>
      <x:c r="T124" s="152" t="n">
        <x:f>IF(COUNTA(O124:S124)=0,"",MAX(0,IF(O124="",0,O124)+IF(P124="",0,P124)-IF(Q124="",0,Q124)-IF(R124="",0,R124)))</x:f>
        <x:v>0</x:v>
      </x:c>
      <x:c r="U124" s="152" t="str">
        <x:f>IF(OR(N124="",Q124=""),"",Q124-N124)</x:f>
      </x:c>
      <x:c r="V124" s="202" t="str">
        <x:f>IFERROR(Q124/N124,"")</x:f>
      </x:c>
      <x:c r="W124" s="137" t="str"/>
      <x:c r="X124" s="137" t="str"/>
      <x:c r="Y124" s="137" t="str"/>
      <x:c r="Z124" s="137" t="str"/>
      <x:c r="AA124" s="137" t="str"/>
      <x:c r="AB124" s="137" t="str"/>
      <x:c r="AC124" s="137" t="str"/>
      <x:c r="AD124" s="199" t="str"/>
    </x:row>
    <x:row r="125">
      <x:c r="A125" s="137" t="str"/>
      <x:c r="B125" s="138" t="str"/>
      <x:c r="C125" s="137" t="str"/>
      <x:c r="D125" s="137" t="str"/>
      <x:c r="E125" s="137" t="str"/>
      <x:c r="F125" s="137" t="str"/>
      <x:c r="G125" s="137" t="str"/>
      <x:c r="H125" s="137" t="str"/>
      <x:c r="I125" s="137" t="str"/>
      <x:c r="J125" s="137" t="str"/>
      <x:c r="K125" s="137" t="str"/>
      <x:c r="L125" s="160" t="str"/>
      <x:c r="M125" s="160" t="str"/>
      <x:c r="N125" s="151" t="str"/>
      <x:c r="O125" s="151" t="str"/>
      <x:c r="P125" s="151" t="str"/>
      <x:c r="Q125" s="151" t="str"/>
      <x:c r="R125" s="151" t="str"/>
      <x:c r="S125" s="151" t="str"/>
      <x:c r="T125" s="152" t="n">
        <x:f>IF(COUNTA(O125:S125)=0,"",MAX(0,IF(O125="",0,O125)+IF(P125="",0,P125)-IF(Q125="",0,Q125)-IF(R125="",0,R125)))</x:f>
        <x:v>0</x:v>
      </x:c>
      <x:c r="U125" s="152" t="str">
        <x:f>IF(OR(N125="",Q125=""),"",Q125-N125)</x:f>
      </x:c>
      <x:c r="V125" s="202" t="str">
        <x:f>IFERROR(Q125/N125,"")</x:f>
      </x:c>
      <x:c r="W125" s="137" t="str"/>
      <x:c r="X125" s="137" t="str"/>
      <x:c r="Y125" s="137" t="str"/>
      <x:c r="Z125" s="137" t="str"/>
      <x:c r="AA125" s="137" t="str"/>
      <x:c r="AB125" s="137" t="str"/>
      <x:c r="AC125" s="137" t="str"/>
      <x:c r="AD125" s="199" t="str"/>
    </x:row>
    <x:row r="126">
      <x:c r="A126" s="137" t="str"/>
      <x:c r="B126" s="138" t="str"/>
      <x:c r="C126" s="137" t="str"/>
      <x:c r="D126" s="137" t="str"/>
      <x:c r="E126" s="137" t="str"/>
      <x:c r="F126" s="137" t="str"/>
      <x:c r="G126" s="137" t="str"/>
      <x:c r="H126" s="137" t="str"/>
      <x:c r="I126" s="137" t="str"/>
      <x:c r="J126" s="137" t="str"/>
      <x:c r="K126" s="137" t="str"/>
      <x:c r="L126" s="160" t="str"/>
      <x:c r="M126" s="160" t="str"/>
      <x:c r="N126" s="151" t="str"/>
      <x:c r="O126" s="151" t="str"/>
      <x:c r="P126" s="151" t="str"/>
      <x:c r="Q126" s="151" t="str"/>
      <x:c r="R126" s="151" t="str"/>
      <x:c r="S126" s="151" t="str"/>
      <x:c r="T126" s="152" t="n">
        <x:f>IF(COUNTA(O126:S126)=0,"",MAX(0,IF(O126="",0,O126)+IF(P126="",0,P126)-IF(Q126="",0,Q126)-IF(R126="",0,R126)))</x:f>
        <x:v>0</x:v>
      </x:c>
      <x:c r="U126" s="152" t="str">
        <x:f>IF(OR(N126="",Q126=""),"",Q126-N126)</x:f>
      </x:c>
      <x:c r="V126" s="202" t="str">
        <x:f>IFERROR(Q126/N126,"")</x:f>
      </x:c>
      <x:c r="W126" s="137" t="str"/>
      <x:c r="X126" s="137" t="str"/>
      <x:c r="Y126" s="137" t="str"/>
      <x:c r="Z126" s="137" t="str"/>
      <x:c r="AA126" s="137" t="str"/>
      <x:c r="AB126" s="137" t="str"/>
      <x:c r="AC126" s="137" t="str"/>
      <x:c r="AD126" s="199" t="str"/>
    </x:row>
    <x:row r="127">
      <x:c r="A127" s="137" t="str"/>
      <x:c r="B127" s="138" t="str"/>
      <x:c r="C127" s="137" t="str"/>
      <x:c r="D127" s="137" t="str"/>
      <x:c r="E127" s="137" t="str"/>
      <x:c r="F127" s="137" t="str"/>
      <x:c r="G127" s="137" t="str"/>
      <x:c r="H127" s="137" t="str"/>
      <x:c r="I127" s="137" t="str"/>
      <x:c r="J127" s="137" t="str"/>
      <x:c r="K127" s="137" t="str"/>
      <x:c r="L127" s="160" t="str"/>
      <x:c r="M127" s="160" t="str"/>
      <x:c r="N127" s="151" t="str"/>
      <x:c r="O127" s="151" t="str"/>
      <x:c r="P127" s="151" t="str"/>
      <x:c r="Q127" s="151" t="str"/>
      <x:c r="R127" s="151" t="str"/>
      <x:c r="S127" s="151" t="str"/>
      <x:c r="T127" s="152" t="n">
        <x:f>IF(COUNTA(O127:S127)=0,"",MAX(0,IF(O127="",0,O127)+IF(P127="",0,P127)-IF(Q127="",0,Q127)-IF(R127="",0,R127)))</x:f>
        <x:v>0</x:v>
      </x:c>
      <x:c r="U127" s="152" t="str">
        <x:f>IF(OR(N127="",Q127=""),"",Q127-N127)</x:f>
      </x:c>
      <x:c r="V127" s="202" t="str">
        <x:f>IFERROR(Q127/N127,"")</x:f>
      </x:c>
      <x:c r="W127" s="137" t="str"/>
      <x:c r="X127" s="137" t="str"/>
      <x:c r="Y127" s="137" t="str"/>
      <x:c r="Z127" s="137" t="str"/>
      <x:c r="AA127" s="137" t="str"/>
      <x:c r="AB127" s="137" t="str"/>
      <x:c r="AC127" s="137" t="str"/>
      <x:c r="AD127" s="199" t="str"/>
    </x:row>
    <x:row r="128">
      <x:c r="A128" s="137" t="str"/>
      <x:c r="B128" s="138" t="str"/>
      <x:c r="C128" s="137" t="str"/>
      <x:c r="D128" s="137" t="str"/>
      <x:c r="E128" s="137" t="str"/>
      <x:c r="F128" s="137" t="str"/>
      <x:c r="G128" s="137" t="str"/>
      <x:c r="H128" s="137" t="str"/>
      <x:c r="I128" s="137" t="str"/>
      <x:c r="J128" s="137" t="str"/>
      <x:c r="K128" s="137" t="str"/>
      <x:c r="L128" s="160" t="str"/>
      <x:c r="M128" s="160" t="str"/>
      <x:c r="N128" s="151" t="str"/>
      <x:c r="O128" s="151" t="str"/>
      <x:c r="P128" s="151" t="str"/>
      <x:c r="Q128" s="151" t="str"/>
      <x:c r="R128" s="151" t="str"/>
      <x:c r="S128" s="151" t="str"/>
      <x:c r="T128" s="152" t="n">
        <x:f>IF(COUNTA(O128:S128)=0,"",MAX(0,IF(O128="",0,O128)+IF(P128="",0,P128)-IF(Q128="",0,Q128)-IF(R128="",0,R128)))</x:f>
        <x:v>0</x:v>
      </x:c>
      <x:c r="U128" s="152" t="str">
        <x:f>IF(OR(N128="",Q128=""),"",Q128-N128)</x:f>
      </x:c>
      <x:c r="V128" s="202" t="str">
        <x:f>IFERROR(Q128/N128,"")</x:f>
      </x:c>
      <x:c r="W128" s="137" t="str"/>
      <x:c r="X128" s="137" t="str"/>
      <x:c r="Y128" s="137" t="str"/>
      <x:c r="Z128" s="137" t="str"/>
      <x:c r="AA128" s="137" t="str"/>
      <x:c r="AB128" s="137" t="str"/>
      <x:c r="AC128" s="137" t="str"/>
      <x:c r="AD128" s="199" t="str"/>
    </x:row>
    <x:row r="129">
      <x:c r="A129" s="137" t="str"/>
      <x:c r="B129" s="138" t="str"/>
      <x:c r="C129" s="137" t="str"/>
      <x:c r="D129" s="137" t="str"/>
      <x:c r="E129" s="137" t="str"/>
      <x:c r="F129" s="137" t="str"/>
      <x:c r="G129" s="137" t="str"/>
      <x:c r="H129" s="137" t="str"/>
      <x:c r="I129" s="137" t="str"/>
      <x:c r="J129" s="137" t="str"/>
      <x:c r="K129" s="137" t="str"/>
      <x:c r="L129" s="160" t="str"/>
      <x:c r="M129" s="160" t="str"/>
      <x:c r="N129" s="151" t="str"/>
      <x:c r="O129" s="151" t="str"/>
      <x:c r="P129" s="151" t="str"/>
      <x:c r="Q129" s="151" t="str"/>
      <x:c r="R129" s="151" t="str"/>
      <x:c r="S129" s="151" t="str"/>
      <x:c r="T129" s="152" t="n">
        <x:f>IF(COUNTA(O129:S129)=0,"",MAX(0,IF(O129="",0,O129)+IF(P129="",0,P129)-IF(Q129="",0,Q129)-IF(R129="",0,R129)))</x:f>
        <x:v>0</x:v>
      </x:c>
      <x:c r="U129" s="152" t="str">
        <x:f>IF(OR(N129="",Q129=""),"",Q129-N129)</x:f>
      </x:c>
      <x:c r="V129" s="202" t="str">
        <x:f>IFERROR(Q129/N129,"")</x:f>
      </x:c>
      <x:c r="W129" s="137" t="str"/>
      <x:c r="X129" s="137" t="str"/>
      <x:c r="Y129" s="137" t="str"/>
      <x:c r="Z129" s="137" t="str"/>
      <x:c r="AA129" s="137" t="str"/>
      <x:c r="AB129" s="137" t="str"/>
      <x:c r="AC129" s="137" t="str"/>
      <x:c r="AD129" s="199" t="str"/>
    </x:row>
    <x:row r="130">
      <x:c r="A130" s="137" t="str"/>
      <x:c r="B130" s="138" t="str"/>
      <x:c r="C130" s="137" t="str"/>
      <x:c r="D130" s="137" t="str"/>
      <x:c r="E130" s="137" t="str"/>
      <x:c r="F130" s="137" t="str"/>
      <x:c r="G130" s="137" t="str"/>
      <x:c r="H130" s="137" t="str"/>
      <x:c r="I130" s="137" t="str"/>
      <x:c r="J130" s="137" t="str"/>
      <x:c r="K130" s="137" t="str"/>
      <x:c r="L130" s="160" t="str"/>
      <x:c r="M130" s="160" t="str"/>
      <x:c r="N130" s="151" t="str"/>
      <x:c r="O130" s="151" t="str"/>
      <x:c r="P130" s="151" t="str"/>
      <x:c r="Q130" s="151" t="str"/>
      <x:c r="R130" s="151" t="str"/>
      <x:c r="S130" s="151" t="str"/>
      <x:c r="T130" s="152" t="n">
        <x:f>IF(COUNTA(O130:S130)=0,"",MAX(0,IF(O130="",0,O130)+IF(P130="",0,P130)-IF(Q130="",0,Q130)-IF(R130="",0,R130)))</x:f>
        <x:v>0</x:v>
      </x:c>
      <x:c r="U130" s="152" t="str">
        <x:f>IF(OR(N130="",Q130=""),"",Q130-N130)</x:f>
      </x:c>
      <x:c r="V130" s="202" t="str">
        <x:f>IFERROR(Q130/N130,"")</x:f>
      </x:c>
      <x:c r="W130" s="137" t="str"/>
      <x:c r="X130" s="137" t="str"/>
      <x:c r="Y130" s="137" t="str"/>
      <x:c r="Z130" s="137" t="str"/>
      <x:c r="AA130" s="137" t="str"/>
      <x:c r="AB130" s="137" t="str"/>
      <x:c r="AC130" s="137" t="str"/>
      <x:c r="AD130" s="199" t="str"/>
    </x:row>
    <x:row r="131">
      <x:c r="A131" s="137" t="str"/>
      <x:c r="B131" s="138" t="str"/>
      <x:c r="C131" s="137" t="str"/>
      <x:c r="D131" s="137" t="str"/>
      <x:c r="E131" s="137" t="str"/>
      <x:c r="F131" s="137" t="str"/>
      <x:c r="G131" s="137" t="str"/>
      <x:c r="H131" s="137" t="str"/>
      <x:c r="I131" s="137" t="str"/>
      <x:c r="J131" s="137" t="str"/>
      <x:c r="K131" s="137" t="str"/>
      <x:c r="L131" s="160" t="str"/>
      <x:c r="M131" s="160" t="str"/>
      <x:c r="N131" s="151" t="str"/>
      <x:c r="O131" s="151" t="str"/>
      <x:c r="P131" s="151" t="str"/>
      <x:c r="Q131" s="151" t="str"/>
      <x:c r="R131" s="151" t="str"/>
      <x:c r="S131" s="151" t="str"/>
      <x:c r="T131" s="152" t="n">
        <x:f>IF(COUNTA(O131:S131)=0,"",MAX(0,IF(O131="",0,O131)+IF(P131="",0,P131)-IF(Q131="",0,Q131)-IF(R131="",0,R131)))</x:f>
        <x:v>0</x:v>
      </x:c>
      <x:c r="U131" s="152" t="str">
        <x:f>IF(OR(N131="",Q131=""),"",Q131-N131)</x:f>
      </x:c>
      <x:c r="V131" s="202" t="str">
        <x:f>IFERROR(Q131/N131,"")</x:f>
      </x:c>
      <x:c r="W131" s="137" t="str"/>
      <x:c r="X131" s="137" t="str"/>
      <x:c r="Y131" s="137" t="str"/>
      <x:c r="Z131" s="137" t="str"/>
      <x:c r="AA131" s="137" t="str"/>
      <x:c r="AB131" s="137" t="str"/>
      <x:c r="AC131" s="137" t="str"/>
      <x:c r="AD131" s="199" t="str"/>
    </x:row>
    <x:row r="132">
      <x:c r="A132" s="137" t="str"/>
      <x:c r="B132" s="138" t="str"/>
      <x:c r="C132" s="137" t="str"/>
      <x:c r="D132" s="137" t="str"/>
      <x:c r="E132" s="137" t="str"/>
      <x:c r="F132" s="137" t="str"/>
      <x:c r="G132" s="137" t="str"/>
      <x:c r="H132" s="137" t="str"/>
      <x:c r="I132" s="137" t="str"/>
      <x:c r="J132" s="137" t="str"/>
      <x:c r="K132" s="137" t="str"/>
      <x:c r="L132" s="160" t="str"/>
      <x:c r="M132" s="160" t="str"/>
      <x:c r="N132" s="151" t="str"/>
      <x:c r="O132" s="151" t="str"/>
      <x:c r="P132" s="151" t="str"/>
      <x:c r="Q132" s="151" t="str"/>
      <x:c r="R132" s="151" t="str"/>
      <x:c r="S132" s="151" t="str"/>
      <x:c r="T132" s="152" t="n">
        <x:f>IF(COUNTA(O132:S132)=0,"",MAX(0,IF(O132="",0,O132)+IF(P132="",0,P132)-IF(Q132="",0,Q132)-IF(R132="",0,R132)))</x:f>
        <x:v>0</x:v>
      </x:c>
      <x:c r="U132" s="152" t="str">
        <x:f>IF(OR(N132="",Q132=""),"",Q132-N132)</x:f>
      </x:c>
      <x:c r="V132" s="202" t="str">
        <x:f>IFERROR(Q132/N132,"")</x:f>
      </x:c>
      <x:c r="W132" s="137" t="str"/>
      <x:c r="X132" s="137" t="str"/>
      <x:c r="Y132" s="137" t="str"/>
      <x:c r="Z132" s="137" t="str"/>
      <x:c r="AA132" s="137" t="str"/>
      <x:c r="AB132" s="137" t="str"/>
      <x:c r="AC132" s="137" t="str"/>
      <x:c r="AD132" s="199" t="str"/>
    </x:row>
    <x:row r="133">
      <x:c r="A133" s="137" t="str"/>
      <x:c r="B133" s="138" t="str"/>
      <x:c r="C133" s="137" t="str"/>
      <x:c r="D133" s="137" t="str"/>
      <x:c r="E133" s="137" t="str"/>
      <x:c r="F133" s="137" t="str"/>
      <x:c r="G133" s="137" t="str"/>
      <x:c r="H133" s="137" t="str"/>
      <x:c r="I133" s="137" t="str"/>
      <x:c r="J133" s="137" t="str"/>
      <x:c r="K133" s="137" t="str"/>
      <x:c r="L133" s="160" t="str"/>
      <x:c r="M133" s="160" t="str"/>
      <x:c r="N133" s="151" t="str"/>
      <x:c r="O133" s="151" t="str"/>
      <x:c r="P133" s="151" t="str"/>
      <x:c r="Q133" s="151" t="str"/>
      <x:c r="R133" s="151" t="str"/>
      <x:c r="S133" s="151" t="str"/>
      <x:c r="T133" s="152" t="n">
        <x:f>IF(COUNTA(O133:S133)=0,"",MAX(0,IF(O133="",0,O133)+IF(P133="",0,P133)-IF(Q133="",0,Q133)-IF(R133="",0,R133)))</x:f>
        <x:v>0</x:v>
      </x:c>
      <x:c r="U133" s="152" t="str">
        <x:f>IF(OR(N133="",Q133=""),"",Q133-N133)</x:f>
      </x:c>
      <x:c r="V133" s="202" t="str">
        <x:f>IFERROR(Q133/N133,"")</x:f>
      </x:c>
      <x:c r="W133" s="137" t="str"/>
      <x:c r="X133" s="137" t="str"/>
      <x:c r="Y133" s="137" t="str"/>
      <x:c r="Z133" s="137" t="str"/>
      <x:c r="AA133" s="137" t="str"/>
      <x:c r="AB133" s="137" t="str"/>
      <x:c r="AC133" s="137" t="str"/>
      <x:c r="AD133" s="199" t="str"/>
    </x:row>
    <x:row r="134">
      <x:c r="A134" s="137" t="str"/>
      <x:c r="B134" s="138" t="str"/>
      <x:c r="C134" s="137" t="str"/>
      <x:c r="D134" s="137" t="str"/>
      <x:c r="E134" s="137" t="str"/>
      <x:c r="F134" s="137" t="str"/>
      <x:c r="G134" s="137" t="str"/>
      <x:c r="H134" s="137" t="str"/>
      <x:c r="I134" s="137" t="str"/>
      <x:c r="J134" s="137" t="str"/>
      <x:c r="K134" s="137" t="str"/>
      <x:c r="L134" s="160" t="str"/>
      <x:c r="M134" s="160" t="str"/>
      <x:c r="N134" s="151" t="str"/>
      <x:c r="O134" s="151" t="str"/>
      <x:c r="P134" s="151" t="str"/>
      <x:c r="Q134" s="151" t="str"/>
      <x:c r="R134" s="151" t="str"/>
      <x:c r="S134" s="151" t="str"/>
      <x:c r="T134" s="152" t="n">
        <x:f>IF(COUNTA(O134:S134)=0,"",MAX(0,IF(O134="",0,O134)+IF(P134="",0,P134)-IF(Q134="",0,Q134)-IF(R134="",0,R134)))</x:f>
        <x:v>0</x:v>
      </x:c>
      <x:c r="U134" s="152" t="str">
        <x:f>IF(OR(N134="",Q134=""),"",Q134-N134)</x:f>
      </x:c>
      <x:c r="V134" s="202" t="str">
        <x:f>IFERROR(Q134/N134,"")</x:f>
      </x:c>
      <x:c r="W134" s="137" t="str"/>
      <x:c r="X134" s="137" t="str"/>
      <x:c r="Y134" s="137" t="str"/>
      <x:c r="Z134" s="137" t="str"/>
      <x:c r="AA134" s="137" t="str"/>
      <x:c r="AB134" s="137" t="str"/>
      <x:c r="AC134" s="137" t="str"/>
      <x:c r="AD134" s="199" t="str"/>
    </x:row>
    <x:row r="135">
      <x:c r="A135" s="137" t="str"/>
      <x:c r="B135" s="138" t="str"/>
      <x:c r="C135" s="137" t="str"/>
      <x:c r="D135" s="137" t="str"/>
      <x:c r="E135" s="137" t="str"/>
      <x:c r="F135" s="137" t="str"/>
      <x:c r="G135" s="137" t="str"/>
      <x:c r="H135" s="137" t="str"/>
      <x:c r="I135" s="137" t="str"/>
      <x:c r="J135" s="137" t="str"/>
      <x:c r="K135" s="137" t="str"/>
      <x:c r="L135" s="160" t="str"/>
      <x:c r="M135" s="160" t="str"/>
      <x:c r="N135" s="151" t="str"/>
      <x:c r="O135" s="151" t="str"/>
      <x:c r="P135" s="151" t="str"/>
      <x:c r="Q135" s="151" t="str"/>
      <x:c r="R135" s="151" t="str"/>
      <x:c r="S135" s="151" t="str"/>
      <x:c r="T135" s="152" t="n">
        <x:f>IF(COUNTA(O135:S135)=0,"",MAX(0,IF(O135="",0,O135)+IF(P135="",0,P135)-IF(Q135="",0,Q135)-IF(R135="",0,R135)))</x:f>
        <x:v>0</x:v>
      </x:c>
      <x:c r="U135" s="152" t="str">
        <x:f>IF(OR(N135="",Q135=""),"",Q135-N135)</x:f>
      </x:c>
      <x:c r="V135" s="202" t="str">
        <x:f>IFERROR(Q135/N135,"")</x:f>
      </x:c>
      <x:c r="W135" s="137" t="str"/>
      <x:c r="X135" s="137" t="str"/>
      <x:c r="Y135" s="137" t="str"/>
      <x:c r="Z135" s="137" t="str"/>
      <x:c r="AA135" s="137" t="str"/>
      <x:c r="AB135" s="137" t="str"/>
      <x:c r="AC135" s="137" t="str"/>
      <x:c r="AD135" s="199" t="str"/>
    </x:row>
    <x:row r="136">
      <x:c r="A136" s="137" t="str"/>
      <x:c r="B136" s="138" t="str"/>
      <x:c r="C136" s="137" t="str"/>
      <x:c r="D136" s="137" t="str"/>
      <x:c r="E136" s="137" t="str"/>
      <x:c r="F136" s="137" t="str"/>
      <x:c r="G136" s="137" t="str"/>
      <x:c r="H136" s="137" t="str"/>
      <x:c r="I136" s="137" t="str"/>
      <x:c r="J136" s="137" t="str"/>
      <x:c r="K136" s="137" t="str"/>
      <x:c r="L136" s="160" t="str"/>
      <x:c r="M136" s="160" t="str"/>
      <x:c r="N136" s="151" t="str"/>
      <x:c r="O136" s="151" t="str"/>
      <x:c r="P136" s="151" t="str"/>
      <x:c r="Q136" s="151" t="str"/>
      <x:c r="R136" s="151" t="str"/>
      <x:c r="S136" s="151" t="str"/>
      <x:c r="T136" s="152" t="n">
        <x:f>IF(COUNTA(O136:S136)=0,"",MAX(0,IF(O136="",0,O136)+IF(P136="",0,P136)-IF(Q136="",0,Q136)-IF(R136="",0,R136)))</x:f>
        <x:v>0</x:v>
      </x:c>
      <x:c r="U136" s="152" t="str">
        <x:f>IF(OR(N136="",Q136=""),"",Q136-N136)</x:f>
      </x:c>
      <x:c r="V136" s="202" t="str">
        <x:f>IFERROR(Q136/N136,"")</x:f>
      </x:c>
      <x:c r="W136" s="137" t="str"/>
      <x:c r="X136" s="137" t="str"/>
      <x:c r="Y136" s="137" t="str"/>
      <x:c r="Z136" s="137" t="str"/>
      <x:c r="AA136" s="137" t="str"/>
      <x:c r="AB136" s="137" t="str"/>
      <x:c r="AC136" s="137" t="str"/>
      <x:c r="AD136" s="199" t="str"/>
    </x:row>
    <x:row r="137">
      <x:c r="A137" s="137" t="str"/>
      <x:c r="B137" s="138" t="str"/>
      <x:c r="C137" s="137" t="str"/>
      <x:c r="D137" s="137" t="str"/>
      <x:c r="E137" s="137" t="str"/>
      <x:c r="F137" s="137" t="str"/>
      <x:c r="G137" s="137" t="str"/>
      <x:c r="H137" s="137" t="str"/>
      <x:c r="I137" s="137" t="str"/>
      <x:c r="J137" s="137" t="str"/>
      <x:c r="K137" s="137" t="str"/>
      <x:c r="L137" s="160" t="str"/>
      <x:c r="M137" s="160" t="str"/>
      <x:c r="N137" s="151" t="str"/>
      <x:c r="O137" s="151" t="str"/>
      <x:c r="P137" s="151" t="str"/>
      <x:c r="Q137" s="151" t="str"/>
      <x:c r="R137" s="151" t="str"/>
      <x:c r="S137" s="151" t="str"/>
      <x:c r="T137" s="152" t="n">
        <x:f>IF(COUNTA(O137:S137)=0,"",MAX(0,IF(O137="",0,O137)+IF(P137="",0,P137)-IF(Q137="",0,Q137)-IF(R137="",0,R137)))</x:f>
        <x:v>0</x:v>
      </x:c>
      <x:c r="U137" s="152" t="str">
        <x:f>IF(OR(N137="",Q137=""),"",Q137-N137)</x:f>
      </x:c>
      <x:c r="V137" s="202" t="str">
        <x:f>IFERROR(Q137/N137,"")</x:f>
      </x:c>
      <x:c r="W137" s="137" t="str"/>
      <x:c r="X137" s="137" t="str"/>
      <x:c r="Y137" s="137" t="str"/>
      <x:c r="Z137" s="137" t="str"/>
      <x:c r="AA137" s="137" t="str"/>
      <x:c r="AB137" s="137" t="str"/>
      <x:c r="AC137" s="137" t="str"/>
      <x:c r="AD137" s="199" t="str"/>
    </x:row>
    <x:row r="138">
      <x:c r="A138" s="137" t="str"/>
      <x:c r="B138" s="138" t="str"/>
      <x:c r="C138" s="137" t="str"/>
      <x:c r="D138" s="137" t="str"/>
      <x:c r="E138" s="137" t="str"/>
      <x:c r="F138" s="137" t="str"/>
      <x:c r="G138" s="137" t="str"/>
      <x:c r="H138" s="137" t="str"/>
      <x:c r="I138" s="137" t="str"/>
      <x:c r="J138" s="137" t="str"/>
      <x:c r="K138" s="137" t="str"/>
      <x:c r="L138" s="160" t="str"/>
      <x:c r="M138" s="160" t="str"/>
      <x:c r="N138" s="151" t="str"/>
      <x:c r="O138" s="151" t="str"/>
      <x:c r="P138" s="151" t="str"/>
      <x:c r="Q138" s="151" t="str"/>
      <x:c r="R138" s="151" t="str"/>
      <x:c r="S138" s="151" t="str"/>
      <x:c r="T138" s="152" t="n">
        <x:f>IF(COUNTA(O138:S138)=0,"",MAX(0,IF(O138="",0,O138)+IF(P138="",0,P138)-IF(Q138="",0,Q138)-IF(R138="",0,R138)))</x:f>
        <x:v>0</x:v>
      </x:c>
      <x:c r="U138" s="152" t="str">
        <x:f>IF(OR(N138="",Q138=""),"",Q138-N138)</x:f>
      </x:c>
      <x:c r="V138" s="202" t="str">
        <x:f>IFERROR(Q138/N138,"")</x:f>
      </x:c>
      <x:c r="W138" s="137" t="str"/>
      <x:c r="X138" s="137" t="str"/>
      <x:c r="Y138" s="137" t="str"/>
      <x:c r="Z138" s="137" t="str"/>
      <x:c r="AA138" s="137" t="str"/>
      <x:c r="AB138" s="137" t="str"/>
      <x:c r="AC138" s="137" t="str"/>
      <x:c r="AD138" s="199" t="str"/>
    </x:row>
    <x:row r="139">
      <x:c r="A139" s="137" t="str"/>
      <x:c r="B139" s="138" t="str"/>
      <x:c r="C139" s="137" t="str"/>
      <x:c r="D139" s="137" t="str"/>
      <x:c r="E139" s="137" t="str"/>
      <x:c r="F139" s="137" t="str"/>
      <x:c r="G139" s="137" t="str"/>
      <x:c r="H139" s="137" t="str"/>
      <x:c r="I139" s="137" t="str"/>
      <x:c r="J139" s="137" t="str"/>
      <x:c r="K139" s="137" t="str"/>
      <x:c r="L139" s="160" t="str"/>
      <x:c r="M139" s="160" t="str"/>
      <x:c r="N139" s="151" t="str"/>
      <x:c r="O139" s="151" t="str"/>
      <x:c r="P139" s="151" t="str"/>
      <x:c r="Q139" s="151" t="str"/>
      <x:c r="R139" s="151" t="str"/>
      <x:c r="S139" s="151" t="str"/>
      <x:c r="T139" s="152" t="n">
        <x:f>IF(COUNTA(O139:S139)=0,"",MAX(0,IF(O139="",0,O139)+IF(P139="",0,P139)-IF(Q139="",0,Q139)-IF(R139="",0,R139)))</x:f>
        <x:v>0</x:v>
      </x:c>
      <x:c r="U139" s="152" t="str">
        <x:f>IF(OR(N139="",Q139=""),"",Q139-N139)</x:f>
      </x:c>
      <x:c r="V139" s="202" t="str">
        <x:f>IFERROR(Q139/N139,"")</x:f>
      </x:c>
      <x:c r="W139" s="137" t="str"/>
      <x:c r="X139" s="137" t="str"/>
      <x:c r="Y139" s="137" t="str"/>
      <x:c r="Z139" s="137" t="str"/>
      <x:c r="AA139" s="137" t="str"/>
      <x:c r="AB139" s="137" t="str"/>
      <x:c r="AC139" s="137" t="str"/>
      <x:c r="AD139" s="199" t="str"/>
    </x:row>
    <x:row r="140">
      <x:c r="A140" s="137" t="str"/>
      <x:c r="B140" s="138" t="str"/>
      <x:c r="C140" s="137" t="str"/>
      <x:c r="D140" s="137" t="str"/>
      <x:c r="E140" s="137" t="str"/>
      <x:c r="F140" s="137" t="str"/>
      <x:c r="G140" s="137" t="str"/>
      <x:c r="H140" s="137" t="str"/>
      <x:c r="I140" s="137" t="str"/>
      <x:c r="J140" s="137" t="str"/>
      <x:c r="K140" s="137" t="str"/>
      <x:c r="L140" s="160" t="str"/>
      <x:c r="M140" s="160" t="str"/>
      <x:c r="N140" s="151" t="str"/>
      <x:c r="O140" s="151" t="str"/>
      <x:c r="P140" s="151" t="str"/>
      <x:c r="Q140" s="151" t="str"/>
      <x:c r="R140" s="151" t="str"/>
      <x:c r="S140" s="151" t="str"/>
      <x:c r="T140" s="152" t="n">
        <x:f>IF(COUNTA(O140:S140)=0,"",MAX(0,IF(O140="",0,O140)+IF(P140="",0,P140)-IF(Q140="",0,Q140)-IF(R140="",0,R140)))</x:f>
        <x:v>0</x:v>
      </x:c>
      <x:c r="U140" s="152" t="str">
        <x:f>IF(OR(N140="",Q140=""),"",Q140-N140)</x:f>
      </x:c>
      <x:c r="V140" s="202" t="str">
        <x:f>IFERROR(Q140/N140,"")</x:f>
      </x:c>
      <x:c r="W140" s="137" t="str"/>
      <x:c r="X140" s="137" t="str"/>
      <x:c r="Y140" s="137" t="str"/>
      <x:c r="Z140" s="137" t="str"/>
      <x:c r="AA140" s="137" t="str"/>
      <x:c r="AB140" s="137" t="str"/>
      <x:c r="AC140" s="137" t="str"/>
      <x:c r="AD140" s="199" t="str"/>
    </x:row>
    <x:row r="141">
      <x:c r="A141" s="137" t="str"/>
      <x:c r="B141" s="138" t="str"/>
      <x:c r="C141" s="137" t="str"/>
      <x:c r="D141" s="137" t="str"/>
      <x:c r="E141" s="137" t="str"/>
      <x:c r="F141" s="137" t="str"/>
      <x:c r="G141" s="137" t="str"/>
      <x:c r="H141" s="137" t="str"/>
      <x:c r="I141" s="137" t="str"/>
      <x:c r="J141" s="137" t="str"/>
      <x:c r="K141" s="137" t="str"/>
      <x:c r="L141" s="160" t="str"/>
      <x:c r="M141" s="160" t="str"/>
      <x:c r="N141" s="151" t="str"/>
      <x:c r="O141" s="151" t="str"/>
      <x:c r="P141" s="151" t="str"/>
      <x:c r="Q141" s="151" t="str"/>
      <x:c r="R141" s="151" t="str"/>
      <x:c r="S141" s="151" t="str"/>
      <x:c r="T141" s="152" t="n">
        <x:f>IF(COUNTA(O141:S141)=0,"",MAX(0,IF(O141="",0,O141)+IF(P141="",0,P141)-IF(Q141="",0,Q141)-IF(R141="",0,R141)))</x:f>
        <x:v>0</x:v>
      </x:c>
      <x:c r="U141" s="152" t="str">
        <x:f>IF(OR(N141="",Q141=""),"",Q141-N141)</x:f>
      </x:c>
      <x:c r="V141" s="202" t="str">
        <x:f>IFERROR(Q141/N141,"")</x:f>
      </x:c>
      <x:c r="W141" s="137" t="str"/>
      <x:c r="X141" s="137" t="str"/>
      <x:c r="Y141" s="137" t="str"/>
      <x:c r="Z141" s="137" t="str"/>
      <x:c r="AA141" s="137" t="str"/>
      <x:c r="AB141" s="137" t="str"/>
      <x:c r="AC141" s="137" t="str"/>
      <x:c r="AD141" s="199" t="str"/>
    </x:row>
    <x:row r="142">
      <x:c r="A142" s="137" t="str"/>
      <x:c r="B142" s="138" t="str"/>
      <x:c r="C142" s="137" t="str"/>
      <x:c r="D142" s="137" t="str"/>
      <x:c r="E142" s="137" t="str"/>
      <x:c r="F142" s="137" t="str"/>
      <x:c r="G142" s="137" t="str"/>
      <x:c r="H142" s="137" t="str"/>
      <x:c r="I142" s="137" t="str"/>
      <x:c r="J142" s="137" t="str"/>
      <x:c r="K142" s="137" t="str"/>
      <x:c r="L142" s="160" t="str"/>
      <x:c r="M142" s="160" t="str"/>
      <x:c r="N142" s="151" t="str"/>
      <x:c r="O142" s="151" t="str"/>
      <x:c r="P142" s="151" t="str"/>
      <x:c r="Q142" s="151" t="str"/>
      <x:c r="R142" s="151" t="str"/>
      <x:c r="S142" s="151" t="str"/>
      <x:c r="T142" s="152" t="n">
        <x:f>IF(COUNTA(O142:S142)=0,"",MAX(0,IF(O142="",0,O142)+IF(P142="",0,P142)-IF(Q142="",0,Q142)-IF(R142="",0,R142)))</x:f>
        <x:v>0</x:v>
      </x:c>
      <x:c r="U142" s="152" t="str">
        <x:f>IF(OR(N142="",Q142=""),"",Q142-N142)</x:f>
      </x:c>
      <x:c r="V142" s="202" t="str">
        <x:f>IFERROR(Q142/N142,"")</x:f>
      </x:c>
      <x:c r="W142" s="137" t="str"/>
      <x:c r="X142" s="137" t="str"/>
      <x:c r="Y142" s="137" t="str"/>
      <x:c r="Z142" s="137" t="str"/>
      <x:c r="AA142" s="137" t="str"/>
      <x:c r="AB142" s="137" t="str"/>
      <x:c r="AC142" s="137" t="str"/>
      <x:c r="AD142" s="199" t="str"/>
    </x:row>
    <x:row r="143">
      <x:c r="A143" s="137" t="str"/>
      <x:c r="B143" s="138" t="str"/>
      <x:c r="C143" s="137" t="str"/>
      <x:c r="D143" s="137" t="str"/>
      <x:c r="E143" s="137" t="str"/>
      <x:c r="F143" s="137" t="str"/>
      <x:c r="G143" s="137" t="str"/>
      <x:c r="H143" s="137" t="str"/>
      <x:c r="I143" s="137" t="str"/>
      <x:c r="J143" s="137" t="str"/>
      <x:c r="K143" s="137" t="str"/>
      <x:c r="L143" s="160" t="str"/>
      <x:c r="M143" s="160" t="str"/>
      <x:c r="N143" s="151" t="str"/>
      <x:c r="O143" s="151" t="str"/>
      <x:c r="P143" s="151" t="str"/>
      <x:c r="Q143" s="151" t="str"/>
      <x:c r="R143" s="151" t="str"/>
      <x:c r="S143" s="151" t="str"/>
      <x:c r="T143" s="152" t="n">
        <x:f>IF(COUNTA(O143:S143)=0,"",MAX(0,IF(O143="",0,O143)+IF(P143="",0,P143)-IF(Q143="",0,Q143)-IF(R143="",0,R143)))</x:f>
        <x:v>0</x:v>
      </x:c>
      <x:c r="U143" s="152" t="str">
        <x:f>IF(OR(N143="",Q143=""),"",Q143-N143)</x:f>
      </x:c>
      <x:c r="V143" s="202" t="str">
        <x:f>IFERROR(Q143/N143,"")</x:f>
      </x:c>
      <x:c r="W143" s="137" t="str"/>
      <x:c r="X143" s="137" t="str"/>
      <x:c r="Y143" s="137" t="str"/>
      <x:c r="Z143" s="137" t="str"/>
      <x:c r="AA143" s="137" t="str"/>
      <x:c r="AB143" s="137" t="str"/>
      <x:c r="AC143" s="137" t="str"/>
      <x:c r="AD143" s="199" t="str"/>
    </x:row>
    <x:row r="144">
      <x:c r="A144" s="137" t="str"/>
      <x:c r="B144" s="138" t="str"/>
      <x:c r="C144" s="137" t="str"/>
      <x:c r="D144" s="137" t="str"/>
      <x:c r="E144" s="137" t="str"/>
      <x:c r="F144" s="137" t="str"/>
      <x:c r="G144" s="137" t="str"/>
      <x:c r="H144" s="137" t="str"/>
      <x:c r="I144" s="137" t="str"/>
      <x:c r="J144" s="137" t="str"/>
      <x:c r="K144" s="137" t="str"/>
      <x:c r="L144" s="160" t="str"/>
      <x:c r="M144" s="160" t="str"/>
      <x:c r="N144" s="151" t="str"/>
      <x:c r="O144" s="151" t="str"/>
      <x:c r="P144" s="151" t="str"/>
      <x:c r="Q144" s="151" t="str"/>
      <x:c r="R144" s="151" t="str"/>
      <x:c r="S144" s="151" t="str"/>
      <x:c r="T144" s="152" t="n">
        <x:f>IF(COUNTA(O144:S144)=0,"",MAX(0,IF(O144="",0,O144)+IF(P144="",0,P144)-IF(Q144="",0,Q144)-IF(R144="",0,R144)))</x:f>
        <x:v>0</x:v>
      </x:c>
      <x:c r="U144" s="152" t="str">
        <x:f>IF(OR(N144="",Q144=""),"",Q144-N144)</x:f>
      </x:c>
      <x:c r="V144" s="202" t="str">
        <x:f>IFERROR(Q144/N144,"")</x:f>
      </x:c>
      <x:c r="W144" s="137" t="str"/>
      <x:c r="X144" s="137" t="str"/>
      <x:c r="Y144" s="137" t="str"/>
      <x:c r="Z144" s="137" t="str"/>
      <x:c r="AA144" s="137" t="str"/>
      <x:c r="AB144" s="137" t="str"/>
      <x:c r="AC144" s="137" t="str"/>
      <x:c r="AD144" s="199" t="str"/>
    </x:row>
    <x:row r="145">
      <x:c r="A145" s="137" t="str"/>
      <x:c r="B145" s="138" t="str"/>
      <x:c r="C145" s="137" t="str"/>
      <x:c r="D145" s="137" t="str"/>
      <x:c r="E145" s="137" t="str"/>
      <x:c r="F145" s="137" t="str"/>
      <x:c r="G145" s="137" t="str"/>
      <x:c r="H145" s="137" t="str"/>
      <x:c r="I145" s="137" t="str"/>
      <x:c r="J145" s="137" t="str"/>
      <x:c r="K145" s="137" t="str"/>
      <x:c r="L145" s="160" t="str"/>
      <x:c r="M145" s="160" t="str"/>
      <x:c r="N145" s="151" t="str"/>
      <x:c r="O145" s="151" t="str"/>
      <x:c r="P145" s="151" t="str"/>
      <x:c r="Q145" s="151" t="str"/>
      <x:c r="R145" s="151" t="str"/>
      <x:c r="S145" s="151" t="str"/>
      <x:c r="T145" s="152" t="n">
        <x:f>IF(COUNTA(O145:S145)=0,"",MAX(0,IF(O145="",0,O145)+IF(P145="",0,P145)-IF(Q145="",0,Q145)-IF(R145="",0,R145)))</x:f>
        <x:v>0</x:v>
      </x:c>
      <x:c r="U145" s="152" t="str">
        <x:f>IF(OR(N145="",Q145=""),"",Q145-N145)</x:f>
      </x:c>
      <x:c r="V145" s="202" t="str">
        <x:f>IFERROR(Q145/N145,"")</x:f>
      </x:c>
      <x:c r="W145" s="137" t="str"/>
      <x:c r="X145" s="137" t="str"/>
      <x:c r="Y145" s="137" t="str"/>
      <x:c r="Z145" s="137" t="str"/>
      <x:c r="AA145" s="137" t="str"/>
      <x:c r="AB145" s="137" t="str"/>
      <x:c r="AC145" s="137" t="str"/>
      <x:c r="AD145" s="199" t="str"/>
    </x:row>
    <x:row r="146">
      <x:c r="A146" s="137" t="str"/>
      <x:c r="B146" s="138" t="str"/>
      <x:c r="C146" s="137" t="str"/>
      <x:c r="D146" s="137" t="str"/>
      <x:c r="E146" s="137" t="str"/>
      <x:c r="F146" s="137" t="str"/>
      <x:c r="G146" s="137" t="str"/>
      <x:c r="H146" s="137" t="str"/>
      <x:c r="I146" s="137" t="str"/>
      <x:c r="J146" s="137" t="str"/>
      <x:c r="K146" s="137" t="str"/>
      <x:c r="L146" s="160" t="str"/>
      <x:c r="M146" s="160" t="str"/>
      <x:c r="N146" s="151" t="str"/>
      <x:c r="O146" s="151" t="str"/>
      <x:c r="P146" s="151" t="str"/>
      <x:c r="Q146" s="151" t="str"/>
      <x:c r="R146" s="151" t="str"/>
      <x:c r="S146" s="151" t="str"/>
      <x:c r="T146" s="152" t="n">
        <x:f>IF(COUNTA(O146:S146)=0,"",MAX(0,IF(O146="",0,O146)+IF(P146="",0,P146)-IF(Q146="",0,Q146)-IF(R146="",0,R146)))</x:f>
        <x:v>0</x:v>
      </x:c>
      <x:c r="U146" s="152" t="str">
        <x:f>IF(OR(N146="",Q146=""),"",Q146-N146)</x:f>
      </x:c>
      <x:c r="V146" s="202" t="str">
        <x:f>IFERROR(Q146/N146,"")</x:f>
      </x:c>
      <x:c r="W146" s="137" t="str"/>
      <x:c r="X146" s="137" t="str"/>
      <x:c r="Y146" s="137" t="str"/>
      <x:c r="Z146" s="137" t="str"/>
      <x:c r="AA146" s="137" t="str"/>
      <x:c r="AB146" s="137" t="str"/>
      <x:c r="AC146" s="137" t="str"/>
      <x:c r="AD146" s="199" t="str"/>
    </x:row>
    <x:row r="147">
      <x:c r="A147" s="137" t="str"/>
      <x:c r="B147" s="138" t="str"/>
      <x:c r="C147" s="137" t="str"/>
      <x:c r="D147" s="137" t="str"/>
      <x:c r="E147" s="137" t="str"/>
      <x:c r="F147" s="137" t="str"/>
      <x:c r="G147" s="137" t="str"/>
      <x:c r="H147" s="137" t="str"/>
      <x:c r="I147" s="137" t="str"/>
      <x:c r="J147" s="137" t="str"/>
      <x:c r="K147" s="137" t="str"/>
      <x:c r="L147" s="160" t="str"/>
      <x:c r="M147" s="160" t="str"/>
      <x:c r="N147" s="151" t="str"/>
      <x:c r="O147" s="151" t="str"/>
      <x:c r="P147" s="151" t="str"/>
      <x:c r="Q147" s="151" t="str"/>
      <x:c r="R147" s="151" t="str"/>
      <x:c r="S147" s="151" t="str"/>
      <x:c r="T147" s="152" t="n">
        <x:f>IF(COUNTA(O147:S147)=0,"",MAX(0,IF(O147="",0,O147)+IF(P147="",0,P147)-IF(Q147="",0,Q147)-IF(R147="",0,R147)))</x:f>
        <x:v>0</x:v>
      </x:c>
      <x:c r="U147" s="152" t="str">
        <x:f>IF(OR(N147="",Q147=""),"",Q147-N147)</x:f>
      </x:c>
      <x:c r="V147" s="202" t="str">
        <x:f>IFERROR(Q147/N147,"")</x:f>
      </x:c>
      <x:c r="W147" s="137" t="str"/>
      <x:c r="X147" s="137" t="str"/>
      <x:c r="Y147" s="137" t="str"/>
      <x:c r="Z147" s="137" t="str"/>
      <x:c r="AA147" s="137" t="str"/>
      <x:c r="AB147" s="137" t="str"/>
      <x:c r="AC147" s="137" t="str"/>
      <x:c r="AD147" s="199" t="str"/>
    </x:row>
    <x:row r="148">
      <x:c r="A148" s="137" t="str"/>
      <x:c r="B148" s="138" t="str"/>
      <x:c r="C148" s="137" t="str"/>
      <x:c r="D148" s="137" t="str"/>
      <x:c r="E148" s="137" t="str"/>
      <x:c r="F148" s="137" t="str"/>
      <x:c r="G148" s="137" t="str"/>
      <x:c r="H148" s="137" t="str"/>
      <x:c r="I148" s="137" t="str"/>
      <x:c r="J148" s="137" t="str"/>
      <x:c r="K148" s="137" t="str"/>
      <x:c r="L148" s="160" t="str"/>
      <x:c r="M148" s="160" t="str"/>
      <x:c r="N148" s="151" t="str"/>
      <x:c r="O148" s="151" t="str"/>
      <x:c r="P148" s="151" t="str"/>
      <x:c r="Q148" s="151" t="str"/>
      <x:c r="R148" s="151" t="str"/>
      <x:c r="S148" s="151" t="str"/>
      <x:c r="T148" s="152" t="n">
        <x:f>IF(COUNTA(O148:S148)=0,"",MAX(0,IF(O148="",0,O148)+IF(P148="",0,P148)-IF(Q148="",0,Q148)-IF(R148="",0,R148)))</x:f>
        <x:v>0</x:v>
      </x:c>
      <x:c r="U148" s="152" t="str">
        <x:f>IF(OR(N148="",Q148=""),"",Q148-N148)</x:f>
      </x:c>
      <x:c r="V148" s="202" t="str">
        <x:f>IFERROR(Q148/N148,"")</x:f>
      </x:c>
      <x:c r="W148" s="137" t="str"/>
      <x:c r="X148" s="137" t="str"/>
      <x:c r="Y148" s="137" t="str"/>
      <x:c r="Z148" s="137" t="str"/>
      <x:c r="AA148" s="137" t="str"/>
      <x:c r="AB148" s="137" t="str"/>
      <x:c r="AC148" s="137" t="str"/>
      <x:c r="AD148" s="199" t="str"/>
    </x:row>
    <x:row r="149">
      <x:c r="A149" s="137" t="str"/>
      <x:c r="B149" s="138" t="str"/>
      <x:c r="C149" s="137" t="str"/>
      <x:c r="D149" s="137" t="str"/>
      <x:c r="E149" s="137" t="str"/>
      <x:c r="F149" s="137" t="str"/>
      <x:c r="G149" s="137" t="str"/>
      <x:c r="H149" s="137" t="str"/>
      <x:c r="I149" s="137" t="str"/>
      <x:c r="J149" s="137" t="str"/>
      <x:c r="K149" s="137" t="str"/>
      <x:c r="L149" s="160" t="str"/>
      <x:c r="M149" s="160" t="str"/>
      <x:c r="N149" s="151" t="str"/>
      <x:c r="O149" s="151" t="str"/>
      <x:c r="P149" s="151" t="str"/>
      <x:c r="Q149" s="151" t="str"/>
      <x:c r="R149" s="151" t="str"/>
      <x:c r="S149" s="151" t="str"/>
      <x:c r="T149" s="152" t="n">
        <x:f>IF(COUNTA(O149:S149)=0,"",MAX(0,IF(O149="",0,O149)+IF(P149="",0,P149)-IF(Q149="",0,Q149)-IF(R149="",0,R149)))</x:f>
        <x:v>0</x:v>
      </x:c>
      <x:c r="U149" s="152" t="str">
        <x:f>IF(OR(N149="",Q149=""),"",Q149-N149)</x:f>
      </x:c>
      <x:c r="V149" s="202" t="str">
        <x:f>IFERROR(Q149/N149,"")</x:f>
      </x:c>
      <x:c r="W149" s="137" t="str"/>
      <x:c r="X149" s="137" t="str"/>
      <x:c r="Y149" s="137" t="str"/>
      <x:c r="Z149" s="137" t="str"/>
      <x:c r="AA149" s="137" t="str"/>
      <x:c r="AB149" s="137" t="str"/>
      <x:c r="AC149" s="137" t="str"/>
      <x:c r="AD149" s="199" t="str"/>
    </x:row>
    <x:row r="150">
      <x:c r="A150" s="137" t="str"/>
      <x:c r="B150" s="138" t="str"/>
      <x:c r="C150" s="137" t="str"/>
      <x:c r="D150" s="137" t="str"/>
      <x:c r="E150" s="137" t="str"/>
      <x:c r="F150" s="137" t="str"/>
      <x:c r="G150" s="137" t="str"/>
      <x:c r="H150" s="137" t="str"/>
      <x:c r="I150" s="137" t="str"/>
      <x:c r="J150" s="137" t="str"/>
      <x:c r="K150" s="137" t="str"/>
      <x:c r="L150" s="160" t="str"/>
      <x:c r="M150" s="160" t="str"/>
      <x:c r="N150" s="151" t="str"/>
      <x:c r="O150" s="151" t="str"/>
      <x:c r="P150" s="151" t="str"/>
      <x:c r="Q150" s="151" t="str"/>
      <x:c r="R150" s="151" t="str"/>
      <x:c r="S150" s="151" t="str"/>
      <x:c r="T150" s="152" t="n">
        <x:f>IF(COUNTA(O150:S150)=0,"",MAX(0,IF(O150="",0,O150)+IF(P150="",0,P150)-IF(Q150="",0,Q150)-IF(R150="",0,R150)))</x:f>
        <x:v>0</x:v>
      </x:c>
      <x:c r="U150" s="152" t="str">
        <x:f>IF(OR(N150="",Q150=""),"",Q150-N150)</x:f>
      </x:c>
      <x:c r="V150" s="202" t="str">
        <x:f>IFERROR(Q150/N150,"")</x:f>
      </x:c>
      <x:c r="W150" s="137" t="str"/>
      <x:c r="X150" s="137" t="str"/>
      <x:c r="Y150" s="137" t="str"/>
      <x:c r="Z150" s="137" t="str"/>
      <x:c r="AA150" s="137" t="str"/>
      <x:c r="AB150" s="137" t="str"/>
      <x:c r="AC150" s="137" t="str"/>
      <x:c r="AD150" s="199" t="str"/>
    </x:row>
    <x:row r="151">
      <x:c r="A151" s="137" t="str"/>
      <x:c r="B151" s="138" t="str"/>
      <x:c r="C151" s="137" t="str"/>
      <x:c r="D151" s="137" t="str"/>
      <x:c r="E151" s="137" t="str"/>
      <x:c r="F151" s="137" t="str"/>
      <x:c r="G151" s="137" t="str"/>
      <x:c r="H151" s="137" t="str"/>
      <x:c r="I151" s="137" t="str"/>
      <x:c r="J151" s="137" t="str"/>
      <x:c r="K151" s="137" t="str"/>
      <x:c r="L151" s="160" t="str"/>
      <x:c r="M151" s="160" t="str"/>
      <x:c r="N151" s="151" t="str"/>
      <x:c r="O151" s="151" t="str"/>
      <x:c r="P151" s="151" t="str"/>
      <x:c r="Q151" s="151" t="str"/>
      <x:c r="R151" s="151" t="str"/>
      <x:c r="S151" s="151" t="str"/>
      <x:c r="T151" s="152" t="n">
        <x:f>IF(COUNTA(O151:S151)=0,"",MAX(0,IF(O151="",0,O151)+IF(P151="",0,P151)-IF(Q151="",0,Q151)-IF(R151="",0,R151)))</x:f>
        <x:v>0</x:v>
      </x:c>
      <x:c r="U151" s="152" t="str">
        <x:f>IF(OR(N151="",Q151=""),"",Q151-N151)</x:f>
      </x:c>
      <x:c r="V151" s="202" t="str">
        <x:f>IFERROR(Q151/N151,"")</x:f>
      </x:c>
      <x:c r="W151" s="137" t="str"/>
      <x:c r="X151" s="137" t="str"/>
      <x:c r="Y151" s="137" t="str"/>
      <x:c r="Z151" s="137" t="str"/>
      <x:c r="AA151" s="137" t="str"/>
      <x:c r="AB151" s="137" t="str"/>
      <x:c r="AC151" s="137" t="str"/>
      <x:c r="AD151" s="199" t="str"/>
    </x:row>
    <x:row r="152">
      <x:c r="A152" s="137" t="str"/>
      <x:c r="B152" s="138" t="str"/>
      <x:c r="C152" s="137" t="str"/>
      <x:c r="D152" s="137" t="str"/>
      <x:c r="E152" s="137" t="str"/>
      <x:c r="F152" s="137" t="str"/>
      <x:c r="G152" s="137" t="str"/>
      <x:c r="H152" s="137" t="str"/>
      <x:c r="I152" s="137" t="str"/>
      <x:c r="J152" s="137" t="str"/>
      <x:c r="K152" s="137" t="str"/>
      <x:c r="L152" s="160" t="str"/>
      <x:c r="M152" s="160" t="str"/>
      <x:c r="N152" s="151" t="str"/>
      <x:c r="O152" s="151" t="str"/>
      <x:c r="P152" s="151" t="str"/>
      <x:c r="Q152" s="151" t="str"/>
      <x:c r="R152" s="151" t="str"/>
      <x:c r="S152" s="151" t="str"/>
      <x:c r="T152" s="152" t="n">
        <x:f>IF(COUNTA(O152:S152)=0,"",MAX(0,IF(O152="",0,O152)+IF(P152="",0,P152)-IF(Q152="",0,Q152)-IF(R152="",0,R152)))</x:f>
        <x:v>0</x:v>
      </x:c>
      <x:c r="U152" s="152" t="str">
        <x:f>IF(OR(N152="",Q152=""),"",Q152-N152)</x:f>
      </x:c>
      <x:c r="V152" s="202" t="str">
        <x:f>IFERROR(Q152/N152,"")</x:f>
      </x:c>
      <x:c r="W152" s="137" t="str"/>
      <x:c r="X152" s="137" t="str"/>
      <x:c r="Y152" s="137" t="str"/>
      <x:c r="Z152" s="137" t="str"/>
      <x:c r="AA152" s="137" t="str"/>
      <x:c r="AB152" s="137" t="str"/>
      <x:c r="AC152" s="137" t="str"/>
      <x:c r="AD152" s="199" t="str"/>
    </x:row>
    <x:row r="153">
      <x:c r="A153" s="137" t="str"/>
      <x:c r="B153" s="138" t="str"/>
      <x:c r="C153" s="137" t="str"/>
      <x:c r="D153" s="137" t="str"/>
      <x:c r="E153" s="137" t="str"/>
      <x:c r="F153" s="137" t="str"/>
      <x:c r="G153" s="137" t="str"/>
      <x:c r="H153" s="137" t="str"/>
      <x:c r="I153" s="137" t="str"/>
      <x:c r="J153" s="137" t="str"/>
      <x:c r="K153" s="137" t="str"/>
      <x:c r="L153" s="160" t="str"/>
      <x:c r="M153" s="160" t="str"/>
      <x:c r="N153" s="151" t="str"/>
      <x:c r="O153" s="151" t="str"/>
      <x:c r="P153" s="151" t="str"/>
      <x:c r="Q153" s="151" t="str"/>
      <x:c r="R153" s="151" t="str"/>
      <x:c r="S153" s="151" t="str"/>
      <x:c r="T153" s="152" t="n">
        <x:f>IF(COUNTA(O153:S153)=0,"",MAX(0,IF(O153="",0,O153)+IF(P153="",0,P153)-IF(Q153="",0,Q153)-IF(R153="",0,R153)))</x:f>
        <x:v>0</x:v>
      </x:c>
      <x:c r="U153" s="152" t="str">
        <x:f>IF(OR(N153="",Q153=""),"",Q153-N153)</x:f>
      </x:c>
      <x:c r="V153" s="202" t="str">
        <x:f>IFERROR(Q153/N153,"")</x:f>
      </x:c>
      <x:c r="W153" s="137" t="str"/>
      <x:c r="X153" s="137" t="str"/>
      <x:c r="Y153" s="137" t="str"/>
      <x:c r="Z153" s="137" t="str"/>
      <x:c r="AA153" s="137" t="str"/>
      <x:c r="AB153" s="137" t="str"/>
      <x:c r="AC153" s="137" t="str"/>
      <x:c r="AD153" s="199" t="str"/>
    </x:row>
    <x:row r="154">
      <x:c r="A154" s="137" t="str"/>
      <x:c r="B154" s="138" t="str"/>
      <x:c r="C154" s="137" t="str"/>
      <x:c r="D154" s="137" t="str"/>
      <x:c r="E154" s="137" t="str"/>
      <x:c r="F154" s="137" t="str"/>
      <x:c r="G154" s="137" t="str"/>
      <x:c r="H154" s="137" t="str"/>
      <x:c r="I154" s="137" t="str"/>
      <x:c r="J154" s="137" t="str"/>
      <x:c r="K154" s="137" t="str"/>
      <x:c r="L154" s="160" t="str"/>
      <x:c r="M154" s="160" t="str"/>
      <x:c r="N154" s="151" t="str"/>
      <x:c r="O154" s="151" t="str"/>
      <x:c r="P154" s="151" t="str"/>
      <x:c r="Q154" s="151" t="str"/>
      <x:c r="R154" s="151" t="str"/>
      <x:c r="S154" s="151" t="str"/>
      <x:c r="T154" s="152" t="n">
        <x:f>IF(COUNTA(O154:S154)=0,"",MAX(0,IF(O154="",0,O154)+IF(P154="",0,P154)-IF(Q154="",0,Q154)-IF(R154="",0,R154)))</x:f>
        <x:v>0</x:v>
      </x:c>
      <x:c r="U154" s="152" t="str">
        <x:f>IF(OR(N154="",Q154=""),"",Q154-N154)</x:f>
      </x:c>
      <x:c r="V154" s="202" t="str">
        <x:f>IFERROR(Q154/N154,"")</x:f>
      </x:c>
      <x:c r="W154" s="137" t="str"/>
      <x:c r="X154" s="137" t="str"/>
      <x:c r="Y154" s="137" t="str"/>
      <x:c r="Z154" s="137" t="str"/>
      <x:c r="AA154" s="137" t="str"/>
      <x:c r="AB154" s="137" t="str"/>
      <x:c r="AC154" s="137" t="str"/>
      <x:c r="AD154" s="199" t="str"/>
    </x:row>
    <x:row r="155">
      <x:c r="A155" s="137" t="str"/>
      <x:c r="B155" s="138" t="str"/>
      <x:c r="C155" s="137" t="str"/>
      <x:c r="D155" s="137" t="str"/>
      <x:c r="E155" s="137" t="str"/>
      <x:c r="F155" s="137" t="str"/>
      <x:c r="G155" s="137" t="str"/>
      <x:c r="H155" s="137" t="str"/>
      <x:c r="I155" s="137" t="str"/>
      <x:c r="J155" s="137" t="str"/>
      <x:c r="K155" s="137" t="str"/>
      <x:c r="L155" s="160" t="str"/>
      <x:c r="M155" s="160" t="str"/>
      <x:c r="N155" s="151" t="str"/>
      <x:c r="O155" s="151" t="str"/>
      <x:c r="P155" s="151" t="str"/>
      <x:c r="Q155" s="151" t="str"/>
      <x:c r="R155" s="151" t="str"/>
      <x:c r="S155" s="151" t="str"/>
      <x:c r="T155" s="152" t="n">
        <x:f>IF(COUNTA(O155:S155)=0,"",MAX(0,IF(O155="",0,O155)+IF(P155="",0,P155)-IF(Q155="",0,Q155)-IF(R155="",0,R155)))</x:f>
        <x:v>0</x:v>
      </x:c>
      <x:c r="U155" s="152" t="str">
        <x:f>IF(OR(N155="",Q155=""),"",Q155-N155)</x:f>
      </x:c>
      <x:c r="V155" s="202" t="str">
        <x:f>IFERROR(Q155/N155,"")</x:f>
      </x:c>
      <x:c r="W155" s="137" t="str"/>
      <x:c r="X155" s="137" t="str"/>
      <x:c r="Y155" s="137" t="str"/>
      <x:c r="Z155" s="137" t="str"/>
      <x:c r="AA155" s="137" t="str"/>
      <x:c r="AB155" s="137" t="str"/>
      <x:c r="AC155" s="137" t="str"/>
      <x:c r="AD155" s="199" t="str"/>
    </x:row>
    <x:row r="156">
      <x:c r="A156" s="137" t="str"/>
      <x:c r="B156" s="138" t="str"/>
      <x:c r="C156" s="137" t="str"/>
      <x:c r="D156" s="137" t="str"/>
      <x:c r="E156" s="137" t="str"/>
      <x:c r="F156" s="137" t="str"/>
      <x:c r="G156" s="137" t="str"/>
      <x:c r="H156" s="137" t="str"/>
      <x:c r="I156" s="137" t="str"/>
      <x:c r="J156" s="137" t="str"/>
      <x:c r="K156" s="137" t="str"/>
      <x:c r="L156" s="160" t="str"/>
      <x:c r="M156" s="160" t="str"/>
      <x:c r="N156" s="151" t="str"/>
      <x:c r="O156" s="151" t="str"/>
      <x:c r="P156" s="151" t="str"/>
      <x:c r="Q156" s="151" t="str"/>
      <x:c r="R156" s="151" t="str"/>
      <x:c r="S156" s="151" t="str"/>
      <x:c r="T156" s="152" t="n">
        <x:f>IF(COUNTA(O156:S156)=0,"",MAX(0,IF(O156="",0,O156)+IF(P156="",0,P156)-IF(Q156="",0,Q156)-IF(R156="",0,R156)))</x:f>
        <x:v>0</x:v>
      </x:c>
      <x:c r="U156" s="152" t="str">
        <x:f>IF(OR(N156="",Q156=""),"",Q156-N156)</x:f>
      </x:c>
      <x:c r="V156" s="202" t="str">
        <x:f>IFERROR(Q156/N156,"")</x:f>
      </x:c>
      <x:c r="W156" s="137" t="str"/>
      <x:c r="X156" s="137" t="str"/>
      <x:c r="Y156" s="137" t="str"/>
      <x:c r="Z156" s="137" t="str"/>
      <x:c r="AA156" s="137" t="str"/>
      <x:c r="AB156" s="137" t="str"/>
      <x:c r="AC156" s="137" t="str"/>
      <x:c r="AD156" s="199" t="str"/>
    </x:row>
    <x:row r="157">
      <x:c r="A157" s="137" t="str"/>
      <x:c r="B157" s="138" t="str"/>
      <x:c r="C157" s="137" t="str"/>
      <x:c r="D157" s="137" t="str"/>
      <x:c r="E157" s="137" t="str"/>
      <x:c r="F157" s="137" t="str"/>
      <x:c r="G157" s="137" t="str"/>
      <x:c r="H157" s="137" t="str"/>
      <x:c r="I157" s="137" t="str"/>
      <x:c r="J157" s="137" t="str"/>
      <x:c r="K157" s="137" t="str"/>
      <x:c r="L157" s="160" t="str"/>
      <x:c r="M157" s="160" t="str"/>
      <x:c r="N157" s="151" t="str"/>
      <x:c r="O157" s="151" t="str"/>
      <x:c r="P157" s="151" t="str"/>
      <x:c r="Q157" s="151" t="str"/>
      <x:c r="R157" s="151" t="str"/>
      <x:c r="S157" s="151" t="str"/>
      <x:c r="T157" s="152" t="n">
        <x:f>IF(COUNTA(O157:S157)=0,"",MAX(0,IF(O157="",0,O157)+IF(P157="",0,P157)-IF(Q157="",0,Q157)-IF(R157="",0,R157)))</x:f>
        <x:v>0</x:v>
      </x:c>
      <x:c r="U157" s="152" t="str">
        <x:f>IF(OR(N157="",Q157=""),"",Q157-N157)</x:f>
      </x:c>
      <x:c r="V157" s="202" t="str">
        <x:f>IFERROR(Q157/N157,"")</x:f>
      </x:c>
      <x:c r="W157" s="137" t="str"/>
      <x:c r="X157" s="137" t="str"/>
      <x:c r="Y157" s="137" t="str"/>
      <x:c r="Z157" s="137" t="str"/>
      <x:c r="AA157" s="137" t="str"/>
      <x:c r="AB157" s="137" t="str"/>
      <x:c r="AC157" s="137" t="str"/>
      <x:c r="AD157" s="199" t="str"/>
    </x:row>
    <x:row r="158">
      <x:c r="A158" s="137" t="str"/>
      <x:c r="B158" s="138" t="str"/>
      <x:c r="C158" s="137" t="str"/>
      <x:c r="D158" s="137" t="str"/>
      <x:c r="E158" s="137" t="str"/>
      <x:c r="F158" s="137" t="str"/>
      <x:c r="G158" s="137" t="str"/>
      <x:c r="H158" s="137" t="str"/>
      <x:c r="I158" s="137" t="str"/>
      <x:c r="J158" s="137" t="str"/>
      <x:c r="K158" s="137" t="str"/>
      <x:c r="L158" s="160" t="str"/>
      <x:c r="M158" s="160" t="str"/>
      <x:c r="N158" s="151" t="str"/>
      <x:c r="O158" s="151" t="str"/>
      <x:c r="P158" s="151" t="str"/>
      <x:c r="Q158" s="151" t="str"/>
      <x:c r="R158" s="151" t="str"/>
      <x:c r="S158" s="151" t="str"/>
      <x:c r="T158" s="152" t="n">
        <x:f>IF(COUNTA(O158:S158)=0,"",MAX(0,IF(O158="",0,O158)+IF(P158="",0,P158)-IF(Q158="",0,Q158)-IF(R158="",0,R158)))</x:f>
        <x:v>0</x:v>
      </x:c>
      <x:c r="U158" s="152" t="str">
        <x:f>IF(OR(N158="",Q158=""),"",Q158-N158)</x:f>
      </x:c>
      <x:c r="V158" s="202" t="str">
        <x:f>IFERROR(Q158/N158,"")</x:f>
      </x:c>
      <x:c r="W158" s="137" t="str"/>
      <x:c r="X158" s="137" t="str"/>
      <x:c r="Y158" s="137" t="str"/>
      <x:c r="Z158" s="137" t="str"/>
      <x:c r="AA158" s="137" t="str"/>
      <x:c r="AB158" s="137" t="str"/>
      <x:c r="AC158" s="137" t="str"/>
      <x:c r="AD158" s="199" t="str"/>
    </x:row>
    <x:row r="159">
      <x:c r="A159" s="137" t="str"/>
      <x:c r="B159" s="138" t="str"/>
      <x:c r="C159" s="137" t="str"/>
      <x:c r="D159" s="137" t="str"/>
      <x:c r="E159" s="137" t="str"/>
      <x:c r="F159" s="137" t="str"/>
      <x:c r="G159" s="137" t="str"/>
      <x:c r="H159" s="137" t="str"/>
      <x:c r="I159" s="137" t="str"/>
      <x:c r="J159" s="137" t="str"/>
      <x:c r="K159" s="137" t="str"/>
      <x:c r="L159" s="160" t="str"/>
      <x:c r="M159" s="160" t="str"/>
      <x:c r="N159" s="151" t="str"/>
      <x:c r="O159" s="151" t="str"/>
      <x:c r="P159" s="151" t="str"/>
      <x:c r="Q159" s="151" t="str"/>
      <x:c r="R159" s="151" t="str"/>
      <x:c r="S159" s="151" t="str"/>
      <x:c r="T159" s="152" t="n">
        <x:f>IF(COUNTA(O159:S159)=0,"",MAX(0,IF(O159="",0,O159)+IF(P159="",0,P159)-IF(Q159="",0,Q159)-IF(R159="",0,R159)))</x:f>
        <x:v>0</x:v>
      </x:c>
      <x:c r="U159" s="152" t="str">
        <x:f>IF(OR(N159="",Q159=""),"",Q159-N159)</x:f>
      </x:c>
      <x:c r="V159" s="202" t="str">
        <x:f>IFERROR(Q159/N159,"")</x:f>
      </x:c>
      <x:c r="W159" s="137" t="str"/>
      <x:c r="X159" s="137" t="str"/>
      <x:c r="Y159" s="137" t="str"/>
      <x:c r="Z159" s="137" t="str"/>
      <x:c r="AA159" s="137" t="str"/>
      <x:c r="AB159" s="137" t="str"/>
      <x:c r="AC159" s="137" t="str"/>
      <x:c r="AD159" s="199" t="str"/>
    </x:row>
    <x:row r="160">
      <x:c r="A160" s="137" t="str"/>
      <x:c r="B160" s="138" t="str"/>
      <x:c r="C160" s="137" t="str"/>
      <x:c r="D160" s="137" t="str"/>
      <x:c r="E160" s="137" t="str"/>
      <x:c r="F160" s="137" t="str"/>
      <x:c r="G160" s="137" t="str"/>
      <x:c r="H160" s="137" t="str"/>
      <x:c r="I160" s="137" t="str"/>
      <x:c r="J160" s="137" t="str"/>
      <x:c r="K160" s="137" t="str"/>
      <x:c r="L160" s="160" t="str"/>
      <x:c r="M160" s="160" t="str"/>
      <x:c r="N160" s="151" t="str"/>
      <x:c r="O160" s="151" t="str"/>
      <x:c r="P160" s="151" t="str"/>
      <x:c r="Q160" s="151" t="str"/>
      <x:c r="R160" s="151" t="str"/>
      <x:c r="S160" s="151" t="str"/>
      <x:c r="T160" s="152" t="n">
        <x:f>IF(COUNTA(O160:S160)=0,"",MAX(0,IF(O160="",0,O160)+IF(P160="",0,P160)-IF(Q160="",0,Q160)-IF(R160="",0,R160)))</x:f>
        <x:v>0</x:v>
      </x:c>
      <x:c r="U160" s="152" t="str">
        <x:f>IF(OR(N160="",Q160=""),"",Q160-N160)</x:f>
      </x:c>
      <x:c r="V160" s="202" t="str">
        <x:f>IFERROR(Q160/N160,"")</x:f>
      </x:c>
      <x:c r="W160" s="137" t="str"/>
      <x:c r="X160" s="137" t="str"/>
      <x:c r="Y160" s="137" t="str"/>
      <x:c r="Z160" s="137" t="str"/>
      <x:c r="AA160" s="137" t="str"/>
      <x:c r="AB160" s="137" t="str"/>
      <x:c r="AC160" s="137" t="str"/>
      <x:c r="AD160" s="199" t="str"/>
    </x:row>
    <x:row r="161">
      <x:c r="A161" s="137" t="str"/>
      <x:c r="B161" s="138" t="str"/>
      <x:c r="C161" s="137" t="str"/>
      <x:c r="D161" s="137" t="str"/>
      <x:c r="E161" s="137" t="str"/>
      <x:c r="F161" s="137" t="str"/>
      <x:c r="G161" s="137" t="str"/>
      <x:c r="H161" s="137" t="str"/>
      <x:c r="I161" s="137" t="str"/>
      <x:c r="J161" s="137" t="str"/>
      <x:c r="K161" s="137" t="str"/>
      <x:c r="L161" s="160" t="str"/>
      <x:c r="M161" s="160" t="str"/>
      <x:c r="N161" s="151" t="str"/>
      <x:c r="O161" s="151" t="str"/>
      <x:c r="P161" s="151" t="str"/>
      <x:c r="Q161" s="151" t="str"/>
      <x:c r="R161" s="151" t="str"/>
      <x:c r="S161" s="151" t="str"/>
      <x:c r="T161" s="152" t="n">
        <x:f>IF(COUNTA(O161:S161)=0,"",MAX(0,IF(O161="",0,O161)+IF(P161="",0,P161)-IF(Q161="",0,Q161)-IF(R161="",0,R161)))</x:f>
        <x:v>0</x:v>
      </x:c>
      <x:c r="U161" s="152" t="str">
        <x:f>IF(OR(N161="",Q161=""),"",Q161-N161)</x:f>
      </x:c>
      <x:c r="V161" s="202" t="str">
        <x:f>IFERROR(Q161/N161,"")</x:f>
      </x:c>
      <x:c r="W161" s="137" t="str"/>
      <x:c r="X161" s="137" t="str"/>
      <x:c r="Y161" s="137" t="str"/>
      <x:c r="Z161" s="137" t="str"/>
      <x:c r="AA161" s="137" t="str"/>
      <x:c r="AB161" s="137" t="str"/>
      <x:c r="AC161" s="137" t="str"/>
      <x:c r="AD161" s="199" t="str"/>
    </x:row>
    <x:row r="162">
      <x:c r="A162" s="137" t="str"/>
      <x:c r="B162" s="138" t="str"/>
      <x:c r="C162" s="137" t="str"/>
      <x:c r="D162" s="137" t="str"/>
      <x:c r="E162" s="137" t="str"/>
      <x:c r="F162" s="137" t="str"/>
      <x:c r="G162" s="137" t="str"/>
      <x:c r="H162" s="137" t="str"/>
      <x:c r="I162" s="137" t="str"/>
      <x:c r="J162" s="137" t="str"/>
      <x:c r="K162" s="137" t="str"/>
      <x:c r="L162" s="160" t="str"/>
      <x:c r="M162" s="160" t="str"/>
      <x:c r="N162" s="151" t="str"/>
      <x:c r="O162" s="151" t="str"/>
      <x:c r="P162" s="151" t="str"/>
      <x:c r="Q162" s="151" t="str"/>
      <x:c r="R162" s="151" t="str"/>
      <x:c r="S162" s="151" t="str"/>
      <x:c r="T162" s="152" t="n">
        <x:f>IF(COUNTA(O162:S162)=0,"",MAX(0,IF(O162="",0,O162)+IF(P162="",0,P162)-IF(Q162="",0,Q162)-IF(R162="",0,R162)))</x:f>
        <x:v>0</x:v>
      </x:c>
      <x:c r="U162" s="152" t="str">
        <x:f>IF(OR(N162="",Q162=""),"",Q162-N162)</x:f>
      </x:c>
      <x:c r="V162" s="202" t="str">
        <x:f>IFERROR(Q162/N162,"")</x:f>
      </x:c>
      <x:c r="W162" s="137" t="str"/>
      <x:c r="X162" s="137" t="str"/>
      <x:c r="Y162" s="137" t="str"/>
      <x:c r="Z162" s="137" t="str"/>
      <x:c r="AA162" s="137" t="str"/>
      <x:c r="AB162" s="137" t="str"/>
      <x:c r="AC162" s="137" t="str"/>
      <x:c r="AD162" s="199" t="str"/>
    </x:row>
    <x:row r="163">
      <x:c r="A163" s="137" t="str"/>
      <x:c r="B163" s="138" t="str"/>
      <x:c r="C163" s="137" t="str"/>
      <x:c r="D163" s="137" t="str"/>
      <x:c r="E163" s="137" t="str"/>
      <x:c r="F163" s="137" t="str"/>
      <x:c r="G163" s="137" t="str"/>
      <x:c r="H163" s="137" t="str"/>
      <x:c r="I163" s="137" t="str"/>
      <x:c r="J163" s="137" t="str"/>
      <x:c r="K163" s="137" t="str"/>
      <x:c r="L163" s="160" t="str"/>
      <x:c r="M163" s="160" t="str"/>
      <x:c r="N163" s="151" t="str"/>
      <x:c r="O163" s="151" t="str"/>
      <x:c r="P163" s="151" t="str"/>
      <x:c r="Q163" s="151" t="str"/>
      <x:c r="R163" s="151" t="str"/>
      <x:c r="S163" s="151" t="str"/>
      <x:c r="T163" s="152" t="n">
        <x:f>IF(COUNTA(O163:S163)=0,"",MAX(0,IF(O163="",0,O163)+IF(P163="",0,P163)-IF(Q163="",0,Q163)-IF(R163="",0,R163)))</x:f>
        <x:v>0</x:v>
      </x:c>
      <x:c r="U163" s="152" t="str">
        <x:f>IF(OR(N163="",Q163=""),"",Q163-N163)</x:f>
      </x:c>
      <x:c r="V163" s="202" t="str">
        <x:f>IFERROR(Q163/N163,"")</x:f>
      </x:c>
      <x:c r="W163" s="137" t="str"/>
      <x:c r="X163" s="137" t="str"/>
      <x:c r="Y163" s="137" t="str"/>
      <x:c r="Z163" s="137" t="str"/>
      <x:c r="AA163" s="137" t="str"/>
      <x:c r="AB163" s="137" t="str"/>
      <x:c r="AC163" s="137" t="str"/>
      <x:c r="AD163" s="199" t="str"/>
    </x:row>
    <x:row r="164">
      <x:c r="A164" s="137" t="str"/>
      <x:c r="B164" s="138" t="str"/>
      <x:c r="C164" s="137" t="str"/>
      <x:c r="D164" s="137" t="str"/>
      <x:c r="E164" s="137" t="str"/>
      <x:c r="F164" s="137" t="str"/>
      <x:c r="G164" s="137" t="str"/>
      <x:c r="H164" s="137" t="str"/>
      <x:c r="I164" s="137" t="str"/>
      <x:c r="J164" s="137" t="str"/>
      <x:c r="K164" s="137" t="str"/>
      <x:c r="L164" s="160" t="str"/>
      <x:c r="M164" s="160" t="str"/>
      <x:c r="N164" s="151" t="str"/>
      <x:c r="O164" s="151" t="str"/>
      <x:c r="P164" s="151" t="str"/>
      <x:c r="Q164" s="151" t="str"/>
      <x:c r="R164" s="151" t="str"/>
      <x:c r="S164" s="151" t="str"/>
      <x:c r="T164" s="152" t="n">
        <x:f>IF(COUNTA(O164:S164)=0,"",MAX(0,IF(O164="",0,O164)+IF(P164="",0,P164)-IF(Q164="",0,Q164)-IF(R164="",0,R164)))</x:f>
        <x:v>0</x:v>
      </x:c>
      <x:c r="U164" s="152" t="str">
        <x:f>IF(OR(N164="",Q164=""),"",Q164-N164)</x:f>
      </x:c>
      <x:c r="V164" s="202" t="str">
        <x:f>IFERROR(Q164/N164,"")</x:f>
      </x:c>
      <x:c r="W164" s="137" t="str"/>
      <x:c r="X164" s="137" t="str"/>
      <x:c r="Y164" s="137" t="str"/>
      <x:c r="Z164" s="137" t="str"/>
      <x:c r="AA164" s="137" t="str"/>
      <x:c r="AB164" s="137" t="str"/>
      <x:c r="AC164" s="137" t="str"/>
      <x:c r="AD164" s="199" t="str"/>
    </x:row>
    <x:row r="165">
      <x:c r="A165" s="137" t="str"/>
      <x:c r="B165" s="138" t="str"/>
      <x:c r="C165" s="137" t="str"/>
      <x:c r="D165" s="137" t="str"/>
      <x:c r="E165" s="137" t="str"/>
      <x:c r="F165" s="137" t="str"/>
      <x:c r="G165" s="137" t="str"/>
      <x:c r="H165" s="137" t="str"/>
      <x:c r="I165" s="137" t="str"/>
      <x:c r="J165" s="137" t="str"/>
      <x:c r="K165" s="137" t="str"/>
      <x:c r="L165" s="160" t="str"/>
      <x:c r="M165" s="160" t="str"/>
      <x:c r="N165" s="151" t="str"/>
      <x:c r="O165" s="151" t="str"/>
      <x:c r="P165" s="151" t="str"/>
      <x:c r="Q165" s="151" t="str"/>
      <x:c r="R165" s="151" t="str"/>
      <x:c r="S165" s="151" t="str"/>
      <x:c r="T165" s="152" t="n">
        <x:f>IF(COUNTA(O165:S165)=0,"",MAX(0,IF(O165="",0,O165)+IF(P165="",0,P165)-IF(Q165="",0,Q165)-IF(R165="",0,R165)))</x:f>
        <x:v>0</x:v>
      </x:c>
      <x:c r="U165" s="152" t="str">
        <x:f>IF(OR(N165="",Q165=""),"",Q165-N165)</x:f>
      </x:c>
      <x:c r="V165" s="202" t="str">
        <x:f>IFERROR(Q165/N165,"")</x:f>
      </x:c>
      <x:c r="W165" s="137" t="str"/>
      <x:c r="X165" s="137" t="str"/>
      <x:c r="Y165" s="137" t="str"/>
      <x:c r="Z165" s="137" t="str"/>
      <x:c r="AA165" s="137" t="str"/>
      <x:c r="AB165" s="137" t="str"/>
      <x:c r="AC165" s="137" t="str"/>
      <x:c r="AD165" s="199" t="str"/>
    </x:row>
    <x:row r="166">
      <x:c r="A166" s="137" t="str"/>
      <x:c r="B166" s="138" t="str"/>
      <x:c r="C166" s="137" t="str"/>
      <x:c r="D166" s="137" t="str"/>
      <x:c r="E166" s="137" t="str"/>
      <x:c r="F166" s="137" t="str"/>
      <x:c r="G166" s="137" t="str"/>
      <x:c r="H166" s="137" t="str"/>
      <x:c r="I166" s="137" t="str"/>
      <x:c r="J166" s="137" t="str"/>
      <x:c r="K166" s="137" t="str"/>
      <x:c r="L166" s="160" t="str"/>
      <x:c r="M166" s="160" t="str"/>
      <x:c r="N166" s="151" t="str"/>
      <x:c r="O166" s="151" t="str"/>
      <x:c r="P166" s="151" t="str"/>
      <x:c r="Q166" s="151" t="str"/>
      <x:c r="R166" s="151" t="str"/>
      <x:c r="S166" s="151" t="str"/>
      <x:c r="T166" s="152" t="n">
        <x:f>IF(COUNTA(O166:S166)=0,"",MAX(0,IF(O166="",0,O166)+IF(P166="",0,P166)-IF(Q166="",0,Q166)-IF(R166="",0,R166)))</x:f>
        <x:v>0</x:v>
      </x:c>
      <x:c r="U166" s="152" t="str">
        <x:f>IF(OR(N166="",Q166=""),"",Q166-N166)</x:f>
      </x:c>
      <x:c r="V166" s="202" t="str">
        <x:f>IFERROR(Q166/N166,"")</x:f>
      </x:c>
      <x:c r="W166" s="137" t="str"/>
      <x:c r="X166" s="137" t="str"/>
      <x:c r="Y166" s="137" t="str"/>
      <x:c r="Z166" s="137" t="str"/>
      <x:c r="AA166" s="137" t="str"/>
      <x:c r="AB166" s="137" t="str"/>
      <x:c r="AC166" s="137" t="str"/>
      <x:c r="AD166" s="199" t="str"/>
    </x:row>
    <x:row r="167">
      <x:c r="A167" s="137" t="str"/>
      <x:c r="B167" s="138" t="str"/>
      <x:c r="C167" s="137" t="str"/>
      <x:c r="D167" s="137" t="str"/>
      <x:c r="E167" s="137" t="str"/>
      <x:c r="F167" s="137" t="str"/>
      <x:c r="G167" s="137" t="str"/>
      <x:c r="H167" s="137" t="str"/>
      <x:c r="I167" s="137" t="str"/>
      <x:c r="J167" s="137" t="str"/>
      <x:c r="K167" s="137" t="str"/>
      <x:c r="L167" s="160" t="str"/>
      <x:c r="M167" s="160" t="str"/>
      <x:c r="N167" s="151" t="str"/>
      <x:c r="O167" s="151" t="str"/>
      <x:c r="P167" s="151" t="str"/>
      <x:c r="Q167" s="151" t="str"/>
      <x:c r="R167" s="151" t="str"/>
      <x:c r="S167" s="151" t="str"/>
      <x:c r="T167" s="152" t="n">
        <x:f>IF(COUNTA(O167:S167)=0,"",MAX(0,IF(O167="",0,O167)+IF(P167="",0,P167)-IF(Q167="",0,Q167)-IF(R167="",0,R167)))</x:f>
        <x:v>0</x:v>
      </x:c>
      <x:c r="U167" s="152" t="str">
        <x:f>IF(OR(N167="",Q167=""),"",Q167-N167)</x:f>
      </x:c>
      <x:c r="V167" s="202" t="str">
        <x:f>IFERROR(Q167/N167,"")</x:f>
      </x:c>
      <x:c r="W167" s="137" t="str"/>
      <x:c r="X167" s="137" t="str"/>
      <x:c r="Y167" s="137" t="str"/>
      <x:c r="Z167" s="137" t="str"/>
      <x:c r="AA167" s="137" t="str"/>
      <x:c r="AB167" s="137" t="str"/>
      <x:c r="AC167" s="137" t="str"/>
      <x:c r="AD167" s="199" t="str"/>
    </x:row>
    <x:row r="168">
      <x:c r="A168" s="137" t="str"/>
      <x:c r="B168" s="138" t="str"/>
      <x:c r="C168" s="137" t="str"/>
      <x:c r="D168" s="137" t="str"/>
      <x:c r="E168" s="137" t="str"/>
      <x:c r="F168" s="137" t="str"/>
      <x:c r="G168" s="137" t="str"/>
      <x:c r="H168" s="137" t="str"/>
      <x:c r="I168" s="137" t="str"/>
      <x:c r="J168" s="137" t="str"/>
      <x:c r="K168" s="137" t="str"/>
      <x:c r="L168" s="160" t="str"/>
      <x:c r="M168" s="160" t="str"/>
      <x:c r="N168" s="151" t="str"/>
      <x:c r="O168" s="151" t="str"/>
      <x:c r="P168" s="151" t="str"/>
      <x:c r="Q168" s="151" t="str"/>
      <x:c r="R168" s="151" t="str"/>
      <x:c r="S168" s="151" t="str"/>
      <x:c r="T168" s="152" t="n">
        <x:f>IF(COUNTA(O168:S168)=0,"",MAX(0,IF(O168="",0,O168)+IF(P168="",0,P168)-IF(Q168="",0,Q168)-IF(R168="",0,R168)))</x:f>
        <x:v>0</x:v>
      </x:c>
      <x:c r="U168" s="152" t="str">
        <x:f>IF(OR(N168="",Q168=""),"",Q168-N168)</x:f>
      </x:c>
      <x:c r="V168" s="202" t="str">
        <x:f>IFERROR(Q168/N168,"")</x:f>
      </x:c>
      <x:c r="W168" s="137" t="str"/>
      <x:c r="X168" s="137" t="str"/>
      <x:c r="Y168" s="137" t="str"/>
      <x:c r="Z168" s="137" t="str"/>
      <x:c r="AA168" s="137" t="str"/>
      <x:c r="AB168" s="137" t="str"/>
      <x:c r="AC168" s="137" t="str"/>
      <x:c r="AD168" s="199" t="str"/>
    </x:row>
    <x:row r="169">
      <x:c r="A169" s="137" t="str"/>
      <x:c r="B169" s="138" t="str"/>
      <x:c r="C169" s="137" t="str"/>
      <x:c r="D169" s="137" t="str"/>
      <x:c r="E169" s="137" t="str"/>
      <x:c r="F169" s="137" t="str"/>
      <x:c r="G169" s="137" t="str"/>
      <x:c r="H169" s="137" t="str"/>
      <x:c r="I169" s="137" t="str"/>
      <x:c r="J169" s="137" t="str"/>
      <x:c r="K169" s="137" t="str"/>
      <x:c r="L169" s="160" t="str"/>
      <x:c r="M169" s="160" t="str"/>
      <x:c r="N169" s="151" t="str"/>
      <x:c r="O169" s="151" t="str"/>
      <x:c r="P169" s="151" t="str"/>
      <x:c r="Q169" s="151" t="str"/>
      <x:c r="R169" s="151" t="str"/>
      <x:c r="S169" s="151" t="str"/>
      <x:c r="T169" s="152" t="n">
        <x:f>IF(COUNTA(O169:S169)=0,"",MAX(0,IF(O169="",0,O169)+IF(P169="",0,P169)-IF(Q169="",0,Q169)-IF(R169="",0,R169)))</x:f>
        <x:v>0</x:v>
      </x:c>
      <x:c r="U169" s="152" t="str">
        <x:f>IF(OR(N169="",Q169=""),"",Q169-N169)</x:f>
      </x:c>
      <x:c r="V169" s="202" t="str">
        <x:f>IFERROR(Q169/N169,"")</x:f>
      </x:c>
      <x:c r="W169" s="137" t="str"/>
      <x:c r="X169" s="137" t="str"/>
      <x:c r="Y169" s="137" t="str"/>
      <x:c r="Z169" s="137" t="str"/>
      <x:c r="AA169" s="137" t="str"/>
      <x:c r="AB169" s="137" t="str"/>
      <x:c r="AC169" s="137" t="str"/>
      <x:c r="AD169" s="199" t="str"/>
    </x:row>
    <x:row r="170">
      <x:c r="A170" s="137" t="str"/>
      <x:c r="B170" s="138" t="str"/>
      <x:c r="C170" s="137" t="str"/>
      <x:c r="D170" s="137" t="str"/>
      <x:c r="E170" s="137" t="str"/>
      <x:c r="F170" s="137" t="str"/>
      <x:c r="G170" s="137" t="str"/>
      <x:c r="H170" s="137" t="str"/>
      <x:c r="I170" s="137" t="str"/>
      <x:c r="J170" s="137" t="str"/>
      <x:c r="K170" s="137" t="str"/>
      <x:c r="L170" s="160" t="str"/>
      <x:c r="M170" s="160" t="str"/>
      <x:c r="N170" s="151" t="str"/>
      <x:c r="O170" s="151" t="str"/>
      <x:c r="P170" s="151" t="str"/>
      <x:c r="Q170" s="151" t="str"/>
      <x:c r="R170" s="151" t="str"/>
      <x:c r="S170" s="151" t="str"/>
      <x:c r="T170" s="152" t="n">
        <x:f>IF(COUNTA(O170:S170)=0,"",MAX(0,IF(O170="",0,O170)+IF(P170="",0,P170)-IF(Q170="",0,Q170)-IF(R170="",0,R170)))</x:f>
        <x:v>0</x:v>
      </x:c>
      <x:c r="U170" s="152" t="str">
        <x:f>IF(OR(N170="",Q170=""),"",Q170-N170)</x:f>
      </x:c>
      <x:c r="V170" s="202" t="str">
        <x:f>IFERROR(Q170/N170,"")</x:f>
      </x:c>
      <x:c r="W170" s="137" t="str"/>
      <x:c r="X170" s="137" t="str"/>
      <x:c r="Y170" s="137" t="str"/>
      <x:c r="Z170" s="137" t="str"/>
      <x:c r="AA170" s="137" t="str"/>
      <x:c r="AB170" s="137" t="str"/>
      <x:c r="AC170" s="137" t="str"/>
      <x:c r="AD170" s="199" t="str"/>
    </x:row>
    <x:row r="171">
      <x:c r="A171" s="137" t="str"/>
      <x:c r="B171" s="138" t="str"/>
      <x:c r="C171" s="137" t="str"/>
      <x:c r="D171" s="137" t="str"/>
      <x:c r="E171" s="137" t="str"/>
      <x:c r="F171" s="137" t="str"/>
      <x:c r="G171" s="137" t="str"/>
      <x:c r="H171" s="137" t="str"/>
      <x:c r="I171" s="137" t="str"/>
      <x:c r="J171" s="137" t="str"/>
      <x:c r="K171" s="137" t="str"/>
      <x:c r="L171" s="160" t="str"/>
      <x:c r="M171" s="160" t="str"/>
      <x:c r="N171" s="151" t="str"/>
      <x:c r="O171" s="151" t="str"/>
      <x:c r="P171" s="151" t="str"/>
      <x:c r="Q171" s="151" t="str"/>
      <x:c r="R171" s="151" t="str"/>
      <x:c r="S171" s="151" t="str"/>
      <x:c r="T171" s="152" t="n">
        <x:f>IF(COUNTA(O171:S171)=0,"",MAX(0,IF(O171="",0,O171)+IF(P171="",0,P171)-IF(Q171="",0,Q171)-IF(R171="",0,R171)))</x:f>
        <x:v>0</x:v>
      </x:c>
      <x:c r="U171" s="152" t="str">
        <x:f>IF(OR(N171="",Q171=""),"",Q171-N171)</x:f>
      </x:c>
      <x:c r="V171" s="202" t="str">
        <x:f>IFERROR(Q171/N171,"")</x:f>
      </x:c>
      <x:c r="W171" s="137" t="str"/>
      <x:c r="X171" s="137" t="str"/>
      <x:c r="Y171" s="137" t="str"/>
      <x:c r="Z171" s="137" t="str"/>
      <x:c r="AA171" s="137" t="str"/>
      <x:c r="AB171" s="137" t="str"/>
      <x:c r="AC171" s="137" t="str"/>
      <x:c r="AD171" s="199" t="str"/>
    </x:row>
    <x:row r="172">
      <x:c r="A172" s="137" t="str"/>
      <x:c r="B172" s="138" t="str"/>
      <x:c r="C172" s="137" t="str"/>
      <x:c r="D172" s="137" t="str"/>
      <x:c r="E172" s="137" t="str"/>
      <x:c r="F172" s="137" t="str"/>
      <x:c r="G172" s="137" t="str"/>
      <x:c r="H172" s="137" t="str"/>
      <x:c r="I172" s="137" t="str"/>
      <x:c r="J172" s="137" t="str"/>
      <x:c r="K172" s="137" t="str"/>
      <x:c r="L172" s="160" t="str"/>
      <x:c r="M172" s="160" t="str"/>
      <x:c r="N172" s="151" t="str"/>
      <x:c r="O172" s="151" t="str"/>
      <x:c r="P172" s="151" t="str"/>
      <x:c r="Q172" s="151" t="str"/>
      <x:c r="R172" s="151" t="str"/>
      <x:c r="S172" s="151" t="str"/>
      <x:c r="T172" s="152" t="n">
        <x:f>IF(COUNTA(O172:S172)=0,"",MAX(0,IF(O172="",0,O172)+IF(P172="",0,P172)-IF(Q172="",0,Q172)-IF(R172="",0,R172)))</x:f>
        <x:v>0</x:v>
      </x:c>
      <x:c r="U172" s="152" t="str">
        <x:f>IF(OR(N172="",Q172=""),"",Q172-N172)</x:f>
      </x:c>
      <x:c r="V172" s="202" t="str">
        <x:f>IFERROR(Q172/N172,"")</x:f>
      </x:c>
      <x:c r="W172" s="137" t="str"/>
      <x:c r="X172" s="137" t="str"/>
      <x:c r="Y172" s="137" t="str"/>
      <x:c r="Z172" s="137" t="str"/>
      <x:c r="AA172" s="137" t="str"/>
      <x:c r="AB172" s="137" t="str"/>
      <x:c r="AC172" s="137" t="str"/>
      <x:c r="AD172" s="199" t="str"/>
    </x:row>
    <x:row r="173">
      <x:c r="A173" s="137" t="str"/>
      <x:c r="B173" s="138" t="str"/>
      <x:c r="C173" s="137" t="str"/>
      <x:c r="D173" s="137" t="str"/>
      <x:c r="E173" s="137" t="str"/>
      <x:c r="F173" s="137" t="str"/>
      <x:c r="G173" s="137" t="str"/>
      <x:c r="H173" s="137" t="str"/>
      <x:c r="I173" s="137" t="str"/>
      <x:c r="J173" s="137" t="str"/>
      <x:c r="K173" s="137" t="str"/>
      <x:c r="L173" s="160" t="str"/>
      <x:c r="M173" s="160" t="str"/>
      <x:c r="N173" s="151" t="str"/>
      <x:c r="O173" s="151" t="str"/>
      <x:c r="P173" s="151" t="str"/>
      <x:c r="Q173" s="151" t="str"/>
      <x:c r="R173" s="151" t="str"/>
      <x:c r="S173" s="151" t="str"/>
      <x:c r="T173" s="152" t="n">
        <x:f>IF(COUNTA(O173:S173)=0,"",MAX(0,IF(O173="",0,O173)+IF(P173="",0,P173)-IF(Q173="",0,Q173)-IF(R173="",0,R173)))</x:f>
        <x:v>0</x:v>
      </x:c>
      <x:c r="U173" s="152" t="str">
        <x:f>IF(OR(N173="",Q173=""),"",Q173-N173)</x:f>
      </x:c>
      <x:c r="V173" s="202" t="str">
        <x:f>IFERROR(Q173/N173,"")</x:f>
      </x:c>
      <x:c r="W173" s="137" t="str"/>
      <x:c r="X173" s="137" t="str"/>
      <x:c r="Y173" s="137" t="str"/>
      <x:c r="Z173" s="137" t="str"/>
      <x:c r="AA173" s="137" t="str"/>
      <x:c r="AB173" s="137" t="str"/>
      <x:c r="AC173" s="137" t="str"/>
      <x:c r="AD173" s="199" t="str"/>
    </x:row>
    <x:row r="174">
      <x:c r="A174" s="137" t="str"/>
      <x:c r="B174" s="138" t="str"/>
      <x:c r="C174" s="137" t="str"/>
      <x:c r="D174" s="137" t="str"/>
      <x:c r="E174" s="137" t="str"/>
      <x:c r="F174" s="137" t="str"/>
      <x:c r="G174" s="137" t="str"/>
      <x:c r="H174" s="137" t="str"/>
      <x:c r="I174" s="137" t="str"/>
      <x:c r="J174" s="137" t="str"/>
      <x:c r="K174" s="137" t="str"/>
      <x:c r="L174" s="160" t="str"/>
      <x:c r="M174" s="160" t="str"/>
      <x:c r="N174" s="151" t="str"/>
      <x:c r="O174" s="151" t="str"/>
      <x:c r="P174" s="151" t="str"/>
      <x:c r="Q174" s="151" t="str"/>
      <x:c r="R174" s="151" t="str"/>
      <x:c r="S174" s="151" t="str"/>
      <x:c r="T174" s="152" t="n">
        <x:f>IF(COUNTA(O174:S174)=0,"",MAX(0,IF(O174="",0,O174)+IF(P174="",0,P174)-IF(Q174="",0,Q174)-IF(R174="",0,R174)))</x:f>
        <x:v>0</x:v>
      </x:c>
      <x:c r="U174" s="152" t="str">
        <x:f>IF(OR(N174="",Q174=""),"",Q174-N174)</x:f>
      </x:c>
      <x:c r="V174" s="202" t="str">
        <x:f>IFERROR(Q174/N174,"")</x:f>
      </x:c>
      <x:c r="W174" s="137" t="str"/>
      <x:c r="X174" s="137" t="str"/>
      <x:c r="Y174" s="137" t="str"/>
      <x:c r="Z174" s="137" t="str"/>
      <x:c r="AA174" s="137" t="str"/>
      <x:c r="AB174" s="137" t="str"/>
      <x:c r="AC174" s="137" t="str"/>
      <x:c r="AD174" s="199" t="str"/>
    </x:row>
    <x:row r="175">
      <x:c r="A175" s="137" t="str"/>
      <x:c r="B175" s="138" t="str"/>
      <x:c r="C175" s="137" t="str"/>
      <x:c r="D175" s="137" t="str"/>
      <x:c r="E175" s="137" t="str"/>
      <x:c r="F175" s="137" t="str"/>
      <x:c r="G175" s="137" t="str"/>
      <x:c r="H175" s="137" t="str"/>
      <x:c r="I175" s="137" t="str"/>
      <x:c r="J175" s="137" t="str"/>
      <x:c r="K175" s="137" t="str"/>
      <x:c r="L175" s="160" t="str"/>
      <x:c r="M175" s="160" t="str"/>
      <x:c r="N175" s="151" t="str"/>
      <x:c r="O175" s="151" t="str"/>
      <x:c r="P175" s="151" t="str"/>
      <x:c r="Q175" s="151" t="str"/>
      <x:c r="R175" s="151" t="str"/>
      <x:c r="S175" s="151" t="str"/>
      <x:c r="T175" s="152" t="n">
        <x:f>IF(COUNTA(O175:S175)=0,"",MAX(0,IF(O175="",0,O175)+IF(P175="",0,P175)-IF(Q175="",0,Q175)-IF(R175="",0,R175)))</x:f>
        <x:v>0</x:v>
      </x:c>
      <x:c r="U175" s="152" t="str">
        <x:f>IF(OR(N175="",Q175=""),"",Q175-N175)</x:f>
      </x:c>
      <x:c r="V175" s="202" t="str">
        <x:f>IFERROR(Q175/N175,"")</x:f>
      </x:c>
      <x:c r="W175" s="137" t="str"/>
      <x:c r="X175" s="137" t="str"/>
      <x:c r="Y175" s="137" t="str"/>
      <x:c r="Z175" s="137" t="str"/>
      <x:c r="AA175" s="137" t="str"/>
      <x:c r="AB175" s="137" t="str"/>
      <x:c r="AC175" s="137" t="str"/>
      <x:c r="AD175" s="199" t="str"/>
    </x:row>
    <x:row r="176">
      <x:c r="A176" s="137" t="str"/>
      <x:c r="B176" s="138" t="str"/>
      <x:c r="C176" s="137" t="str"/>
      <x:c r="D176" s="137" t="str"/>
      <x:c r="E176" s="137" t="str"/>
      <x:c r="F176" s="137" t="str"/>
      <x:c r="G176" s="137" t="str"/>
      <x:c r="H176" s="137" t="str"/>
      <x:c r="I176" s="137" t="str"/>
      <x:c r="J176" s="137" t="str"/>
      <x:c r="K176" s="137" t="str"/>
      <x:c r="L176" s="160" t="str"/>
      <x:c r="M176" s="160" t="str"/>
      <x:c r="N176" s="151" t="str"/>
      <x:c r="O176" s="151" t="str"/>
      <x:c r="P176" s="151" t="str"/>
      <x:c r="Q176" s="151" t="str"/>
      <x:c r="R176" s="151" t="str"/>
      <x:c r="S176" s="151" t="str"/>
      <x:c r="T176" s="152" t="n">
        <x:f>IF(COUNTA(O176:S176)=0,"",MAX(0,IF(O176="",0,O176)+IF(P176="",0,P176)-IF(Q176="",0,Q176)-IF(R176="",0,R176)))</x:f>
        <x:v>0</x:v>
      </x:c>
      <x:c r="U176" s="152" t="str">
        <x:f>IF(OR(N176="",Q176=""),"",Q176-N176)</x:f>
      </x:c>
      <x:c r="V176" s="202" t="str">
        <x:f>IFERROR(Q176/N176,"")</x:f>
      </x:c>
      <x:c r="W176" s="137" t="str"/>
      <x:c r="X176" s="137" t="str"/>
      <x:c r="Y176" s="137" t="str"/>
      <x:c r="Z176" s="137" t="str"/>
      <x:c r="AA176" s="137" t="str"/>
      <x:c r="AB176" s="137" t="str"/>
      <x:c r="AC176" s="137" t="str"/>
      <x:c r="AD176" s="199" t="str"/>
    </x:row>
    <x:row r="177">
      <x:c r="A177" s="137" t="str"/>
      <x:c r="B177" s="138" t="str"/>
      <x:c r="C177" s="137" t="str"/>
      <x:c r="D177" s="137" t="str"/>
      <x:c r="E177" s="137" t="str"/>
      <x:c r="F177" s="137" t="str"/>
      <x:c r="G177" s="137" t="str"/>
      <x:c r="H177" s="137" t="str"/>
      <x:c r="I177" s="137" t="str"/>
      <x:c r="J177" s="137" t="str"/>
      <x:c r="K177" s="137" t="str"/>
      <x:c r="L177" s="160" t="str"/>
      <x:c r="M177" s="160" t="str"/>
      <x:c r="N177" s="151" t="str"/>
      <x:c r="O177" s="151" t="str"/>
      <x:c r="P177" s="151" t="str"/>
      <x:c r="Q177" s="151" t="str"/>
      <x:c r="R177" s="151" t="str"/>
      <x:c r="S177" s="151" t="str"/>
      <x:c r="T177" s="152" t="n">
        <x:f>IF(COUNTA(O177:S177)=0,"",MAX(0,IF(O177="",0,O177)+IF(P177="",0,P177)-IF(Q177="",0,Q177)-IF(R177="",0,R177)))</x:f>
        <x:v>0</x:v>
      </x:c>
      <x:c r="U177" s="152" t="str">
        <x:f>IF(OR(N177="",Q177=""),"",Q177-N177)</x:f>
      </x:c>
      <x:c r="V177" s="202" t="str">
        <x:f>IFERROR(Q177/N177,"")</x:f>
      </x:c>
      <x:c r="W177" s="137" t="str"/>
      <x:c r="X177" s="137" t="str"/>
      <x:c r="Y177" s="137" t="str"/>
      <x:c r="Z177" s="137" t="str"/>
      <x:c r="AA177" s="137" t="str"/>
      <x:c r="AB177" s="137" t="str"/>
      <x:c r="AC177" s="137" t="str"/>
      <x:c r="AD177" s="199" t="str"/>
    </x:row>
    <x:row r="178">
      <x:c r="A178" s="137" t="str"/>
      <x:c r="B178" s="138" t="str"/>
      <x:c r="C178" s="137" t="str"/>
      <x:c r="D178" s="137" t="str"/>
      <x:c r="E178" s="137" t="str"/>
      <x:c r="F178" s="137" t="str"/>
      <x:c r="G178" s="137" t="str"/>
      <x:c r="H178" s="137" t="str"/>
      <x:c r="I178" s="137" t="str"/>
      <x:c r="J178" s="137" t="str"/>
      <x:c r="K178" s="137" t="str"/>
      <x:c r="L178" s="160" t="str"/>
      <x:c r="M178" s="160" t="str"/>
      <x:c r="N178" s="151" t="str"/>
      <x:c r="O178" s="151" t="str"/>
      <x:c r="P178" s="151" t="str"/>
      <x:c r="Q178" s="151" t="str"/>
      <x:c r="R178" s="151" t="str"/>
      <x:c r="S178" s="151" t="str"/>
      <x:c r="T178" s="152" t="n">
        <x:f>IF(COUNTA(O178:S178)=0,"",MAX(0,IF(O178="",0,O178)+IF(P178="",0,P178)-IF(Q178="",0,Q178)-IF(R178="",0,R178)))</x:f>
        <x:v>0</x:v>
      </x:c>
      <x:c r="U178" s="152" t="str">
        <x:f>IF(OR(N178="",Q178=""),"",Q178-N178)</x:f>
      </x:c>
      <x:c r="V178" s="202" t="str">
        <x:f>IFERROR(Q178/N178,"")</x:f>
      </x:c>
      <x:c r="W178" s="137" t="str"/>
      <x:c r="X178" s="137" t="str"/>
      <x:c r="Y178" s="137" t="str"/>
      <x:c r="Z178" s="137" t="str"/>
      <x:c r="AA178" s="137" t="str"/>
      <x:c r="AB178" s="137" t="str"/>
      <x:c r="AC178" s="137" t="str"/>
      <x:c r="AD178" s="199" t="str"/>
    </x:row>
    <x:row r="179">
      <x:c r="A179" s="137" t="str"/>
      <x:c r="B179" s="138" t="str"/>
      <x:c r="C179" s="137" t="str"/>
      <x:c r="D179" s="137" t="str"/>
      <x:c r="E179" s="137" t="str"/>
      <x:c r="F179" s="137" t="str"/>
      <x:c r="G179" s="137" t="str"/>
      <x:c r="H179" s="137" t="str"/>
      <x:c r="I179" s="137" t="str"/>
      <x:c r="J179" s="137" t="str"/>
      <x:c r="K179" s="137" t="str"/>
      <x:c r="L179" s="160" t="str"/>
      <x:c r="M179" s="160" t="str"/>
      <x:c r="N179" s="151" t="str"/>
      <x:c r="O179" s="151" t="str"/>
      <x:c r="P179" s="151" t="str"/>
      <x:c r="Q179" s="151" t="str"/>
      <x:c r="R179" s="151" t="str"/>
      <x:c r="S179" s="151" t="str"/>
      <x:c r="T179" s="152" t="n">
        <x:f>IF(COUNTA(O179:S179)=0,"",MAX(0,IF(O179="",0,O179)+IF(P179="",0,P179)-IF(Q179="",0,Q179)-IF(R179="",0,R179)))</x:f>
        <x:v>0</x:v>
      </x:c>
      <x:c r="U179" s="152" t="str">
        <x:f>IF(OR(N179="",Q179=""),"",Q179-N179)</x:f>
      </x:c>
      <x:c r="V179" s="202" t="str">
        <x:f>IFERROR(Q179/N179,"")</x:f>
      </x:c>
      <x:c r="W179" s="137" t="str"/>
      <x:c r="X179" s="137" t="str"/>
      <x:c r="Y179" s="137" t="str"/>
      <x:c r="Z179" s="137" t="str"/>
      <x:c r="AA179" s="137" t="str"/>
      <x:c r="AB179" s="137" t="str"/>
      <x:c r="AC179" s="137" t="str"/>
      <x:c r="AD179" s="199" t="str"/>
    </x:row>
    <x:row r="180">
      <x:c r="A180" s="137" t="str"/>
      <x:c r="B180" s="138" t="str"/>
      <x:c r="C180" s="137" t="str"/>
      <x:c r="D180" s="137" t="str"/>
      <x:c r="E180" s="137" t="str"/>
      <x:c r="F180" s="137" t="str"/>
      <x:c r="G180" s="137" t="str"/>
      <x:c r="H180" s="137" t="str"/>
      <x:c r="I180" s="137" t="str"/>
      <x:c r="J180" s="137" t="str"/>
      <x:c r="K180" s="137" t="str"/>
      <x:c r="L180" s="160" t="str"/>
      <x:c r="M180" s="160" t="str"/>
      <x:c r="N180" s="151" t="str"/>
      <x:c r="O180" s="151" t="str"/>
      <x:c r="P180" s="151" t="str"/>
      <x:c r="Q180" s="151" t="str"/>
      <x:c r="R180" s="151" t="str"/>
      <x:c r="S180" s="151" t="str"/>
      <x:c r="T180" s="152" t="n">
        <x:f>IF(COUNTA(O180:S180)=0,"",MAX(0,IF(O180="",0,O180)+IF(P180="",0,P180)-IF(Q180="",0,Q180)-IF(R180="",0,R180)))</x:f>
        <x:v>0</x:v>
      </x:c>
      <x:c r="U180" s="152" t="str">
        <x:f>IF(OR(N180="",Q180=""),"",Q180-N180)</x:f>
      </x:c>
      <x:c r="V180" s="202" t="str">
        <x:f>IFERROR(Q180/N180,"")</x:f>
      </x:c>
      <x:c r="W180" s="137" t="str"/>
      <x:c r="X180" s="137" t="str"/>
      <x:c r="Y180" s="137" t="str"/>
      <x:c r="Z180" s="137" t="str"/>
      <x:c r="AA180" s="137" t="str"/>
      <x:c r="AB180" s="137" t="str"/>
      <x:c r="AC180" s="137" t="str"/>
      <x:c r="AD180" s="199" t="str"/>
    </x:row>
    <x:row r="181">
      <x:c r="A181" s="137" t="str"/>
      <x:c r="B181" s="138" t="str"/>
      <x:c r="C181" s="137" t="str"/>
      <x:c r="D181" s="137" t="str"/>
      <x:c r="E181" s="137" t="str"/>
      <x:c r="F181" s="137" t="str"/>
      <x:c r="G181" s="137" t="str"/>
      <x:c r="H181" s="137" t="str"/>
      <x:c r="I181" s="137" t="str"/>
      <x:c r="J181" s="137" t="str"/>
      <x:c r="K181" s="137" t="str"/>
      <x:c r="L181" s="160" t="str"/>
      <x:c r="M181" s="160" t="str"/>
      <x:c r="N181" s="151" t="str"/>
      <x:c r="O181" s="151" t="str"/>
      <x:c r="P181" s="151" t="str"/>
      <x:c r="Q181" s="151" t="str"/>
      <x:c r="R181" s="151" t="str"/>
      <x:c r="S181" s="151" t="str"/>
      <x:c r="T181" s="152" t="n">
        <x:f>IF(COUNTA(O181:S181)=0,"",MAX(0,IF(O181="",0,O181)+IF(P181="",0,P181)-IF(Q181="",0,Q181)-IF(R181="",0,R181)))</x:f>
        <x:v>0</x:v>
      </x:c>
      <x:c r="U181" s="152" t="str">
        <x:f>IF(OR(N181="",Q181=""),"",Q181-N181)</x:f>
      </x:c>
      <x:c r="V181" s="202" t="str">
        <x:f>IFERROR(Q181/N181,"")</x:f>
      </x:c>
      <x:c r="W181" s="137" t="str"/>
      <x:c r="X181" s="137" t="str"/>
      <x:c r="Y181" s="137" t="str"/>
      <x:c r="Z181" s="137" t="str"/>
      <x:c r="AA181" s="137" t="str"/>
      <x:c r="AB181" s="137" t="str"/>
      <x:c r="AC181" s="137" t="str"/>
      <x:c r="AD181" s="199" t="str"/>
    </x:row>
    <x:row r="182">
      <x:c r="A182" s="137" t="str"/>
      <x:c r="B182" s="138" t="str"/>
      <x:c r="C182" s="137" t="str"/>
      <x:c r="D182" s="137" t="str"/>
      <x:c r="E182" s="137" t="str"/>
      <x:c r="F182" s="137" t="str"/>
      <x:c r="G182" s="137" t="str"/>
      <x:c r="H182" s="137" t="str"/>
      <x:c r="I182" s="137" t="str"/>
      <x:c r="J182" s="137" t="str"/>
      <x:c r="K182" s="137" t="str"/>
      <x:c r="L182" s="160" t="str"/>
      <x:c r="M182" s="160" t="str"/>
      <x:c r="N182" s="151" t="str"/>
      <x:c r="O182" s="151" t="str"/>
      <x:c r="P182" s="151" t="str"/>
      <x:c r="Q182" s="151" t="str"/>
      <x:c r="R182" s="151" t="str"/>
      <x:c r="S182" s="151" t="str"/>
      <x:c r="T182" s="152" t="n">
        <x:f>IF(COUNTA(O182:S182)=0,"",MAX(0,IF(O182="",0,O182)+IF(P182="",0,P182)-IF(Q182="",0,Q182)-IF(R182="",0,R182)))</x:f>
        <x:v>0</x:v>
      </x:c>
      <x:c r="U182" s="152" t="str">
        <x:f>IF(OR(N182="",Q182=""),"",Q182-N182)</x:f>
      </x:c>
      <x:c r="V182" s="202" t="str">
        <x:f>IFERROR(Q182/N182,"")</x:f>
      </x:c>
      <x:c r="W182" s="137" t="str"/>
      <x:c r="X182" s="137" t="str"/>
      <x:c r="Y182" s="137" t="str"/>
      <x:c r="Z182" s="137" t="str"/>
      <x:c r="AA182" s="137" t="str"/>
      <x:c r="AB182" s="137" t="str"/>
      <x:c r="AC182" s="137" t="str"/>
      <x:c r="AD182" s="199" t="str"/>
    </x:row>
    <x:row r="183">
      <x:c r="A183" s="137" t="str"/>
      <x:c r="B183" s="138" t="str"/>
      <x:c r="C183" s="137" t="str"/>
      <x:c r="D183" s="137" t="str"/>
      <x:c r="E183" s="137" t="str"/>
      <x:c r="F183" s="137" t="str"/>
      <x:c r="G183" s="137" t="str"/>
      <x:c r="H183" s="137" t="str"/>
      <x:c r="I183" s="137" t="str"/>
      <x:c r="J183" s="137" t="str"/>
      <x:c r="K183" s="137" t="str"/>
      <x:c r="L183" s="160" t="str"/>
      <x:c r="M183" s="160" t="str"/>
      <x:c r="N183" s="151" t="str"/>
      <x:c r="O183" s="151" t="str"/>
      <x:c r="P183" s="151" t="str"/>
      <x:c r="Q183" s="151" t="str"/>
      <x:c r="R183" s="151" t="str"/>
      <x:c r="S183" s="151" t="str"/>
      <x:c r="T183" s="152" t="n">
        <x:f>IF(COUNTA(O183:S183)=0,"",MAX(0,IF(O183="",0,O183)+IF(P183="",0,P183)-IF(Q183="",0,Q183)-IF(R183="",0,R183)))</x:f>
        <x:v>0</x:v>
      </x:c>
      <x:c r="U183" s="152" t="str">
        <x:f>IF(OR(N183="",Q183=""),"",Q183-N183)</x:f>
      </x:c>
      <x:c r="V183" s="202" t="str">
        <x:f>IFERROR(Q183/N183,"")</x:f>
      </x:c>
      <x:c r="W183" s="137" t="str"/>
      <x:c r="X183" s="137" t="str"/>
      <x:c r="Y183" s="137" t="str"/>
      <x:c r="Z183" s="137" t="str"/>
      <x:c r="AA183" s="137" t="str"/>
      <x:c r="AB183" s="137" t="str"/>
      <x:c r="AC183" s="137" t="str"/>
      <x:c r="AD183" s="199" t="str"/>
    </x:row>
    <x:row r="184">
      <x:c r="A184" s="137" t="str"/>
      <x:c r="B184" s="138" t="str"/>
      <x:c r="C184" s="137" t="str"/>
      <x:c r="D184" s="137" t="str"/>
      <x:c r="E184" s="137" t="str"/>
      <x:c r="F184" s="137" t="str"/>
      <x:c r="G184" s="137" t="str"/>
      <x:c r="H184" s="137" t="str"/>
      <x:c r="I184" s="137" t="str"/>
      <x:c r="J184" s="137" t="str"/>
      <x:c r="K184" s="137" t="str"/>
      <x:c r="L184" s="160" t="str"/>
      <x:c r="M184" s="160" t="str"/>
      <x:c r="N184" s="151" t="str"/>
      <x:c r="O184" s="151" t="str"/>
      <x:c r="P184" s="151" t="str"/>
      <x:c r="Q184" s="151" t="str"/>
      <x:c r="R184" s="151" t="str"/>
      <x:c r="S184" s="151" t="str"/>
      <x:c r="T184" s="152" t="n">
        <x:f>IF(COUNTA(O184:S184)=0,"",MAX(0,IF(O184="",0,O184)+IF(P184="",0,P184)-IF(Q184="",0,Q184)-IF(R184="",0,R184)))</x:f>
        <x:v>0</x:v>
      </x:c>
      <x:c r="U184" s="152" t="str">
        <x:f>IF(OR(N184="",Q184=""),"",Q184-N184)</x:f>
      </x:c>
      <x:c r="V184" s="202" t="str">
        <x:f>IFERROR(Q184/N184,"")</x:f>
      </x:c>
      <x:c r="W184" s="137" t="str"/>
      <x:c r="X184" s="137" t="str"/>
      <x:c r="Y184" s="137" t="str"/>
      <x:c r="Z184" s="137" t="str"/>
      <x:c r="AA184" s="137" t="str"/>
      <x:c r="AB184" s="137" t="str"/>
      <x:c r="AC184" s="137" t="str"/>
      <x:c r="AD184" s="199" t="str"/>
    </x:row>
    <x:row r="185">
      <x:c r="A185" s="137" t="str"/>
      <x:c r="B185" s="138" t="str"/>
      <x:c r="C185" s="137" t="str"/>
      <x:c r="D185" s="137" t="str"/>
      <x:c r="E185" s="137" t="str"/>
      <x:c r="F185" s="137" t="str"/>
      <x:c r="G185" s="137" t="str"/>
      <x:c r="H185" s="137" t="str"/>
      <x:c r="I185" s="137" t="str"/>
      <x:c r="J185" s="137" t="str"/>
      <x:c r="K185" s="137" t="str"/>
      <x:c r="L185" s="160" t="str"/>
      <x:c r="M185" s="160" t="str"/>
      <x:c r="N185" s="151" t="str"/>
      <x:c r="O185" s="151" t="str"/>
      <x:c r="P185" s="151" t="str"/>
      <x:c r="Q185" s="151" t="str"/>
      <x:c r="R185" s="151" t="str"/>
      <x:c r="S185" s="151" t="str"/>
      <x:c r="T185" s="152" t="n">
        <x:f>IF(COUNTA(O185:S185)=0,"",MAX(0,IF(O185="",0,O185)+IF(P185="",0,P185)-IF(Q185="",0,Q185)-IF(R185="",0,R185)))</x:f>
        <x:v>0</x:v>
      </x:c>
      <x:c r="U185" s="152" t="str">
        <x:f>IF(OR(N185="",Q185=""),"",Q185-N185)</x:f>
      </x:c>
      <x:c r="V185" s="202" t="str">
        <x:f>IFERROR(Q185/N185,"")</x:f>
      </x:c>
      <x:c r="W185" s="137" t="str"/>
      <x:c r="X185" s="137" t="str"/>
      <x:c r="Y185" s="137" t="str"/>
      <x:c r="Z185" s="137" t="str"/>
      <x:c r="AA185" s="137" t="str"/>
      <x:c r="AB185" s="137" t="str"/>
      <x:c r="AC185" s="137" t="str"/>
      <x:c r="AD185" s="199" t="str"/>
    </x:row>
    <x:row r="186">
      <x:c r="A186" s="137" t="str"/>
      <x:c r="B186" s="138" t="str"/>
      <x:c r="C186" s="137" t="str"/>
      <x:c r="D186" s="137" t="str"/>
      <x:c r="E186" s="137" t="str"/>
      <x:c r="F186" s="137" t="str"/>
      <x:c r="G186" s="137" t="str"/>
      <x:c r="H186" s="137" t="str"/>
      <x:c r="I186" s="137" t="str"/>
      <x:c r="J186" s="137" t="str"/>
      <x:c r="K186" s="137" t="str"/>
      <x:c r="L186" s="160" t="str"/>
      <x:c r="M186" s="160" t="str"/>
      <x:c r="N186" s="151" t="str"/>
      <x:c r="O186" s="151" t="str"/>
      <x:c r="P186" s="151" t="str"/>
      <x:c r="Q186" s="151" t="str"/>
      <x:c r="R186" s="151" t="str"/>
      <x:c r="S186" s="151" t="str"/>
      <x:c r="T186" s="152" t="n">
        <x:f>IF(COUNTA(O186:S186)=0,"",MAX(0,IF(O186="",0,O186)+IF(P186="",0,P186)-IF(Q186="",0,Q186)-IF(R186="",0,R186)))</x:f>
        <x:v>0</x:v>
      </x:c>
      <x:c r="U186" s="152" t="str">
        <x:f>IF(OR(N186="",Q186=""),"",Q186-N186)</x:f>
      </x:c>
      <x:c r="V186" s="202" t="str">
        <x:f>IFERROR(Q186/N186,"")</x:f>
      </x:c>
      <x:c r="W186" s="137" t="str"/>
      <x:c r="X186" s="137" t="str"/>
      <x:c r="Y186" s="137" t="str"/>
      <x:c r="Z186" s="137" t="str"/>
      <x:c r="AA186" s="137" t="str"/>
      <x:c r="AB186" s="137" t="str"/>
      <x:c r="AC186" s="137" t="str"/>
      <x:c r="AD186" s="199" t="str"/>
    </x:row>
    <x:row r="187">
      <x:c r="A187" s="137" t="str"/>
      <x:c r="B187" s="138" t="str"/>
      <x:c r="C187" s="137" t="str"/>
      <x:c r="D187" s="137" t="str"/>
      <x:c r="E187" s="137" t="str"/>
      <x:c r="F187" s="137" t="str"/>
      <x:c r="G187" s="137" t="str"/>
      <x:c r="H187" s="137" t="str"/>
      <x:c r="I187" s="137" t="str"/>
      <x:c r="J187" s="137" t="str"/>
      <x:c r="K187" s="137" t="str"/>
      <x:c r="L187" s="160" t="str"/>
      <x:c r="M187" s="160" t="str"/>
      <x:c r="N187" s="151" t="str"/>
      <x:c r="O187" s="151" t="str"/>
      <x:c r="P187" s="151" t="str"/>
      <x:c r="Q187" s="151" t="str"/>
      <x:c r="R187" s="151" t="str"/>
      <x:c r="S187" s="151" t="str"/>
      <x:c r="T187" s="152" t="n">
        <x:f>IF(COUNTA(O187:S187)=0,"",MAX(0,IF(O187="",0,O187)+IF(P187="",0,P187)-IF(Q187="",0,Q187)-IF(R187="",0,R187)))</x:f>
        <x:v>0</x:v>
      </x:c>
      <x:c r="U187" s="152" t="str">
        <x:f>IF(OR(N187="",Q187=""),"",Q187-N187)</x:f>
      </x:c>
      <x:c r="V187" s="202" t="str">
        <x:f>IFERROR(Q187/N187,"")</x:f>
      </x:c>
      <x:c r="W187" s="137" t="str"/>
      <x:c r="X187" s="137" t="str"/>
      <x:c r="Y187" s="137" t="str"/>
      <x:c r="Z187" s="137" t="str"/>
      <x:c r="AA187" s="137" t="str"/>
      <x:c r="AB187" s="137" t="str"/>
      <x:c r="AC187" s="137" t="str"/>
      <x:c r="AD187" s="199" t="str"/>
    </x:row>
    <x:row r="188">
      <x:c r="A188" s="137" t="str"/>
      <x:c r="B188" s="138" t="str"/>
      <x:c r="C188" s="137" t="str"/>
      <x:c r="D188" s="137" t="str"/>
      <x:c r="E188" s="137" t="str"/>
      <x:c r="F188" s="137" t="str"/>
      <x:c r="G188" s="137" t="str"/>
      <x:c r="H188" s="137" t="str"/>
      <x:c r="I188" s="137" t="str"/>
      <x:c r="J188" s="137" t="str"/>
      <x:c r="K188" s="137" t="str"/>
      <x:c r="L188" s="160" t="str"/>
      <x:c r="M188" s="160" t="str"/>
      <x:c r="N188" s="151" t="str"/>
      <x:c r="O188" s="151" t="str"/>
      <x:c r="P188" s="151" t="str"/>
      <x:c r="Q188" s="151" t="str"/>
      <x:c r="R188" s="151" t="str"/>
      <x:c r="S188" s="151" t="str"/>
      <x:c r="T188" s="152" t="n">
        <x:f>IF(COUNTA(O188:S188)=0,"",MAX(0,IF(O188="",0,O188)+IF(P188="",0,P188)-IF(Q188="",0,Q188)-IF(R188="",0,R188)))</x:f>
        <x:v>0</x:v>
      </x:c>
      <x:c r="U188" s="152" t="str">
        <x:f>IF(OR(N188="",Q188=""),"",Q188-N188)</x:f>
      </x:c>
      <x:c r="V188" s="202" t="str">
        <x:f>IFERROR(Q188/N188,"")</x:f>
      </x:c>
      <x:c r="W188" s="137" t="str"/>
      <x:c r="X188" s="137" t="str"/>
      <x:c r="Y188" s="137" t="str"/>
      <x:c r="Z188" s="137" t="str"/>
      <x:c r="AA188" s="137" t="str"/>
      <x:c r="AB188" s="137" t="str"/>
      <x:c r="AC188" s="137" t="str"/>
      <x:c r="AD188" s="199" t="str"/>
    </x:row>
    <x:row r="189">
      <x:c r="A189" s="137" t="str"/>
      <x:c r="B189" s="138" t="str"/>
      <x:c r="C189" s="137" t="str"/>
      <x:c r="D189" s="137" t="str"/>
      <x:c r="E189" s="137" t="str"/>
      <x:c r="F189" s="137" t="str"/>
      <x:c r="G189" s="137" t="str"/>
      <x:c r="H189" s="137" t="str"/>
      <x:c r="I189" s="137" t="str"/>
      <x:c r="J189" s="137" t="str"/>
      <x:c r="K189" s="137" t="str"/>
      <x:c r="L189" s="160" t="str"/>
      <x:c r="M189" s="160" t="str"/>
      <x:c r="N189" s="151" t="str"/>
      <x:c r="O189" s="151" t="str"/>
      <x:c r="P189" s="151" t="str"/>
      <x:c r="Q189" s="151" t="str"/>
      <x:c r="R189" s="151" t="str"/>
      <x:c r="S189" s="151" t="str"/>
      <x:c r="T189" s="152" t="n">
        <x:f>IF(COUNTA(O189:S189)=0,"",MAX(0,IF(O189="",0,O189)+IF(P189="",0,P189)-IF(Q189="",0,Q189)-IF(R189="",0,R189)))</x:f>
        <x:v>0</x:v>
      </x:c>
      <x:c r="U189" s="152" t="str">
        <x:f>IF(OR(N189="",Q189=""),"",Q189-N189)</x:f>
      </x:c>
      <x:c r="V189" s="202" t="str">
        <x:f>IFERROR(Q189/N189,"")</x:f>
      </x:c>
      <x:c r="W189" s="137" t="str"/>
      <x:c r="X189" s="137" t="str"/>
      <x:c r="Y189" s="137" t="str"/>
      <x:c r="Z189" s="137" t="str"/>
      <x:c r="AA189" s="137" t="str"/>
      <x:c r="AB189" s="137" t="str"/>
      <x:c r="AC189" s="137" t="str"/>
      <x:c r="AD189" s="199" t="str"/>
    </x:row>
    <x:row r="190">
      <x:c r="A190" s="137" t="str"/>
      <x:c r="B190" s="138" t="str"/>
      <x:c r="C190" s="137" t="str"/>
      <x:c r="D190" s="137" t="str"/>
      <x:c r="E190" s="137" t="str"/>
      <x:c r="F190" s="137" t="str"/>
      <x:c r="G190" s="137" t="str"/>
      <x:c r="H190" s="137" t="str"/>
      <x:c r="I190" s="137" t="str"/>
      <x:c r="J190" s="137" t="str"/>
      <x:c r="K190" s="137" t="str"/>
      <x:c r="L190" s="160" t="str"/>
      <x:c r="M190" s="160" t="str"/>
      <x:c r="N190" s="151" t="str"/>
      <x:c r="O190" s="151" t="str"/>
      <x:c r="P190" s="151" t="str"/>
      <x:c r="Q190" s="151" t="str"/>
      <x:c r="R190" s="151" t="str"/>
      <x:c r="S190" s="151" t="str"/>
      <x:c r="T190" s="152" t="n">
        <x:f>IF(COUNTA(O190:S190)=0,"",MAX(0,IF(O190="",0,O190)+IF(P190="",0,P190)-IF(Q190="",0,Q190)-IF(R190="",0,R190)))</x:f>
        <x:v>0</x:v>
      </x:c>
      <x:c r="U190" s="152" t="str">
        <x:f>IF(OR(N190="",Q190=""),"",Q190-N190)</x:f>
      </x:c>
      <x:c r="V190" s="202" t="str">
        <x:f>IFERROR(Q190/N190,"")</x:f>
      </x:c>
      <x:c r="W190" s="137" t="str"/>
      <x:c r="X190" s="137" t="str"/>
      <x:c r="Y190" s="137" t="str"/>
      <x:c r="Z190" s="137" t="str"/>
      <x:c r="AA190" s="137" t="str"/>
      <x:c r="AB190" s="137" t="str"/>
      <x:c r="AC190" s="137" t="str"/>
      <x:c r="AD190" s="199" t="str"/>
    </x:row>
    <x:row r="191">
      <x:c r="A191" s="137" t="str"/>
      <x:c r="B191" s="138" t="str"/>
      <x:c r="C191" s="137" t="str"/>
      <x:c r="D191" s="137" t="str"/>
      <x:c r="E191" s="137" t="str"/>
      <x:c r="F191" s="137" t="str"/>
      <x:c r="G191" s="137" t="str"/>
      <x:c r="H191" s="137" t="str"/>
      <x:c r="I191" s="137" t="str"/>
      <x:c r="J191" s="137" t="str"/>
      <x:c r="K191" s="137" t="str"/>
      <x:c r="L191" s="160" t="str"/>
      <x:c r="M191" s="160" t="str"/>
      <x:c r="N191" s="151" t="str"/>
      <x:c r="O191" s="151" t="str"/>
      <x:c r="P191" s="151" t="str"/>
      <x:c r="Q191" s="151" t="str"/>
      <x:c r="R191" s="151" t="str"/>
      <x:c r="S191" s="151" t="str"/>
      <x:c r="T191" s="152" t="n">
        <x:f>IF(COUNTA(O191:S191)=0,"",MAX(0,IF(O191="",0,O191)+IF(P191="",0,P191)-IF(Q191="",0,Q191)-IF(R191="",0,R191)))</x:f>
        <x:v>0</x:v>
      </x:c>
      <x:c r="U191" s="152" t="str">
        <x:f>IF(OR(N191="",Q191=""),"",Q191-N191)</x:f>
      </x:c>
      <x:c r="V191" s="202" t="str">
        <x:f>IFERROR(Q191/N191,"")</x:f>
      </x:c>
      <x:c r="W191" s="137" t="str"/>
      <x:c r="X191" s="137" t="str"/>
      <x:c r="Y191" s="137" t="str"/>
      <x:c r="Z191" s="137" t="str"/>
      <x:c r="AA191" s="137" t="str"/>
      <x:c r="AB191" s="137" t="str"/>
      <x:c r="AC191" s="137" t="str"/>
      <x:c r="AD191" s="199" t="str"/>
    </x:row>
    <x:row r="192">
      <x:c r="A192" s="137" t="str"/>
      <x:c r="B192" s="138" t="str"/>
      <x:c r="C192" s="137" t="str"/>
      <x:c r="D192" s="137" t="str"/>
      <x:c r="E192" s="137" t="str"/>
      <x:c r="F192" s="137" t="str"/>
      <x:c r="G192" s="137" t="str"/>
      <x:c r="H192" s="137" t="str"/>
      <x:c r="I192" s="137" t="str"/>
      <x:c r="J192" s="137" t="str"/>
      <x:c r="K192" s="137" t="str"/>
      <x:c r="L192" s="160" t="str"/>
      <x:c r="M192" s="160" t="str"/>
      <x:c r="N192" s="151" t="str"/>
      <x:c r="O192" s="151" t="str"/>
      <x:c r="P192" s="151" t="str"/>
      <x:c r="Q192" s="151" t="str"/>
      <x:c r="R192" s="151" t="str"/>
      <x:c r="S192" s="151" t="str"/>
      <x:c r="T192" s="152" t="n">
        <x:f>IF(COUNTA(O192:S192)=0,"",MAX(0,IF(O192="",0,O192)+IF(P192="",0,P192)-IF(Q192="",0,Q192)-IF(R192="",0,R192)))</x:f>
        <x:v>0</x:v>
      </x:c>
      <x:c r="U192" s="152" t="str">
        <x:f>IF(OR(N192="",Q192=""),"",Q192-N192)</x:f>
      </x:c>
      <x:c r="V192" s="202" t="str">
        <x:f>IFERROR(Q192/N192,"")</x:f>
      </x:c>
      <x:c r="W192" s="137" t="str"/>
      <x:c r="X192" s="137" t="str"/>
      <x:c r="Y192" s="137" t="str"/>
      <x:c r="Z192" s="137" t="str"/>
      <x:c r="AA192" s="137" t="str"/>
      <x:c r="AB192" s="137" t="str"/>
      <x:c r="AC192" s="137" t="str"/>
      <x:c r="AD192" s="199" t="str"/>
    </x:row>
    <x:row r="193">
      <x:c r="A193" s="137" t="str"/>
      <x:c r="B193" s="138" t="str"/>
      <x:c r="C193" s="137" t="str"/>
      <x:c r="D193" s="137" t="str"/>
      <x:c r="E193" s="137" t="str"/>
      <x:c r="F193" s="137" t="str"/>
      <x:c r="G193" s="137" t="str"/>
      <x:c r="H193" s="137" t="str"/>
      <x:c r="I193" s="137" t="str"/>
      <x:c r="J193" s="137" t="str"/>
      <x:c r="K193" s="137" t="str"/>
      <x:c r="L193" s="160" t="str"/>
      <x:c r="M193" s="160" t="str"/>
      <x:c r="N193" s="151" t="str"/>
      <x:c r="O193" s="151" t="str"/>
      <x:c r="P193" s="151" t="str"/>
      <x:c r="Q193" s="151" t="str"/>
      <x:c r="R193" s="151" t="str"/>
      <x:c r="S193" s="151" t="str"/>
      <x:c r="T193" s="152" t="n">
        <x:f>IF(COUNTA(O193:S193)=0,"",MAX(0,IF(O193="",0,O193)+IF(P193="",0,P193)-IF(Q193="",0,Q193)-IF(R193="",0,R193)))</x:f>
        <x:v>0</x:v>
      </x:c>
      <x:c r="U193" s="152" t="str">
        <x:f>IF(OR(N193="",Q193=""),"",Q193-N193)</x:f>
      </x:c>
      <x:c r="V193" s="202" t="str">
        <x:f>IFERROR(Q193/N193,"")</x:f>
      </x:c>
      <x:c r="W193" s="137" t="str"/>
      <x:c r="X193" s="137" t="str"/>
      <x:c r="Y193" s="137" t="str"/>
      <x:c r="Z193" s="137" t="str"/>
      <x:c r="AA193" s="137" t="str"/>
      <x:c r="AB193" s="137" t="str"/>
      <x:c r="AC193" s="137" t="str"/>
      <x:c r="AD193" s="199" t="str"/>
    </x:row>
    <x:row r="194">
      <x:c r="A194" s="137" t="str"/>
      <x:c r="B194" s="138" t="str"/>
      <x:c r="C194" s="137" t="str"/>
      <x:c r="D194" s="137" t="str"/>
      <x:c r="E194" s="137" t="str"/>
      <x:c r="F194" s="137" t="str"/>
      <x:c r="G194" s="137" t="str"/>
      <x:c r="H194" s="137" t="str"/>
      <x:c r="I194" s="137" t="str"/>
      <x:c r="J194" s="137" t="str"/>
      <x:c r="K194" s="137" t="str"/>
      <x:c r="L194" s="160" t="str"/>
      <x:c r="M194" s="160" t="str"/>
      <x:c r="N194" s="151" t="str"/>
      <x:c r="O194" s="151" t="str"/>
      <x:c r="P194" s="151" t="str"/>
      <x:c r="Q194" s="151" t="str"/>
      <x:c r="R194" s="151" t="str"/>
      <x:c r="S194" s="151" t="str"/>
      <x:c r="T194" s="152" t="n">
        <x:f>IF(COUNTA(O194:S194)=0,"",MAX(0,IF(O194="",0,O194)+IF(P194="",0,P194)-IF(Q194="",0,Q194)-IF(R194="",0,R194)))</x:f>
        <x:v>0</x:v>
      </x:c>
      <x:c r="U194" s="152" t="str">
        <x:f>IF(OR(N194="",Q194=""),"",Q194-N194)</x:f>
      </x:c>
      <x:c r="V194" s="202" t="str">
        <x:f>IFERROR(Q194/N194,"")</x:f>
      </x:c>
      <x:c r="W194" s="137" t="str"/>
      <x:c r="X194" s="137" t="str"/>
      <x:c r="Y194" s="137" t="str"/>
      <x:c r="Z194" s="137" t="str"/>
      <x:c r="AA194" s="137" t="str"/>
      <x:c r="AB194" s="137" t="str"/>
      <x:c r="AC194" s="137" t="str"/>
      <x:c r="AD194" s="199" t="str"/>
    </x:row>
    <x:row r="195">
      <x:c r="A195" s="137" t="str"/>
      <x:c r="B195" s="138" t="str"/>
      <x:c r="C195" s="137" t="str"/>
      <x:c r="D195" s="137" t="str"/>
      <x:c r="E195" s="137" t="str"/>
      <x:c r="F195" s="137" t="str"/>
      <x:c r="G195" s="137" t="str"/>
      <x:c r="H195" s="137" t="str"/>
      <x:c r="I195" s="137" t="str"/>
      <x:c r="J195" s="137" t="str"/>
      <x:c r="K195" s="137" t="str"/>
      <x:c r="L195" s="160" t="str"/>
      <x:c r="M195" s="160" t="str"/>
      <x:c r="N195" s="151" t="str"/>
      <x:c r="O195" s="151" t="str"/>
      <x:c r="P195" s="151" t="str"/>
      <x:c r="Q195" s="151" t="str"/>
      <x:c r="R195" s="151" t="str"/>
      <x:c r="S195" s="151" t="str"/>
      <x:c r="T195" s="152" t="n">
        <x:f>IF(COUNTA(O195:S195)=0,"",MAX(0,IF(O195="",0,O195)+IF(P195="",0,P195)-IF(Q195="",0,Q195)-IF(R195="",0,R195)))</x:f>
        <x:v>0</x:v>
      </x:c>
      <x:c r="U195" s="152" t="str">
        <x:f>IF(OR(N195="",Q195=""),"",Q195-N195)</x:f>
      </x:c>
      <x:c r="V195" s="202" t="str">
        <x:f>IFERROR(Q195/N195,"")</x:f>
      </x:c>
      <x:c r="W195" s="137" t="str"/>
      <x:c r="X195" s="137" t="str"/>
      <x:c r="Y195" s="137" t="str"/>
      <x:c r="Z195" s="137" t="str"/>
      <x:c r="AA195" s="137" t="str"/>
      <x:c r="AB195" s="137" t="str"/>
      <x:c r="AC195" s="137" t="str"/>
      <x:c r="AD195" s="199" t="str"/>
    </x:row>
    <x:row r="196">
      <x:c r="A196" s="137" t="str"/>
      <x:c r="B196" s="138" t="str"/>
      <x:c r="C196" s="137" t="str"/>
      <x:c r="D196" s="137" t="str"/>
      <x:c r="E196" s="137" t="str"/>
      <x:c r="F196" s="137" t="str"/>
      <x:c r="G196" s="137" t="str"/>
      <x:c r="H196" s="137" t="str"/>
      <x:c r="I196" s="137" t="str"/>
      <x:c r="J196" s="137" t="str"/>
      <x:c r="K196" s="137" t="str"/>
      <x:c r="L196" s="160" t="str"/>
      <x:c r="M196" s="160" t="str"/>
      <x:c r="N196" s="151" t="str"/>
      <x:c r="O196" s="151" t="str"/>
      <x:c r="P196" s="151" t="str"/>
      <x:c r="Q196" s="151" t="str"/>
      <x:c r="R196" s="151" t="str"/>
      <x:c r="S196" s="151" t="str"/>
      <x:c r="T196" s="152" t="n">
        <x:f>IF(COUNTA(O196:S196)=0,"",MAX(0,IF(O196="",0,O196)+IF(P196="",0,P196)-IF(Q196="",0,Q196)-IF(R196="",0,R196)))</x:f>
        <x:v>0</x:v>
      </x:c>
      <x:c r="U196" s="152" t="str">
        <x:f>IF(OR(N196="",Q196=""),"",Q196-N196)</x:f>
      </x:c>
      <x:c r="V196" s="202" t="str">
        <x:f>IFERROR(Q196/N196,"")</x:f>
      </x:c>
      <x:c r="W196" s="137" t="str"/>
      <x:c r="X196" s="137" t="str"/>
      <x:c r="Y196" s="137" t="str"/>
      <x:c r="Z196" s="137" t="str"/>
      <x:c r="AA196" s="137" t="str"/>
      <x:c r="AB196" s="137" t="str"/>
      <x:c r="AC196" s="137" t="str"/>
      <x:c r="AD196" s="199" t="str"/>
    </x:row>
    <x:row r="197">
      <x:c r="A197" s="137" t="str"/>
      <x:c r="B197" s="138" t="str"/>
      <x:c r="C197" s="137" t="str"/>
      <x:c r="D197" s="137" t="str"/>
      <x:c r="E197" s="137" t="str"/>
      <x:c r="F197" s="137" t="str"/>
      <x:c r="G197" s="137" t="str"/>
      <x:c r="H197" s="137" t="str"/>
      <x:c r="I197" s="137" t="str"/>
      <x:c r="J197" s="137" t="str"/>
      <x:c r="K197" s="137" t="str"/>
      <x:c r="L197" s="160" t="str"/>
      <x:c r="M197" s="160" t="str"/>
      <x:c r="N197" s="151" t="str"/>
      <x:c r="O197" s="151" t="str"/>
      <x:c r="P197" s="151" t="str"/>
      <x:c r="Q197" s="151" t="str"/>
      <x:c r="R197" s="151" t="str"/>
      <x:c r="S197" s="151" t="str"/>
      <x:c r="T197" s="152" t="n">
        <x:f>IF(COUNTA(O197:S197)=0,"",MAX(0,IF(O197="",0,O197)+IF(P197="",0,P197)-IF(Q197="",0,Q197)-IF(R197="",0,R197)))</x:f>
        <x:v>0</x:v>
      </x:c>
      <x:c r="U197" s="152" t="str">
        <x:f>IF(OR(N197="",Q197=""),"",Q197-N197)</x:f>
      </x:c>
      <x:c r="V197" s="202" t="str">
        <x:f>IFERROR(Q197/N197,"")</x:f>
      </x:c>
      <x:c r="W197" s="137" t="str"/>
      <x:c r="X197" s="137" t="str"/>
      <x:c r="Y197" s="137" t="str"/>
      <x:c r="Z197" s="137" t="str"/>
      <x:c r="AA197" s="137" t="str"/>
      <x:c r="AB197" s="137" t="str"/>
      <x:c r="AC197" s="137" t="str"/>
      <x:c r="AD197" s="199" t="str"/>
    </x:row>
    <x:row r="198">
      <x:c r="A198" s="137" t="str"/>
      <x:c r="B198" s="138" t="str"/>
      <x:c r="C198" s="137" t="str"/>
      <x:c r="D198" s="137" t="str"/>
      <x:c r="E198" s="137" t="str"/>
      <x:c r="F198" s="137" t="str"/>
      <x:c r="G198" s="137" t="str"/>
      <x:c r="H198" s="137" t="str"/>
      <x:c r="I198" s="137" t="str"/>
      <x:c r="J198" s="137" t="str"/>
      <x:c r="K198" s="137" t="str"/>
      <x:c r="L198" s="160" t="str"/>
      <x:c r="M198" s="160" t="str"/>
      <x:c r="N198" s="151" t="str"/>
      <x:c r="O198" s="151" t="str"/>
      <x:c r="P198" s="151" t="str"/>
      <x:c r="Q198" s="151" t="str"/>
      <x:c r="R198" s="151" t="str"/>
      <x:c r="S198" s="151" t="str"/>
      <x:c r="T198" s="152" t="n">
        <x:f>IF(COUNTA(O198:S198)=0,"",MAX(0,IF(O198="",0,O198)+IF(P198="",0,P198)-IF(Q198="",0,Q198)-IF(R198="",0,R198)))</x:f>
        <x:v>0</x:v>
      </x:c>
      <x:c r="U198" s="152" t="str">
        <x:f>IF(OR(N198="",Q198=""),"",Q198-N198)</x:f>
      </x:c>
      <x:c r="V198" s="202" t="str">
        <x:f>IFERROR(Q198/N198,"")</x:f>
      </x:c>
      <x:c r="W198" s="137" t="str"/>
      <x:c r="X198" s="137" t="str"/>
      <x:c r="Y198" s="137" t="str"/>
      <x:c r="Z198" s="137" t="str"/>
      <x:c r="AA198" s="137" t="str"/>
      <x:c r="AB198" s="137" t="str"/>
      <x:c r="AC198" s="137" t="str"/>
      <x:c r="AD198" s="199" t="str"/>
    </x:row>
    <x:row r="199">
      <x:c r="A199" s="137" t="str"/>
      <x:c r="B199" s="138" t="str"/>
      <x:c r="C199" s="137" t="str"/>
      <x:c r="D199" s="137" t="str"/>
      <x:c r="E199" s="137" t="str"/>
      <x:c r="F199" s="137" t="str"/>
      <x:c r="G199" s="137" t="str"/>
      <x:c r="H199" s="137" t="str"/>
      <x:c r="I199" s="137" t="str"/>
      <x:c r="J199" s="137" t="str"/>
      <x:c r="K199" s="137" t="str"/>
      <x:c r="L199" s="160" t="str"/>
      <x:c r="M199" s="160" t="str"/>
      <x:c r="N199" s="151" t="str"/>
      <x:c r="O199" s="151" t="str"/>
      <x:c r="P199" s="151" t="str"/>
      <x:c r="Q199" s="151" t="str"/>
      <x:c r="R199" s="151" t="str"/>
      <x:c r="S199" s="151" t="str"/>
      <x:c r="T199" s="152" t="n">
        <x:f>IF(COUNTA(O199:S199)=0,"",MAX(0,IF(O199="",0,O199)+IF(P199="",0,P199)-IF(Q199="",0,Q199)-IF(R199="",0,R199)))</x:f>
        <x:v>0</x:v>
      </x:c>
      <x:c r="U199" s="152" t="str">
        <x:f>IF(OR(N199="",Q199=""),"",Q199-N199)</x:f>
      </x:c>
      <x:c r="V199" s="202" t="str">
        <x:f>IFERROR(Q199/N199,"")</x:f>
      </x:c>
      <x:c r="W199" s="137" t="str"/>
      <x:c r="X199" s="137" t="str"/>
      <x:c r="Y199" s="137" t="str"/>
      <x:c r="Z199" s="137" t="str"/>
      <x:c r="AA199" s="137" t="str"/>
      <x:c r="AB199" s="137" t="str"/>
      <x:c r="AC199" s="137" t="str"/>
      <x:c r="AD199" s="199" t="str"/>
    </x:row>
    <x:row r="200">
      <x:c r="A200" s="137" t="str"/>
      <x:c r="B200" s="138" t="str"/>
      <x:c r="C200" s="137" t="str"/>
      <x:c r="D200" s="137" t="str"/>
      <x:c r="E200" s="137" t="str"/>
      <x:c r="F200" s="137" t="str"/>
      <x:c r="G200" s="137" t="str"/>
      <x:c r="H200" s="137" t="str"/>
      <x:c r="I200" s="137" t="str"/>
      <x:c r="J200" s="137" t="str"/>
      <x:c r="K200" s="137" t="str"/>
      <x:c r="L200" s="160" t="str"/>
      <x:c r="M200" s="160" t="str"/>
      <x:c r="N200" s="151" t="str"/>
      <x:c r="O200" s="151" t="str"/>
      <x:c r="P200" s="151" t="str"/>
      <x:c r="Q200" s="151" t="str"/>
      <x:c r="R200" s="151" t="str"/>
      <x:c r="S200" s="151" t="str"/>
      <x:c r="T200" s="152" t="n">
        <x:f>IF(COUNTA(O200:S200)=0,"",MAX(0,IF(O200="",0,O200)+IF(P200="",0,P200)-IF(Q200="",0,Q200)-IF(R200="",0,R200)))</x:f>
        <x:v>0</x:v>
      </x:c>
      <x:c r="U200" s="152" t="str">
        <x:f>IF(OR(N200="",Q200=""),"",Q200-N200)</x:f>
      </x:c>
      <x:c r="V200" s="202" t="str">
        <x:f>IFERROR(Q200/N200,"")</x:f>
      </x:c>
      <x:c r="W200" s="137" t="str"/>
      <x:c r="X200" s="137" t="str"/>
      <x:c r="Y200" s="137" t="str"/>
      <x:c r="Z200" s="137" t="str"/>
      <x:c r="AA200" s="137" t="str"/>
      <x:c r="AB200" s="137" t="str"/>
      <x:c r="AC200" s="137" t="str"/>
      <x:c r="AD200" s="199" t="str"/>
    </x:row>
    <x:row r="201">
      <x:c r="A201" s="137" t="str"/>
      <x:c r="B201" s="138" t="str"/>
      <x:c r="C201" s="137" t="str"/>
      <x:c r="D201" s="137" t="str"/>
      <x:c r="E201" s="137" t="str"/>
      <x:c r="F201" s="137" t="str"/>
      <x:c r="G201" s="137" t="str"/>
      <x:c r="H201" s="137" t="str"/>
      <x:c r="I201" s="137" t="str"/>
      <x:c r="J201" s="137" t="str"/>
      <x:c r="K201" s="137" t="str"/>
      <x:c r="L201" s="160" t="str"/>
      <x:c r="M201" s="160" t="str"/>
      <x:c r="N201" s="151" t="str"/>
      <x:c r="O201" s="151" t="str"/>
      <x:c r="P201" s="151" t="str"/>
      <x:c r="Q201" s="151" t="str"/>
      <x:c r="R201" s="151" t="str"/>
      <x:c r="S201" s="151" t="str"/>
      <x:c r="T201" s="152" t="n">
        <x:f>IF(COUNTA(O201:S201)=0,"",MAX(0,IF(O201="",0,O201)+IF(P201="",0,P201)-IF(Q201="",0,Q201)-IF(R201="",0,R201)))</x:f>
        <x:v>0</x:v>
      </x:c>
      <x:c r="U201" s="152" t="str">
        <x:f>IF(OR(N201="",Q201=""),"",Q201-N201)</x:f>
      </x:c>
      <x:c r="V201" s="202" t="str">
        <x:f>IFERROR(Q201/N201,"")</x:f>
      </x:c>
      <x:c r="W201" s="137" t="str"/>
      <x:c r="X201" s="137" t="str"/>
      <x:c r="Y201" s="137" t="str"/>
      <x:c r="Z201" s="137" t="str"/>
      <x:c r="AA201" s="137" t="str"/>
      <x:c r="AB201" s="137" t="str"/>
      <x:c r="AC201" s="137" t="str"/>
      <x:c r="AD201" s="199" t="str"/>
    </x:row>
    <x:row r="202">
      <x:c r="A202" s="137" t="str"/>
      <x:c r="B202" s="138" t="str"/>
      <x:c r="C202" s="137" t="str"/>
      <x:c r="D202" s="137" t="str"/>
      <x:c r="E202" s="137" t="str"/>
      <x:c r="F202" s="137" t="str"/>
      <x:c r="G202" s="137" t="str"/>
      <x:c r="H202" s="137" t="str"/>
      <x:c r="I202" s="137" t="str"/>
      <x:c r="J202" s="137" t="str"/>
      <x:c r="K202" s="137" t="str"/>
      <x:c r="L202" s="160" t="str"/>
      <x:c r="M202" s="160" t="str"/>
      <x:c r="N202" s="151" t="str"/>
      <x:c r="O202" s="151" t="str"/>
      <x:c r="P202" s="151" t="str"/>
      <x:c r="Q202" s="151" t="str"/>
      <x:c r="R202" s="151" t="str"/>
      <x:c r="S202" s="151" t="str"/>
      <x:c r="T202" s="152" t="n">
        <x:f>IF(COUNTA(O202:S202)=0,"",MAX(0,IF(O202="",0,O202)+IF(P202="",0,P202)-IF(Q202="",0,Q202)-IF(R202="",0,R202)))</x:f>
        <x:v>0</x:v>
      </x:c>
      <x:c r="U202" s="152" t="str">
        <x:f>IF(OR(N202="",Q202=""),"",Q202-N202)</x:f>
      </x:c>
      <x:c r="V202" s="202" t="str">
        <x:f>IFERROR(Q202/N202,"")</x:f>
      </x:c>
      <x:c r="W202" s="137" t="str"/>
      <x:c r="X202" s="137" t="str"/>
      <x:c r="Y202" s="137" t="str"/>
      <x:c r="Z202" s="137" t="str"/>
      <x:c r="AA202" s="137" t="str"/>
      <x:c r="AB202" s="137" t="str"/>
      <x:c r="AC202" s="137" t="str"/>
      <x:c r="AD202" s="199" t="str"/>
    </x:row>
    <x:row r="203">
      <x:c r="A203" s="137" t="str"/>
      <x:c r="B203" s="138" t="str"/>
      <x:c r="C203" s="137" t="str"/>
      <x:c r="D203" s="137" t="str"/>
      <x:c r="E203" s="137" t="str"/>
      <x:c r="F203" s="137" t="str"/>
      <x:c r="G203" s="137" t="str"/>
      <x:c r="H203" s="137" t="str"/>
      <x:c r="I203" s="137" t="str"/>
      <x:c r="J203" s="137" t="str"/>
      <x:c r="K203" s="137" t="str"/>
      <x:c r="L203" s="160" t="str"/>
      <x:c r="M203" s="160" t="str"/>
      <x:c r="N203" s="151" t="str"/>
      <x:c r="O203" s="151" t="str"/>
      <x:c r="P203" s="151" t="str"/>
      <x:c r="Q203" s="151" t="str"/>
      <x:c r="R203" s="151" t="str"/>
      <x:c r="S203" s="151" t="str"/>
      <x:c r="T203" s="152" t="n">
        <x:f>IF(COUNTA(O203:S203)=0,"",MAX(0,IF(O203="",0,O203)+IF(P203="",0,P203)-IF(Q203="",0,Q203)-IF(R203="",0,R203)))</x:f>
        <x:v>0</x:v>
      </x:c>
      <x:c r="U203" s="152" t="str">
        <x:f>IF(OR(N203="",Q203=""),"",Q203-N203)</x:f>
      </x:c>
      <x:c r="V203" s="202" t="str">
        <x:f>IFERROR(Q203/N203,"")</x:f>
      </x:c>
      <x:c r="W203" s="137" t="str"/>
      <x:c r="X203" s="137" t="str"/>
      <x:c r="Y203" s="137" t="str"/>
      <x:c r="Z203" s="137" t="str"/>
      <x:c r="AA203" s="137" t="str"/>
      <x:c r="AB203" s="137" t="str"/>
      <x:c r="AC203" s="137" t="str"/>
      <x:c r="AD203" s="199" t="str"/>
    </x:row>
    <x:row r="204">
      <x:c r="A204" s="137" t="str"/>
      <x:c r="B204" s="138" t="str"/>
      <x:c r="C204" s="137" t="str"/>
      <x:c r="D204" s="137" t="str"/>
      <x:c r="E204" s="137" t="str"/>
      <x:c r="F204" s="137" t="str"/>
      <x:c r="G204" s="137" t="str"/>
      <x:c r="H204" s="137" t="str"/>
      <x:c r="I204" s="137" t="str"/>
      <x:c r="J204" s="137" t="str"/>
      <x:c r="K204" s="137" t="str"/>
      <x:c r="L204" s="160" t="str"/>
      <x:c r="M204" s="160" t="str"/>
      <x:c r="N204" s="151" t="str"/>
      <x:c r="O204" s="151" t="str"/>
      <x:c r="P204" s="151" t="str"/>
      <x:c r="Q204" s="151" t="str"/>
      <x:c r="R204" s="151" t="str"/>
      <x:c r="S204" s="151" t="str"/>
      <x:c r="T204" s="152" t="n">
        <x:f>IF(COUNTA(O204:S204)=0,"",MAX(0,IF(O204="",0,O204)+IF(P204="",0,P204)-IF(Q204="",0,Q204)-IF(R204="",0,R204)))</x:f>
        <x:v>0</x:v>
      </x:c>
      <x:c r="U204" s="152" t="str">
        <x:f>IF(OR(N204="",Q204=""),"",Q204-N204)</x:f>
      </x:c>
      <x:c r="V204" s="202" t="str">
        <x:f>IFERROR(Q204/N204,"")</x:f>
      </x:c>
      <x:c r="W204" s="137" t="str"/>
      <x:c r="X204" s="137" t="str"/>
      <x:c r="Y204" s="137" t="str"/>
      <x:c r="Z204" s="137" t="str"/>
      <x:c r="AA204" s="137" t="str"/>
      <x:c r="AB204" s="137" t="str"/>
      <x:c r="AC204" s="137" t="str"/>
      <x:c r="AD204" s="199" t="str"/>
    </x:row>
    <x:row r="205">
      <x:c r="A205" s="137" t="str"/>
      <x:c r="B205" s="138" t="str"/>
      <x:c r="C205" s="137" t="str"/>
      <x:c r="D205" s="137" t="str"/>
      <x:c r="E205" s="137" t="str"/>
      <x:c r="F205" s="137" t="str"/>
      <x:c r="G205" s="137" t="str"/>
      <x:c r="H205" s="137" t="str"/>
      <x:c r="I205" s="137" t="str"/>
      <x:c r="J205" s="137" t="str"/>
      <x:c r="K205" s="137" t="str"/>
      <x:c r="L205" s="160" t="str"/>
      <x:c r="M205" s="160" t="str"/>
      <x:c r="N205" s="151" t="str"/>
      <x:c r="O205" s="151" t="str"/>
      <x:c r="P205" s="151" t="str"/>
      <x:c r="Q205" s="151" t="str"/>
      <x:c r="R205" s="151" t="str"/>
      <x:c r="S205" s="151" t="str"/>
      <x:c r="T205" s="152" t="n">
        <x:f>IF(COUNTA(O205:S205)=0,"",MAX(0,IF(O205="",0,O205)+IF(P205="",0,P205)-IF(Q205="",0,Q205)-IF(R205="",0,R205)))</x:f>
        <x:v>0</x:v>
      </x:c>
      <x:c r="U205" s="152" t="str">
        <x:f>IF(OR(N205="",Q205=""),"",Q205-N205)</x:f>
      </x:c>
      <x:c r="V205" s="202" t="str">
        <x:f>IFERROR(Q205/N205,"")</x:f>
      </x:c>
      <x:c r="W205" s="137" t="str"/>
      <x:c r="X205" s="137" t="str"/>
      <x:c r="Y205" s="137" t="str"/>
      <x:c r="Z205" s="137" t="str"/>
      <x:c r="AA205" s="137" t="str"/>
      <x:c r="AB205" s="137" t="str"/>
      <x:c r="AC205" s="137" t="str"/>
      <x:c r="AD205" s="199" t="str"/>
    </x:row>
    <x:row r="206">
      <x:c r="A206" s="137" t="str"/>
      <x:c r="B206" s="138" t="str"/>
      <x:c r="C206" s="137" t="str"/>
      <x:c r="D206" s="137" t="str"/>
      <x:c r="E206" s="137" t="str"/>
      <x:c r="F206" s="137" t="str"/>
      <x:c r="G206" s="137" t="str"/>
      <x:c r="H206" s="137" t="str"/>
      <x:c r="I206" s="137" t="str"/>
      <x:c r="J206" s="137" t="str"/>
      <x:c r="K206" s="137" t="str"/>
      <x:c r="L206" s="160" t="str"/>
      <x:c r="M206" s="160" t="str"/>
      <x:c r="N206" s="151" t="str"/>
      <x:c r="O206" s="151" t="str"/>
      <x:c r="P206" s="151" t="str"/>
      <x:c r="Q206" s="151" t="str"/>
      <x:c r="R206" s="151" t="str"/>
      <x:c r="S206" s="151" t="str"/>
      <x:c r="T206" s="152" t="n">
        <x:f>IF(COUNTA(O206:S206)=0,"",MAX(0,IF(O206="",0,O206)+IF(P206="",0,P206)-IF(Q206="",0,Q206)-IF(R206="",0,R206)))</x:f>
        <x:v>0</x:v>
      </x:c>
      <x:c r="U206" s="152" t="str">
        <x:f>IF(OR(N206="",Q206=""),"",Q206-N206)</x:f>
      </x:c>
      <x:c r="V206" s="202" t="str">
        <x:f>IFERROR(Q206/N206,"")</x:f>
      </x:c>
      <x:c r="W206" s="137" t="str"/>
      <x:c r="X206" s="137" t="str"/>
      <x:c r="Y206" s="137" t="str"/>
      <x:c r="Z206" s="137" t="str"/>
      <x:c r="AA206" s="137" t="str"/>
      <x:c r="AB206" s="137" t="str"/>
      <x:c r="AC206" s="137" t="str"/>
      <x:c r="AD206" s="199" t="str"/>
    </x:row>
    <x:row r="207">
      <x:c r="A207" s="137" t="str"/>
      <x:c r="B207" s="138" t="str"/>
      <x:c r="C207" s="137" t="str"/>
      <x:c r="D207" s="137" t="str"/>
      <x:c r="E207" s="137" t="str"/>
      <x:c r="F207" s="137" t="str"/>
      <x:c r="G207" s="137" t="str"/>
      <x:c r="H207" s="137" t="str"/>
      <x:c r="I207" s="137" t="str"/>
      <x:c r="J207" s="137" t="str"/>
      <x:c r="K207" s="137" t="str"/>
      <x:c r="L207" s="160" t="str"/>
      <x:c r="M207" s="160" t="str"/>
      <x:c r="N207" s="151" t="str"/>
      <x:c r="O207" s="151" t="str"/>
      <x:c r="P207" s="151" t="str"/>
      <x:c r="Q207" s="151" t="str"/>
      <x:c r="R207" s="151" t="str"/>
      <x:c r="S207" s="151" t="str"/>
      <x:c r="T207" s="152" t="n">
        <x:f>IF(COUNTA(O207:S207)=0,"",MAX(0,IF(O207="",0,O207)+IF(P207="",0,P207)-IF(Q207="",0,Q207)-IF(R207="",0,R207)))</x:f>
        <x:v>0</x:v>
      </x:c>
      <x:c r="U207" s="152" t="str">
        <x:f>IF(OR(N207="",Q207=""),"",Q207-N207)</x:f>
      </x:c>
      <x:c r="V207" s="202" t="str">
        <x:f>IFERROR(Q207/N207,"")</x:f>
      </x:c>
      <x:c r="W207" s="137" t="str"/>
      <x:c r="X207" s="137" t="str"/>
      <x:c r="Y207" s="137" t="str"/>
      <x:c r="Z207" s="137" t="str"/>
      <x:c r="AA207" s="137" t="str"/>
      <x:c r="AB207" s="137" t="str"/>
      <x:c r="AC207" s="137" t="str"/>
      <x:c r="AD207" s="199" t="str"/>
    </x:row>
    <x:row r="208">
      <x:c r="A208" s="137" t="str"/>
      <x:c r="B208" s="138" t="str"/>
      <x:c r="C208" s="137" t="str"/>
      <x:c r="D208" s="137" t="str"/>
      <x:c r="E208" s="137" t="str"/>
      <x:c r="F208" s="137" t="str"/>
      <x:c r="G208" s="137" t="str"/>
      <x:c r="H208" s="137" t="str"/>
      <x:c r="I208" s="137" t="str"/>
      <x:c r="J208" s="137" t="str"/>
      <x:c r="K208" s="137" t="str"/>
      <x:c r="L208" s="160" t="str"/>
      <x:c r="M208" s="160" t="str"/>
      <x:c r="N208" s="151" t="str"/>
      <x:c r="O208" s="151" t="str"/>
      <x:c r="P208" s="151" t="str"/>
      <x:c r="Q208" s="151" t="str"/>
      <x:c r="R208" s="151" t="str"/>
      <x:c r="S208" s="151" t="str"/>
      <x:c r="T208" s="152" t="n">
        <x:f>IF(COUNTA(O208:S208)=0,"",MAX(0,IF(O208="",0,O208)+IF(P208="",0,P208)-IF(Q208="",0,Q208)-IF(R208="",0,R208)))</x:f>
        <x:v>0</x:v>
      </x:c>
      <x:c r="U208" s="152" t="str">
        <x:f>IF(OR(N208="",Q208=""),"",Q208-N208)</x:f>
      </x:c>
      <x:c r="V208" s="202" t="str">
        <x:f>IFERROR(Q208/N208,"")</x:f>
      </x:c>
      <x:c r="W208" s="137" t="str"/>
      <x:c r="X208" s="137" t="str"/>
      <x:c r="Y208" s="137" t="str"/>
      <x:c r="Z208" s="137" t="str"/>
      <x:c r="AA208" s="137" t="str"/>
      <x:c r="AB208" s="137" t="str"/>
      <x:c r="AC208" s="137" t="str"/>
      <x:c r="AD208" s="199" t="str"/>
    </x:row>
    <x:row r="209">
      <x:c r="A209" s="137" t="str"/>
      <x:c r="B209" s="138" t="str"/>
      <x:c r="C209" s="137" t="str"/>
      <x:c r="D209" s="137" t="str"/>
      <x:c r="E209" s="137" t="str"/>
      <x:c r="F209" s="137" t="str"/>
      <x:c r="G209" s="137" t="str"/>
      <x:c r="H209" s="137" t="str"/>
      <x:c r="I209" s="137" t="str"/>
      <x:c r="J209" s="137" t="str"/>
      <x:c r="K209" s="137" t="str"/>
      <x:c r="L209" s="160" t="str"/>
      <x:c r="M209" s="160" t="str"/>
      <x:c r="N209" s="151" t="str"/>
      <x:c r="O209" s="151" t="str"/>
      <x:c r="P209" s="151" t="str"/>
      <x:c r="Q209" s="151" t="str"/>
      <x:c r="R209" s="151" t="str"/>
      <x:c r="S209" s="151" t="str"/>
      <x:c r="T209" s="152" t="n">
        <x:f>IF(COUNTA(O209:S209)=0,"",MAX(0,IF(O209="",0,O209)+IF(P209="",0,P209)-IF(Q209="",0,Q209)-IF(R209="",0,R209)))</x:f>
        <x:v>0</x:v>
      </x:c>
      <x:c r="U209" s="152" t="str">
        <x:f>IF(OR(N209="",Q209=""),"",Q209-N209)</x:f>
      </x:c>
      <x:c r="V209" s="202" t="str">
        <x:f>IFERROR(Q209/N209,"")</x:f>
      </x:c>
      <x:c r="W209" s="137" t="str"/>
      <x:c r="X209" s="137" t="str"/>
      <x:c r="Y209" s="137" t="str"/>
      <x:c r="Z209" s="137" t="str"/>
      <x:c r="AA209" s="137" t="str"/>
      <x:c r="AB209" s="137" t="str"/>
      <x:c r="AC209" s="137" t="str"/>
      <x:c r="AD209" s="199" t="str"/>
    </x:row>
    <x:row r="210">
      <x:c r="A210" s="137" t="str"/>
      <x:c r="B210" s="138" t="str"/>
      <x:c r="C210" s="137" t="str"/>
      <x:c r="D210" s="137" t="str"/>
      <x:c r="E210" s="137" t="str"/>
      <x:c r="F210" s="137" t="str"/>
      <x:c r="G210" s="137" t="str"/>
      <x:c r="H210" s="137" t="str"/>
      <x:c r="I210" s="137" t="str"/>
      <x:c r="J210" s="137" t="str"/>
      <x:c r="K210" s="137" t="str"/>
      <x:c r="L210" s="160" t="str"/>
      <x:c r="M210" s="160" t="str"/>
      <x:c r="N210" s="151" t="str"/>
      <x:c r="O210" s="151" t="str"/>
      <x:c r="P210" s="151" t="str"/>
      <x:c r="Q210" s="151" t="str"/>
      <x:c r="R210" s="151" t="str"/>
      <x:c r="S210" s="151" t="str"/>
      <x:c r="T210" s="152" t="n">
        <x:f>IF(COUNTA(O210:S210)=0,"",MAX(0,IF(O210="",0,O210)+IF(P210="",0,P210)-IF(Q210="",0,Q210)-IF(R210="",0,R210)))</x:f>
        <x:v>0</x:v>
      </x:c>
      <x:c r="U210" s="152" t="str">
        <x:f>IF(OR(N210="",Q210=""),"",Q210-N210)</x:f>
      </x:c>
      <x:c r="V210" s="202" t="str">
        <x:f>IFERROR(Q210/N210,"")</x:f>
      </x:c>
      <x:c r="W210" s="137" t="str"/>
      <x:c r="X210" s="137" t="str"/>
      <x:c r="Y210" s="137" t="str"/>
      <x:c r="Z210" s="137" t="str"/>
      <x:c r="AA210" s="137" t="str"/>
      <x:c r="AB210" s="137" t="str"/>
      <x:c r="AC210" s="137" t="str"/>
      <x:c r="AD210" s="199" t="str"/>
    </x:row>
    <x:row r="211">
      <x:c r="A211" s="137" t="str"/>
      <x:c r="B211" s="138" t="str"/>
      <x:c r="C211" s="137" t="str"/>
      <x:c r="D211" s="137" t="str"/>
      <x:c r="E211" s="137" t="str"/>
      <x:c r="F211" s="137" t="str"/>
      <x:c r="G211" s="137" t="str"/>
      <x:c r="H211" s="137" t="str"/>
      <x:c r="I211" s="137" t="str"/>
      <x:c r="J211" s="137" t="str"/>
      <x:c r="K211" s="137" t="str"/>
      <x:c r="L211" s="160" t="str"/>
      <x:c r="M211" s="160" t="str"/>
      <x:c r="N211" s="151" t="str"/>
      <x:c r="O211" s="151" t="str"/>
      <x:c r="P211" s="151" t="str"/>
      <x:c r="Q211" s="151" t="str"/>
      <x:c r="R211" s="151" t="str"/>
      <x:c r="S211" s="151" t="str"/>
      <x:c r="T211" s="152" t="n">
        <x:f>IF(COUNTA(O211:S211)=0,"",MAX(0,IF(O211="",0,O211)+IF(P211="",0,P211)-IF(Q211="",0,Q211)-IF(R211="",0,R211)))</x:f>
        <x:v>0</x:v>
      </x:c>
      <x:c r="U211" s="152" t="str">
        <x:f>IF(OR(N211="",Q211=""),"",Q211-N211)</x:f>
      </x:c>
      <x:c r="V211" s="202" t="str">
        <x:f>IFERROR(Q211/N211,"")</x:f>
      </x:c>
      <x:c r="W211" s="137" t="str"/>
      <x:c r="X211" s="137" t="str"/>
      <x:c r="Y211" s="137" t="str"/>
      <x:c r="Z211" s="137" t="str"/>
      <x:c r="AA211" s="137" t="str"/>
      <x:c r="AB211" s="137" t="str"/>
      <x:c r="AC211" s="137" t="str"/>
      <x:c r="AD211" s="199" t="str"/>
    </x:row>
    <x:row r="212">
      <x:c r="A212" s="137" t="str"/>
      <x:c r="B212" s="138" t="str"/>
      <x:c r="C212" s="137" t="str"/>
      <x:c r="D212" s="137" t="str"/>
      <x:c r="E212" s="137" t="str"/>
      <x:c r="F212" s="137" t="str"/>
      <x:c r="G212" s="137" t="str"/>
      <x:c r="H212" s="137" t="str"/>
      <x:c r="I212" s="137" t="str"/>
      <x:c r="J212" s="137" t="str"/>
      <x:c r="K212" s="137" t="str"/>
      <x:c r="L212" s="160" t="str"/>
      <x:c r="M212" s="160" t="str"/>
      <x:c r="N212" s="151" t="str"/>
      <x:c r="O212" s="151" t="str"/>
      <x:c r="P212" s="151" t="str"/>
      <x:c r="Q212" s="151" t="str"/>
      <x:c r="R212" s="151" t="str"/>
      <x:c r="S212" s="151" t="str"/>
      <x:c r="T212" s="152" t="n">
        <x:f>IF(COUNTA(O212:S212)=0,"",MAX(0,IF(O212="",0,O212)+IF(P212="",0,P212)-IF(Q212="",0,Q212)-IF(R212="",0,R212)))</x:f>
        <x:v>0</x:v>
      </x:c>
      <x:c r="U212" s="152" t="str">
        <x:f>IF(OR(N212="",Q212=""),"",Q212-N212)</x:f>
      </x:c>
      <x:c r="V212" s="202" t="str">
        <x:f>IFERROR(Q212/N212,"")</x:f>
      </x:c>
      <x:c r="W212" s="137" t="str"/>
      <x:c r="X212" s="137" t="str"/>
      <x:c r="Y212" s="137" t="str"/>
      <x:c r="Z212" s="137" t="str"/>
      <x:c r="AA212" s="137" t="str"/>
      <x:c r="AB212" s="137" t="str"/>
      <x:c r="AC212" s="137" t="str"/>
      <x:c r="AD212" s="199" t="str"/>
    </x:row>
    <x:row r="213">
      <x:c r="A213" s="137" t="str"/>
      <x:c r="B213" s="138" t="str"/>
      <x:c r="C213" s="137" t="str"/>
      <x:c r="D213" s="137" t="str"/>
      <x:c r="E213" s="137" t="str"/>
      <x:c r="F213" s="137" t="str"/>
      <x:c r="G213" s="137" t="str"/>
      <x:c r="H213" s="137" t="str"/>
      <x:c r="I213" s="137" t="str"/>
      <x:c r="J213" s="137" t="str"/>
      <x:c r="K213" s="137" t="str"/>
      <x:c r="L213" s="160" t="str"/>
      <x:c r="M213" s="160" t="str"/>
      <x:c r="N213" s="151" t="str"/>
      <x:c r="O213" s="151" t="str"/>
      <x:c r="P213" s="151" t="str"/>
      <x:c r="Q213" s="151" t="str"/>
      <x:c r="R213" s="151" t="str"/>
      <x:c r="S213" s="151" t="str"/>
      <x:c r="T213" s="152" t="n">
        <x:f>IF(COUNTA(O213:S213)=0,"",MAX(0,IF(O213="",0,O213)+IF(P213="",0,P213)-IF(Q213="",0,Q213)-IF(R213="",0,R213)))</x:f>
        <x:v>0</x:v>
      </x:c>
      <x:c r="U213" s="152" t="str">
        <x:f>IF(OR(N213="",Q213=""),"",Q213-N213)</x:f>
      </x:c>
      <x:c r="V213" s="202" t="str">
        <x:f>IFERROR(Q213/N213,"")</x:f>
      </x:c>
      <x:c r="W213" s="137" t="str"/>
      <x:c r="X213" s="137" t="str"/>
      <x:c r="Y213" s="137" t="str"/>
      <x:c r="Z213" s="137" t="str"/>
      <x:c r="AA213" s="137" t="str"/>
      <x:c r="AB213" s="137" t="str"/>
      <x:c r="AC213" s="137" t="str"/>
      <x:c r="AD213" s="199" t="str"/>
    </x:row>
    <x:row r="214">
      <x:c r="A214" s="137" t="str"/>
      <x:c r="B214" s="138" t="str"/>
      <x:c r="C214" s="137" t="str"/>
      <x:c r="D214" s="137" t="str"/>
      <x:c r="E214" s="137" t="str"/>
      <x:c r="F214" s="137" t="str"/>
      <x:c r="G214" s="137" t="str"/>
      <x:c r="H214" s="137" t="str"/>
      <x:c r="I214" s="137" t="str"/>
      <x:c r="J214" s="137" t="str"/>
      <x:c r="K214" s="137" t="str"/>
      <x:c r="L214" s="160" t="str"/>
      <x:c r="M214" s="160" t="str"/>
      <x:c r="N214" s="151" t="str"/>
      <x:c r="O214" s="151" t="str"/>
      <x:c r="P214" s="151" t="str"/>
      <x:c r="Q214" s="151" t="str"/>
      <x:c r="R214" s="151" t="str"/>
      <x:c r="S214" s="151" t="str"/>
      <x:c r="T214" s="152" t="n">
        <x:f>IF(COUNTA(O214:S214)=0,"",MAX(0,IF(O214="",0,O214)+IF(P214="",0,P214)-IF(Q214="",0,Q214)-IF(R214="",0,R214)))</x:f>
        <x:v>0</x:v>
      </x:c>
      <x:c r="U214" s="152" t="str">
        <x:f>IF(OR(N214="",Q214=""),"",Q214-N214)</x:f>
      </x:c>
      <x:c r="V214" s="202" t="str">
        <x:f>IFERROR(Q214/N214,"")</x:f>
      </x:c>
      <x:c r="W214" s="137" t="str"/>
      <x:c r="X214" s="137" t="str"/>
      <x:c r="Y214" s="137" t="str"/>
      <x:c r="Z214" s="137" t="str"/>
      <x:c r="AA214" s="137" t="str"/>
      <x:c r="AB214" s="137" t="str"/>
      <x:c r="AC214" s="137" t="str"/>
      <x:c r="AD214" s="199" t="str"/>
    </x:row>
    <x:row r="215">
      <x:c r="A215" s="137" t="str"/>
      <x:c r="B215" s="138" t="str"/>
      <x:c r="C215" s="137" t="str"/>
      <x:c r="D215" s="137" t="str"/>
      <x:c r="E215" s="137" t="str"/>
      <x:c r="F215" s="137" t="str"/>
      <x:c r="G215" s="137" t="str"/>
      <x:c r="H215" s="137" t="str"/>
      <x:c r="I215" s="137" t="str"/>
      <x:c r="J215" s="137" t="str"/>
      <x:c r="K215" s="137" t="str"/>
      <x:c r="L215" s="160" t="str"/>
      <x:c r="M215" s="160" t="str"/>
      <x:c r="N215" s="151" t="str"/>
      <x:c r="O215" s="151" t="str"/>
      <x:c r="P215" s="151" t="str"/>
      <x:c r="Q215" s="151" t="str"/>
      <x:c r="R215" s="151" t="str"/>
      <x:c r="S215" s="151" t="str"/>
      <x:c r="T215" s="152" t="n">
        <x:f>IF(COUNTA(O215:S215)=0,"",MAX(0,IF(O215="",0,O215)+IF(P215="",0,P215)-IF(Q215="",0,Q215)-IF(R215="",0,R215)))</x:f>
        <x:v>0</x:v>
      </x:c>
      <x:c r="U215" s="152" t="str">
        <x:f>IF(OR(N215="",Q215=""),"",Q215-N215)</x:f>
      </x:c>
      <x:c r="V215" s="202" t="str">
        <x:f>IFERROR(Q215/N215,"")</x:f>
      </x:c>
      <x:c r="W215" s="137" t="str"/>
      <x:c r="X215" s="137" t="str"/>
      <x:c r="Y215" s="137" t="str"/>
      <x:c r="Z215" s="137" t="str"/>
      <x:c r="AA215" s="137" t="str"/>
      <x:c r="AB215" s="137" t="str"/>
      <x:c r="AC215" s="137" t="str"/>
      <x:c r="AD215" s="199" t="str"/>
    </x:row>
    <x:row r="216">
      <x:c r="A216" s="137" t="str"/>
      <x:c r="B216" s="138" t="str"/>
      <x:c r="C216" s="137" t="str"/>
      <x:c r="D216" s="137" t="str"/>
      <x:c r="E216" s="137" t="str"/>
      <x:c r="F216" s="137" t="str"/>
      <x:c r="G216" s="137" t="str"/>
      <x:c r="H216" s="137" t="str"/>
      <x:c r="I216" s="137" t="str"/>
      <x:c r="J216" s="137" t="str"/>
      <x:c r="K216" s="137" t="str"/>
      <x:c r="L216" s="160" t="str"/>
      <x:c r="M216" s="160" t="str"/>
      <x:c r="N216" s="151" t="str"/>
      <x:c r="O216" s="151" t="str"/>
      <x:c r="P216" s="151" t="str"/>
      <x:c r="Q216" s="151" t="str"/>
      <x:c r="R216" s="151" t="str"/>
      <x:c r="S216" s="151" t="str"/>
      <x:c r="T216" s="152" t="n">
        <x:f>IF(COUNTA(O216:S216)=0,"",MAX(0,IF(O216="",0,O216)+IF(P216="",0,P216)-IF(Q216="",0,Q216)-IF(R216="",0,R216)))</x:f>
        <x:v>0</x:v>
      </x:c>
      <x:c r="U216" s="152" t="str">
        <x:f>IF(OR(N216="",Q216=""),"",Q216-N216)</x:f>
      </x:c>
      <x:c r="V216" s="202" t="str">
        <x:f>IFERROR(Q216/N216,"")</x:f>
      </x:c>
      <x:c r="W216" s="137" t="str"/>
      <x:c r="X216" s="137" t="str"/>
      <x:c r="Y216" s="137" t="str"/>
      <x:c r="Z216" s="137" t="str"/>
      <x:c r="AA216" s="137" t="str"/>
      <x:c r="AB216" s="137" t="str"/>
      <x:c r="AC216" s="137" t="str"/>
      <x:c r="AD216" s="199" t="str"/>
    </x:row>
    <x:row r="217">
      <x:c r="A217" s="137" t="str"/>
      <x:c r="B217" s="138" t="str"/>
      <x:c r="C217" s="137" t="str"/>
      <x:c r="D217" s="137" t="str"/>
      <x:c r="E217" s="137" t="str"/>
      <x:c r="F217" s="137" t="str"/>
      <x:c r="G217" s="137" t="str"/>
      <x:c r="H217" s="137" t="str"/>
      <x:c r="I217" s="137" t="str"/>
      <x:c r="J217" s="137" t="str"/>
      <x:c r="K217" s="137" t="str"/>
      <x:c r="L217" s="160" t="str"/>
      <x:c r="M217" s="160" t="str"/>
      <x:c r="N217" s="151" t="str"/>
      <x:c r="O217" s="151" t="str"/>
      <x:c r="P217" s="151" t="str"/>
      <x:c r="Q217" s="151" t="str"/>
      <x:c r="R217" s="151" t="str"/>
      <x:c r="S217" s="151" t="str"/>
      <x:c r="T217" s="152" t="n">
        <x:f>IF(COUNTA(O217:S217)=0,"",MAX(0,IF(O217="",0,O217)+IF(P217="",0,P217)-IF(Q217="",0,Q217)-IF(R217="",0,R217)))</x:f>
        <x:v>0</x:v>
      </x:c>
      <x:c r="U217" s="152" t="str">
        <x:f>IF(OR(N217="",Q217=""),"",Q217-N217)</x:f>
      </x:c>
      <x:c r="V217" s="202" t="str">
        <x:f>IFERROR(Q217/N217,"")</x:f>
      </x:c>
      <x:c r="W217" s="137" t="str"/>
      <x:c r="X217" s="137" t="str"/>
      <x:c r="Y217" s="137" t="str"/>
      <x:c r="Z217" s="137" t="str"/>
      <x:c r="AA217" s="137" t="str"/>
      <x:c r="AB217" s="137" t="str"/>
      <x:c r="AC217" s="137" t="str"/>
      <x:c r="AD217" s="199" t="str"/>
    </x:row>
    <x:row r="218">
      <x:c r="A218" s="137" t="str"/>
      <x:c r="B218" s="138" t="str"/>
      <x:c r="C218" s="137" t="str"/>
      <x:c r="D218" s="137" t="str"/>
      <x:c r="E218" s="137" t="str"/>
      <x:c r="F218" s="137" t="str"/>
      <x:c r="G218" s="137" t="str"/>
      <x:c r="H218" s="137" t="str"/>
      <x:c r="I218" s="137" t="str"/>
      <x:c r="J218" s="137" t="str"/>
      <x:c r="K218" s="137" t="str"/>
      <x:c r="L218" s="160" t="str"/>
      <x:c r="M218" s="160" t="str"/>
      <x:c r="N218" s="151" t="str"/>
      <x:c r="O218" s="151" t="str"/>
      <x:c r="P218" s="151" t="str"/>
      <x:c r="Q218" s="151" t="str"/>
      <x:c r="R218" s="151" t="str"/>
      <x:c r="S218" s="151" t="str"/>
      <x:c r="T218" s="152" t="n">
        <x:f>IF(COUNTA(O218:S218)=0,"",MAX(0,IF(O218="",0,O218)+IF(P218="",0,P218)-IF(Q218="",0,Q218)-IF(R218="",0,R218)))</x:f>
        <x:v>0</x:v>
      </x:c>
      <x:c r="U218" s="152" t="str">
        <x:f>IF(OR(N218="",Q218=""),"",Q218-N218)</x:f>
      </x:c>
      <x:c r="V218" s="202" t="str">
        <x:f>IFERROR(Q218/N218,"")</x:f>
      </x:c>
      <x:c r="W218" s="137" t="str"/>
      <x:c r="X218" s="137" t="str"/>
      <x:c r="Y218" s="137" t="str"/>
      <x:c r="Z218" s="137" t="str"/>
      <x:c r="AA218" s="137" t="str"/>
      <x:c r="AB218" s="137" t="str"/>
      <x:c r="AC218" s="137" t="str"/>
      <x:c r="AD218" s="199" t="str"/>
    </x:row>
    <x:row r="219">
      <x:c r="A219" s="137" t="str"/>
      <x:c r="B219" s="138" t="str"/>
      <x:c r="C219" s="137" t="str"/>
      <x:c r="D219" s="137" t="str"/>
      <x:c r="E219" s="137" t="str"/>
      <x:c r="F219" s="137" t="str"/>
      <x:c r="G219" s="137" t="str"/>
      <x:c r="H219" s="137" t="str"/>
      <x:c r="I219" s="137" t="str"/>
      <x:c r="J219" s="137" t="str"/>
      <x:c r="K219" s="137" t="str"/>
      <x:c r="L219" s="160" t="str"/>
      <x:c r="M219" s="160" t="str"/>
      <x:c r="N219" s="151" t="str"/>
      <x:c r="O219" s="151" t="str"/>
      <x:c r="P219" s="151" t="str"/>
      <x:c r="Q219" s="151" t="str"/>
      <x:c r="R219" s="151" t="str"/>
      <x:c r="S219" s="151" t="str"/>
      <x:c r="T219" s="152" t="n">
        <x:f>IF(COUNTA(O219:S219)=0,"",MAX(0,IF(O219="",0,O219)+IF(P219="",0,P219)-IF(Q219="",0,Q219)-IF(R219="",0,R219)))</x:f>
        <x:v>0</x:v>
      </x:c>
      <x:c r="U219" s="152" t="str">
        <x:f>IF(OR(N219="",Q219=""),"",Q219-N219)</x:f>
      </x:c>
      <x:c r="V219" s="202" t="str">
        <x:f>IFERROR(Q219/N219,"")</x:f>
      </x:c>
      <x:c r="W219" s="137" t="str"/>
      <x:c r="X219" s="137" t="str"/>
      <x:c r="Y219" s="137" t="str"/>
      <x:c r="Z219" s="137" t="str"/>
      <x:c r="AA219" s="137" t="str"/>
      <x:c r="AB219" s="137" t="str"/>
      <x:c r="AC219" s="137" t="str"/>
      <x:c r="AD219" s="199" t="str"/>
    </x:row>
    <x:row r="220">
      <x:c r="A220" s="137" t="str"/>
      <x:c r="B220" s="138" t="str"/>
      <x:c r="C220" s="137" t="str"/>
      <x:c r="D220" s="137" t="str"/>
      <x:c r="E220" s="137" t="str"/>
      <x:c r="F220" s="137" t="str"/>
      <x:c r="G220" s="137" t="str"/>
      <x:c r="H220" s="137" t="str"/>
      <x:c r="I220" s="137" t="str"/>
      <x:c r="J220" s="137" t="str"/>
      <x:c r="K220" s="137" t="str"/>
      <x:c r="L220" s="160" t="str"/>
      <x:c r="M220" s="160" t="str"/>
      <x:c r="N220" s="151" t="str"/>
      <x:c r="O220" s="151" t="str"/>
      <x:c r="P220" s="151" t="str"/>
      <x:c r="Q220" s="151" t="str"/>
      <x:c r="R220" s="151" t="str"/>
      <x:c r="S220" s="151" t="str"/>
      <x:c r="T220" s="152" t="n">
        <x:f>IF(COUNTA(O220:S220)=0,"",MAX(0,IF(O220="",0,O220)+IF(P220="",0,P220)-IF(Q220="",0,Q220)-IF(R220="",0,R220)))</x:f>
        <x:v>0</x:v>
      </x:c>
      <x:c r="U220" s="152" t="str">
        <x:f>IF(OR(N220="",Q220=""),"",Q220-N220)</x:f>
      </x:c>
      <x:c r="V220" s="202" t="str">
        <x:f>IFERROR(Q220/N220,"")</x:f>
      </x:c>
      <x:c r="W220" s="137" t="str"/>
      <x:c r="X220" s="137" t="str"/>
      <x:c r="Y220" s="137" t="str"/>
      <x:c r="Z220" s="137" t="str"/>
      <x:c r="AA220" s="137" t="str"/>
      <x:c r="AB220" s="137" t="str"/>
      <x:c r="AC220" s="137" t="str"/>
      <x:c r="AD220" s="199" t="str"/>
    </x:row>
    <x:row r="221">
      <x:c r="A221" s="137" t="str"/>
      <x:c r="B221" s="138" t="str"/>
      <x:c r="C221" s="137" t="str"/>
      <x:c r="D221" s="137" t="str"/>
      <x:c r="E221" s="137" t="str"/>
      <x:c r="F221" s="137" t="str"/>
      <x:c r="G221" s="137" t="str"/>
      <x:c r="H221" s="137" t="str"/>
      <x:c r="I221" s="137" t="str"/>
      <x:c r="J221" s="137" t="str"/>
      <x:c r="K221" s="137" t="str"/>
      <x:c r="L221" s="160" t="str"/>
      <x:c r="M221" s="160" t="str"/>
      <x:c r="N221" s="151" t="str"/>
      <x:c r="O221" s="151" t="str"/>
      <x:c r="P221" s="151" t="str"/>
      <x:c r="Q221" s="151" t="str"/>
      <x:c r="R221" s="151" t="str"/>
      <x:c r="S221" s="151" t="str"/>
      <x:c r="T221" s="152" t="n">
        <x:f>IF(COUNTA(O221:S221)=0,"",MAX(0,IF(O221="",0,O221)+IF(P221="",0,P221)-IF(Q221="",0,Q221)-IF(R221="",0,R221)))</x:f>
        <x:v>0</x:v>
      </x:c>
      <x:c r="U221" s="152" t="str">
        <x:f>IF(OR(N221="",Q221=""),"",Q221-N221)</x:f>
      </x:c>
      <x:c r="V221" s="202" t="str">
        <x:f>IFERROR(Q221/N221,"")</x:f>
      </x:c>
      <x:c r="W221" s="137" t="str"/>
      <x:c r="X221" s="137" t="str"/>
      <x:c r="Y221" s="137" t="str"/>
      <x:c r="Z221" s="137" t="str"/>
      <x:c r="AA221" s="137" t="str"/>
      <x:c r="AB221" s="137" t="str"/>
      <x:c r="AC221" s="137" t="str"/>
      <x:c r="AD221" s="199" t="str"/>
    </x:row>
    <x:row r="222">
      <x:c r="A222" s="137" t="str"/>
      <x:c r="B222" s="138" t="str"/>
      <x:c r="C222" s="137" t="str"/>
      <x:c r="D222" s="137" t="str"/>
      <x:c r="E222" s="137" t="str"/>
      <x:c r="F222" s="137" t="str"/>
      <x:c r="G222" s="137" t="str"/>
      <x:c r="H222" s="137" t="str"/>
      <x:c r="I222" s="137" t="str"/>
      <x:c r="J222" s="137" t="str"/>
      <x:c r="K222" s="137" t="str"/>
      <x:c r="L222" s="160" t="str"/>
      <x:c r="M222" s="160" t="str"/>
      <x:c r="N222" s="151" t="str"/>
      <x:c r="O222" s="151" t="str"/>
      <x:c r="P222" s="151" t="str"/>
      <x:c r="Q222" s="151" t="str"/>
      <x:c r="R222" s="151" t="str"/>
      <x:c r="S222" s="151" t="str"/>
      <x:c r="T222" s="152" t="n">
        <x:f>IF(COUNTA(O222:S222)=0,"",MAX(0,IF(O222="",0,O222)+IF(P222="",0,P222)-IF(Q222="",0,Q222)-IF(R222="",0,R222)))</x:f>
        <x:v>0</x:v>
      </x:c>
      <x:c r="U222" s="152" t="str">
        <x:f>IF(OR(N222="",Q222=""),"",Q222-N222)</x:f>
      </x:c>
      <x:c r="V222" s="202" t="str">
        <x:f>IFERROR(Q222/N222,"")</x:f>
      </x:c>
      <x:c r="W222" s="137" t="str"/>
      <x:c r="X222" s="137" t="str"/>
      <x:c r="Y222" s="137" t="str"/>
      <x:c r="Z222" s="137" t="str"/>
      <x:c r="AA222" s="137" t="str"/>
      <x:c r="AB222" s="137" t="str"/>
      <x:c r="AC222" s="137" t="str"/>
      <x:c r="AD222" s="199" t="str"/>
    </x:row>
    <x:row r="223">
      <x:c r="A223" s="137" t="str"/>
      <x:c r="B223" s="138" t="str"/>
      <x:c r="C223" s="137" t="str"/>
      <x:c r="D223" s="137" t="str"/>
      <x:c r="E223" s="137" t="str"/>
      <x:c r="F223" s="137" t="str"/>
      <x:c r="G223" s="137" t="str"/>
      <x:c r="H223" s="137" t="str"/>
      <x:c r="I223" s="137" t="str"/>
      <x:c r="J223" s="137" t="str"/>
      <x:c r="K223" s="137" t="str"/>
      <x:c r="L223" s="160" t="str"/>
      <x:c r="M223" s="160" t="str"/>
      <x:c r="N223" s="151" t="str"/>
      <x:c r="O223" s="151" t="str"/>
      <x:c r="P223" s="151" t="str"/>
      <x:c r="Q223" s="151" t="str"/>
      <x:c r="R223" s="151" t="str"/>
      <x:c r="S223" s="151" t="str"/>
      <x:c r="T223" s="152" t="n">
        <x:f>IF(COUNTA(O223:S223)=0,"",MAX(0,IF(O223="",0,O223)+IF(P223="",0,P223)-IF(Q223="",0,Q223)-IF(R223="",0,R223)))</x:f>
        <x:v>0</x:v>
      </x:c>
      <x:c r="U223" s="152" t="str">
        <x:f>IF(OR(N223="",Q223=""),"",Q223-N223)</x:f>
      </x:c>
      <x:c r="V223" s="202" t="str">
        <x:f>IFERROR(Q223/N223,"")</x:f>
      </x:c>
      <x:c r="W223" s="137" t="str"/>
      <x:c r="X223" s="137" t="str"/>
      <x:c r="Y223" s="137" t="str"/>
      <x:c r="Z223" s="137" t="str"/>
      <x:c r="AA223" s="137" t="str"/>
      <x:c r="AB223" s="137" t="str"/>
      <x:c r="AC223" s="137" t="str"/>
      <x:c r="AD223" s="199" t="str"/>
    </x:row>
    <x:row r="224">
      <x:c r="A224" s="137" t="str"/>
      <x:c r="B224" s="138" t="str"/>
      <x:c r="C224" s="137" t="str"/>
      <x:c r="D224" s="137" t="str"/>
      <x:c r="E224" s="137" t="str"/>
      <x:c r="F224" s="137" t="str"/>
      <x:c r="G224" s="137" t="str"/>
      <x:c r="H224" s="137" t="str"/>
      <x:c r="I224" s="137" t="str"/>
      <x:c r="J224" s="137" t="str"/>
      <x:c r="K224" s="137" t="str"/>
      <x:c r="L224" s="160" t="str"/>
      <x:c r="M224" s="160" t="str"/>
      <x:c r="N224" s="151" t="str"/>
      <x:c r="O224" s="151" t="str"/>
      <x:c r="P224" s="151" t="str"/>
      <x:c r="Q224" s="151" t="str"/>
      <x:c r="R224" s="151" t="str"/>
      <x:c r="S224" s="151" t="str"/>
      <x:c r="T224" s="152" t="n">
        <x:f>IF(COUNTA(O224:S224)=0,"",MAX(0,IF(O224="",0,O224)+IF(P224="",0,P224)-IF(Q224="",0,Q224)-IF(R224="",0,R224)))</x:f>
        <x:v>0</x:v>
      </x:c>
      <x:c r="U224" s="152" t="str">
        <x:f>IF(OR(N224="",Q224=""),"",Q224-N224)</x:f>
      </x:c>
      <x:c r="V224" s="202" t="str">
        <x:f>IFERROR(Q224/N224,"")</x:f>
      </x:c>
      <x:c r="W224" s="137" t="str"/>
      <x:c r="X224" s="137" t="str"/>
      <x:c r="Y224" s="137" t="str"/>
      <x:c r="Z224" s="137" t="str"/>
      <x:c r="AA224" s="137" t="str"/>
      <x:c r="AB224" s="137" t="str"/>
      <x:c r="AC224" s="137" t="str"/>
      <x:c r="AD224" s="199" t="str"/>
    </x:row>
    <x:row r="225">
      <x:c r="A225" s="137" t="str"/>
      <x:c r="B225" s="138" t="str"/>
      <x:c r="C225" s="137" t="str"/>
      <x:c r="D225" s="137" t="str"/>
      <x:c r="E225" s="137" t="str"/>
      <x:c r="F225" s="137" t="str"/>
      <x:c r="G225" s="137" t="str"/>
      <x:c r="H225" s="137" t="str"/>
      <x:c r="I225" s="137" t="str"/>
      <x:c r="J225" s="137" t="str"/>
      <x:c r="K225" s="137" t="str"/>
      <x:c r="L225" s="160" t="str"/>
      <x:c r="M225" s="160" t="str"/>
      <x:c r="N225" s="151" t="str"/>
      <x:c r="O225" s="151" t="str"/>
      <x:c r="P225" s="151" t="str"/>
      <x:c r="Q225" s="151" t="str"/>
      <x:c r="R225" s="151" t="str"/>
      <x:c r="S225" s="151" t="str"/>
      <x:c r="T225" s="152" t="n">
        <x:f>IF(COUNTA(O225:S225)=0,"",MAX(0,IF(O225="",0,O225)+IF(P225="",0,P225)-IF(Q225="",0,Q225)-IF(R225="",0,R225)))</x:f>
        <x:v>0</x:v>
      </x:c>
      <x:c r="U225" s="152" t="str">
        <x:f>IF(OR(N225="",Q225=""),"",Q225-N225)</x:f>
      </x:c>
      <x:c r="V225" s="202" t="str">
        <x:f>IFERROR(Q225/N225,"")</x:f>
      </x:c>
      <x:c r="W225" s="137" t="str"/>
      <x:c r="X225" s="137" t="str"/>
      <x:c r="Y225" s="137" t="str"/>
      <x:c r="Z225" s="137" t="str"/>
      <x:c r="AA225" s="137" t="str"/>
      <x:c r="AB225" s="137" t="str"/>
      <x:c r="AC225" s="137" t="str"/>
      <x:c r="AD225" s="199" t="str"/>
    </x:row>
    <x:row r="226">
      <x:c r="A226" s="137" t="str"/>
      <x:c r="B226" s="138" t="str"/>
      <x:c r="C226" s="137" t="str"/>
      <x:c r="D226" s="137" t="str"/>
      <x:c r="E226" s="137" t="str"/>
      <x:c r="F226" s="137" t="str"/>
      <x:c r="G226" s="137" t="str"/>
      <x:c r="H226" s="137" t="str"/>
      <x:c r="I226" s="137" t="str"/>
      <x:c r="J226" s="137" t="str"/>
      <x:c r="K226" s="137" t="str"/>
      <x:c r="L226" s="160" t="str"/>
      <x:c r="M226" s="160" t="str"/>
      <x:c r="N226" s="151" t="str"/>
      <x:c r="O226" s="151" t="str"/>
      <x:c r="P226" s="151" t="str"/>
      <x:c r="Q226" s="151" t="str"/>
      <x:c r="R226" s="151" t="str"/>
      <x:c r="S226" s="151" t="str"/>
      <x:c r="T226" s="152" t="n">
        <x:f>IF(COUNTA(O226:S226)=0,"",MAX(0,IF(O226="",0,O226)+IF(P226="",0,P226)-IF(Q226="",0,Q226)-IF(R226="",0,R226)))</x:f>
        <x:v>0</x:v>
      </x:c>
      <x:c r="U226" s="152" t="str">
        <x:f>IF(OR(N226="",Q226=""),"",Q226-N226)</x:f>
      </x:c>
      <x:c r="V226" s="202" t="str">
        <x:f>IFERROR(Q226/N226,"")</x:f>
      </x:c>
      <x:c r="W226" s="137" t="str"/>
      <x:c r="X226" s="137" t="str"/>
      <x:c r="Y226" s="137" t="str"/>
      <x:c r="Z226" s="137" t="str"/>
      <x:c r="AA226" s="137" t="str"/>
      <x:c r="AB226" s="137" t="str"/>
      <x:c r="AC226" s="137" t="str"/>
      <x:c r="AD226" s="199" t="str"/>
    </x:row>
    <x:row r="227">
      <x:c r="A227" s="137" t="str"/>
      <x:c r="B227" s="138" t="str"/>
      <x:c r="C227" s="137" t="str"/>
      <x:c r="D227" s="137" t="str"/>
      <x:c r="E227" s="137" t="str"/>
      <x:c r="F227" s="137" t="str"/>
      <x:c r="G227" s="137" t="str"/>
      <x:c r="H227" s="137" t="str"/>
      <x:c r="I227" s="137" t="str"/>
      <x:c r="J227" s="137" t="str"/>
      <x:c r="K227" s="137" t="str"/>
      <x:c r="L227" s="160" t="str"/>
      <x:c r="M227" s="160" t="str"/>
      <x:c r="N227" s="151" t="str"/>
      <x:c r="O227" s="151" t="str"/>
      <x:c r="P227" s="151" t="str"/>
      <x:c r="Q227" s="151" t="str"/>
      <x:c r="R227" s="151" t="str"/>
      <x:c r="S227" s="151" t="str"/>
      <x:c r="T227" s="152" t="n">
        <x:f>IF(COUNTA(O227:S227)=0,"",MAX(0,IF(O227="",0,O227)+IF(P227="",0,P227)-IF(Q227="",0,Q227)-IF(R227="",0,R227)))</x:f>
        <x:v>0</x:v>
      </x:c>
      <x:c r="U227" s="152" t="str">
        <x:f>IF(OR(N227="",Q227=""),"",Q227-N227)</x:f>
      </x:c>
      <x:c r="V227" s="202" t="str">
        <x:f>IFERROR(Q227/N227,"")</x:f>
      </x:c>
      <x:c r="W227" s="137" t="str"/>
      <x:c r="X227" s="137" t="str"/>
      <x:c r="Y227" s="137" t="str"/>
      <x:c r="Z227" s="137" t="str"/>
      <x:c r="AA227" s="137" t="str"/>
      <x:c r="AB227" s="137" t="str"/>
      <x:c r="AC227" s="137" t="str"/>
      <x:c r="AD227" s="199" t="str"/>
    </x:row>
    <x:row r="228">
      <x:c r="A228" s="137" t="str"/>
      <x:c r="B228" s="138" t="str"/>
      <x:c r="C228" s="137" t="str"/>
      <x:c r="D228" s="137" t="str"/>
      <x:c r="E228" s="137" t="str"/>
      <x:c r="F228" s="137" t="str"/>
      <x:c r="G228" s="137" t="str"/>
      <x:c r="H228" s="137" t="str"/>
      <x:c r="I228" s="137" t="str"/>
      <x:c r="J228" s="137" t="str"/>
      <x:c r="K228" s="137" t="str"/>
      <x:c r="L228" s="160" t="str"/>
      <x:c r="M228" s="160" t="str"/>
      <x:c r="N228" s="151" t="str"/>
      <x:c r="O228" s="151" t="str"/>
      <x:c r="P228" s="151" t="str"/>
      <x:c r="Q228" s="151" t="str"/>
      <x:c r="R228" s="151" t="str"/>
      <x:c r="S228" s="151" t="str"/>
      <x:c r="T228" s="152" t="n">
        <x:f>IF(COUNTA(O228:S228)=0,"",MAX(0,IF(O228="",0,O228)+IF(P228="",0,P228)-IF(Q228="",0,Q228)-IF(R228="",0,R228)))</x:f>
        <x:v>0</x:v>
      </x:c>
      <x:c r="U228" s="152" t="str">
        <x:f>IF(OR(N228="",Q228=""),"",Q228-N228)</x:f>
      </x:c>
      <x:c r="V228" s="202" t="str">
        <x:f>IFERROR(Q228/N228,"")</x:f>
      </x:c>
      <x:c r="W228" s="137" t="str"/>
      <x:c r="X228" s="137" t="str"/>
      <x:c r="Y228" s="137" t="str"/>
      <x:c r="Z228" s="137" t="str"/>
      <x:c r="AA228" s="137" t="str"/>
      <x:c r="AB228" s="137" t="str"/>
      <x:c r="AC228" s="137" t="str"/>
      <x:c r="AD228" s="199" t="str"/>
    </x:row>
    <x:row r="229">
      <x:c r="A229" s="137" t="str"/>
      <x:c r="B229" s="138" t="str"/>
      <x:c r="C229" s="137" t="str"/>
      <x:c r="D229" s="137" t="str"/>
      <x:c r="E229" s="137" t="str"/>
      <x:c r="F229" s="137" t="str"/>
      <x:c r="G229" s="137" t="str"/>
      <x:c r="H229" s="137" t="str"/>
      <x:c r="I229" s="137" t="str"/>
      <x:c r="J229" s="137" t="str"/>
      <x:c r="K229" s="137" t="str"/>
      <x:c r="L229" s="160" t="str"/>
      <x:c r="M229" s="160" t="str"/>
      <x:c r="N229" s="151" t="str"/>
      <x:c r="O229" s="151" t="str"/>
      <x:c r="P229" s="151" t="str"/>
      <x:c r="Q229" s="151" t="str"/>
      <x:c r="R229" s="151" t="str"/>
      <x:c r="S229" s="151" t="str"/>
      <x:c r="T229" s="152" t="n">
        <x:f>IF(COUNTA(O229:S229)=0,"",MAX(0,IF(O229="",0,O229)+IF(P229="",0,P229)-IF(Q229="",0,Q229)-IF(R229="",0,R229)))</x:f>
        <x:v>0</x:v>
      </x:c>
      <x:c r="U229" s="152" t="str">
        <x:f>IF(OR(N229="",Q229=""),"",Q229-N229)</x:f>
      </x:c>
      <x:c r="V229" s="202" t="str">
        <x:f>IFERROR(Q229/N229,"")</x:f>
      </x:c>
      <x:c r="W229" s="137" t="str"/>
      <x:c r="X229" s="137" t="str"/>
      <x:c r="Y229" s="137" t="str"/>
      <x:c r="Z229" s="137" t="str"/>
      <x:c r="AA229" s="137" t="str"/>
      <x:c r="AB229" s="137" t="str"/>
      <x:c r="AC229" s="137" t="str"/>
      <x:c r="AD229" s="199" t="str"/>
    </x:row>
    <x:row r="230">
      <x:c r="A230" s="137" t="str"/>
      <x:c r="B230" s="138" t="str"/>
      <x:c r="C230" s="137" t="str"/>
      <x:c r="D230" s="137" t="str"/>
      <x:c r="E230" s="137" t="str"/>
      <x:c r="F230" s="137" t="str"/>
      <x:c r="G230" s="137" t="str"/>
      <x:c r="H230" s="137" t="str"/>
      <x:c r="I230" s="137" t="str"/>
      <x:c r="J230" s="137" t="str"/>
      <x:c r="K230" s="137" t="str"/>
      <x:c r="L230" s="160" t="str"/>
      <x:c r="M230" s="160" t="str"/>
      <x:c r="N230" s="151" t="str"/>
      <x:c r="O230" s="151" t="str"/>
      <x:c r="P230" s="151" t="str"/>
      <x:c r="Q230" s="151" t="str"/>
      <x:c r="R230" s="151" t="str"/>
      <x:c r="S230" s="151" t="str"/>
      <x:c r="T230" s="152" t="n">
        <x:f>IF(COUNTA(O230:S230)=0,"",MAX(0,IF(O230="",0,O230)+IF(P230="",0,P230)-IF(Q230="",0,Q230)-IF(R230="",0,R230)))</x:f>
        <x:v>0</x:v>
      </x:c>
      <x:c r="U230" s="152" t="str">
        <x:f>IF(OR(N230="",Q230=""),"",Q230-N230)</x:f>
      </x:c>
      <x:c r="V230" s="202" t="str">
        <x:f>IFERROR(Q230/N230,"")</x:f>
      </x:c>
      <x:c r="W230" s="137" t="str"/>
      <x:c r="X230" s="137" t="str"/>
      <x:c r="Y230" s="137" t="str"/>
      <x:c r="Z230" s="137" t="str"/>
      <x:c r="AA230" s="137" t="str"/>
      <x:c r="AB230" s="137" t="str"/>
      <x:c r="AC230" s="137" t="str"/>
      <x:c r="AD230" s="199" t="str"/>
    </x:row>
    <x:row r="231">
      <x:c r="A231" s="137" t="str"/>
      <x:c r="B231" s="138" t="str"/>
      <x:c r="C231" s="137" t="str"/>
      <x:c r="D231" s="137" t="str"/>
      <x:c r="E231" s="137" t="str"/>
      <x:c r="F231" s="137" t="str"/>
      <x:c r="G231" s="137" t="str"/>
      <x:c r="H231" s="137" t="str"/>
      <x:c r="I231" s="137" t="str"/>
      <x:c r="J231" s="137" t="str"/>
      <x:c r="K231" s="137" t="str"/>
      <x:c r="L231" s="160" t="str"/>
      <x:c r="M231" s="160" t="str"/>
      <x:c r="N231" s="151" t="str"/>
      <x:c r="O231" s="151" t="str"/>
      <x:c r="P231" s="151" t="str"/>
      <x:c r="Q231" s="151" t="str"/>
      <x:c r="R231" s="151" t="str"/>
      <x:c r="S231" s="151" t="str"/>
      <x:c r="T231" s="152" t="n">
        <x:f>IF(COUNTA(O231:S231)=0,"",MAX(0,IF(O231="",0,O231)+IF(P231="",0,P231)-IF(Q231="",0,Q231)-IF(R231="",0,R231)))</x:f>
        <x:v>0</x:v>
      </x:c>
      <x:c r="U231" s="152" t="str">
        <x:f>IF(OR(N231="",Q231=""),"",Q231-N231)</x:f>
      </x:c>
      <x:c r="V231" s="202" t="str">
        <x:f>IFERROR(Q231/N231,"")</x:f>
      </x:c>
      <x:c r="W231" s="137" t="str"/>
      <x:c r="X231" s="137" t="str"/>
      <x:c r="Y231" s="137" t="str"/>
      <x:c r="Z231" s="137" t="str"/>
      <x:c r="AA231" s="137" t="str"/>
      <x:c r="AB231" s="137" t="str"/>
      <x:c r="AC231" s="137" t="str"/>
      <x:c r="AD231" s="199" t="str"/>
    </x:row>
    <x:row r="232">
      <x:c r="A232" s="137" t="str"/>
      <x:c r="B232" s="138" t="str"/>
      <x:c r="C232" s="137" t="str"/>
      <x:c r="D232" s="137" t="str"/>
      <x:c r="E232" s="137" t="str"/>
      <x:c r="F232" s="137" t="str"/>
      <x:c r="G232" s="137" t="str"/>
      <x:c r="H232" s="137" t="str"/>
      <x:c r="I232" s="137" t="str"/>
      <x:c r="J232" s="137" t="str"/>
      <x:c r="K232" s="137" t="str"/>
      <x:c r="L232" s="160" t="str"/>
      <x:c r="M232" s="160" t="str"/>
      <x:c r="N232" s="151" t="str"/>
      <x:c r="O232" s="151" t="str"/>
      <x:c r="P232" s="151" t="str"/>
      <x:c r="Q232" s="151" t="str"/>
      <x:c r="R232" s="151" t="str"/>
      <x:c r="S232" s="151" t="str"/>
      <x:c r="T232" s="152" t="n">
        <x:f>IF(COUNTA(O232:S232)=0,"",MAX(0,IF(O232="",0,O232)+IF(P232="",0,P232)-IF(Q232="",0,Q232)-IF(R232="",0,R232)))</x:f>
        <x:v>0</x:v>
      </x:c>
      <x:c r="U232" s="152" t="str">
        <x:f>IF(OR(N232="",Q232=""),"",Q232-N232)</x:f>
      </x:c>
      <x:c r="V232" s="202" t="str">
        <x:f>IFERROR(Q232/N232,"")</x:f>
      </x:c>
      <x:c r="W232" s="137" t="str"/>
      <x:c r="X232" s="137" t="str"/>
      <x:c r="Y232" s="137" t="str"/>
      <x:c r="Z232" s="137" t="str"/>
      <x:c r="AA232" s="137" t="str"/>
      <x:c r="AB232" s="137" t="str"/>
      <x:c r="AC232" s="137" t="str"/>
      <x:c r="AD232" s="199" t="str"/>
    </x:row>
    <x:row r="233">
      <x:c r="A233" s="137" t="str"/>
      <x:c r="B233" s="138" t="str"/>
      <x:c r="C233" s="137" t="str"/>
      <x:c r="D233" s="137" t="str"/>
      <x:c r="E233" s="137" t="str"/>
      <x:c r="F233" s="137" t="str"/>
      <x:c r="G233" s="137" t="str"/>
      <x:c r="H233" s="137" t="str"/>
      <x:c r="I233" s="137" t="str"/>
      <x:c r="J233" s="137" t="str"/>
      <x:c r="K233" s="137" t="str"/>
      <x:c r="L233" s="160" t="str"/>
      <x:c r="M233" s="160" t="str"/>
      <x:c r="N233" s="151" t="str"/>
      <x:c r="O233" s="151" t="str"/>
      <x:c r="P233" s="151" t="str"/>
      <x:c r="Q233" s="151" t="str"/>
      <x:c r="R233" s="151" t="str"/>
      <x:c r="S233" s="151" t="str"/>
      <x:c r="T233" s="152" t="n">
        <x:f>IF(COUNTA(O233:S233)=0,"",MAX(0,IF(O233="",0,O233)+IF(P233="",0,P233)-IF(Q233="",0,Q233)-IF(R233="",0,R233)))</x:f>
        <x:v>0</x:v>
      </x:c>
      <x:c r="U233" s="152" t="str">
        <x:f>IF(OR(N233="",Q233=""),"",Q233-N233)</x:f>
      </x:c>
      <x:c r="V233" s="202" t="str">
        <x:f>IFERROR(Q233/N233,"")</x:f>
      </x:c>
      <x:c r="W233" s="137" t="str"/>
      <x:c r="X233" s="137" t="str"/>
      <x:c r="Y233" s="137" t="str"/>
      <x:c r="Z233" s="137" t="str"/>
      <x:c r="AA233" s="137" t="str"/>
      <x:c r="AB233" s="137" t="str"/>
      <x:c r="AC233" s="137" t="str"/>
      <x:c r="AD233" s="199" t="str"/>
    </x:row>
    <x:row r="234">
      <x:c r="A234" s="137" t="str"/>
      <x:c r="B234" s="138" t="str"/>
      <x:c r="C234" s="137" t="str"/>
      <x:c r="D234" s="137" t="str"/>
      <x:c r="E234" s="137" t="str"/>
      <x:c r="F234" s="137" t="str"/>
      <x:c r="G234" s="137" t="str"/>
      <x:c r="H234" s="137" t="str"/>
      <x:c r="I234" s="137" t="str"/>
      <x:c r="J234" s="137" t="str"/>
      <x:c r="K234" s="137" t="str"/>
      <x:c r="L234" s="160" t="str"/>
      <x:c r="M234" s="160" t="str"/>
      <x:c r="N234" s="151" t="str"/>
      <x:c r="O234" s="151" t="str"/>
      <x:c r="P234" s="151" t="str"/>
      <x:c r="Q234" s="151" t="str"/>
      <x:c r="R234" s="151" t="str"/>
      <x:c r="S234" s="151" t="str"/>
      <x:c r="T234" s="152" t="n">
        <x:f>IF(COUNTA(O234:S234)=0,"",MAX(0,IF(O234="",0,O234)+IF(P234="",0,P234)-IF(Q234="",0,Q234)-IF(R234="",0,R234)))</x:f>
        <x:v>0</x:v>
      </x:c>
      <x:c r="U234" s="152" t="str">
        <x:f>IF(OR(N234="",Q234=""),"",Q234-N234)</x:f>
      </x:c>
      <x:c r="V234" s="202" t="str">
        <x:f>IFERROR(Q234/N234,"")</x:f>
      </x:c>
      <x:c r="W234" s="137" t="str"/>
      <x:c r="X234" s="137" t="str"/>
      <x:c r="Y234" s="137" t="str"/>
      <x:c r="Z234" s="137" t="str"/>
      <x:c r="AA234" s="137" t="str"/>
      <x:c r="AB234" s="137" t="str"/>
      <x:c r="AC234" s="137" t="str"/>
      <x:c r="AD234" s="199" t="str"/>
    </x:row>
    <x:row r="235">
      <x:c r="A235" s="137" t="str"/>
      <x:c r="B235" s="138" t="str"/>
      <x:c r="C235" s="137" t="str"/>
      <x:c r="D235" s="137" t="str"/>
      <x:c r="E235" s="137" t="str"/>
      <x:c r="F235" s="137" t="str"/>
      <x:c r="G235" s="137" t="str"/>
      <x:c r="H235" s="137" t="str"/>
      <x:c r="I235" s="137" t="str"/>
      <x:c r="J235" s="137" t="str"/>
      <x:c r="K235" s="137" t="str"/>
      <x:c r="L235" s="160" t="str"/>
      <x:c r="M235" s="160" t="str"/>
      <x:c r="N235" s="151" t="str"/>
      <x:c r="O235" s="151" t="str"/>
      <x:c r="P235" s="151" t="str"/>
      <x:c r="Q235" s="151" t="str"/>
      <x:c r="R235" s="151" t="str"/>
      <x:c r="S235" s="151" t="str"/>
      <x:c r="T235" s="152" t="n">
        <x:f>IF(COUNTA(O235:S235)=0,"",MAX(0,IF(O235="",0,O235)+IF(P235="",0,P235)-IF(Q235="",0,Q235)-IF(R235="",0,R235)))</x:f>
        <x:v>0</x:v>
      </x:c>
      <x:c r="U235" s="152" t="str">
        <x:f>IF(OR(N235="",Q235=""),"",Q235-N235)</x:f>
      </x:c>
      <x:c r="V235" s="202" t="str">
        <x:f>IFERROR(Q235/N235,"")</x:f>
      </x:c>
      <x:c r="W235" s="137" t="str"/>
      <x:c r="X235" s="137" t="str"/>
      <x:c r="Y235" s="137" t="str"/>
      <x:c r="Z235" s="137" t="str"/>
      <x:c r="AA235" s="137" t="str"/>
      <x:c r="AB235" s="137" t="str"/>
      <x:c r="AC235" s="137" t="str"/>
      <x:c r="AD235" s="199" t="str"/>
    </x:row>
    <x:row r="236">
      <x:c r="A236" s="137" t="str"/>
      <x:c r="B236" s="138" t="str"/>
      <x:c r="C236" s="137" t="str"/>
      <x:c r="D236" s="137" t="str"/>
      <x:c r="E236" s="137" t="str"/>
      <x:c r="F236" s="137" t="str"/>
      <x:c r="G236" s="137" t="str"/>
      <x:c r="H236" s="137" t="str"/>
      <x:c r="I236" s="137" t="str"/>
      <x:c r="J236" s="137" t="str"/>
      <x:c r="K236" s="137" t="str"/>
      <x:c r="L236" s="160" t="str"/>
      <x:c r="M236" s="160" t="str"/>
      <x:c r="N236" s="151" t="str"/>
      <x:c r="O236" s="151" t="str"/>
      <x:c r="P236" s="151" t="str"/>
      <x:c r="Q236" s="151" t="str"/>
      <x:c r="R236" s="151" t="str"/>
      <x:c r="S236" s="151" t="str"/>
      <x:c r="T236" s="152" t="n">
        <x:f>IF(COUNTA(O236:S236)=0,"",MAX(0,IF(O236="",0,O236)+IF(P236="",0,P236)-IF(Q236="",0,Q236)-IF(R236="",0,R236)))</x:f>
        <x:v>0</x:v>
      </x:c>
      <x:c r="U236" s="152" t="str">
        <x:f>IF(OR(N236="",Q236=""),"",Q236-N236)</x:f>
      </x:c>
      <x:c r="V236" s="202" t="str">
        <x:f>IFERROR(Q236/N236,"")</x:f>
      </x:c>
      <x:c r="W236" s="137" t="str"/>
      <x:c r="X236" s="137" t="str"/>
      <x:c r="Y236" s="137" t="str"/>
      <x:c r="Z236" s="137" t="str"/>
      <x:c r="AA236" s="137" t="str"/>
      <x:c r="AB236" s="137" t="str"/>
      <x:c r="AC236" s="137" t="str"/>
      <x:c r="AD236" s="199" t="str"/>
    </x:row>
    <x:row r="237">
      <x:c r="A237" s="137" t="str"/>
      <x:c r="B237" s="138" t="str"/>
      <x:c r="C237" s="137" t="str"/>
      <x:c r="D237" s="137" t="str"/>
      <x:c r="E237" s="137" t="str"/>
      <x:c r="F237" s="137" t="str"/>
      <x:c r="G237" s="137" t="str"/>
      <x:c r="H237" s="137" t="str"/>
      <x:c r="I237" s="137" t="str"/>
      <x:c r="J237" s="137" t="str"/>
      <x:c r="K237" s="137" t="str"/>
      <x:c r="L237" s="160" t="str"/>
      <x:c r="M237" s="160" t="str"/>
      <x:c r="N237" s="151" t="str"/>
      <x:c r="O237" s="151" t="str"/>
      <x:c r="P237" s="151" t="str"/>
      <x:c r="Q237" s="151" t="str"/>
      <x:c r="R237" s="151" t="str"/>
      <x:c r="S237" s="151" t="str"/>
      <x:c r="T237" s="152" t="n">
        <x:f>IF(COUNTA(O237:S237)=0,"",MAX(0,IF(O237="",0,O237)+IF(P237="",0,P237)-IF(Q237="",0,Q237)-IF(R237="",0,R237)))</x:f>
        <x:v>0</x:v>
      </x:c>
      <x:c r="U237" s="152" t="str">
        <x:f>IF(OR(N237="",Q237=""),"",Q237-N237)</x:f>
      </x:c>
      <x:c r="V237" s="202" t="str">
        <x:f>IFERROR(Q237/N237,"")</x:f>
      </x:c>
      <x:c r="W237" s="137" t="str"/>
      <x:c r="X237" s="137" t="str"/>
      <x:c r="Y237" s="137" t="str"/>
      <x:c r="Z237" s="137" t="str"/>
      <x:c r="AA237" s="137" t="str"/>
      <x:c r="AB237" s="137" t="str"/>
      <x:c r="AC237" s="137" t="str"/>
      <x:c r="AD237" s="199" t="str"/>
    </x:row>
    <x:row r="238">
      <x:c r="A238" s="137" t="str"/>
      <x:c r="B238" s="138" t="str"/>
      <x:c r="C238" s="137" t="str"/>
      <x:c r="D238" s="137" t="str"/>
      <x:c r="E238" s="137" t="str"/>
      <x:c r="F238" s="137" t="str"/>
      <x:c r="G238" s="137" t="str"/>
      <x:c r="H238" s="137" t="str"/>
      <x:c r="I238" s="137" t="str"/>
      <x:c r="J238" s="137" t="str"/>
      <x:c r="K238" s="137" t="str"/>
      <x:c r="L238" s="160" t="str"/>
      <x:c r="M238" s="160" t="str"/>
      <x:c r="N238" s="151" t="str"/>
      <x:c r="O238" s="151" t="str"/>
      <x:c r="P238" s="151" t="str"/>
      <x:c r="Q238" s="151" t="str"/>
      <x:c r="R238" s="151" t="str"/>
      <x:c r="S238" s="151" t="str"/>
      <x:c r="T238" s="152" t="n">
        <x:f>IF(COUNTA(O238:S238)=0,"",MAX(0,IF(O238="",0,O238)+IF(P238="",0,P238)-IF(Q238="",0,Q238)-IF(R238="",0,R238)))</x:f>
        <x:v>0</x:v>
      </x:c>
      <x:c r="U238" s="152" t="str">
        <x:f>IF(OR(N238="",Q238=""),"",Q238-N238)</x:f>
      </x:c>
      <x:c r="V238" s="202" t="str">
        <x:f>IFERROR(Q238/N238,"")</x:f>
      </x:c>
      <x:c r="W238" s="137" t="str"/>
      <x:c r="X238" s="137" t="str"/>
      <x:c r="Y238" s="137" t="str"/>
      <x:c r="Z238" s="137" t="str"/>
      <x:c r="AA238" s="137" t="str"/>
      <x:c r="AB238" s="137" t="str"/>
      <x:c r="AC238" s="137" t="str"/>
      <x:c r="AD238" s="199" t="str"/>
    </x:row>
    <x:row r="239">
      <x:c r="A239" s="137" t="str"/>
      <x:c r="B239" s="138" t="str"/>
      <x:c r="C239" s="137" t="str"/>
      <x:c r="D239" s="137" t="str"/>
      <x:c r="E239" s="137" t="str"/>
      <x:c r="F239" s="137" t="str"/>
      <x:c r="G239" s="137" t="str"/>
      <x:c r="H239" s="137" t="str"/>
      <x:c r="I239" s="137" t="str"/>
      <x:c r="J239" s="137" t="str"/>
      <x:c r="K239" s="137" t="str"/>
      <x:c r="L239" s="160" t="str"/>
      <x:c r="M239" s="160" t="str"/>
      <x:c r="N239" s="151" t="str"/>
      <x:c r="O239" s="151" t="str"/>
      <x:c r="P239" s="151" t="str"/>
      <x:c r="Q239" s="151" t="str"/>
      <x:c r="R239" s="151" t="str"/>
      <x:c r="S239" s="151" t="str"/>
      <x:c r="T239" s="152" t="n">
        <x:f>IF(COUNTA(O239:S239)=0,"",MAX(0,IF(O239="",0,O239)+IF(P239="",0,P239)-IF(Q239="",0,Q239)-IF(R239="",0,R239)))</x:f>
        <x:v>0</x:v>
      </x:c>
      <x:c r="U239" s="152" t="str">
        <x:f>IF(OR(N239="",Q239=""),"",Q239-N239)</x:f>
      </x:c>
      <x:c r="V239" s="202" t="str">
        <x:f>IFERROR(Q239/N239,"")</x:f>
      </x:c>
      <x:c r="W239" s="137" t="str"/>
      <x:c r="X239" s="137" t="str"/>
      <x:c r="Y239" s="137" t="str"/>
      <x:c r="Z239" s="137" t="str"/>
      <x:c r="AA239" s="137" t="str"/>
      <x:c r="AB239" s="137" t="str"/>
      <x:c r="AC239" s="137" t="str"/>
      <x:c r="AD239" s="199" t="str"/>
    </x:row>
    <x:row r="240">
      <x:c r="A240" s="137" t="str"/>
      <x:c r="B240" s="138" t="str"/>
      <x:c r="C240" s="137" t="str"/>
      <x:c r="D240" s="137" t="str"/>
      <x:c r="E240" s="137" t="str"/>
      <x:c r="F240" s="137" t="str"/>
      <x:c r="G240" s="137" t="str"/>
      <x:c r="H240" s="137" t="str"/>
      <x:c r="I240" s="137" t="str"/>
      <x:c r="J240" s="137" t="str"/>
      <x:c r="K240" s="137" t="str"/>
      <x:c r="L240" s="160" t="str"/>
      <x:c r="M240" s="160" t="str"/>
      <x:c r="N240" s="151" t="str"/>
      <x:c r="O240" s="151" t="str"/>
      <x:c r="P240" s="151" t="str"/>
      <x:c r="Q240" s="151" t="str"/>
      <x:c r="R240" s="151" t="str"/>
      <x:c r="S240" s="151" t="str"/>
      <x:c r="T240" s="152" t="n">
        <x:f>IF(COUNTA(O240:S240)=0,"",MAX(0,IF(O240="",0,O240)+IF(P240="",0,P240)-IF(Q240="",0,Q240)-IF(R240="",0,R240)))</x:f>
        <x:v>0</x:v>
      </x:c>
      <x:c r="U240" s="152" t="str">
        <x:f>IF(OR(N240="",Q240=""),"",Q240-N240)</x:f>
      </x:c>
      <x:c r="V240" s="202" t="str">
        <x:f>IFERROR(Q240/N240,"")</x:f>
      </x:c>
      <x:c r="W240" s="137" t="str"/>
      <x:c r="X240" s="137" t="str"/>
      <x:c r="Y240" s="137" t="str"/>
      <x:c r="Z240" s="137" t="str"/>
      <x:c r="AA240" s="137" t="str"/>
      <x:c r="AB240" s="137" t="str"/>
      <x:c r="AC240" s="137" t="str"/>
      <x:c r="AD240" s="199" t="str"/>
    </x:row>
    <x:row r="241">
      <x:c r="A241" s="137" t="str"/>
      <x:c r="B241" s="138" t="str"/>
      <x:c r="C241" s="137" t="str"/>
      <x:c r="D241" s="137" t="str"/>
      <x:c r="E241" s="137" t="str"/>
      <x:c r="F241" s="137" t="str"/>
      <x:c r="G241" s="137" t="str"/>
      <x:c r="H241" s="137" t="str"/>
      <x:c r="I241" s="137" t="str"/>
      <x:c r="J241" s="137" t="str"/>
      <x:c r="K241" s="137" t="str"/>
      <x:c r="L241" s="160" t="str"/>
      <x:c r="M241" s="160" t="str"/>
      <x:c r="N241" s="151" t="str"/>
      <x:c r="O241" s="151" t="str"/>
      <x:c r="P241" s="151" t="str"/>
      <x:c r="Q241" s="151" t="str"/>
      <x:c r="R241" s="151" t="str"/>
      <x:c r="S241" s="151" t="str"/>
      <x:c r="T241" s="152" t="n">
        <x:f>IF(COUNTA(O241:S241)=0,"",MAX(0,IF(O241="",0,O241)+IF(P241="",0,P241)-IF(Q241="",0,Q241)-IF(R241="",0,R241)))</x:f>
        <x:v>0</x:v>
      </x:c>
      <x:c r="U241" s="152" t="str">
        <x:f>IF(OR(N241="",Q241=""),"",Q241-N241)</x:f>
      </x:c>
      <x:c r="V241" s="202" t="str">
        <x:f>IFERROR(Q241/N241,"")</x:f>
      </x:c>
      <x:c r="W241" s="137" t="str"/>
      <x:c r="X241" s="137" t="str"/>
      <x:c r="Y241" s="137" t="str"/>
      <x:c r="Z241" s="137" t="str"/>
      <x:c r="AA241" s="137" t="str"/>
      <x:c r="AB241" s="137" t="str"/>
      <x:c r="AC241" s="137" t="str"/>
      <x:c r="AD241" s="199" t="str"/>
    </x:row>
    <x:row r="242">
      <x:c r="A242" s="137" t="str"/>
      <x:c r="B242" s="138" t="str"/>
      <x:c r="C242" s="137" t="str"/>
      <x:c r="D242" s="137" t="str"/>
      <x:c r="E242" s="137" t="str"/>
      <x:c r="F242" s="137" t="str"/>
      <x:c r="G242" s="137" t="str"/>
      <x:c r="H242" s="137" t="str"/>
      <x:c r="I242" s="137" t="str"/>
      <x:c r="J242" s="137" t="str"/>
      <x:c r="K242" s="137" t="str"/>
      <x:c r="L242" s="160" t="str"/>
      <x:c r="M242" s="160" t="str"/>
      <x:c r="N242" s="151" t="str"/>
      <x:c r="O242" s="151" t="str"/>
      <x:c r="P242" s="151" t="str"/>
      <x:c r="Q242" s="151" t="str"/>
      <x:c r="R242" s="151" t="str"/>
      <x:c r="S242" s="151" t="str"/>
      <x:c r="T242" s="152" t="n">
        <x:f>IF(COUNTA(O242:S242)=0,"",MAX(0,IF(O242="",0,O242)+IF(P242="",0,P242)-IF(Q242="",0,Q242)-IF(R242="",0,R242)))</x:f>
        <x:v>0</x:v>
      </x:c>
      <x:c r="U242" s="152" t="str">
        <x:f>IF(OR(N242="",Q242=""),"",Q242-N242)</x:f>
      </x:c>
      <x:c r="V242" s="202" t="str">
        <x:f>IFERROR(Q242/N242,"")</x:f>
      </x:c>
      <x:c r="W242" s="137" t="str"/>
      <x:c r="X242" s="137" t="str"/>
      <x:c r="Y242" s="137" t="str"/>
      <x:c r="Z242" s="137" t="str"/>
      <x:c r="AA242" s="137" t="str"/>
      <x:c r="AB242" s="137" t="str"/>
      <x:c r="AC242" s="137" t="str"/>
      <x:c r="AD242" s="199" t="str"/>
    </x:row>
    <x:row r="243">
      <x:c r="A243" s="137" t="str"/>
      <x:c r="B243" s="138" t="str"/>
      <x:c r="C243" s="137" t="str"/>
      <x:c r="D243" s="137" t="str"/>
      <x:c r="E243" s="137" t="str"/>
      <x:c r="F243" s="137" t="str"/>
      <x:c r="G243" s="137" t="str"/>
      <x:c r="H243" s="137" t="str"/>
      <x:c r="I243" s="137" t="str"/>
      <x:c r="J243" s="137" t="str"/>
      <x:c r="K243" s="137" t="str"/>
      <x:c r="L243" s="160" t="str"/>
      <x:c r="M243" s="160" t="str"/>
      <x:c r="N243" s="151" t="str"/>
      <x:c r="O243" s="151" t="str"/>
      <x:c r="P243" s="151" t="str"/>
      <x:c r="Q243" s="151" t="str"/>
      <x:c r="R243" s="151" t="str"/>
      <x:c r="S243" s="151" t="str"/>
      <x:c r="T243" s="152" t="n">
        <x:f>IF(COUNTA(O243:S243)=0,"",MAX(0,IF(O243="",0,O243)+IF(P243="",0,P243)-IF(Q243="",0,Q243)-IF(R243="",0,R243)))</x:f>
        <x:v>0</x:v>
      </x:c>
      <x:c r="U243" s="152" t="str">
        <x:f>IF(OR(N243="",Q243=""),"",Q243-N243)</x:f>
      </x:c>
      <x:c r="V243" s="202" t="str">
        <x:f>IFERROR(Q243/N243,"")</x:f>
      </x:c>
      <x:c r="W243" s="137" t="str"/>
      <x:c r="X243" s="137" t="str"/>
      <x:c r="Y243" s="137" t="str"/>
      <x:c r="Z243" s="137" t="str"/>
      <x:c r="AA243" s="137" t="str"/>
      <x:c r="AB243" s="137" t="str"/>
      <x:c r="AC243" s="137" t="str"/>
      <x:c r="AD243" s="199" t="str"/>
    </x:row>
    <x:row r="244">
      <x:c r="A244" s="137" t="str"/>
      <x:c r="B244" s="138" t="str"/>
      <x:c r="C244" s="137" t="str"/>
      <x:c r="D244" s="137" t="str"/>
      <x:c r="E244" s="137" t="str"/>
      <x:c r="F244" s="137" t="str"/>
      <x:c r="G244" s="137" t="str"/>
      <x:c r="H244" s="137" t="str"/>
      <x:c r="I244" s="137" t="str"/>
      <x:c r="J244" s="137" t="str"/>
      <x:c r="K244" s="137" t="str"/>
      <x:c r="L244" s="160" t="str"/>
      <x:c r="M244" s="160" t="str"/>
      <x:c r="N244" s="151" t="str"/>
      <x:c r="O244" s="151" t="str"/>
      <x:c r="P244" s="151" t="str"/>
      <x:c r="Q244" s="151" t="str"/>
      <x:c r="R244" s="151" t="str"/>
      <x:c r="S244" s="151" t="str"/>
      <x:c r="T244" s="152" t="n">
        <x:f>IF(COUNTA(O244:S244)=0,"",MAX(0,IF(O244="",0,O244)+IF(P244="",0,P244)-IF(Q244="",0,Q244)-IF(R244="",0,R244)))</x:f>
        <x:v>0</x:v>
      </x:c>
      <x:c r="U244" s="152" t="str">
        <x:f>IF(OR(N244="",Q244=""),"",Q244-N244)</x:f>
      </x:c>
      <x:c r="V244" s="202" t="str">
        <x:f>IFERROR(Q244/N244,"")</x:f>
      </x:c>
      <x:c r="W244" s="137" t="str"/>
      <x:c r="X244" s="137" t="str"/>
      <x:c r="Y244" s="137" t="str"/>
      <x:c r="Z244" s="137" t="str"/>
      <x:c r="AA244" s="137" t="str"/>
      <x:c r="AB244" s="137" t="str"/>
      <x:c r="AC244" s="137" t="str"/>
      <x:c r="AD244" s="199" t="str"/>
    </x:row>
    <x:row r="245">
      <x:c r="A245" s="137" t="str"/>
      <x:c r="B245" s="138" t="str"/>
      <x:c r="C245" s="137" t="str"/>
      <x:c r="D245" s="137" t="str"/>
      <x:c r="E245" s="137" t="str"/>
      <x:c r="F245" s="137" t="str"/>
      <x:c r="G245" s="137" t="str"/>
      <x:c r="H245" s="137" t="str"/>
      <x:c r="I245" s="137" t="str"/>
      <x:c r="J245" s="137" t="str"/>
      <x:c r="K245" s="137" t="str"/>
      <x:c r="L245" s="160" t="str"/>
      <x:c r="M245" s="160" t="str"/>
      <x:c r="N245" s="151" t="str"/>
      <x:c r="O245" s="151" t="str"/>
      <x:c r="P245" s="151" t="str"/>
      <x:c r="Q245" s="151" t="str"/>
      <x:c r="R245" s="151" t="str"/>
      <x:c r="S245" s="151" t="str"/>
      <x:c r="T245" s="152" t="n">
        <x:f>IF(COUNTA(O245:S245)=0,"",MAX(0,IF(O245="",0,O245)+IF(P245="",0,P245)-IF(Q245="",0,Q245)-IF(R245="",0,R245)))</x:f>
        <x:v>0</x:v>
      </x:c>
      <x:c r="U245" s="152" t="str">
        <x:f>IF(OR(N245="",Q245=""),"",Q245-N245)</x:f>
      </x:c>
      <x:c r="V245" s="202" t="str">
        <x:f>IFERROR(Q245/N245,"")</x:f>
      </x:c>
      <x:c r="W245" s="137" t="str"/>
      <x:c r="X245" s="137" t="str"/>
      <x:c r="Y245" s="137" t="str"/>
      <x:c r="Z245" s="137" t="str"/>
      <x:c r="AA245" s="137" t="str"/>
      <x:c r="AB245" s="137" t="str"/>
      <x:c r="AC245" s="137" t="str"/>
      <x:c r="AD245" s="199" t="str"/>
    </x:row>
    <x:row r="246">
      <x:c r="A246" s="137" t="str"/>
      <x:c r="B246" s="138" t="str"/>
      <x:c r="C246" s="137" t="str"/>
      <x:c r="D246" s="137" t="str"/>
      <x:c r="E246" s="137" t="str"/>
      <x:c r="F246" s="137" t="str"/>
      <x:c r="G246" s="137" t="str"/>
      <x:c r="H246" s="137" t="str"/>
      <x:c r="I246" s="137" t="str"/>
      <x:c r="J246" s="137" t="str"/>
      <x:c r="K246" s="137" t="str"/>
      <x:c r="L246" s="160" t="str"/>
      <x:c r="M246" s="160" t="str"/>
      <x:c r="N246" s="151" t="str"/>
      <x:c r="O246" s="151" t="str"/>
      <x:c r="P246" s="151" t="str"/>
      <x:c r="Q246" s="151" t="str"/>
      <x:c r="R246" s="151" t="str"/>
      <x:c r="S246" s="151" t="str"/>
      <x:c r="T246" s="152" t="n">
        <x:f>IF(COUNTA(O246:S246)=0,"",MAX(0,IF(O246="",0,O246)+IF(P246="",0,P246)-IF(Q246="",0,Q246)-IF(R246="",0,R246)))</x:f>
        <x:v>0</x:v>
      </x:c>
      <x:c r="U246" s="152" t="str">
        <x:f>IF(OR(N246="",Q246=""),"",Q246-N246)</x:f>
      </x:c>
      <x:c r="V246" s="202" t="str">
        <x:f>IFERROR(Q246/N246,"")</x:f>
      </x:c>
      <x:c r="W246" s="137" t="str"/>
      <x:c r="X246" s="137" t="str"/>
      <x:c r="Y246" s="137" t="str"/>
      <x:c r="Z246" s="137" t="str"/>
      <x:c r="AA246" s="137" t="str"/>
      <x:c r="AB246" s="137" t="str"/>
      <x:c r="AC246" s="137" t="str"/>
      <x:c r="AD246" s="199" t="str"/>
    </x:row>
    <x:row r="247">
      <x:c r="A247" s="137" t="str"/>
      <x:c r="B247" s="138" t="str"/>
      <x:c r="C247" s="137" t="str"/>
      <x:c r="D247" s="137" t="str"/>
      <x:c r="E247" s="137" t="str"/>
      <x:c r="F247" s="137" t="str"/>
      <x:c r="G247" s="137" t="str"/>
      <x:c r="H247" s="137" t="str"/>
      <x:c r="I247" s="137" t="str"/>
      <x:c r="J247" s="137" t="str"/>
      <x:c r="K247" s="137" t="str"/>
      <x:c r="L247" s="160" t="str"/>
      <x:c r="M247" s="160" t="str"/>
      <x:c r="N247" s="151" t="str"/>
      <x:c r="O247" s="151" t="str"/>
      <x:c r="P247" s="151" t="str"/>
      <x:c r="Q247" s="151" t="str"/>
      <x:c r="R247" s="151" t="str"/>
      <x:c r="S247" s="151" t="str"/>
      <x:c r="T247" s="152" t="n">
        <x:f>IF(COUNTA(O247:S247)=0,"",MAX(0,IF(O247="",0,O247)+IF(P247="",0,P247)-IF(Q247="",0,Q247)-IF(R247="",0,R247)))</x:f>
        <x:v>0</x:v>
      </x:c>
      <x:c r="U247" s="152" t="str">
        <x:f>IF(OR(N247="",Q247=""),"",Q247-N247)</x:f>
      </x:c>
      <x:c r="V247" s="202" t="str">
        <x:f>IFERROR(Q247/N247,"")</x:f>
      </x:c>
      <x:c r="W247" s="137" t="str"/>
      <x:c r="X247" s="137" t="str"/>
      <x:c r="Y247" s="137" t="str"/>
      <x:c r="Z247" s="137" t="str"/>
      <x:c r="AA247" s="137" t="str"/>
      <x:c r="AB247" s="137" t="str"/>
      <x:c r="AC247" s="137" t="str"/>
      <x:c r="AD247" s="199" t="str"/>
    </x:row>
    <x:row r="248">
      <x:c r="A248" s="137" t="str"/>
      <x:c r="B248" s="138" t="str"/>
      <x:c r="C248" s="137" t="str"/>
      <x:c r="D248" s="137" t="str"/>
      <x:c r="E248" s="137" t="str"/>
      <x:c r="F248" s="137" t="str"/>
      <x:c r="G248" s="137" t="str"/>
      <x:c r="H248" s="137" t="str"/>
      <x:c r="I248" s="137" t="str"/>
      <x:c r="J248" s="137" t="str"/>
      <x:c r="K248" s="137" t="str"/>
      <x:c r="L248" s="160" t="str"/>
      <x:c r="M248" s="160" t="str"/>
      <x:c r="N248" s="151" t="str"/>
      <x:c r="O248" s="151" t="str"/>
      <x:c r="P248" s="151" t="str"/>
      <x:c r="Q248" s="151" t="str"/>
      <x:c r="R248" s="151" t="str"/>
      <x:c r="S248" s="151" t="str"/>
      <x:c r="T248" s="152" t="n">
        <x:f>IF(COUNTA(O248:S248)=0,"",MAX(0,IF(O248="",0,O248)+IF(P248="",0,P248)-IF(Q248="",0,Q248)-IF(R248="",0,R248)))</x:f>
        <x:v>0</x:v>
      </x:c>
      <x:c r="U248" s="152" t="str">
        <x:f>IF(OR(N248="",Q248=""),"",Q248-N248)</x:f>
      </x:c>
      <x:c r="V248" s="202" t="str">
        <x:f>IFERROR(Q248/N248,"")</x:f>
      </x:c>
      <x:c r="W248" s="137" t="str"/>
      <x:c r="X248" s="137" t="str"/>
      <x:c r="Y248" s="137" t="str"/>
      <x:c r="Z248" s="137" t="str"/>
      <x:c r="AA248" s="137" t="str"/>
      <x:c r="AB248" s="137" t="str"/>
      <x:c r="AC248" s="137" t="str"/>
      <x:c r="AD248" s="199" t="str"/>
    </x:row>
    <x:row r="249">
      <x:c r="A249" s="137" t="str"/>
      <x:c r="B249" s="138" t="str"/>
      <x:c r="C249" s="137" t="str"/>
      <x:c r="D249" s="137" t="str"/>
      <x:c r="E249" s="137" t="str"/>
      <x:c r="F249" s="137" t="str"/>
      <x:c r="G249" s="137" t="str"/>
      <x:c r="H249" s="137" t="str"/>
      <x:c r="I249" s="137" t="str"/>
      <x:c r="J249" s="137" t="str"/>
      <x:c r="K249" s="137" t="str"/>
      <x:c r="L249" s="160" t="str"/>
      <x:c r="M249" s="160" t="str"/>
      <x:c r="N249" s="151" t="str"/>
      <x:c r="O249" s="151" t="str"/>
      <x:c r="P249" s="151" t="str"/>
      <x:c r="Q249" s="151" t="str"/>
      <x:c r="R249" s="151" t="str"/>
      <x:c r="S249" s="151" t="str"/>
      <x:c r="T249" s="152" t="n">
        <x:f>IF(COUNTA(O249:S249)=0,"",MAX(0,IF(O249="",0,O249)+IF(P249="",0,P249)-IF(Q249="",0,Q249)-IF(R249="",0,R249)))</x:f>
        <x:v>0</x:v>
      </x:c>
      <x:c r="U249" s="152" t="str">
        <x:f>IF(OR(N249="",Q249=""),"",Q249-N249)</x:f>
      </x:c>
      <x:c r="V249" s="202" t="str">
        <x:f>IFERROR(Q249/N249,"")</x:f>
      </x:c>
      <x:c r="W249" s="137" t="str"/>
      <x:c r="X249" s="137" t="str"/>
      <x:c r="Y249" s="137" t="str"/>
      <x:c r="Z249" s="137" t="str"/>
      <x:c r="AA249" s="137" t="str"/>
      <x:c r="AB249" s="137" t="str"/>
      <x:c r="AC249" s="137" t="str"/>
      <x:c r="AD249" s="199" t="str"/>
    </x:row>
    <x:row r="250">
      <x:c r="A250" s="137" t="str"/>
      <x:c r="B250" s="138" t="str"/>
      <x:c r="C250" s="137" t="str"/>
      <x:c r="D250" s="137" t="str"/>
      <x:c r="E250" s="137" t="str"/>
      <x:c r="F250" s="137" t="str"/>
      <x:c r="G250" s="137" t="str"/>
      <x:c r="H250" s="137" t="str"/>
      <x:c r="I250" s="137" t="str"/>
      <x:c r="J250" s="137" t="str"/>
      <x:c r="K250" s="137" t="str"/>
      <x:c r="L250" s="160" t="str"/>
      <x:c r="M250" s="160" t="str"/>
      <x:c r="N250" s="151" t="str"/>
      <x:c r="O250" s="151" t="str"/>
      <x:c r="P250" s="151" t="str"/>
      <x:c r="Q250" s="151" t="str"/>
      <x:c r="R250" s="151" t="str"/>
      <x:c r="S250" s="151" t="str"/>
      <x:c r="T250" s="152" t="n">
        <x:f>IF(COUNTA(O250:S250)=0,"",MAX(0,IF(O250="",0,O250)+IF(P250="",0,P250)-IF(Q250="",0,Q250)-IF(R250="",0,R250)))</x:f>
        <x:v>0</x:v>
      </x:c>
      <x:c r="U250" s="152" t="str">
        <x:f>IF(OR(N250="",Q250=""),"",Q250-N250)</x:f>
      </x:c>
      <x:c r="V250" s="202" t="str">
        <x:f>IFERROR(Q250/N250,"")</x:f>
      </x:c>
      <x:c r="W250" s="137" t="str"/>
      <x:c r="X250" s="137" t="str"/>
      <x:c r="Y250" s="137" t="str"/>
      <x:c r="Z250" s="137" t="str"/>
      <x:c r="AA250" s="137" t="str"/>
      <x:c r="AB250" s="137" t="str"/>
      <x:c r="AC250" s="137" t="str"/>
      <x:c r="AD250" s="199" t="str"/>
    </x:row>
    <x:row r="251">
      <x:c r="A251" s="137" t="str"/>
      <x:c r="B251" s="138" t="str"/>
      <x:c r="C251" s="137" t="str"/>
      <x:c r="D251" s="137" t="str"/>
      <x:c r="E251" s="137" t="str"/>
      <x:c r="F251" s="137" t="str"/>
      <x:c r="G251" s="137" t="str"/>
      <x:c r="H251" s="137" t="str"/>
      <x:c r="I251" s="137" t="str"/>
      <x:c r="J251" s="137" t="str"/>
      <x:c r="K251" s="137" t="str"/>
      <x:c r="L251" s="160" t="str"/>
      <x:c r="M251" s="160" t="str"/>
      <x:c r="N251" s="151" t="str"/>
      <x:c r="O251" s="151" t="str"/>
      <x:c r="P251" s="151" t="str"/>
      <x:c r="Q251" s="151" t="str"/>
      <x:c r="R251" s="151" t="str"/>
      <x:c r="S251" s="151" t="str"/>
      <x:c r="T251" s="152" t="n">
        <x:f>IF(COUNTA(O251:S251)=0,"",MAX(0,IF(O251="",0,O251)+IF(P251="",0,P251)-IF(Q251="",0,Q251)-IF(R251="",0,R251)))</x:f>
        <x:v>0</x:v>
      </x:c>
      <x:c r="U251" s="152" t="str">
        <x:f>IF(OR(N251="",Q251=""),"",Q251-N251)</x:f>
      </x:c>
      <x:c r="V251" s="202" t="str">
        <x:f>IFERROR(Q251/N251,"")</x:f>
      </x:c>
      <x:c r="W251" s="137" t="str"/>
      <x:c r="X251" s="137" t="str"/>
      <x:c r="Y251" s="137" t="str"/>
      <x:c r="Z251" s="137" t="str"/>
      <x:c r="AA251" s="137" t="str"/>
      <x:c r="AB251" s="137" t="str"/>
      <x:c r="AC251" s="137" t="str"/>
      <x:c r="AD251" s="199" t="str"/>
    </x:row>
    <x:row r="252">
      <x:c r="A252" s="137" t="str"/>
      <x:c r="B252" s="138" t="str"/>
      <x:c r="C252" s="137" t="str"/>
      <x:c r="D252" s="137" t="str"/>
      <x:c r="E252" s="137" t="str"/>
      <x:c r="F252" s="137" t="str"/>
      <x:c r="G252" s="137" t="str"/>
      <x:c r="H252" s="137" t="str"/>
      <x:c r="I252" s="137" t="str"/>
      <x:c r="J252" s="137" t="str"/>
      <x:c r="K252" s="137" t="str"/>
      <x:c r="L252" s="160" t="str"/>
      <x:c r="M252" s="160" t="str"/>
      <x:c r="N252" s="151" t="str"/>
      <x:c r="O252" s="151" t="str"/>
      <x:c r="P252" s="151" t="str"/>
      <x:c r="Q252" s="151" t="str"/>
      <x:c r="R252" s="151" t="str"/>
      <x:c r="S252" s="151" t="str"/>
      <x:c r="T252" s="152" t="n">
        <x:f>IF(COUNTA(O252:S252)=0,"",MAX(0,IF(O252="",0,O252)+IF(P252="",0,P252)-IF(Q252="",0,Q252)-IF(R252="",0,R252)))</x:f>
        <x:v>0</x:v>
      </x:c>
      <x:c r="U252" s="152" t="str">
        <x:f>IF(OR(N252="",Q252=""),"",Q252-N252)</x:f>
      </x:c>
      <x:c r="V252" s="202" t="str">
        <x:f>IFERROR(Q252/N252,"")</x:f>
      </x:c>
      <x:c r="W252" s="137" t="str"/>
      <x:c r="X252" s="137" t="str"/>
      <x:c r="Y252" s="137" t="str"/>
      <x:c r="Z252" s="137" t="str"/>
      <x:c r="AA252" s="137" t="str"/>
      <x:c r="AB252" s="137" t="str"/>
      <x:c r="AC252" s="137" t="str"/>
      <x:c r="AD252" s="199" t="str"/>
    </x:row>
    <x:row r="253">
      <x:c r="A253" s="137" t="str"/>
      <x:c r="B253" s="138" t="str"/>
      <x:c r="C253" s="137" t="str"/>
      <x:c r="D253" s="137" t="str"/>
      <x:c r="E253" s="137" t="str"/>
      <x:c r="F253" s="137" t="str"/>
      <x:c r="G253" s="137" t="str"/>
      <x:c r="H253" s="137" t="str"/>
      <x:c r="I253" s="137" t="str"/>
      <x:c r="J253" s="137" t="str"/>
      <x:c r="K253" s="137" t="str"/>
      <x:c r="L253" s="160" t="str"/>
      <x:c r="M253" s="160" t="str"/>
      <x:c r="N253" s="151" t="str"/>
      <x:c r="O253" s="151" t="str"/>
      <x:c r="P253" s="151" t="str"/>
      <x:c r="Q253" s="151" t="str"/>
      <x:c r="R253" s="151" t="str"/>
      <x:c r="S253" s="151" t="str"/>
      <x:c r="T253" s="152" t="n">
        <x:f>IF(COUNTA(O253:S253)=0,"",MAX(0,IF(O253="",0,O253)+IF(P253="",0,P253)-IF(Q253="",0,Q253)-IF(R253="",0,R253)))</x:f>
        <x:v>0</x:v>
      </x:c>
      <x:c r="U253" s="152" t="str">
        <x:f>IF(OR(N253="",Q253=""),"",Q253-N253)</x:f>
      </x:c>
      <x:c r="V253" s="202" t="str">
        <x:f>IFERROR(Q253/N253,"")</x:f>
      </x:c>
      <x:c r="W253" s="137" t="str"/>
      <x:c r="X253" s="137" t="str"/>
      <x:c r="Y253" s="137" t="str"/>
      <x:c r="Z253" s="137" t="str"/>
      <x:c r="AA253" s="137" t="str"/>
      <x:c r="AB253" s="137" t="str"/>
      <x:c r="AC253" s="137" t="str"/>
      <x:c r="AD253" s="199" t="str"/>
    </x:row>
    <x:row r="254">
      <x:c r="A254" s="137" t="str"/>
      <x:c r="B254" s="138" t="str"/>
      <x:c r="C254" s="137" t="str"/>
      <x:c r="D254" s="137" t="str"/>
      <x:c r="E254" s="137" t="str"/>
      <x:c r="F254" s="137" t="str"/>
      <x:c r="G254" s="137" t="str"/>
      <x:c r="H254" s="137" t="str"/>
      <x:c r="I254" s="137" t="str"/>
      <x:c r="J254" s="137" t="str"/>
      <x:c r="K254" s="137" t="str"/>
      <x:c r="L254" s="160" t="str"/>
      <x:c r="M254" s="160" t="str"/>
      <x:c r="N254" s="151" t="str"/>
      <x:c r="O254" s="151" t="str"/>
      <x:c r="P254" s="151" t="str"/>
      <x:c r="Q254" s="151" t="str"/>
      <x:c r="R254" s="151" t="str"/>
      <x:c r="S254" s="151" t="str"/>
      <x:c r="T254" s="152" t="n">
        <x:f>IF(COUNTA(O254:S254)=0,"",MAX(0,IF(O254="",0,O254)+IF(P254="",0,P254)-IF(Q254="",0,Q254)-IF(R254="",0,R254)))</x:f>
        <x:v>0</x:v>
      </x:c>
      <x:c r="U254" s="152" t="str">
        <x:f>IF(OR(N254="",Q254=""),"",Q254-N254)</x:f>
      </x:c>
      <x:c r="V254" s="202" t="str">
        <x:f>IFERROR(Q254/N254,"")</x:f>
      </x:c>
      <x:c r="W254" s="137" t="str"/>
      <x:c r="X254" s="137" t="str"/>
      <x:c r="Y254" s="137" t="str"/>
      <x:c r="Z254" s="137" t="str"/>
      <x:c r="AA254" s="137" t="str"/>
      <x:c r="AB254" s="137" t="str"/>
      <x:c r="AC254" s="137" t="str"/>
      <x:c r="AD254" s="199" t="str"/>
    </x:row>
    <x:row r="255">
      <x:c r="A255" s="137" t="str"/>
      <x:c r="B255" s="138" t="str"/>
      <x:c r="C255" s="137" t="str"/>
      <x:c r="D255" s="137" t="str"/>
      <x:c r="E255" s="137" t="str"/>
      <x:c r="F255" s="137" t="str"/>
      <x:c r="G255" s="137" t="str"/>
      <x:c r="H255" s="137" t="str"/>
      <x:c r="I255" s="137" t="str"/>
      <x:c r="J255" s="137" t="str"/>
      <x:c r="K255" s="137" t="str"/>
      <x:c r="L255" s="160" t="str"/>
      <x:c r="M255" s="160" t="str"/>
      <x:c r="N255" s="151" t="str"/>
      <x:c r="O255" s="151" t="str"/>
      <x:c r="P255" s="151" t="str"/>
      <x:c r="Q255" s="151" t="str"/>
      <x:c r="R255" s="151" t="str"/>
      <x:c r="S255" s="151" t="str"/>
      <x:c r="T255" s="152" t="n">
        <x:f>IF(COUNTA(O255:S255)=0,"",MAX(0,IF(O255="",0,O255)+IF(P255="",0,P255)-IF(Q255="",0,Q255)-IF(R255="",0,R255)))</x:f>
        <x:v>0</x:v>
      </x:c>
      <x:c r="U255" s="152" t="str">
        <x:f>IF(OR(N255="",Q255=""),"",Q255-N255)</x:f>
      </x:c>
      <x:c r="V255" s="202" t="str">
        <x:f>IFERROR(Q255/N255,"")</x:f>
      </x:c>
      <x:c r="W255" s="137" t="str"/>
      <x:c r="X255" s="137" t="str"/>
      <x:c r="Y255" s="137" t="str"/>
      <x:c r="Z255" s="137" t="str"/>
      <x:c r="AA255" s="137" t="str"/>
      <x:c r="AB255" s="137" t="str"/>
      <x:c r="AC255" s="137" t="str"/>
      <x:c r="AD255" s="199" t="str"/>
    </x:row>
    <x:row r="256">
      <x:c r="A256" s="137" t="str"/>
      <x:c r="B256" s="138" t="str"/>
      <x:c r="C256" s="137" t="str"/>
      <x:c r="D256" s="137" t="str"/>
      <x:c r="E256" s="137" t="str"/>
      <x:c r="F256" s="137" t="str"/>
      <x:c r="G256" s="137" t="str"/>
      <x:c r="H256" s="137" t="str"/>
      <x:c r="I256" s="137" t="str"/>
      <x:c r="J256" s="137" t="str"/>
      <x:c r="K256" s="137" t="str"/>
      <x:c r="L256" s="160" t="str"/>
      <x:c r="M256" s="160" t="str"/>
      <x:c r="N256" s="151" t="str"/>
      <x:c r="O256" s="151" t="str"/>
      <x:c r="P256" s="151" t="str"/>
      <x:c r="Q256" s="151" t="str"/>
      <x:c r="R256" s="151" t="str"/>
      <x:c r="S256" s="151" t="str"/>
      <x:c r="T256" s="152" t="n">
        <x:f>IF(COUNTA(O256:S256)=0,"",MAX(0,IF(O256="",0,O256)+IF(P256="",0,P256)-IF(Q256="",0,Q256)-IF(R256="",0,R256)))</x:f>
        <x:v>0</x:v>
      </x:c>
      <x:c r="U256" s="152" t="str">
        <x:f>IF(OR(N256="",Q256=""),"",Q256-N256)</x:f>
      </x:c>
      <x:c r="V256" s="202" t="str">
        <x:f>IFERROR(Q256/N256,"")</x:f>
      </x:c>
      <x:c r="W256" s="137" t="str"/>
      <x:c r="X256" s="137" t="str"/>
      <x:c r="Y256" s="137" t="str"/>
      <x:c r="Z256" s="137" t="str"/>
      <x:c r="AA256" s="137" t="str"/>
      <x:c r="AB256" s="137" t="str"/>
      <x:c r="AC256" s="137" t="str"/>
      <x:c r="AD256" s="199" t="str"/>
    </x:row>
    <x:row r="257">
      <x:c r="A257" s="137" t="str"/>
      <x:c r="B257" s="138" t="str"/>
      <x:c r="C257" s="137" t="str"/>
      <x:c r="D257" s="137" t="str"/>
      <x:c r="E257" s="137" t="str"/>
      <x:c r="F257" s="137" t="str"/>
      <x:c r="G257" s="137" t="str"/>
      <x:c r="H257" s="137" t="str"/>
      <x:c r="I257" s="137" t="str"/>
      <x:c r="J257" s="137" t="str"/>
      <x:c r="K257" s="137" t="str"/>
      <x:c r="L257" s="160" t="str"/>
      <x:c r="M257" s="160" t="str"/>
      <x:c r="N257" s="151" t="str"/>
      <x:c r="O257" s="151" t="str"/>
      <x:c r="P257" s="151" t="str"/>
      <x:c r="Q257" s="151" t="str"/>
      <x:c r="R257" s="151" t="str"/>
      <x:c r="S257" s="151" t="str"/>
      <x:c r="T257" s="152" t="n">
        <x:f>IF(COUNTA(O257:S257)=0,"",MAX(0,IF(O257="",0,O257)+IF(P257="",0,P257)-IF(Q257="",0,Q257)-IF(R257="",0,R257)))</x:f>
        <x:v>0</x:v>
      </x:c>
      <x:c r="U257" s="152" t="str">
        <x:f>IF(OR(N257="",Q257=""),"",Q257-N257)</x:f>
      </x:c>
      <x:c r="V257" s="202" t="str">
        <x:f>IFERROR(Q257/N257,"")</x:f>
      </x:c>
      <x:c r="W257" s="137" t="str"/>
      <x:c r="X257" s="137" t="str"/>
      <x:c r="Y257" s="137" t="str"/>
      <x:c r="Z257" s="137" t="str"/>
      <x:c r="AA257" s="137" t="str"/>
      <x:c r="AB257" s="137" t="str"/>
      <x:c r="AC257" s="137" t="str"/>
      <x:c r="AD257" s="199" t="str"/>
    </x:row>
    <x:row r="258">
      <x:c r="A258" s="137" t="str"/>
      <x:c r="B258" s="138" t="str"/>
      <x:c r="C258" s="137" t="str"/>
      <x:c r="D258" s="137" t="str"/>
      <x:c r="E258" s="137" t="str"/>
      <x:c r="F258" s="137" t="str"/>
      <x:c r="G258" s="137" t="str"/>
      <x:c r="H258" s="137" t="str"/>
      <x:c r="I258" s="137" t="str"/>
      <x:c r="J258" s="137" t="str"/>
      <x:c r="K258" s="137" t="str"/>
      <x:c r="L258" s="160" t="str"/>
      <x:c r="M258" s="160" t="str"/>
      <x:c r="N258" s="151" t="str"/>
      <x:c r="O258" s="151" t="str"/>
      <x:c r="P258" s="151" t="str"/>
      <x:c r="Q258" s="151" t="str"/>
      <x:c r="R258" s="151" t="str"/>
      <x:c r="S258" s="151" t="str"/>
      <x:c r="T258" s="152" t="n">
        <x:f>IF(COUNTA(O258:S258)=0,"",MAX(0,IF(O258="",0,O258)+IF(P258="",0,P258)-IF(Q258="",0,Q258)-IF(R258="",0,R258)))</x:f>
        <x:v>0</x:v>
      </x:c>
      <x:c r="U258" s="152" t="str">
        <x:f>IF(OR(N258="",Q258=""),"",Q258-N258)</x:f>
      </x:c>
      <x:c r="V258" s="202" t="str">
        <x:f>IFERROR(Q258/N258,"")</x:f>
      </x:c>
      <x:c r="W258" s="137" t="str"/>
      <x:c r="X258" s="137" t="str"/>
      <x:c r="Y258" s="137" t="str"/>
      <x:c r="Z258" s="137" t="str"/>
      <x:c r="AA258" s="137" t="str"/>
      <x:c r="AB258" s="137" t="str"/>
      <x:c r="AC258" s="137" t="str"/>
      <x:c r="AD258" s="199" t="str"/>
    </x:row>
    <x:row r="259">
      <x:c r="A259" s="137" t="str"/>
      <x:c r="B259" s="138" t="str"/>
      <x:c r="C259" s="137" t="str"/>
      <x:c r="D259" s="137" t="str"/>
      <x:c r="E259" s="137" t="str"/>
      <x:c r="F259" s="137" t="str"/>
      <x:c r="G259" s="137" t="str"/>
      <x:c r="H259" s="137" t="str"/>
      <x:c r="I259" s="137" t="str"/>
      <x:c r="J259" s="137" t="str"/>
      <x:c r="K259" s="137" t="str"/>
      <x:c r="L259" s="160" t="str"/>
      <x:c r="M259" s="160" t="str"/>
      <x:c r="N259" s="151" t="str"/>
      <x:c r="O259" s="151" t="str"/>
      <x:c r="P259" s="151" t="str"/>
      <x:c r="Q259" s="151" t="str"/>
      <x:c r="R259" s="151" t="str"/>
      <x:c r="S259" s="151" t="str"/>
      <x:c r="T259" s="152" t="n">
        <x:f>IF(COUNTA(O259:S259)=0,"",MAX(0,IF(O259="",0,O259)+IF(P259="",0,P259)-IF(Q259="",0,Q259)-IF(R259="",0,R259)))</x:f>
        <x:v>0</x:v>
      </x:c>
      <x:c r="U259" s="152" t="str">
        <x:f>IF(OR(N259="",Q259=""),"",Q259-N259)</x:f>
      </x:c>
      <x:c r="V259" s="202" t="str">
        <x:f>IFERROR(Q259/N259,"")</x:f>
      </x:c>
      <x:c r="W259" s="137" t="str"/>
      <x:c r="X259" s="137" t="str"/>
      <x:c r="Y259" s="137" t="str"/>
      <x:c r="Z259" s="137" t="str"/>
      <x:c r="AA259" s="137" t="str"/>
      <x:c r="AB259" s="137" t="str"/>
      <x:c r="AC259" s="137" t="str"/>
      <x:c r="AD259" s="199" t="str"/>
    </x:row>
    <x:row r="260">
      <x:c r="A260" s="137" t="str"/>
      <x:c r="B260" s="138" t="str"/>
      <x:c r="C260" s="137" t="str"/>
      <x:c r="D260" s="137" t="str"/>
      <x:c r="E260" s="137" t="str"/>
      <x:c r="F260" s="137" t="str"/>
      <x:c r="G260" s="137" t="str"/>
      <x:c r="H260" s="137" t="str"/>
      <x:c r="I260" s="137" t="str"/>
      <x:c r="J260" s="137" t="str"/>
      <x:c r="K260" s="137" t="str"/>
      <x:c r="L260" s="160" t="str"/>
      <x:c r="M260" s="160" t="str"/>
      <x:c r="N260" s="151" t="str"/>
      <x:c r="O260" s="151" t="str"/>
      <x:c r="P260" s="151" t="str"/>
      <x:c r="Q260" s="151" t="str"/>
      <x:c r="R260" s="151" t="str"/>
      <x:c r="S260" s="151" t="str"/>
      <x:c r="T260" s="152" t="n">
        <x:f>IF(COUNTA(O260:S260)=0,"",MAX(0,IF(O260="",0,O260)+IF(P260="",0,P260)-IF(Q260="",0,Q260)-IF(R260="",0,R260)))</x:f>
        <x:v>0</x:v>
      </x:c>
      <x:c r="U260" s="152" t="str">
        <x:f>IF(OR(N260="",Q260=""),"",Q260-N260)</x:f>
      </x:c>
      <x:c r="V260" s="202" t="str">
        <x:f>IFERROR(Q260/N260,"")</x:f>
      </x:c>
      <x:c r="W260" s="137" t="str"/>
      <x:c r="X260" s="137" t="str"/>
      <x:c r="Y260" s="137" t="str"/>
      <x:c r="Z260" s="137" t="str"/>
      <x:c r="AA260" s="137" t="str"/>
      <x:c r="AB260" s="137" t="str"/>
      <x:c r="AC260" s="137" t="str"/>
      <x:c r="AD260" s="199" t="str"/>
    </x:row>
    <x:row r="261">
      <x:c r="A261" s="137" t="str"/>
      <x:c r="B261" s="138" t="str"/>
      <x:c r="C261" s="137" t="str"/>
      <x:c r="D261" s="137" t="str"/>
      <x:c r="E261" s="137" t="str"/>
      <x:c r="F261" s="137" t="str"/>
      <x:c r="G261" s="137" t="str"/>
      <x:c r="H261" s="137" t="str"/>
      <x:c r="I261" s="137" t="str"/>
      <x:c r="J261" s="137" t="str"/>
      <x:c r="K261" s="137" t="str"/>
      <x:c r="L261" s="160" t="str"/>
      <x:c r="M261" s="160" t="str"/>
      <x:c r="N261" s="151" t="str"/>
      <x:c r="O261" s="151" t="str"/>
      <x:c r="P261" s="151" t="str"/>
      <x:c r="Q261" s="151" t="str"/>
      <x:c r="R261" s="151" t="str"/>
      <x:c r="S261" s="151" t="str"/>
      <x:c r="T261" s="152" t="n">
        <x:f>IF(COUNTA(O261:S261)=0,"",MAX(0,IF(O261="",0,O261)+IF(P261="",0,P261)-IF(Q261="",0,Q261)-IF(R261="",0,R261)))</x:f>
        <x:v>0</x:v>
      </x:c>
      <x:c r="U261" s="152" t="str">
        <x:f>IF(OR(N261="",Q261=""),"",Q261-N261)</x:f>
      </x:c>
      <x:c r="V261" s="202" t="str">
        <x:f>IFERROR(Q261/N261,"")</x:f>
      </x:c>
      <x:c r="W261" s="137" t="str"/>
      <x:c r="X261" s="137" t="str"/>
      <x:c r="Y261" s="137" t="str"/>
      <x:c r="Z261" s="137" t="str"/>
      <x:c r="AA261" s="137" t="str"/>
      <x:c r="AB261" s="137" t="str"/>
      <x:c r="AC261" s="137" t="str"/>
      <x:c r="AD261" s="199" t="str"/>
    </x:row>
    <x:row r="262">
      <x:c r="A262" s="137" t="str"/>
      <x:c r="B262" s="138" t="str"/>
      <x:c r="C262" s="137" t="str"/>
      <x:c r="D262" s="137" t="str"/>
      <x:c r="E262" s="137" t="str"/>
      <x:c r="F262" s="137" t="str"/>
      <x:c r="G262" s="137" t="str"/>
      <x:c r="H262" s="137" t="str"/>
      <x:c r="I262" s="137" t="str"/>
      <x:c r="J262" s="137" t="str"/>
      <x:c r="K262" s="137" t="str"/>
      <x:c r="L262" s="160" t="str"/>
      <x:c r="M262" s="160" t="str"/>
      <x:c r="N262" s="151" t="str"/>
      <x:c r="O262" s="151" t="str"/>
      <x:c r="P262" s="151" t="str"/>
      <x:c r="Q262" s="151" t="str"/>
      <x:c r="R262" s="151" t="str"/>
      <x:c r="S262" s="151" t="str"/>
      <x:c r="T262" s="152" t="n">
        <x:f>IF(COUNTA(O262:S262)=0,"",MAX(0,IF(O262="",0,O262)+IF(P262="",0,P262)-IF(Q262="",0,Q262)-IF(R262="",0,R262)))</x:f>
        <x:v>0</x:v>
      </x:c>
      <x:c r="U262" s="152" t="str">
        <x:f>IF(OR(N262="",Q262=""),"",Q262-N262)</x:f>
      </x:c>
      <x:c r="V262" s="202" t="str">
        <x:f>IFERROR(Q262/N262,"")</x:f>
      </x:c>
      <x:c r="W262" s="137" t="str"/>
      <x:c r="X262" s="137" t="str"/>
      <x:c r="Y262" s="137" t="str"/>
      <x:c r="Z262" s="137" t="str"/>
      <x:c r="AA262" s="137" t="str"/>
      <x:c r="AB262" s="137" t="str"/>
      <x:c r="AC262" s="137" t="str"/>
      <x:c r="AD262" s="199" t="str"/>
    </x:row>
    <x:row r="263">
      <x:c r="A263" s="137" t="str"/>
      <x:c r="B263" s="138" t="str"/>
      <x:c r="C263" s="137" t="str"/>
      <x:c r="D263" s="137" t="str"/>
      <x:c r="E263" s="137" t="str"/>
      <x:c r="F263" s="137" t="str"/>
      <x:c r="G263" s="137" t="str"/>
      <x:c r="H263" s="137" t="str"/>
      <x:c r="I263" s="137" t="str"/>
      <x:c r="J263" s="137" t="str"/>
      <x:c r="K263" s="137" t="str"/>
      <x:c r="L263" s="160" t="str"/>
      <x:c r="M263" s="160" t="str"/>
      <x:c r="N263" s="151" t="str"/>
      <x:c r="O263" s="151" t="str"/>
      <x:c r="P263" s="151" t="str"/>
      <x:c r="Q263" s="151" t="str"/>
      <x:c r="R263" s="151" t="str"/>
      <x:c r="S263" s="151" t="str"/>
      <x:c r="T263" s="152" t="n">
        <x:f>IF(COUNTA(O263:S263)=0,"",MAX(0,IF(O263="",0,O263)+IF(P263="",0,P263)-IF(Q263="",0,Q263)-IF(R263="",0,R263)))</x:f>
        <x:v>0</x:v>
      </x:c>
      <x:c r="U263" s="152" t="str">
        <x:f>IF(OR(N263="",Q263=""),"",Q263-N263)</x:f>
      </x:c>
      <x:c r="V263" s="202" t="str">
        <x:f>IFERROR(Q263/N263,"")</x:f>
      </x:c>
      <x:c r="W263" s="137" t="str"/>
      <x:c r="X263" s="137" t="str"/>
      <x:c r="Y263" s="137" t="str"/>
      <x:c r="Z263" s="137" t="str"/>
      <x:c r="AA263" s="137" t="str"/>
      <x:c r="AB263" s="137" t="str"/>
      <x:c r="AC263" s="137" t="str"/>
      <x:c r="AD263" s="199" t="str"/>
    </x:row>
    <x:row r="264">
      <x:c r="A264" s="137" t="str"/>
      <x:c r="B264" s="138" t="str"/>
      <x:c r="C264" s="137" t="str"/>
      <x:c r="D264" s="137" t="str"/>
      <x:c r="E264" s="137" t="str"/>
      <x:c r="F264" s="137" t="str"/>
      <x:c r="G264" s="137" t="str"/>
      <x:c r="H264" s="137" t="str"/>
      <x:c r="I264" s="137" t="str"/>
      <x:c r="J264" s="137" t="str"/>
      <x:c r="K264" s="137" t="str"/>
      <x:c r="L264" s="160" t="str"/>
      <x:c r="M264" s="160" t="str"/>
      <x:c r="N264" s="151" t="str"/>
      <x:c r="O264" s="151" t="str"/>
      <x:c r="P264" s="151" t="str"/>
      <x:c r="Q264" s="151" t="str"/>
      <x:c r="R264" s="151" t="str"/>
      <x:c r="S264" s="151" t="str"/>
      <x:c r="T264" s="152" t="n">
        <x:f>IF(COUNTA(O264:S264)=0,"",MAX(0,IF(O264="",0,O264)+IF(P264="",0,P264)-IF(Q264="",0,Q264)-IF(R264="",0,R264)))</x:f>
        <x:v>0</x:v>
      </x:c>
      <x:c r="U264" s="152" t="str">
        <x:f>IF(OR(N264="",Q264=""),"",Q264-N264)</x:f>
      </x:c>
      <x:c r="V264" s="202" t="str">
        <x:f>IFERROR(Q264/N264,"")</x:f>
      </x:c>
      <x:c r="W264" s="137" t="str"/>
      <x:c r="X264" s="137" t="str"/>
      <x:c r="Y264" s="137" t="str"/>
      <x:c r="Z264" s="137" t="str"/>
      <x:c r="AA264" s="137" t="str"/>
      <x:c r="AB264" s="137" t="str"/>
      <x:c r="AC264" s="137" t="str"/>
      <x:c r="AD264" s="199" t="str"/>
    </x:row>
    <x:row r="265">
      <x:c r="A265" s="137" t="str"/>
      <x:c r="B265" s="138" t="str"/>
      <x:c r="C265" s="137" t="str"/>
      <x:c r="D265" s="137" t="str"/>
      <x:c r="E265" s="137" t="str"/>
      <x:c r="F265" s="137" t="str"/>
      <x:c r="G265" s="137" t="str"/>
      <x:c r="H265" s="137" t="str"/>
      <x:c r="I265" s="137" t="str"/>
      <x:c r="J265" s="137" t="str"/>
      <x:c r="K265" s="137" t="str"/>
      <x:c r="L265" s="160" t="str"/>
      <x:c r="M265" s="160" t="str"/>
      <x:c r="N265" s="151" t="str"/>
      <x:c r="O265" s="151" t="str"/>
      <x:c r="P265" s="151" t="str"/>
      <x:c r="Q265" s="151" t="str"/>
      <x:c r="R265" s="151" t="str"/>
      <x:c r="S265" s="151" t="str"/>
      <x:c r="T265" s="152" t="n">
        <x:f>IF(COUNTA(O265:S265)=0,"",MAX(0,IF(O265="",0,O265)+IF(P265="",0,P265)-IF(Q265="",0,Q265)-IF(R265="",0,R265)))</x:f>
        <x:v>0</x:v>
      </x:c>
      <x:c r="U265" s="152" t="str">
        <x:f>IF(OR(N265="",Q265=""),"",Q265-N265)</x:f>
      </x:c>
      <x:c r="V265" s="202" t="str">
        <x:f>IFERROR(Q265/N265,"")</x:f>
      </x:c>
      <x:c r="W265" s="137" t="str"/>
      <x:c r="X265" s="137" t="str"/>
      <x:c r="Y265" s="137" t="str"/>
      <x:c r="Z265" s="137" t="str"/>
      <x:c r="AA265" s="137" t="str"/>
      <x:c r="AB265" s="137" t="str"/>
      <x:c r="AC265" s="137" t="str"/>
      <x:c r="AD265" s="199" t="str"/>
    </x:row>
    <x:row r="266">
      <x:c r="A266" s="137" t="str"/>
      <x:c r="B266" s="138" t="str"/>
      <x:c r="C266" s="137" t="str"/>
      <x:c r="D266" s="137" t="str"/>
      <x:c r="E266" s="137" t="str"/>
      <x:c r="F266" s="137" t="str"/>
      <x:c r="G266" s="137" t="str"/>
      <x:c r="H266" s="137" t="str"/>
      <x:c r="I266" s="137" t="str"/>
      <x:c r="J266" s="137" t="str"/>
      <x:c r="K266" s="137" t="str"/>
      <x:c r="L266" s="160" t="str"/>
      <x:c r="M266" s="160" t="str"/>
      <x:c r="N266" s="151" t="str"/>
      <x:c r="O266" s="151" t="str"/>
      <x:c r="P266" s="151" t="str"/>
      <x:c r="Q266" s="151" t="str"/>
      <x:c r="R266" s="151" t="str"/>
      <x:c r="S266" s="151" t="str"/>
      <x:c r="T266" s="152" t="n">
        <x:f>IF(COUNTA(O266:S266)=0,"",MAX(0,IF(O266="",0,O266)+IF(P266="",0,P266)-IF(Q266="",0,Q266)-IF(R266="",0,R266)))</x:f>
        <x:v>0</x:v>
      </x:c>
      <x:c r="U266" s="152" t="str">
        <x:f>IF(OR(N266="",Q266=""),"",Q266-N266)</x:f>
      </x:c>
      <x:c r="V266" s="202" t="str">
        <x:f>IFERROR(Q266/N266,"")</x:f>
      </x:c>
      <x:c r="W266" s="137" t="str"/>
      <x:c r="X266" s="137" t="str"/>
      <x:c r="Y266" s="137" t="str"/>
      <x:c r="Z266" s="137" t="str"/>
      <x:c r="AA266" s="137" t="str"/>
      <x:c r="AB266" s="137" t="str"/>
      <x:c r="AC266" s="137" t="str"/>
      <x:c r="AD266" s="199" t="str"/>
    </x:row>
    <x:row r="267">
      <x:c r="A267" s="137" t="str"/>
      <x:c r="B267" s="138" t="str"/>
      <x:c r="C267" s="137" t="str"/>
      <x:c r="D267" s="137" t="str"/>
      <x:c r="E267" s="137" t="str"/>
      <x:c r="F267" s="137" t="str"/>
      <x:c r="G267" s="137" t="str"/>
      <x:c r="H267" s="137" t="str"/>
      <x:c r="I267" s="137" t="str"/>
      <x:c r="J267" s="137" t="str"/>
      <x:c r="K267" s="137" t="str"/>
      <x:c r="L267" s="160" t="str"/>
      <x:c r="M267" s="160" t="str"/>
      <x:c r="N267" s="151" t="str"/>
      <x:c r="O267" s="151" t="str"/>
      <x:c r="P267" s="151" t="str"/>
      <x:c r="Q267" s="151" t="str"/>
      <x:c r="R267" s="151" t="str"/>
      <x:c r="S267" s="151" t="str"/>
      <x:c r="T267" s="152" t="n">
        <x:f>IF(COUNTA(O267:S267)=0,"",MAX(0,IF(O267="",0,O267)+IF(P267="",0,P267)-IF(Q267="",0,Q267)-IF(R267="",0,R267)))</x:f>
        <x:v>0</x:v>
      </x:c>
      <x:c r="U267" s="152" t="str">
        <x:f>IF(OR(N267="",Q267=""),"",Q267-N267)</x:f>
      </x:c>
      <x:c r="V267" s="202" t="str">
        <x:f>IFERROR(Q267/N267,"")</x:f>
      </x:c>
      <x:c r="W267" s="137" t="str"/>
      <x:c r="X267" s="137" t="str"/>
      <x:c r="Y267" s="137" t="str"/>
      <x:c r="Z267" s="137" t="str"/>
      <x:c r="AA267" s="137" t="str"/>
      <x:c r="AB267" s="137" t="str"/>
      <x:c r="AC267" s="137" t="str"/>
      <x:c r="AD267" s="199" t="str"/>
    </x:row>
    <x:row r="268">
      <x:c r="A268" s="137" t="str"/>
      <x:c r="B268" s="138" t="str"/>
      <x:c r="C268" s="137" t="str"/>
      <x:c r="D268" s="137" t="str"/>
      <x:c r="E268" s="137" t="str"/>
      <x:c r="F268" s="137" t="str"/>
      <x:c r="G268" s="137" t="str"/>
      <x:c r="H268" s="137" t="str"/>
      <x:c r="I268" s="137" t="str"/>
      <x:c r="J268" s="137" t="str"/>
      <x:c r="K268" s="137" t="str"/>
      <x:c r="L268" s="160" t="str"/>
      <x:c r="M268" s="160" t="str"/>
      <x:c r="N268" s="151" t="str"/>
      <x:c r="O268" s="151" t="str"/>
      <x:c r="P268" s="151" t="str"/>
      <x:c r="Q268" s="151" t="str"/>
      <x:c r="R268" s="151" t="str"/>
      <x:c r="S268" s="151" t="str"/>
      <x:c r="T268" s="152" t="n">
        <x:f>IF(COUNTA(O268:S268)=0,"",MAX(0,IF(O268="",0,O268)+IF(P268="",0,P268)-IF(Q268="",0,Q268)-IF(R268="",0,R268)))</x:f>
        <x:v>0</x:v>
      </x:c>
      <x:c r="U268" s="152" t="str">
        <x:f>IF(OR(N268="",Q268=""),"",Q268-N268)</x:f>
      </x:c>
      <x:c r="V268" s="202" t="str">
        <x:f>IFERROR(Q268/N268,"")</x:f>
      </x:c>
      <x:c r="W268" s="137" t="str"/>
      <x:c r="X268" s="137" t="str"/>
      <x:c r="Y268" s="137" t="str"/>
      <x:c r="Z268" s="137" t="str"/>
      <x:c r="AA268" s="137" t="str"/>
      <x:c r="AB268" s="137" t="str"/>
      <x:c r="AC268" s="137" t="str"/>
      <x:c r="AD268" s="199" t="str"/>
    </x:row>
    <x:row r="269">
      <x:c r="A269" s="137" t="str"/>
      <x:c r="B269" s="138" t="str"/>
      <x:c r="C269" s="137" t="str"/>
      <x:c r="D269" s="137" t="str"/>
      <x:c r="E269" s="137" t="str"/>
      <x:c r="F269" s="137" t="str"/>
      <x:c r="G269" s="137" t="str"/>
      <x:c r="H269" s="137" t="str"/>
      <x:c r="I269" s="137" t="str"/>
      <x:c r="J269" s="137" t="str"/>
      <x:c r="K269" s="137" t="str"/>
      <x:c r="L269" s="160" t="str"/>
      <x:c r="M269" s="160" t="str"/>
      <x:c r="N269" s="151" t="str"/>
      <x:c r="O269" s="151" t="str"/>
      <x:c r="P269" s="151" t="str"/>
      <x:c r="Q269" s="151" t="str"/>
      <x:c r="R269" s="151" t="str"/>
      <x:c r="S269" s="151" t="str"/>
      <x:c r="T269" s="152" t="n">
        <x:f>IF(COUNTA(O269:S269)=0,"",MAX(0,IF(O269="",0,O269)+IF(P269="",0,P269)-IF(Q269="",0,Q269)-IF(R269="",0,R269)))</x:f>
        <x:v>0</x:v>
      </x:c>
      <x:c r="U269" s="152" t="str">
        <x:f>IF(OR(N269="",Q269=""),"",Q269-N269)</x:f>
      </x:c>
      <x:c r="V269" s="202" t="str">
        <x:f>IFERROR(Q269/N269,"")</x:f>
      </x:c>
      <x:c r="W269" s="137" t="str"/>
      <x:c r="X269" s="137" t="str"/>
      <x:c r="Y269" s="137" t="str"/>
      <x:c r="Z269" s="137" t="str"/>
      <x:c r="AA269" s="137" t="str"/>
      <x:c r="AB269" s="137" t="str"/>
      <x:c r="AC269" s="137" t="str"/>
      <x:c r="AD269" s="199" t="str"/>
    </x:row>
    <x:row r="270">
      <x:c r="A270" s="137" t="str"/>
      <x:c r="B270" s="138" t="str"/>
      <x:c r="C270" s="137" t="str"/>
      <x:c r="D270" s="137" t="str"/>
      <x:c r="E270" s="137" t="str"/>
      <x:c r="F270" s="137" t="str"/>
      <x:c r="G270" s="137" t="str"/>
      <x:c r="H270" s="137" t="str"/>
      <x:c r="I270" s="137" t="str"/>
      <x:c r="J270" s="137" t="str"/>
      <x:c r="K270" s="137" t="str"/>
      <x:c r="L270" s="160" t="str"/>
      <x:c r="M270" s="160" t="str"/>
      <x:c r="N270" s="151" t="str"/>
      <x:c r="O270" s="151" t="str"/>
      <x:c r="P270" s="151" t="str"/>
      <x:c r="Q270" s="151" t="str"/>
      <x:c r="R270" s="151" t="str"/>
      <x:c r="S270" s="151" t="str"/>
      <x:c r="T270" s="152" t="n">
        <x:f>IF(COUNTA(O270:S270)=0,"",MAX(0,IF(O270="",0,O270)+IF(P270="",0,P270)-IF(Q270="",0,Q270)-IF(R270="",0,R270)))</x:f>
        <x:v>0</x:v>
      </x:c>
      <x:c r="U270" s="152" t="str">
        <x:f>IF(OR(N270="",Q270=""),"",Q270-N270)</x:f>
      </x:c>
      <x:c r="V270" s="202" t="str">
        <x:f>IFERROR(Q270/N270,"")</x:f>
      </x:c>
      <x:c r="W270" s="137" t="str"/>
      <x:c r="X270" s="137" t="str"/>
      <x:c r="Y270" s="137" t="str"/>
      <x:c r="Z270" s="137" t="str"/>
      <x:c r="AA270" s="137" t="str"/>
      <x:c r="AB270" s="137" t="str"/>
      <x:c r="AC270" s="137" t="str"/>
      <x:c r="AD270" s="199" t="str"/>
    </x:row>
    <x:row r="271">
      <x:c r="A271" s="137" t="str"/>
      <x:c r="B271" s="138" t="str"/>
      <x:c r="C271" s="137" t="str"/>
      <x:c r="D271" s="137" t="str"/>
      <x:c r="E271" s="137" t="str"/>
      <x:c r="F271" s="137" t="str"/>
      <x:c r="G271" s="137" t="str"/>
      <x:c r="H271" s="137" t="str"/>
      <x:c r="I271" s="137" t="str"/>
      <x:c r="J271" s="137" t="str"/>
      <x:c r="K271" s="137" t="str"/>
      <x:c r="L271" s="160" t="str"/>
      <x:c r="M271" s="160" t="str"/>
      <x:c r="N271" s="151" t="str"/>
      <x:c r="O271" s="151" t="str"/>
      <x:c r="P271" s="151" t="str"/>
      <x:c r="Q271" s="151" t="str"/>
      <x:c r="R271" s="151" t="str"/>
      <x:c r="S271" s="151" t="str"/>
      <x:c r="T271" s="152" t="n">
        <x:f>IF(COUNTA(O271:S271)=0,"",MAX(0,IF(O271="",0,O271)+IF(P271="",0,P271)-IF(Q271="",0,Q271)-IF(R271="",0,R271)))</x:f>
        <x:v>0</x:v>
      </x:c>
      <x:c r="U271" s="152" t="str">
        <x:f>IF(OR(N271="",Q271=""),"",Q271-N271)</x:f>
      </x:c>
      <x:c r="V271" s="202" t="str">
        <x:f>IFERROR(Q271/N271,"")</x:f>
      </x:c>
      <x:c r="W271" s="137" t="str"/>
      <x:c r="X271" s="137" t="str"/>
      <x:c r="Y271" s="137" t="str"/>
      <x:c r="Z271" s="137" t="str"/>
      <x:c r="AA271" s="137" t="str"/>
      <x:c r="AB271" s="137" t="str"/>
      <x:c r="AC271" s="137" t="str"/>
      <x:c r="AD271" s="199" t="str"/>
    </x:row>
    <x:row r="272">
      <x:c r="A272" s="137" t="str"/>
      <x:c r="B272" s="138" t="str"/>
      <x:c r="C272" s="137" t="str"/>
      <x:c r="D272" s="137" t="str"/>
      <x:c r="E272" s="137" t="str"/>
      <x:c r="F272" s="137" t="str"/>
      <x:c r="G272" s="137" t="str"/>
      <x:c r="H272" s="137" t="str"/>
      <x:c r="I272" s="137" t="str"/>
      <x:c r="J272" s="137" t="str"/>
      <x:c r="K272" s="137" t="str"/>
      <x:c r="L272" s="160" t="str"/>
      <x:c r="M272" s="160" t="str"/>
      <x:c r="N272" s="151" t="str"/>
      <x:c r="O272" s="151" t="str"/>
      <x:c r="P272" s="151" t="str"/>
      <x:c r="Q272" s="151" t="str"/>
      <x:c r="R272" s="151" t="str"/>
      <x:c r="S272" s="151" t="str"/>
      <x:c r="T272" s="152" t="n">
        <x:f>IF(COUNTA(O272:S272)=0,"",MAX(0,IF(O272="",0,O272)+IF(P272="",0,P272)-IF(Q272="",0,Q272)-IF(R272="",0,R272)))</x:f>
        <x:v>0</x:v>
      </x:c>
      <x:c r="U272" s="152" t="str">
        <x:f>IF(OR(N272="",Q272=""),"",Q272-N272)</x:f>
      </x:c>
      <x:c r="V272" s="202" t="str">
        <x:f>IFERROR(Q272/N272,"")</x:f>
      </x:c>
      <x:c r="W272" s="137" t="str"/>
      <x:c r="X272" s="137" t="str"/>
      <x:c r="Y272" s="137" t="str"/>
      <x:c r="Z272" s="137" t="str"/>
      <x:c r="AA272" s="137" t="str"/>
      <x:c r="AB272" s="137" t="str"/>
      <x:c r="AC272" s="137" t="str"/>
      <x:c r="AD272" s="199" t="str"/>
    </x:row>
    <x:row r="273">
      <x:c r="A273" s="137" t="str"/>
      <x:c r="B273" s="138" t="str"/>
      <x:c r="C273" s="137" t="str"/>
      <x:c r="D273" s="137" t="str"/>
      <x:c r="E273" s="137" t="str"/>
      <x:c r="F273" s="137" t="str"/>
      <x:c r="G273" s="137" t="str"/>
      <x:c r="H273" s="137" t="str"/>
      <x:c r="I273" s="137" t="str"/>
      <x:c r="J273" s="137" t="str"/>
      <x:c r="K273" s="137" t="str"/>
      <x:c r="L273" s="160" t="str"/>
      <x:c r="M273" s="160" t="str"/>
      <x:c r="N273" s="151" t="str"/>
      <x:c r="O273" s="151" t="str"/>
      <x:c r="P273" s="151" t="str"/>
      <x:c r="Q273" s="151" t="str"/>
      <x:c r="R273" s="151" t="str"/>
      <x:c r="S273" s="151" t="str"/>
      <x:c r="T273" s="152" t="n">
        <x:f>IF(COUNTA(O273:S273)=0,"",MAX(0,IF(O273="",0,O273)+IF(P273="",0,P273)-IF(Q273="",0,Q273)-IF(R273="",0,R273)))</x:f>
        <x:v>0</x:v>
      </x:c>
      <x:c r="U273" s="152" t="str">
        <x:f>IF(OR(N273="",Q273=""),"",Q273-N273)</x:f>
      </x:c>
      <x:c r="V273" s="202" t="str">
        <x:f>IFERROR(Q273/N273,"")</x:f>
      </x:c>
      <x:c r="W273" s="137" t="str"/>
      <x:c r="X273" s="137" t="str"/>
      <x:c r="Y273" s="137" t="str"/>
      <x:c r="Z273" s="137" t="str"/>
      <x:c r="AA273" s="137" t="str"/>
      <x:c r="AB273" s="137" t="str"/>
      <x:c r="AC273" s="137" t="str"/>
      <x:c r="AD273" s="199" t="str"/>
    </x:row>
    <x:row r="274">
      <x:c r="A274" s="137" t="str"/>
      <x:c r="B274" s="138" t="str"/>
      <x:c r="C274" s="137" t="str"/>
      <x:c r="D274" s="137" t="str"/>
      <x:c r="E274" s="137" t="str"/>
      <x:c r="F274" s="137" t="str"/>
      <x:c r="G274" s="137" t="str"/>
      <x:c r="H274" s="137" t="str"/>
      <x:c r="I274" s="137" t="str"/>
      <x:c r="J274" s="137" t="str"/>
      <x:c r="K274" s="137" t="str"/>
      <x:c r="L274" s="160" t="str"/>
      <x:c r="M274" s="160" t="str"/>
      <x:c r="N274" s="151" t="str"/>
      <x:c r="O274" s="151" t="str"/>
      <x:c r="P274" s="151" t="str"/>
      <x:c r="Q274" s="151" t="str"/>
      <x:c r="R274" s="151" t="str"/>
      <x:c r="S274" s="151" t="str"/>
      <x:c r="T274" s="152" t="n">
        <x:f>IF(COUNTA(O274:S274)=0,"",MAX(0,IF(O274="",0,O274)+IF(P274="",0,P274)-IF(Q274="",0,Q274)-IF(R274="",0,R274)))</x:f>
        <x:v>0</x:v>
      </x:c>
      <x:c r="U274" s="152" t="str">
        <x:f>IF(OR(N274="",Q274=""),"",Q274-N274)</x:f>
      </x:c>
      <x:c r="V274" s="202" t="str">
        <x:f>IFERROR(Q274/N274,"")</x:f>
      </x:c>
      <x:c r="W274" s="137" t="str"/>
      <x:c r="X274" s="137" t="str"/>
      <x:c r="Y274" s="137" t="str"/>
      <x:c r="Z274" s="137" t="str"/>
      <x:c r="AA274" s="137" t="str"/>
      <x:c r="AB274" s="137" t="str"/>
      <x:c r="AC274" s="137" t="str"/>
      <x:c r="AD274" s="199" t="str"/>
    </x:row>
    <x:row r="275">
      <x:c r="A275" s="137" t="str"/>
      <x:c r="B275" s="138" t="str"/>
      <x:c r="C275" s="137" t="str"/>
      <x:c r="D275" s="137" t="str"/>
      <x:c r="E275" s="137" t="str"/>
      <x:c r="F275" s="137" t="str"/>
      <x:c r="G275" s="137" t="str"/>
      <x:c r="H275" s="137" t="str"/>
      <x:c r="I275" s="137" t="str"/>
      <x:c r="J275" s="137" t="str"/>
      <x:c r="K275" s="137" t="str"/>
      <x:c r="L275" s="160" t="str"/>
      <x:c r="M275" s="160" t="str"/>
      <x:c r="N275" s="151" t="str"/>
      <x:c r="O275" s="151" t="str"/>
      <x:c r="P275" s="151" t="str"/>
      <x:c r="Q275" s="151" t="str"/>
      <x:c r="R275" s="151" t="str"/>
      <x:c r="S275" s="151" t="str"/>
      <x:c r="T275" s="152" t="n">
        <x:f>IF(COUNTA(O275:S275)=0,"",MAX(0,IF(O275="",0,O275)+IF(P275="",0,P275)-IF(Q275="",0,Q275)-IF(R275="",0,R275)))</x:f>
        <x:v>0</x:v>
      </x:c>
      <x:c r="U275" s="152" t="str">
        <x:f>IF(OR(N275="",Q275=""),"",Q275-N275)</x:f>
      </x:c>
      <x:c r="V275" s="202" t="str">
        <x:f>IFERROR(Q275/N275,"")</x:f>
      </x:c>
      <x:c r="W275" s="137" t="str"/>
      <x:c r="X275" s="137" t="str"/>
      <x:c r="Y275" s="137" t="str"/>
      <x:c r="Z275" s="137" t="str"/>
      <x:c r="AA275" s="137" t="str"/>
      <x:c r="AB275" s="137" t="str"/>
      <x:c r="AC275" s="137" t="str"/>
      <x:c r="AD275" s="199" t="str"/>
    </x:row>
    <x:row r="276">
      <x:c r="A276" s="137" t="str"/>
      <x:c r="B276" s="138" t="str"/>
      <x:c r="C276" s="137" t="str"/>
      <x:c r="D276" s="137" t="str"/>
      <x:c r="E276" s="137" t="str"/>
      <x:c r="F276" s="137" t="str"/>
      <x:c r="G276" s="137" t="str"/>
      <x:c r="H276" s="137" t="str"/>
      <x:c r="I276" s="137" t="str"/>
      <x:c r="J276" s="137" t="str"/>
      <x:c r="K276" s="137" t="str"/>
      <x:c r="L276" s="160" t="str"/>
      <x:c r="M276" s="160" t="str"/>
      <x:c r="N276" s="151" t="str"/>
      <x:c r="O276" s="151" t="str"/>
      <x:c r="P276" s="151" t="str"/>
      <x:c r="Q276" s="151" t="str"/>
      <x:c r="R276" s="151" t="str"/>
      <x:c r="S276" s="151" t="str"/>
      <x:c r="T276" s="152" t="n">
        <x:f>IF(COUNTA(O276:S276)=0,"",MAX(0,IF(O276="",0,O276)+IF(P276="",0,P276)-IF(Q276="",0,Q276)-IF(R276="",0,R276)))</x:f>
        <x:v>0</x:v>
      </x:c>
      <x:c r="U276" s="152" t="str">
        <x:f>IF(OR(N276="",Q276=""),"",Q276-N276)</x:f>
      </x:c>
      <x:c r="V276" s="202" t="str">
        <x:f>IFERROR(Q276/N276,"")</x:f>
      </x:c>
      <x:c r="W276" s="137" t="str"/>
      <x:c r="X276" s="137" t="str"/>
      <x:c r="Y276" s="137" t="str"/>
      <x:c r="Z276" s="137" t="str"/>
      <x:c r="AA276" s="137" t="str"/>
      <x:c r="AB276" s="137" t="str"/>
      <x:c r="AC276" s="137" t="str"/>
      <x:c r="AD276" s="199" t="str"/>
    </x:row>
    <x:row r="277">
      <x:c r="A277" s="137" t="str"/>
      <x:c r="B277" s="138" t="str"/>
      <x:c r="C277" s="137" t="str"/>
      <x:c r="D277" s="137" t="str"/>
      <x:c r="E277" s="137" t="str"/>
      <x:c r="F277" s="137" t="str"/>
      <x:c r="G277" s="137" t="str"/>
      <x:c r="H277" s="137" t="str"/>
      <x:c r="I277" s="137" t="str"/>
      <x:c r="J277" s="137" t="str"/>
      <x:c r="K277" s="137" t="str"/>
      <x:c r="L277" s="160" t="str"/>
      <x:c r="M277" s="160" t="str"/>
      <x:c r="N277" s="151" t="str"/>
      <x:c r="O277" s="151" t="str"/>
      <x:c r="P277" s="151" t="str"/>
      <x:c r="Q277" s="151" t="str"/>
      <x:c r="R277" s="151" t="str"/>
      <x:c r="S277" s="151" t="str"/>
      <x:c r="T277" s="152" t="n">
        <x:f>IF(COUNTA(O277:S277)=0,"",MAX(0,IF(O277="",0,O277)+IF(P277="",0,P277)-IF(Q277="",0,Q277)-IF(R277="",0,R277)))</x:f>
        <x:v>0</x:v>
      </x:c>
      <x:c r="U277" s="152" t="str">
        <x:f>IF(OR(N277="",Q277=""),"",Q277-N277)</x:f>
      </x:c>
      <x:c r="V277" s="202" t="str">
        <x:f>IFERROR(Q277/N277,"")</x:f>
      </x:c>
      <x:c r="W277" s="137" t="str"/>
      <x:c r="X277" s="137" t="str"/>
      <x:c r="Y277" s="137" t="str"/>
      <x:c r="Z277" s="137" t="str"/>
      <x:c r="AA277" s="137" t="str"/>
      <x:c r="AB277" s="137" t="str"/>
      <x:c r="AC277" s="137" t="str"/>
      <x:c r="AD277" s="199" t="str"/>
    </x:row>
    <x:row r="278">
      <x:c r="A278" s="137" t="str"/>
      <x:c r="B278" s="138" t="str"/>
      <x:c r="C278" s="137" t="str"/>
      <x:c r="D278" s="137" t="str"/>
      <x:c r="E278" s="137" t="str"/>
      <x:c r="F278" s="137" t="str"/>
      <x:c r="G278" s="137" t="str"/>
      <x:c r="H278" s="137" t="str"/>
      <x:c r="I278" s="137" t="str"/>
      <x:c r="J278" s="137" t="str"/>
      <x:c r="K278" s="137" t="str"/>
      <x:c r="L278" s="160" t="str"/>
      <x:c r="M278" s="160" t="str"/>
      <x:c r="N278" s="151" t="str"/>
      <x:c r="O278" s="151" t="str"/>
      <x:c r="P278" s="151" t="str"/>
      <x:c r="Q278" s="151" t="str"/>
      <x:c r="R278" s="151" t="str"/>
      <x:c r="S278" s="151" t="str"/>
      <x:c r="T278" s="152" t="n">
        <x:f>IF(COUNTA(O278:S278)=0,"",MAX(0,IF(O278="",0,O278)+IF(P278="",0,P278)-IF(Q278="",0,Q278)-IF(R278="",0,R278)))</x:f>
        <x:v>0</x:v>
      </x:c>
      <x:c r="U278" s="152" t="str">
        <x:f>IF(OR(N278="",Q278=""),"",Q278-N278)</x:f>
      </x:c>
      <x:c r="V278" s="202" t="str">
        <x:f>IFERROR(Q278/N278,"")</x:f>
      </x:c>
      <x:c r="W278" s="137" t="str"/>
      <x:c r="X278" s="137" t="str"/>
      <x:c r="Y278" s="137" t="str"/>
      <x:c r="Z278" s="137" t="str"/>
      <x:c r="AA278" s="137" t="str"/>
      <x:c r="AB278" s="137" t="str"/>
      <x:c r="AC278" s="137" t="str"/>
      <x:c r="AD278" s="199" t="str"/>
    </x:row>
    <x:row r="279">
      <x:c r="A279" s="137" t="str"/>
      <x:c r="B279" s="138" t="str"/>
      <x:c r="C279" s="137" t="str"/>
      <x:c r="D279" s="137" t="str"/>
      <x:c r="E279" s="137" t="str"/>
      <x:c r="F279" s="137" t="str"/>
      <x:c r="G279" s="137" t="str"/>
      <x:c r="H279" s="137" t="str"/>
      <x:c r="I279" s="137" t="str"/>
      <x:c r="J279" s="137" t="str"/>
      <x:c r="K279" s="137" t="str"/>
      <x:c r="L279" s="160" t="str"/>
      <x:c r="M279" s="160" t="str"/>
      <x:c r="N279" s="151" t="str"/>
      <x:c r="O279" s="151" t="str"/>
      <x:c r="P279" s="151" t="str"/>
      <x:c r="Q279" s="151" t="str"/>
      <x:c r="R279" s="151" t="str"/>
      <x:c r="S279" s="151" t="str"/>
      <x:c r="T279" s="152" t="n">
        <x:f>IF(COUNTA(O279:S279)=0,"",MAX(0,IF(O279="",0,O279)+IF(P279="",0,P279)-IF(Q279="",0,Q279)-IF(R279="",0,R279)))</x:f>
        <x:v>0</x:v>
      </x:c>
      <x:c r="U279" s="152" t="str">
        <x:f>IF(OR(N279="",Q279=""),"",Q279-N279)</x:f>
      </x:c>
      <x:c r="V279" s="202" t="str">
        <x:f>IFERROR(Q279/N279,"")</x:f>
      </x:c>
      <x:c r="W279" s="137" t="str"/>
      <x:c r="X279" s="137" t="str"/>
      <x:c r="Y279" s="137" t="str"/>
      <x:c r="Z279" s="137" t="str"/>
      <x:c r="AA279" s="137" t="str"/>
      <x:c r="AB279" s="137" t="str"/>
      <x:c r="AC279" s="137" t="str"/>
      <x:c r="AD279" s="199" t="str"/>
    </x:row>
    <x:row r="280">
      <x:c r="A280" s="137" t="str"/>
      <x:c r="B280" s="138" t="str"/>
      <x:c r="C280" s="137" t="str"/>
      <x:c r="D280" s="137" t="str"/>
      <x:c r="E280" s="137" t="str"/>
      <x:c r="F280" s="137" t="str"/>
      <x:c r="G280" s="137" t="str"/>
      <x:c r="H280" s="137" t="str"/>
      <x:c r="I280" s="137" t="str"/>
      <x:c r="J280" s="137" t="str"/>
      <x:c r="K280" s="137" t="str"/>
      <x:c r="L280" s="160" t="str"/>
      <x:c r="M280" s="160" t="str"/>
      <x:c r="N280" s="151" t="str"/>
      <x:c r="O280" s="151" t="str"/>
      <x:c r="P280" s="151" t="str"/>
      <x:c r="Q280" s="151" t="str"/>
      <x:c r="R280" s="151" t="str"/>
      <x:c r="S280" s="151" t="str"/>
      <x:c r="T280" s="152" t="n">
        <x:f>IF(COUNTA(O280:S280)=0,"",MAX(0,IF(O280="",0,O280)+IF(P280="",0,P280)-IF(Q280="",0,Q280)-IF(R280="",0,R280)))</x:f>
        <x:v>0</x:v>
      </x:c>
      <x:c r="U280" s="152" t="str">
        <x:f>IF(OR(N280="",Q280=""),"",Q280-N280)</x:f>
      </x:c>
      <x:c r="V280" s="202" t="str">
        <x:f>IFERROR(Q280/N280,"")</x:f>
      </x:c>
      <x:c r="W280" s="137" t="str"/>
      <x:c r="X280" s="137" t="str"/>
      <x:c r="Y280" s="137" t="str"/>
      <x:c r="Z280" s="137" t="str"/>
      <x:c r="AA280" s="137" t="str"/>
      <x:c r="AB280" s="137" t="str"/>
      <x:c r="AC280" s="137" t="str"/>
      <x:c r="AD280" s="199" t="str"/>
    </x:row>
    <x:row r="281">
      <x:c r="A281" s="137" t="str"/>
      <x:c r="B281" s="138" t="str"/>
      <x:c r="C281" s="137" t="str"/>
      <x:c r="D281" s="137" t="str"/>
      <x:c r="E281" s="137" t="str"/>
      <x:c r="F281" s="137" t="str"/>
      <x:c r="G281" s="137" t="str"/>
      <x:c r="H281" s="137" t="str"/>
      <x:c r="I281" s="137" t="str"/>
      <x:c r="J281" s="137" t="str"/>
      <x:c r="K281" s="137" t="str"/>
      <x:c r="L281" s="160" t="str"/>
      <x:c r="M281" s="160" t="str"/>
      <x:c r="N281" s="151" t="str"/>
      <x:c r="O281" s="151" t="str"/>
      <x:c r="P281" s="151" t="str"/>
      <x:c r="Q281" s="151" t="str"/>
      <x:c r="R281" s="151" t="str"/>
      <x:c r="S281" s="151" t="str"/>
      <x:c r="T281" s="152" t="n">
        <x:f>IF(COUNTA(O281:S281)=0,"",MAX(0,IF(O281="",0,O281)+IF(P281="",0,P281)-IF(Q281="",0,Q281)-IF(R281="",0,R281)))</x:f>
        <x:v>0</x:v>
      </x:c>
      <x:c r="U281" s="152" t="str">
        <x:f>IF(OR(N281="",Q281=""),"",Q281-N281)</x:f>
      </x:c>
      <x:c r="V281" s="202" t="str">
        <x:f>IFERROR(Q281/N281,"")</x:f>
      </x:c>
      <x:c r="W281" s="137" t="str"/>
      <x:c r="X281" s="137" t="str"/>
      <x:c r="Y281" s="137" t="str"/>
      <x:c r="Z281" s="137" t="str"/>
      <x:c r="AA281" s="137" t="str"/>
      <x:c r="AB281" s="137" t="str"/>
      <x:c r="AC281" s="137" t="str"/>
      <x:c r="AD281" s="199" t="str"/>
    </x:row>
    <x:row r="282">
      <x:c r="A282" s="137" t="str"/>
      <x:c r="B282" s="138" t="str"/>
      <x:c r="C282" s="137" t="str"/>
      <x:c r="D282" s="137" t="str"/>
      <x:c r="E282" s="137" t="str"/>
      <x:c r="F282" s="137" t="str"/>
      <x:c r="G282" s="137" t="str"/>
      <x:c r="H282" s="137" t="str"/>
      <x:c r="I282" s="137" t="str"/>
      <x:c r="J282" s="137" t="str"/>
      <x:c r="K282" s="137" t="str"/>
      <x:c r="L282" s="160" t="str"/>
      <x:c r="M282" s="160" t="str"/>
      <x:c r="N282" s="151" t="str"/>
      <x:c r="O282" s="151" t="str"/>
      <x:c r="P282" s="151" t="str"/>
      <x:c r="Q282" s="151" t="str"/>
      <x:c r="R282" s="151" t="str"/>
      <x:c r="S282" s="151" t="str"/>
      <x:c r="T282" s="152" t="n">
        <x:f>IF(COUNTA(O282:S282)=0,"",MAX(0,IF(O282="",0,O282)+IF(P282="",0,P282)-IF(Q282="",0,Q282)-IF(R282="",0,R282)))</x:f>
        <x:v>0</x:v>
      </x:c>
      <x:c r="U282" s="152" t="str">
        <x:f>IF(OR(N282="",Q282=""),"",Q282-N282)</x:f>
      </x:c>
      <x:c r="V282" s="202" t="str">
        <x:f>IFERROR(Q282/N282,"")</x:f>
      </x:c>
      <x:c r="W282" s="137" t="str"/>
      <x:c r="X282" s="137" t="str"/>
      <x:c r="Y282" s="137" t="str"/>
      <x:c r="Z282" s="137" t="str"/>
      <x:c r="AA282" s="137" t="str"/>
      <x:c r="AB282" s="137" t="str"/>
      <x:c r="AC282" s="137" t="str"/>
      <x:c r="AD282" s="199" t="str"/>
    </x:row>
    <x:row r="283">
      <x:c r="A283" s="137" t="str"/>
      <x:c r="B283" s="138" t="str"/>
      <x:c r="C283" s="137" t="str"/>
      <x:c r="D283" s="137" t="str"/>
      <x:c r="E283" s="137" t="str"/>
      <x:c r="F283" s="137" t="str"/>
      <x:c r="G283" s="137" t="str"/>
      <x:c r="H283" s="137" t="str"/>
      <x:c r="I283" s="137" t="str"/>
      <x:c r="J283" s="137" t="str"/>
      <x:c r="K283" s="137" t="str"/>
      <x:c r="L283" s="160" t="str"/>
      <x:c r="M283" s="160" t="str"/>
      <x:c r="N283" s="151" t="str"/>
      <x:c r="O283" s="151" t="str"/>
      <x:c r="P283" s="151" t="str"/>
      <x:c r="Q283" s="151" t="str"/>
      <x:c r="R283" s="151" t="str"/>
      <x:c r="S283" s="151" t="str"/>
      <x:c r="T283" s="152" t="n">
        <x:f>IF(COUNTA(O283:S283)=0,"",MAX(0,IF(O283="",0,O283)+IF(P283="",0,P283)-IF(Q283="",0,Q283)-IF(R283="",0,R283)))</x:f>
        <x:v>0</x:v>
      </x:c>
      <x:c r="U283" s="152" t="str">
        <x:f>IF(OR(N283="",Q283=""),"",Q283-N283)</x:f>
      </x:c>
      <x:c r="V283" s="202" t="str">
        <x:f>IFERROR(Q283/N283,"")</x:f>
      </x:c>
      <x:c r="W283" s="137" t="str"/>
      <x:c r="X283" s="137" t="str"/>
      <x:c r="Y283" s="137" t="str"/>
      <x:c r="Z283" s="137" t="str"/>
      <x:c r="AA283" s="137" t="str"/>
      <x:c r="AB283" s="137" t="str"/>
      <x:c r="AC283" s="137" t="str"/>
      <x:c r="AD283" s="199" t="str"/>
    </x:row>
    <x:row r="284">
      <x:c r="A284" s="137" t="str"/>
      <x:c r="B284" s="138" t="str"/>
      <x:c r="C284" s="137" t="str"/>
      <x:c r="D284" s="137" t="str"/>
      <x:c r="E284" s="137" t="str"/>
      <x:c r="F284" s="137" t="str"/>
      <x:c r="G284" s="137" t="str"/>
      <x:c r="H284" s="137" t="str"/>
      <x:c r="I284" s="137" t="str"/>
      <x:c r="J284" s="137" t="str"/>
      <x:c r="K284" s="137" t="str"/>
      <x:c r="L284" s="160" t="str"/>
      <x:c r="M284" s="160" t="str"/>
      <x:c r="N284" s="151" t="str"/>
      <x:c r="O284" s="151" t="str"/>
      <x:c r="P284" s="151" t="str"/>
      <x:c r="Q284" s="151" t="str"/>
      <x:c r="R284" s="151" t="str"/>
      <x:c r="S284" s="151" t="str"/>
      <x:c r="T284" s="152" t="n">
        <x:f>IF(COUNTA(O284:S284)=0,"",MAX(0,IF(O284="",0,O284)+IF(P284="",0,P284)-IF(Q284="",0,Q284)-IF(R284="",0,R284)))</x:f>
        <x:v>0</x:v>
      </x:c>
      <x:c r="U284" s="152" t="str">
        <x:f>IF(OR(N284="",Q284=""),"",Q284-N284)</x:f>
      </x:c>
      <x:c r="V284" s="202" t="str">
        <x:f>IFERROR(Q284/N284,"")</x:f>
      </x:c>
      <x:c r="W284" s="137" t="str"/>
      <x:c r="X284" s="137" t="str"/>
      <x:c r="Y284" s="137" t="str"/>
      <x:c r="Z284" s="137" t="str"/>
      <x:c r="AA284" s="137" t="str"/>
      <x:c r="AB284" s="137" t="str"/>
      <x:c r="AC284" s="137" t="str"/>
      <x:c r="AD284" s="199" t="str"/>
    </x:row>
    <x:row r="285">
      <x:c r="A285" s="137" t="str"/>
      <x:c r="B285" s="138" t="str"/>
      <x:c r="C285" s="137" t="str"/>
      <x:c r="D285" s="137" t="str"/>
      <x:c r="E285" s="137" t="str"/>
      <x:c r="F285" s="137" t="str"/>
      <x:c r="G285" s="137" t="str"/>
      <x:c r="H285" s="137" t="str"/>
      <x:c r="I285" s="137" t="str"/>
      <x:c r="J285" s="137" t="str"/>
      <x:c r="K285" s="137" t="str"/>
      <x:c r="L285" s="160" t="str"/>
      <x:c r="M285" s="160" t="str"/>
      <x:c r="N285" s="151" t="str"/>
      <x:c r="O285" s="151" t="str"/>
      <x:c r="P285" s="151" t="str"/>
      <x:c r="Q285" s="151" t="str"/>
      <x:c r="R285" s="151" t="str"/>
      <x:c r="S285" s="151" t="str"/>
      <x:c r="T285" s="152" t="n">
        <x:f>IF(COUNTA(O285:S285)=0,"",MAX(0,IF(O285="",0,O285)+IF(P285="",0,P285)-IF(Q285="",0,Q285)-IF(R285="",0,R285)))</x:f>
        <x:v>0</x:v>
      </x:c>
      <x:c r="U285" s="152" t="str">
        <x:f>IF(OR(N285="",Q285=""),"",Q285-N285)</x:f>
      </x:c>
      <x:c r="V285" s="202" t="str">
        <x:f>IFERROR(Q285/N285,"")</x:f>
      </x:c>
      <x:c r="W285" s="137" t="str"/>
      <x:c r="X285" s="137" t="str"/>
      <x:c r="Y285" s="137" t="str"/>
      <x:c r="Z285" s="137" t="str"/>
      <x:c r="AA285" s="137" t="str"/>
      <x:c r="AB285" s="137" t="str"/>
      <x:c r="AC285" s="137" t="str"/>
      <x:c r="AD285" s="199" t="str"/>
    </x:row>
    <x:row r="286">
      <x:c r="A286" s="137" t="str"/>
      <x:c r="B286" s="138" t="str"/>
      <x:c r="C286" s="137" t="str"/>
      <x:c r="D286" s="137" t="str"/>
      <x:c r="E286" s="137" t="str"/>
      <x:c r="F286" s="137" t="str"/>
      <x:c r="G286" s="137" t="str"/>
      <x:c r="H286" s="137" t="str"/>
      <x:c r="I286" s="137" t="str"/>
      <x:c r="J286" s="137" t="str"/>
      <x:c r="K286" s="137" t="str"/>
      <x:c r="L286" s="160" t="str"/>
      <x:c r="M286" s="160" t="str"/>
      <x:c r="N286" s="151" t="str"/>
      <x:c r="O286" s="151" t="str"/>
      <x:c r="P286" s="151" t="str"/>
      <x:c r="Q286" s="151" t="str"/>
      <x:c r="R286" s="151" t="str"/>
      <x:c r="S286" s="151" t="str"/>
      <x:c r="T286" s="152" t="n">
        <x:f>IF(COUNTA(O286:S286)=0,"",MAX(0,IF(O286="",0,O286)+IF(P286="",0,P286)-IF(Q286="",0,Q286)-IF(R286="",0,R286)))</x:f>
        <x:v>0</x:v>
      </x:c>
      <x:c r="U286" s="152" t="str">
        <x:f>IF(OR(N286="",Q286=""),"",Q286-N286)</x:f>
      </x:c>
      <x:c r="V286" s="202" t="str">
        <x:f>IFERROR(Q286/N286,"")</x:f>
      </x:c>
      <x:c r="W286" s="137" t="str"/>
      <x:c r="X286" s="137" t="str"/>
      <x:c r="Y286" s="137" t="str"/>
      <x:c r="Z286" s="137" t="str"/>
      <x:c r="AA286" s="137" t="str"/>
      <x:c r="AB286" s="137" t="str"/>
      <x:c r="AC286" s="137" t="str"/>
      <x:c r="AD286" s="199" t="str"/>
    </x:row>
    <x:row r="287">
      <x:c r="A287" s="137" t="str"/>
      <x:c r="B287" s="138" t="str"/>
      <x:c r="C287" s="137" t="str"/>
      <x:c r="D287" s="137" t="str"/>
      <x:c r="E287" s="137" t="str"/>
      <x:c r="F287" s="137" t="str"/>
      <x:c r="G287" s="137" t="str"/>
      <x:c r="H287" s="137" t="str"/>
      <x:c r="I287" s="137" t="str"/>
      <x:c r="J287" s="137" t="str"/>
      <x:c r="K287" s="137" t="str"/>
      <x:c r="L287" s="160" t="str"/>
      <x:c r="M287" s="160" t="str"/>
      <x:c r="N287" s="151" t="str"/>
      <x:c r="O287" s="151" t="str"/>
      <x:c r="P287" s="151" t="str"/>
      <x:c r="Q287" s="151" t="str"/>
      <x:c r="R287" s="151" t="str"/>
      <x:c r="S287" s="151" t="str"/>
      <x:c r="T287" s="152" t="n">
        <x:f>IF(COUNTA(O287:S287)=0,"",MAX(0,IF(O287="",0,O287)+IF(P287="",0,P287)-IF(Q287="",0,Q287)-IF(R287="",0,R287)))</x:f>
        <x:v>0</x:v>
      </x:c>
      <x:c r="U287" s="152" t="str">
        <x:f>IF(OR(N287="",Q287=""),"",Q287-N287)</x:f>
      </x:c>
      <x:c r="V287" s="202" t="str">
        <x:f>IFERROR(Q287/N287,"")</x:f>
      </x:c>
      <x:c r="W287" s="137" t="str"/>
      <x:c r="X287" s="137" t="str"/>
      <x:c r="Y287" s="137" t="str"/>
      <x:c r="Z287" s="137" t="str"/>
      <x:c r="AA287" s="137" t="str"/>
      <x:c r="AB287" s="137" t="str"/>
      <x:c r="AC287" s="137" t="str"/>
      <x:c r="AD287" s="199" t="str"/>
    </x:row>
    <x:row r="288">
      <x:c r="A288" s="137" t="str"/>
      <x:c r="B288" s="138" t="str"/>
      <x:c r="C288" s="137" t="str"/>
      <x:c r="D288" s="137" t="str"/>
      <x:c r="E288" s="137" t="str"/>
      <x:c r="F288" s="137" t="str"/>
      <x:c r="G288" s="137" t="str"/>
      <x:c r="H288" s="137" t="str"/>
      <x:c r="I288" s="137" t="str"/>
      <x:c r="J288" s="137" t="str"/>
      <x:c r="K288" s="137" t="str"/>
      <x:c r="L288" s="160" t="str"/>
      <x:c r="M288" s="160" t="str"/>
      <x:c r="N288" s="151" t="str"/>
      <x:c r="O288" s="151" t="str"/>
      <x:c r="P288" s="151" t="str"/>
      <x:c r="Q288" s="151" t="str"/>
      <x:c r="R288" s="151" t="str"/>
      <x:c r="S288" s="151" t="str"/>
      <x:c r="T288" s="152" t="n">
        <x:f>IF(COUNTA(O288:S288)=0,"",MAX(0,IF(O288="",0,O288)+IF(P288="",0,P288)-IF(Q288="",0,Q288)-IF(R288="",0,R288)))</x:f>
        <x:v>0</x:v>
      </x:c>
      <x:c r="U288" s="152" t="str">
        <x:f>IF(OR(N288="",Q288=""),"",Q288-N288)</x:f>
      </x:c>
      <x:c r="V288" s="202" t="str">
        <x:f>IFERROR(Q288/N288,"")</x:f>
      </x:c>
      <x:c r="W288" s="137" t="str"/>
      <x:c r="X288" s="137" t="str"/>
      <x:c r="Y288" s="137" t="str"/>
      <x:c r="Z288" s="137" t="str"/>
      <x:c r="AA288" s="137" t="str"/>
      <x:c r="AB288" s="137" t="str"/>
      <x:c r="AC288" s="137" t="str"/>
      <x:c r="AD288" s="199" t="str"/>
    </x:row>
    <x:row r="289">
      <x:c r="A289" s="137" t="str"/>
      <x:c r="B289" s="138" t="str"/>
      <x:c r="C289" s="137" t="str"/>
      <x:c r="D289" s="137" t="str"/>
      <x:c r="E289" s="137" t="str"/>
      <x:c r="F289" s="137" t="str"/>
      <x:c r="G289" s="137" t="str"/>
      <x:c r="H289" s="137" t="str"/>
      <x:c r="I289" s="137" t="str"/>
      <x:c r="J289" s="137" t="str"/>
      <x:c r="K289" s="137" t="str"/>
      <x:c r="L289" s="160" t="str"/>
      <x:c r="M289" s="160" t="str"/>
      <x:c r="N289" s="151" t="str"/>
      <x:c r="O289" s="151" t="str"/>
      <x:c r="P289" s="151" t="str"/>
      <x:c r="Q289" s="151" t="str"/>
      <x:c r="R289" s="151" t="str"/>
      <x:c r="S289" s="151" t="str"/>
      <x:c r="T289" s="152" t="n">
        <x:f>IF(COUNTA(O289:S289)=0,"",MAX(0,IF(O289="",0,O289)+IF(P289="",0,P289)-IF(Q289="",0,Q289)-IF(R289="",0,R289)))</x:f>
        <x:v>0</x:v>
      </x:c>
      <x:c r="U289" s="152" t="str">
        <x:f>IF(OR(N289="",Q289=""),"",Q289-N289)</x:f>
      </x:c>
      <x:c r="V289" s="202" t="str">
        <x:f>IFERROR(Q289/N289,"")</x:f>
      </x:c>
      <x:c r="W289" s="137" t="str"/>
      <x:c r="X289" s="137" t="str"/>
      <x:c r="Y289" s="137" t="str"/>
      <x:c r="Z289" s="137" t="str"/>
      <x:c r="AA289" s="137" t="str"/>
      <x:c r="AB289" s="137" t="str"/>
      <x:c r="AC289" s="137" t="str"/>
      <x:c r="AD289" s="199" t="str"/>
    </x:row>
    <x:row r="290">
      <x:c r="A290" s="137" t="str"/>
      <x:c r="B290" s="138" t="str"/>
      <x:c r="C290" s="137" t="str"/>
      <x:c r="D290" s="137" t="str"/>
      <x:c r="E290" s="137" t="str"/>
      <x:c r="F290" s="137" t="str"/>
      <x:c r="G290" s="137" t="str"/>
      <x:c r="H290" s="137" t="str"/>
      <x:c r="I290" s="137" t="str"/>
      <x:c r="J290" s="137" t="str"/>
      <x:c r="K290" s="137" t="str"/>
      <x:c r="L290" s="160" t="str"/>
      <x:c r="M290" s="160" t="str"/>
      <x:c r="N290" s="151" t="str"/>
      <x:c r="O290" s="151" t="str"/>
      <x:c r="P290" s="151" t="str"/>
      <x:c r="Q290" s="151" t="str"/>
      <x:c r="R290" s="151" t="str"/>
      <x:c r="S290" s="151" t="str"/>
      <x:c r="T290" s="152" t="n">
        <x:f>IF(COUNTA(O290:S290)=0,"",MAX(0,IF(O290="",0,O290)+IF(P290="",0,P290)-IF(Q290="",0,Q290)-IF(R290="",0,R290)))</x:f>
        <x:v>0</x:v>
      </x:c>
      <x:c r="U290" s="152" t="str">
        <x:f>IF(OR(N290="",Q290=""),"",Q290-N290)</x:f>
      </x:c>
      <x:c r="V290" s="202" t="str">
        <x:f>IFERROR(Q290/N290,"")</x:f>
      </x:c>
      <x:c r="W290" s="137" t="str"/>
      <x:c r="X290" s="137" t="str"/>
      <x:c r="Y290" s="137" t="str"/>
      <x:c r="Z290" s="137" t="str"/>
      <x:c r="AA290" s="137" t="str"/>
      <x:c r="AB290" s="137" t="str"/>
      <x:c r="AC290" s="137" t="str"/>
      <x:c r="AD290" s="199" t="str"/>
    </x:row>
    <x:row r="291">
      <x:c r="A291" s="137" t="str"/>
      <x:c r="B291" s="138" t="str"/>
      <x:c r="C291" s="137" t="str"/>
      <x:c r="D291" s="137" t="str"/>
      <x:c r="E291" s="137" t="str"/>
      <x:c r="F291" s="137" t="str"/>
      <x:c r="G291" s="137" t="str"/>
      <x:c r="H291" s="137" t="str"/>
      <x:c r="I291" s="137" t="str"/>
      <x:c r="J291" s="137" t="str"/>
      <x:c r="K291" s="137" t="str"/>
      <x:c r="L291" s="160" t="str"/>
      <x:c r="M291" s="160" t="str"/>
      <x:c r="N291" s="151" t="str"/>
      <x:c r="O291" s="151" t="str"/>
      <x:c r="P291" s="151" t="str"/>
      <x:c r="Q291" s="151" t="str"/>
      <x:c r="R291" s="151" t="str"/>
      <x:c r="S291" s="151" t="str"/>
      <x:c r="T291" s="152" t="n">
        <x:f>IF(COUNTA(O291:S291)=0,"",MAX(0,IF(O291="",0,O291)+IF(P291="",0,P291)-IF(Q291="",0,Q291)-IF(R291="",0,R291)))</x:f>
        <x:v>0</x:v>
      </x:c>
      <x:c r="U291" s="152" t="str">
        <x:f>IF(OR(N291="",Q291=""),"",Q291-N291)</x:f>
      </x:c>
      <x:c r="V291" s="202" t="str">
        <x:f>IFERROR(Q291/N291,"")</x:f>
      </x:c>
      <x:c r="W291" s="137" t="str"/>
      <x:c r="X291" s="137" t="str"/>
      <x:c r="Y291" s="137" t="str"/>
      <x:c r="Z291" s="137" t="str"/>
      <x:c r="AA291" s="137" t="str"/>
      <x:c r="AB291" s="137" t="str"/>
      <x:c r="AC291" s="137" t="str"/>
      <x:c r="AD291" s="199" t="str"/>
    </x:row>
    <x:row r="292">
      <x:c r="A292" s="137" t="str"/>
      <x:c r="B292" s="138" t="str"/>
      <x:c r="C292" s="137" t="str"/>
      <x:c r="D292" s="137" t="str"/>
      <x:c r="E292" s="137" t="str"/>
      <x:c r="F292" s="137" t="str"/>
      <x:c r="G292" s="137" t="str"/>
      <x:c r="H292" s="137" t="str"/>
      <x:c r="I292" s="137" t="str"/>
      <x:c r="J292" s="137" t="str"/>
      <x:c r="K292" s="137" t="str"/>
      <x:c r="L292" s="160" t="str"/>
      <x:c r="M292" s="160" t="str"/>
      <x:c r="N292" s="151" t="str"/>
      <x:c r="O292" s="151" t="str"/>
      <x:c r="P292" s="151" t="str"/>
      <x:c r="Q292" s="151" t="str"/>
      <x:c r="R292" s="151" t="str"/>
      <x:c r="S292" s="151" t="str"/>
      <x:c r="T292" s="152" t="n">
        <x:f>IF(COUNTA(O292:S292)=0,"",MAX(0,IF(O292="",0,O292)+IF(P292="",0,P292)-IF(Q292="",0,Q292)-IF(R292="",0,R292)))</x:f>
        <x:v>0</x:v>
      </x:c>
      <x:c r="U292" s="152" t="str">
        <x:f>IF(OR(N292="",Q292=""),"",Q292-N292)</x:f>
      </x:c>
      <x:c r="V292" s="202" t="str">
        <x:f>IFERROR(Q292/N292,"")</x:f>
      </x:c>
      <x:c r="W292" s="137" t="str"/>
      <x:c r="X292" s="137" t="str"/>
      <x:c r="Y292" s="137" t="str"/>
      <x:c r="Z292" s="137" t="str"/>
      <x:c r="AA292" s="137" t="str"/>
      <x:c r="AB292" s="137" t="str"/>
      <x:c r="AC292" s="137" t="str"/>
      <x:c r="AD292" s="199" t="str"/>
    </x:row>
    <x:row r="293">
      <x:c r="A293" s="137" t="str"/>
      <x:c r="B293" s="138" t="str"/>
      <x:c r="C293" s="137" t="str"/>
      <x:c r="D293" s="137" t="str"/>
      <x:c r="E293" s="137" t="str"/>
      <x:c r="F293" s="137" t="str"/>
      <x:c r="G293" s="137" t="str"/>
      <x:c r="H293" s="137" t="str"/>
      <x:c r="I293" s="137" t="str"/>
      <x:c r="J293" s="137" t="str"/>
      <x:c r="K293" s="137" t="str"/>
      <x:c r="L293" s="160" t="str"/>
      <x:c r="M293" s="160" t="str"/>
      <x:c r="N293" s="151" t="str"/>
      <x:c r="O293" s="151" t="str"/>
      <x:c r="P293" s="151" t="str"/>
      <x:c r="Q293" s="151" t="str"/>
      <x:c r="R293" s="151" t="str"/>
      <x:c r="S293" s="151" t="str"/>
      <x:c r="T293" s="152" t="n">
        <x:f>IF(COUNTA(O293:S293)=0,"",MAX(0,IF(O293="",0,O293)+IF(P293="",0,P293)-IF(Q293="",0,Q293)-IF(R293="",0,R293)))</x:f>
        <x:v>0</x:v>
      </x:c>
      <x:c r="U293" s="152" t="str">
        <x:f>IF(OR(N293="",Q293=""),"",Q293-N293)</x:f>
      </x:c>
      <x:c r="V293" s="202" t="str">
        <x:f>IFERROR(Q293/N293,"")</x:f>
      </x:c>
      <x:c r="W293" s="137" t="str"/>
      <x:c r="X293" s="137" t="str"/>
      <x:c r="Y293" s="137" t="str"/>
      <x:c r="Z293" s="137" t="str"/>
      <x:c r="AA293" s="137" t="str"/>
      <x:c r="AB293" s="137" t="str"/>
      <x:c r="AC293" s="137" t="str"/>
      <x:c r="AD293" s="199" t="str"/>
    </x:row>
    <x:row r="294">
      <x:c r="A294" s="137" t="str"/>
      <x:c r="B294" s="138" t="str"/>
      <x:c r="C294" s="137" t="str"/>
      <x:c r="D294" s="137" t="str"/>
      <x:c r="E294" s="137" t="str"/>
      <x:c r="F294" s="137" t="str"/>
      <x:c r="G294" s="137" t="str"/>
      <x:c r="H294" s="137" t="str"/>
      <x:c r="I294" s="137" t="str"/>
      <x:c r="J294" s="137" t="str"/>
      <x:c r="K294" s="137" t="str"/>
      <x:c r="L294" s="160" t="str"/>
      <x:c r="M294" s="160" t="str"/>
      <x:c r="N294" s="151" t="str"/>
      <x:c r="O294" s="151" t="str"/>
      <x:c r="P294" s="151" t="str"/>
      <x:c r="Q294" s="151" t="str"/>
      <x:c r="R294" s="151" t="str"/>
      <x:c r="S294" s="151" t="str"/>
      <x:c r="T294" s="152" t="n">
        <x:f>IF(COUNTA(O294:S294)=0,"",MAX(0,IF(O294="",0,O294)+IF(P294="",0,P294)-IF(Q294="",0,Q294)-IF(R294="",0,R294)))</x:f>
        <x:v>0</x:v>
      </x:c>
      <x:c r="U294" s="152" t="str">
        <x:f>IF(OR(N294="",Q294=""),"",Q294-N294)</x:f>
      </x:c>
      <x:c r="V294" s="202" t="str">
        <x:f>IFERROR(Q294/N294,"")</x:f>
      </x:c>
      <x:c r="W294" s="137" t="str"/>
      <x:c r="X294" s="137" t="str"/>
      <x:c r="Y294" s="137" t="str"/>
      <x:c r="Z294" s="137" t="str"/>
      <x:c r="AA294" s="137" t="str"/>
      <x:c r="AB294" s="137" t="str"/>
      <x:c r="AC294" s="137" t="str"/>
      <x:c r="AD294" s="199" t="str"/>
    </x:row>
    <x:row r="295">
      <x:c r="A295" s="137" t="str"/>
      <x:c r="B295" s="138" t="str"/>
      <x:c r="C295" s="137" t="str"/>
      <x:c r="D295" s="137" t="str"/>
      <x:c r="E295" s="137" t="str"/>
      <x:c r="F295" s="137" t="str"/>
      <x:c r="G295" s="137" t="str"/>
      <x:c r="H295" s="137" t="str"/>
      <x:c r="I295" s="137" t="str"/>
      <x:c r="J295" s="137" t="str"/>
      <x:c r="K295" s="137" t="str"/>
      <x:c r="L295" s="160" t="str"/>
      <x:c r="M295" s="160" t="str"/>
      <x:c r="N295" s="151" t="str"/>
      <x:c r="O295" s="151" t="str"/>
      <x:c r="P295" s="151" t="str"/>
      <x:c r="Q295" s="151" t="str"/>
      <x:c r="R295" s="151" t="str"/>
      <x:c r="S295" s="151" t="str"/>
      <x:c r="T295" s="152" t="n">
        <x:f>IF(COUNTA(O295:S295)=0,"",MAX(0,IF(O295="",0,O295)+IF(P295="",0,P295)-IF(Q295="",0,Q295)-IF(R295="",0,R295)))</x:f>
        <x:v>0</x:v>
      </x:c>
      <x:c r="U295" s="152" t="str">
        <x:f>IF(OR(N295="",Q295=""),"",Q295-N295)</x:f>
      </x:c>
      <x:c r="V295" s="202" t="str">
        <x:f>IFERROR(Q295/N295,"")</x:f>
      </x:c>
      <x:c r="W295" s="137" t="str"/>
      <x:c r="X295" s="137" t="str"/>
      <x:c r="Y295" s="137" t="str"/>
      <x:c r="Z295" s="137" t="str"/>
      <x:c r="AA295" s="137" t="str"/>
      <x:c r="AB295" s="137" t="str"/>
      <x:c r="AC295" s="137" t="str"/>
      <x:c r="AD295" s="199" t="str"/>
    </x:row>
    <x:row r="296">
      <x:c r="A296" s="137" t="str"/>
      <x:c r="B296" s="138" t="str"/>
      <x:c r="C296" s="137" t="str"/>
      <x:c r="D296" s="137" t="str"/>
      <x:c r="E296" s="137" t="str"/>
      <x:c r="F296" s="137" t="str"/>
      <x:c r="G296" s="137" t="str"/>
      <x:c r="H296" s="137" t="str"/>
      <x:c r="I296" s="137" t="str"/>
      <x:c r="J296" s="137" t="str"/>
      <x:c r="K296" s="137" t="str"/>
      <x:c r="L296" s="160" t="str"/>
      <x:c r="M296" s="160" t="str"/>
      <x:c r="N296" s="151" t="str"/>
      <x:c r="O296" s="151" t="str"/>
      <x:c r="P296" s="151" t="str"/>
      <x:c r="Q296" s="151" t="str"/>
      <x:c r="R296" s="151" t="str"/>
      <x:c r="S296" s="151" t="str"/>
      <x:c r="T296" s="152" t="n">
        <x:f>IF(COUNTA(O296:S296)=0,"",MAX(0,IF(O296="",0,O296)+IF(P296="",0,P296)-IF(Q296="",0,Q296)-IF(R296="",0,R296)))</x:f>
        <x:v>0</x:v>
      </x:c>
      <x:c r="U296" s="152" t="str">
        <x:f>IF(OR(N296="",Q296=""),"",Q296-N296)</x:f>
      </x:c>
      <x:c r="V296" s="202" t="str">
        <x:f>IFERROR(Q296/N296,"")</x:f>
      </x:c>
      <x:c r="W296" s="137" t="str"/>
      <x:c r="X296" s="137" t="str"/>
      <x:c r="Y296" s="137" t="str"/>
      <x:c r="Z296" s="137" t="str"/>
      <x:c r="AA296" s="137" t="str"/>
      <x:c r="AB296" s="137" t="str"/>
      <x:c r="AC296" s="137" t="str"/>
      <x:c r="AD296" s="199" t="str"/>
    </x:row>
    <x:row r="297">
      <x:c r="A297" s="137" t="str"/>
      <x:c r="B297" s="138" t="str"/>
      <x:c r="C297" s="137" t="str"/>
      <x:c r="D297" s="137" t="str"/>
      <x:c r="E297" s="137" t="str"/>
      <x:c r="F297" s="137" t="str"/>
      <x:c r="G297" s="137" t="str"/>
      <x:c r="H297" s="137" t="str"/>
      <x:c r="I297" s="137" t="str"/>
      <x:c r="J297" s="137" t="str"/>
      <x:c r="K297" s="137" t="str"/>
      <x:c r="L297" s="160" t="str"/>
      <x:c r="M297" s="160" t="str"/>
      <x:c r="N297" s="151" t="str"/>
      <x:c r="O297" s="151" t="str"/>
      <x:c r="P297" s="151" t="str"/>
      <x:c r="Q297" s="151" t="str"/>
      <x:c r="R297" s="151" t="str"/>
      <x:c r="S297" s="151" t="str"/>
      <x:c r="T297" s="152" t="n">
        <x:f>IF(COUNTA(O297:S297)=0,"",MAX(0,IF(O297="",0,O297)+IF(P297="",0,P297)-IF(Q297="",0,Q297)-IF(R297="",0,R297)))</x:f>
        <x:v>0</x:v>
      </x:c>
      <x:c r="U297" s="152" t="str">
        <x:f>IF(OR(N297="",Q297=""),"",Q297-N297)</x:f>
      </x:c>
      <x:c r="V297" s="202" t="str">
        <x:f>IFERROR(Q297/N297,"")</x:f>
      </x:c>
      <x:c r="W297" s="137" t="str"/>
      <x:c r="X297" s="137" t="str"/>
      <x:c r="Y297" s="137" t="str"/>
      <x:c r="Z297" s="137" t="str"/>
      <x:c r="AA297" s="137" t="str"/>
      <x:c r="AB297" s="137" t="str"/>
      <x:c r="AC297" s="137" t="str"/>
      <x:c r="AD297" s="199" t="str"/>
    </x:row>
    <x:row r="298">
      <x:c r="A298" s="137" t="str"/>
      <x:c r="B298" s="138" t="str"/>
      <x:c r="C298" s="137" t="str"/>
      <x:c r="D298" s="137" t="str"/>
      <x:c r="E298" s="137" t="str"/>
      <x:c r="F298" s="137" t="str"/>
      <x:c r="G298" s="137" t="str"/>
      <x:c r="H298" s="137" t="str"/>
      <x:c r="I298" s="137" t="str"/>
      <x:c r="J298" s="137" t="str"/>
      <x:c r="K298" s="137" t="str"/>
      <x:c r="L298" s="160" t="str"/>
      <x:c r="M298" s="160" t="str"/>
      <x:c r="N298" s="151" t="str"/>
      <x:c r="O298" s="151" t="str"/>
      <x:c r="P298" s="151" t="str"/>
      <x:c r="Q298" s="151" t="str"/>
      <x:c r="R298" s="151" t="str"/>
      <x:c r="S298" s="151" t="str"/>
      <x:c r="T298" s="152" t="n">
        <x:f>IF(COUNTA(O298:S298)=0,"",MAX(0,IF(O298="",0,O298)+IF(P298="",0,P298)-IF(Q298="",0,Q298)-IF(R298="",0,R298)))</x:f>
        <x:v>0</x:v>
      </x:c>
      <x:c r="U298" s="152" t="str">
        <x:f>IF(OR(N298="",Q298=""),"",Q298-N298)</x:f>
      </x:c>
      <x:c r="V298" s="202" t="str">
        <x:f>IFERROR(Q298/N298,"")</x:f>
      </x:c>
      <x:c r="W298" s="137" t="str"/>
      <x:c r="X298" s="137" t="str"/>
      <x:c r="Y298" s="137" t="str"/>
      <x:c r="Z298" s="137" t="str"/>
      <x:c r="AA298" s="137" t="str"/>
      <x:c r="AB298" s="137" t="str"/>
      <x:c r="AC298" s="137" t="str"/>
      <x:c r="AD298" s="199" t="str"/>
    </x:row>
    <x:row r="299">
      <x:c r="A299" s="137" t="str"/>
      <x:c r="B299" s="138" t="str"/>
      <x:c r="C299" s="137" t="str"/>
      <x:c r="D299" s="137" t="str"/>
      <x:c r="E299" s="137" t="str"/>
      <x:c r="F299" s="137" t="str"/>
      <x:c r="G299" s="137" t="str"/>
      <x:c r="H299" s="137" t="str"/>
      <x:c r="I299" s="137" t="str"/>
      <x:c r="J299" s="137" t="str"/>
      <x:c r="K299" s="137" t="str"/>
      <x:c r="L299" s="160" t="str"/>
      <x:c r="M299" s="160" t="str"/>
      <x:c r="N299" s="151" t="str"/>
      <x:c r="O299" s="151" t="str"/>
      <x:c r="P299" s="151" t="str"/>
      <x:c r="Q299" s="151" t="str"/>
      <x:c r="R299" s="151" t="str"/>
      <x:c r="S299" s="151" t="str"/>
      <x:c r="T299" s="152" t="n">
        <x:f>IF(COUNTA(O299:S299)=0,"",MAX(0,IF(O299="",0,O299)+IF(P299="",0,P299)-IF(Q299="",0,Q299)-IF(R299="",0,R299)))</x:f>
        <x:v>0</x:v>
      </x:c>
      <x:c r="U299" s="152" t="str">
        <x:f>IF(OR(N299="",Q299=""),"",Q299-N299)</x:f>
      </x:c>
      <x:c r="V299" s="202" t="str">
        <x:f>IFERROR(Q299/N299,"")</x:f>
      </x:c>
      <x:c r="W299" s="137" t="str"/>
      <x:c r="X299" s="137" t="str"/>
      <x:c r="Y299" s="137" t="str"/>
      <x:c r="Z299" s="137" t="str"/>
      <x:c r="AA299" s="137" t="str"/>
      <x:c r="AB299" s="137" t="str"/>
      <x:c r="AC299" s="137" t="str"/>
      <x:c r="AD299" s="199" t="str"/>
    </x:row>
    <x:row r="300">
      <x:c r="A300" s="137" t="str"/>
      <x:c r="B300" s="138" t="str"/>
      <x:c r="C300" s="137" t="str"/>
      <x:c r="D300" s="137" t="str"/>
      <x:c r="E300" s="137" t="str"/>
      <x:c r="F300" s="137" t="str"/>
      <x:c r="G300" s="137" t="str"/>
      <x:c r="H300" s="137" t="str"/>
      <x:c r="I300" s="137" t="str"/>
      <x:c r="J300" s="137" t="str"/>
      <x:c r="K300" s="137" t="str"/>
      <x:c r="L300" s="160" t="str"/>
      <x:c r="M300" s="160" t="str"/>
      <x:c r="N300" s="151" t="str"/>
      <x:c r="O300" s="151" t="str"/>
      <x:c r="P300" s="151" t="str"/>
      <x:c r="Q300" s="151" t="str"/>
      <x:c r="R300" s="151" t="str"/>
      <x:c r="S300" s="151" t="str"/>
      <x:c r="T300" s="152" t="n">
        <x:f>IF(COUNTA(O300:S300)=0,"",MAX(0,IF(O300="",0,O300)+IF(P300="",0,P300)-IF(Q300="",0,Q300)-IF(R300="",0,R300)))</x:f>
        <x:v>0</x:v>
      </x:c>
      <x:c r="U300" s="152" t="str">
        <x:f>IF(OR(N300="",Q300=""),"",Q300-N300)</x:f>
      </x:c>
      <x:c r="V300" s="202" t="str">
        <x:f>IFERROR(Q300/N300,"")</x:f>
      </x:c>
      <x:c r="W300" s="137" t="str"/>
      <x:c r="X300" s="137" t="str"/>
      <x:c r="Y300" s="137" t="str"/>
      <x:c r="Z300" s="137" t="str"/>
      <x:c r="AA300" s="137" t="str"/>
      <x:c r="AB300" s="137" t="str"/>
      <x:c r="AC300" s="137" t="str"/>
      <x:c r="AD300" s="199" t="str"/>
    </x:row>
    <x:row r="301">
      <x:c r="A301" s="137" t="str"/>
      <x:c r="B301" s="138" t="str"/>
      <x:c r="C301" s="137" t="str"/>
      <x:c r="D301" s="137" t="str"/>
      <x:c r="E301" s="137" t="str"/>
      <x:c r="F301" s="137" t="str"/>
      <x:c r="G301" s="137" t="str"/>
      <x:c r="H301" s="137" t="str"/>
      <x:c r="I301" s="137" t="str"/>
      <x:c r="J301" s="137" t="str"/>
      <x:c r="K301" s="137" t="str"/>
      <x:c r="L301" s="160" t="str"/>
      <x:c r="M301" s="160" t="str"/>
      <x:c r="N301" s="151" t="str"/>
      <x:c r="O301" s="151" t="str"/>
      <x:c r="P301" s="151" t="str"/>
      <x:c r="Q301" s="151" t="str"/>
      <x:c r="R301" s="151" t="str"/>
      <x:c r="S301" s="151" t="str"/>
      <x:c r="T301" s="152" t="n">
        <x:f>IF(COUNTA(O301:S301)=0,"",MAX(0,IF(O301="",0,O301)+IF(P301="",0,P301)-IF(Q301="",0,Q301)-IF(R301="",0,R301)))</x:f>
        <x:v>0</x:v>
      </x:c>
      <x:c r="U301" s="152" t="str">
        <x:f>IF(OR(N301="",Q301=""),"",Q301-N301)</x:f>
      </x:c>
      <x:c r="V301" s="202" t="str">
        <x:f>IFERROR(Q301/N301,"")</x:f>
      </x:c>
      <x:c r="W301" s="137" t="str"/>
      <x:c r="X301" s="137" t="str"/>
      <x:c r="Y301" s="137" t="str"/>
      <x:c r="Z301" s="137" t="str"/>
      <x:c r="AA301" s="137" t="str"/>
      <x:c r="AB301" s="137" t="str"/>
      <x:c r="AC301" s="137" t="str"/>
      <x:c r="AD301" s="199" t="str"/>
    </x:row>
    <x:row r="302">
      <x:c r="A302" s="137" t="str"/>
      <x:c r="B302" s="138" t="str"/>
      <x:c r="C302" s="137" t="str"/>
      <x:c r="D302" s="137" t="str"/>
      <x:c r="E302" s="137" t="str"/>
      <x:c r="F302" s="137" t="str"/>
      <x:c r="G302" s="137" t="str"/>
      <x:c r="H302" s="137" t="str"/>
      <x:c r="I302" s="137" t="str"/>
      <x:c r="J302" s="137" t="str"/>
      <x:c r="K302" s="137" t="str"/>
      <x:c r="L302" s="160" t="str"/>
      <x:c r="M302" s="160" t="str"/>
      <x:c r="N302" s="151" t="str"/>
      <x:c r="O302" s="151" t="str"/>
      <x:c r="P302" s="151" t="str"/>
      <x:c r="Q302" s="151" t="str"/>
      <x:c r="R302" s="151" t="str"/>
      <x:c r="S302" s="151" t="str"/>
      <x:c r="T302" s="152" t="n">
        <x:f>IF(COUNTA(O302:S302)=0,"",MAX(0,IF(O302="",0,O302)+IF(P302="",0,P302)-IF(Q302="",0,Q302)-IF(R302="",0,R302)))</x:f>
        <x:v>0</x:v>
      </x:c>
      <x:c r="U302" s="152" t="str">
        <x:f>IF(OR(N302="",Q302=""),"",Q302-N302)</x:f>
      </x:c>
      <x:c r="V302" s="202" t="str">
        <x:f>IFERROR(Q302/N302,"")</x:f>
      </x:c>
      <x:c r="W302" s="137" t="str"/>
      <x:c r="X302" s="137" t="str"/>
      <x:c r="Y302" s="137" t="str"/>
      <x:c r="Z302" s="137" t="str"/>
      <x:c r="AA302" s="137" t="str"/>
      <x:c r="AB302" s="137" t="str"/>
      <x:c r="AC302" s="137" t="str"/>
      <x:c r="AD302" s="199" t="str"/>
    </x:row>
    <x:row r="303">
      <x:c r="A303" s="137" t="str"/>
      <x:c r="B303" s="138" t="str"/>
      <x:c r="C303" s="137" t="str"/>
      <x:c r="D303" s="137" t="str"/>
      <x:c r="E303" s="137" t="str"/>
      <x:c r="F303" s="137" t="str"/>
      <x:c r="G303" s="137" t="str"/>
      <x:c r="H303" s="137" t="str"/>
      <x:c r="I303" s="137" t="str"/>
      <x:c r="J303" s="137" t="str"/>
      <x:c r="K303" s="137" t="str"/>
      <x:c r="L303" s="160" t="str"/>
      <x:c r="M303" s="160" t="str"/>
      <x:c r="N303" s="151" t="str"/>
      <x:c r="O303" s="151" t="str"/>
      <x:c r="P303" s="151" t="str"/>
      <x:c r="Q303" s="151" t="str"/>
      <x:c r="R303" s="151" t="str"/>
      <x:c r="S303" s="151" t="str"/>
      <x:c r="T303" s="152" t="n">
        <x:f>IF(COUNTA(O303:S303)=0,"",MAX(0,IF(O303="",0,O303)+IF(P303="",0,P303)-IF(Q303="",0,Q303)-IF(R303="",0,R303)))</x:f>
        <x:v>0</x:v>
      </x:c>
      <x:c r="U303" s="152" t="str">
        <x:f>IF(OR(N303="",Q303=""),"",Q303-N303)</x:f>
      </x:c>
      <x:c r="V303" s="202" t="str">
        <x:f>IFERROR(Q303/N303,"")</x:f>
      </x:c>
      <x:c r="W303" s="137" t="str"/>
      <x:c r="X303" s="137" t="str"/>
      <x:c r="Y303" s="137" t="str"/>
      <x:c r="Z303" s="137" t="str"/>
      <x:c r="AA303" s="137" t="str"/>
      <x:c r="AB303" s="137" t="str"/>
      <x:c r="AC303" s="137" t="str"/>
      <x:c r="AD303" s="199" t="str"/>
    </x:row>
    <x:row r="304">
      <x:c r="A304" s="137" t="str"/>
      <x:c r="B304" s="138" t="str"/>
      <x:c r="C304" s="137" t="str"/>
      <x:c r="D304" s="137" t="str"/>
      <x:c r="E304" s="137" t="str"/>
      <x:c r="F304" s="137" t="str"/>
      <x:c r="G304" s="137" t="str"/>
      <x:c r="H304" s="137" t="str"/>
      <x:c r="I304" s="137" t="str"/>
      <x:c r="J304" s="137" t="str"/>
      <x:c r="K304" s="137" t="str"/>
      <x:c r="L304" s="160" t="str"/>
      <x:c r="M304" s="160" t="str"/>
      <x:c r="N304" s="151" t="str"/>
      <x:c r="O304" s="151" t="str"/>
      <x:c r="P304" s="151" t="str"/>
      <x:c r="Q304" s="151" t="str"/>
      <x:c r="R304" s="151" t="str"/>
      <x:c r="S304" s="151" t="str"/>
      <x:c r="T304" s="152" t="n">
        <x:f>IF(COUNTA(O304:S304)=0,"",MAX(0,IF(O304="",0,O304)+IF(P304="",0,P304)-IF(Q304="",0,Q304)-IF(R304="",0,R304)))</x:f>
        <x:v>0</x:v>
      </x:c>
      <x:c r="U304" s="152" t="str">
        <x:f>IF(OR(N304="",Q304=""),"",Q304-N304)</x:f>
      </x:c>
      <x:c r="V304" s="202" t="str">
        <x:f>IFERROR(Q304/N304,"")</x:f>
      </x:c>
      <x:c r="W304" s="137" t="str"/>
      <x:c r="X304" s="137" t="str"/>
      <x:c r="Y304" s="137" t="str"/>
      <x:c r="Z304" s="137" t="str"/>
      <x:c r="AA304" s="137" t="str"/>
      <x:c r="AB304" s="137" t="str"/>
      <x:c r="AC304" s="137" t="str"/>
      <x:c r="AD304" s="199" t="str"/>
    </x:row>
    <x:row r="305">
      <x:c r="A305" s="137" t="str"/>
      <x:c r="B305" s="138" t="str"/>
      <x:c r="C305" s="137" t="str"/>
      <x:c r="D305" s="137" t="str"/>
      <x:c r="E305" s="137" t="str"/>
      <x:c r="F305" s="137" t="str"/>
      <x:c r="G305" s="137" t="str"/>
      <x:c r="H305" s="137" t="str"/>
      <x:c r="I305" s="137" t="str"/>
      <x:c r="J305" s="137" t="str"/>
      <x:c r="K305" s="137" t="str"/>
      <x:c r="L305" s="160" t="str"/>
      <x:c r="M305" s="160" t="str"/>
      <x:c r="N305" s="151" t="str"/>
      <x:c r="O305" s="151" t="str"/>
      <x:c r="P305" s="151" t="str"/>
      <x:c r="Q305" s="151" t="str"/>
      <x:c r="R305" s="151" t="str"/>
      <x:c r="S305" s="151" t="str"/>
      <x:c r="T305" s="152" t="n">
        <x:f>IF(COUNTA(O305:S305)=0,"",MAX(0,IF(O305="",0,O305)+IF(P305="",0,P305)-IF(Q305="",0,Q305)-IF(R305="",0,R305)))</x:f>
        <x:v>0</x:v>
      </x:c>
      <x:c r="U305" s="152" t="str">
        <x:f>IF(OR(N305="",Q305=""),"",Q305-N305)</x:f>
      </x:c>
      <x:c r="V305" s="202" t="str">
        <x:f>IFERROR(Q305/N305,"")</x:f>
      </x:c>
      <x:c r="W305" s="137" t="str"/>
      <x:c r="X305" s="137" t="str"/>
      <x:c r="Y305" s="137" t="str"/>
      <x:c r="Z305" s="137" t="str"/>
      <x:c r="AA305" s="137" t="str"/>
      <x:c r="AB305" s="137" t="str"/>
      <x:c r="AC305" s="137" t="str"/>
      <x:c r="AD305" s="199" t="str"/>
    </x:row>
    <x:row r="306">
      <x:c r="A306" s="137" t="str"/>
      <x:c r="B306" s="138" t="str"/>
      <x:c r="C306" s="137" t="str"/>
      <x:c r="D306" s="137" t="str"/>
      <x:c r="E306" s="137" t="str"/>
      <x:c r="F306" s="137" t="str"/>
      <x:c r="G306" s="137" t="str"/>
      <x:c r="H306" s="137" t="str"/>
      <x:c r="I306" s="137" t="str"/>
      <x:c r="J306" s="137" t="str"/>
      <x:c r="K306" s="137" t="str"/>
      <x:c r="L306" s="160" t="str"/>
      <x:c r="M306" s="160" t="str"/>
      <x:c r="N306" s="151" t="str"/>
      <x:c r="O306" s="151" t="str"/>
      <x:c r="P306" s="151" t="str"/>
      <x:c r="Q306" s="151" t="str"/>
      <x:c r="R306" s="151" t="str"/>
      <x:c r="S306" s="151" t="str"/>
      <x:c r="T306" s="152" t="n">
        <x:f>IF(COUNTA(O306:S306)=0,"",MAX(0,IF(O306="",0,O306)+IF(P306="",0,P306)-IF(Q306="",0,Q306)-IF(R306="",0,R306)))</x:f>
        <x:v>0</x:v>
      </x:c>
      <x:c r="U306" s="152" t="str">
        <x:f>IF(OR(N306="",Q306=""),"",Q306-N306)</x:f>
      </x:c>
      <x:c r="V306" s="202" t="str">
        <x:f>IFERROR(Q306/N306,"")</x:f>
      </x:c>
      <x:c r="W306" s="137" t="str"/>
      <x:c r="X306" s="137" t="str"/>
      <x:c r="Y306" s="137" t="str"/>
      <x:c r="Z306" s="137" t="str"/>
      <x:c r="AA306" s="137" t="str"/>
      <x:c r="AB306" s="137" t="str"/>
      <x:c r="AC306" s="137" t="str"/>
      <x:c r="AD306" s="199" t="str"/>
    </x:row>
    <x:row r="307">
      <x:c r="A307" s="137" t="str"/>
      <x:c r="B307" s="138" t="str"/>
      <x:c r="C307" s="137" t="str"/>
      <x:c r="D307" s="137" t="str"/>
      <x:c r="E307" s="137" t="str"/>
      <x:c r="F307" s="137" t="str"/>
      <x:c r="G307" s="137" t="str"/>
      <x:c r="H307" s="137" t="str"/>
      <x:c r="I307" s="137" t="str"/>
      <x:c r="J307" s="137" t="str"/>
      <x:c r="K307" s="137" t="str"/>
      <x:c r="L307" s="160" t="str"/>
      <x:c r="M307" s="160" t="str"/>
      <x:c r="N307" s="151" t="str"/>
      <x:c r="O307" s="151" t="str"/>
      <x:c r="P307" s="151" t="str"/>
      <x:c r="Q307" s="151" t="str"/>
      <x:c r="R307" s="151" t="str"/>
      <x:c r="S307" s="151" t="str"/>
      <x:c r="T307" s="152" t="n">
        <x:f>IF(COUNTA(O307:S307)=0,"",MAX(0,IF(O307="",0,O307)+IF(P307="",0,P307)-IF(Q307="",0,Q307)-IF(R307="",0,R307)))</x:f>
        <x:v>0</x:v>
      </x:c>
      <x:c r="U307" s="152" t="str">
        <x:f>IF(OR(N307="",Q307=""),"",Q307-N307)</x:f>
      </x:c>
      <x:c r="V307" s="202" t="str">
        <x:f>IFERROR(Q307/N307,"")</x:f>
      </x:c>
      <x:c r="W307" s="137" t="str"/>
      <x:c r="X307" s="137" t="str"/>
      <x:c r="Y307" s="137" t="str"/>
      <x:c r="Z307" s="137" t="str"/>
      <x:c r="AA307" s="137" t="str"/>
      <x:c r="AB307" s="137" t="str"/>
      <x:c r="AC307" s="137" t="str"/>
      <x:c r="AD307" s="199" t="str"/>
    </x:row>
    <x:row r="308">
      <x:c r="A308" s="137" t="str"/>
      <x:c r="B308" s="138" t="str"/>
      <x:c r="C308" s="137" t="str"/>
      <x:c r="D308" s="137" t="str"/>
      <x:c r="E308" s="137" t="str"/>
      <x:c r="F308" s="137" t="str"/>
      <x:c r="G308" s="137" t="str"/>
      <x:c r="H308" s="137" t="str"/>
      <x:c r="I308" s="137" t="str"/>
      <x:c r="J308" s="137" t="str"/>
      <x:c r="K308" s="137" t="str"/>
      <x:c r="L308" s="160" t="str"/>
      <x:c r="M308" s="160" t="str"/>
      <x:c r="N308" s="151" t="str"/>
      <x:c r="O308" s="151" t="str"/>
      <x:c r="P308" s="151" t="str"/>
      <x:c r="Q308" s="151" t="str"/>
      <x:c r="R308" s="151" t="str"/>
      <x:c r="S308" s="151" t="str"/>
      <x:c r="T308" s="152" t="n">
        <x:f>IF(COUNTA(O308:S308)=0,"",MAX(0,IF(O308="",0,O308)+IF(P308="",0,P308)-IF(Q308="",0,Q308)-IF(R308="",0,R308)))</x:f>
        <x:v>0</x:v>
      </x:c>
      <x:c r="U308" s="152" t="str">
        <x:f>IF(OR(N308="",Q308=""),"",Q308-N308)</x:f>
      </x:c>
      <x:c r="V308" s="202" t="str">
        <x:f>IFERROR(Q308/N308,"")</x:f>
      </x:c>
      <x:c r="W308" s="137" t="str"/>
      <x:c r="X308" s="137" t="str"/>
      <x:c r="Y308" s="137" t="str"/>
      <x:c r="Z308" s="137" t="str"/>
      <x:c r="AA308" s="137" t="str"/>
      <x:c r="AB308" s="137" t="str"/>
      <x:c r="AC308" s="137" t="str"/>
      <x:c r="AD308" s="199" t="str"/>
    </x:row>
    <x:row r="309">
      <x:c r="A309" s="137" t="str"/>
      <x:c r="B309" s="138" t="str"/>
      <x:c r="C309" s="137" t="str"/>
      <x:c r="D309" s="137" t="str"/>
      <x:c r="E309" s="137" t="str"/>
      <x:c r="F309" s="137" t="str"/>
      <x:c r="G309" s="137" t="str"/>
      <x:c r="H309" s="137" t="str"/>
      <x:c r="I309" s="137" t="str"/>
      <x:c r="J309" s="137" t="str"/>
      <x:c r="K309" s="137" t="str"/>
      <x:c r="L309" s="160" t="str"/>
      <x:c r="M309" s="160" t="str"/>
      <x:c r="N309" s="151" t="str"/>
      <x:c r="O309" s="151" t="str"/>
      <x:c r="P309" s="151" t="str"/>
      <x:c r="Q309" s="151" t="str"/>
      <x:c r="R309" s="151" t="str"/>
      <x:c r="S309" s="151" t="str"/>
      <x:c r="T309" s="152" t="n">
        <x:f>IF(COUNTA(O309:S309)=0,"",MAX(0,IF(O309="",0,O309)+IF(P309="",0,P309)-IF(Q309="",0,Q309)-IF(R309="",0,R309)))</x:f>
        <x:v>0</x:v>
      </x:c>
      <x:c r="U309" s="152" t="str">
        <x:f>IF(OR(N309="",Q309=""),"",Q309-N309)</x:f>
      </x:c>
      <x:c r="V309" s="202" t="str">
        <x:f>IFERROR(Q309/N309,"")</x:f>
      </x:c>
      <x:c r="W309" s="137" t="str"/>
      <x:c r="X309" s="137" t="str"/>
      <x:c r="Y309" s="137" t="str"/>
      <x:c r="Z309" s="137" t="str"/>
      <x:c r="AA309" s="137" t="str"/>
      <x:c r="AB309" s="137" t="str"/>
      <x:c r="AC309" s="137" t="str"/>
      <x:c r="AD309" s="199" t="str"/>
    </x:row>
    <x:row r="310">
      <x:c r="A310" s="137" t="str"/>
      <x:c r="B310" s="138" t="str"/>
      <x:c r="C310" s="137" t="str"/>
      <x:c r="D310" s="137" t="str"/>
      <x:c r="E310" s="137" t="str"/>
      <x:c r="F310" s="137" t="str"/>
      <x:c r="G310" s="137" t="str"/>
      <x:c r="H310" s="137" t="str"/>
      <x:c r="I310" s="137" t="str"/>
      <x:c r="J310" s="137" t="str"/>
      <x:c r="K310" s="137" t="str"/>
      <x:c r="L310" s="160" t="str"/>
      <x:c r="M310" s="160" t="str"/>
      <x:c r="N310" s="151" t="str"/>
      <x:c r="O310" s="151" t="str"/>
      <x:c r="P310" s="151" t="str"/>
      <x:c r="Q310" s="151" t="str"/>
      <x:c r="R310" s="151" t="str"/>
      <x:c r="S310" s="151" t="str"/>
      <x:c r="T310" s="152" t="n">
        <x:f>IF(COUNTA(O310:S310)=0,"",MAX(0,IF(O310="",0,O310)+IF(P310="",0,P310)-IF(Q310="",0,Q310)-IF(R310="",0,R310)))</x:f>
        <x:v>0</x:v>
      </x:c>
      <x:c r="U310" s="152" t="str">
        <x:f>IF(OR(N310="",Q310=""),"",Q310-N310)</x:f>
      </x:c>
      <x:c r="V310" s="202" t="str">
        <x:f>IFERROR(Q310/N310,"")</x:f>
      </x:c>
      <x:c r="W310" s="137" t="str"/>
      <x:c r="X310" s="137" t="str"/>
      <x:c r="Y310" s="137" t="str"/>
      <x:c r="Z310" s="137" t="str"/>
      <x:c r="AA310" s="137" t="str"/>
      <x:c r="AB310" s="137" t="str"/>
      <x:c r="AC310" s="137" t="str"/>
      <x:c r="AD310" s="199" t="str"/>
    </x:row>
    <x:row r="311">
      <x:c r="A311" s="137" t="str"/>
      <x:c r="B311" s="138" t="str"/>
      <x:c r="C311" s="137" t="str"/>
      <x:c r="D311" s="137" t="str"/>
      <x:c r="E311" s="137" t="str"/>
      <x:c r="F311" s="137" t="str"/>
      <x:c r="G311" s="137" t="str"/>
      <x:c r="H311" s="137" t="str"/>
      <x:c r="I311" s="137" t="str"/>
      <x:c r="J311" s="137" t="str"/>
      <x:c r="K311" s="137" t="str"/>
      <x:c r="L311" s="160" t="str"/>
      <x:c r="M311" s="160" t="str"/>
      <x:c r="N311" s="151" t="str"/>
      <x:c r="O311" s="151" t="str"/>
      <x:c r="P311" s="151" t="str"/>
      <x:c r="Q311" s="151" t="str"/>
      <x:c r="R311" s="151" t="str"/>
      <x:c r="S311" s="151" t="str"/>
      <x:c r="T311" s="152" t="n">
        <x:f>IF(COUNTA(O311:S311)=0,"",MAX(0,IF(O311="",0,O311)+IF(P311="",0,P311)-IF(Q311="",0,Q311)-IF(R311="",0,R311)))</x:f>
        <x:v>0</x:v>
      </x:c>
      <x:c r="U311" s="152" t="str">
        <x:f>IF(OR(N311="",Q311=""),"",Q311-N311)</x:f>
      </x:c>
      <x:c r="V311" s="202" t="str">
        <x:f>IFERROR(Q311/N311,"")</x:f>
      </x:c>
      <x:c r="W311" s="137" t="str"/>
      <x:c r="X311" s="137" t="str"/>
      <x:c r="Y311" s="137" t="str"/>
      <x:c r="Z311" s="137" t="str"/>
      <x:c r="AA311" s="137" t="str"/>
      <x:c r="AB311" s="137" t="str"/>
      <x:c r="AC311" s="137" t="str"/>
      <x:c r="AD311" s="199" t="str"/>
    </x:row>
    <x:row r="312">
      <x:c r="A312" s="137" t="str"/>
      <x:c r="B312" s="138" t="str"/>
      <x:c r="C312" s="137" t="str"/>
      <x:c r="D312" s="137" t="str"/>
      <x:c r="E312" s="137" t="str"/>
      <x:c r="F312" s="137" t="str"/>
      <x:c r="G312" s="137" t="str"/>
      <x:c r="H312" s="137" t="str"/>
      <x:c r="I312" s="137" t="str"/>
      <x:c r="J312" s="137" t="str"/>
      <x:c r="K312" s="137" t="str"/>
      <x:c r="L312" s="160" t="str"/>
      <x:c r="M312" s="160" t="str"/>
      <x:c r="N312" s="151" t="str"/>
      <x:c r="O312" s="151" t="str"/>
      <x:c r="P312" s="151" t="str"/>
      <x:c r="Q312" s="151" t="str"/>
      <x:c r="R312" s="151" t="str"/>
      <x:c r="S312" s="151" t="str"/>
      <x:c r="T312" s="152" t="n">
        <x:f>IF(COUNTA(O312:S312)=0,"",MAX(0,IF(O312="",0,O312)+IF(P312="",0,P312)-IF(Q312="",0,Q312)-IF(R312="",0,R312)))</x:f>
        <x:v>0</x:v>
      </x:c>
      <x:c r="U312" s="152" t="str">
        <x:f>IF(OR(N312="",Q312=""),"",Q312-N312)</x:f>
      </x:c>
      <x:c r="V312" s="202" t="str">
        <x:f>IFERROR(Q312/N312,"")</x:f>
      </x:c>
      <x:c r="W312" s="137" t="str"/>
      <x:c r="X312" s="137" t="str"/>
      <x:c r="Y312" s="137" t="str"/>
      <x:c r="Z312" s="137" t="str"/>
      <x:c r="AA312" s="137" t="str"/>
      <x:c r="AB312" s="137" t="str"/>
      <x:c r="AC312" s="137" t="str"/>
      <x:c r="AD312" s="199" t="str"/>
    </x:row>
    <x:row r="313">
      <x:c r="A313" s="137" t="str"/>
      <x:c r="B313" s="138" t="str"/>
      <x:c r="C313" s="137" t="str"/>
      <x:c r="D313" s="137" t="str"/>
      <x:c r="E313" s="137" t="str"/>
      <x:c r="F313" s="137" t="str"/>
      <x:c r="G313" s="137" t="str"/>
      <x:c r="H313" s="137" t="str"/>
      <x:c r="I313" s="137" t="str"/>
      <x:c r="J313" s="137" t="str"/>
      <x:c r="K313" s="137" t="str"/>
      <x:c r="L313" s="160" t="str"/>
      <x:c r="M313" s="160" t="str"/>
      <x:c r="N313" s="151" t="str"/>
      <x:c r="O313" s="151" t="str"/>
      <x:c r="P313" s="151" t="str"/>
      <x:c r="Q313" s="151" t="str"/>
      <x:c r="R313" s="151" t="str"/>
      <x:c r="S313" s="151" t="str"/>
      <x:c r="T313" s="152" t="n">
        <x:f>IF(COUNTA(O313:S313)=0,"",MAX(0,IF(O313="",0,O313)+IF(P313="",0,P313)-IF(Q313="",0,Q313)-IF(R313="",0,R313)))</x:f>
        <x:v>0</x:v>
      </x:c>
      <x:c r="U313" s="152" t="str">
        <x:f>IF(OR(N313="",Q313=""),"",Q313-N313)</x:f>
      </x:c>
      <x:c r="V313" s="202" t="str">
        <x:f>IFERROR(Q313/N313,"")</x:f>
      </x:c>
      <x:c r="W313" s="137" t="str"/>
      <x:c r="X313" s="137" t="str"/>
      <x:c r="Y313" s="137" t="str"/>
      <x:c r="Z313" s="137" t="str"/>
      <x:c r="AA313" s="137" t="str"/>
      <x:c r="AB313" s="137" t="str"/>
      <x:c r="AC313" s="137" t="str"/>
      <x:c r="AD313" s="199" t="str"/>
    </x:row>
    <x:row r="314">
      <x:c r="A314" s="137" t="str"/>
      <x:c r="B314" s="138" t="str"/>
      <x:c r="C314" s="137" t="str"/>
      <x:c r="D314" s="137" t="str"/>
      <x:c r="E314" s="137" t="str"/>
      <x:c r="F314" s="137" t="str"/>
      <x:c r="G314" s="137" t="str"/>
      <x:c r="H314" s="137" t="str"/>
      <x:c r="I314" s="137" t="str"/>
      <x:c r="J314" s="137" t="str"/>
      <x:c r="K314" s="137" t="str"/>
      <x:c r="L314" s="160" t="str"/>
      <x:c r="M314" s="160" t="str"/>
      <x:c r="N314" s="151" t="str"/>
      <x:c r="O314" s="151" t="str"/>
      <x:c r="P314" s="151" t="str"/>
      <x:c r="Q314" s="151" t="str"/>
      <x:c r="R314" s="151" t="str"/>
      <x:c r="S314" s="151" t="str"/>
      <x:c r="T314" s="152" t="n">
        <x:f>IF(COUNTA(O314:S314)=0,"",MAX(0,IF(O314="",0,O314)+IF(P314="",0,P314)-IF(Q314="",0,Q314)-IF(R314="",0,R314)))</x:f>
        <x:v>0</x:v>
      </x:c>
      <x:c r="U314" s="152" t="str">
        <x:f>IF(OR(N314="",Q314=""),"",Q314-N314)</x:f>
      </x:c>
      <x:c r="V314" s="202" t="str">
        <x:f>IFERROR(Q314/N314,"")</x:f>
      </x:c>
      <x:c r="W314" s="137" t="str"/>
      <x:c r="X314" s="137" t="str"/>
      <x:c r="Y314" s="137" t="str"/>
      <x:c r="Z314" s="137" t="str"/>
      <x:c r="AA314" s="137" t="str"/>
      <x:c r="AB314" s="137" t="str"/>
      <x:c r="AC314" s="137" t="str"/>
      <x:c r="AD314" s="199" t="str"/>
    </x:row>
    <x:row r="315">
      <x:c r="A315" s="137" t="str"/>
      <x:c r="B315" s="138" t="str"/>
      <x:c r="C315" s="137" t="str"/>
      <x:c r="D315" s="137" t="str"/>
      <x:c r="E315" s="137" t="str"/>
      <x:c r="F315" s="137" t="str"/>
      <x:c r="G315" s="137" t="str"/>
      <x:c r="H315" s="137" t="str"/>
      <x:c r="I315" s="137" t="str"/>
      <x:c r="J315" s="137" t="str"/>
      <x:c r="K315" s="137" t="str"/>
      <x:c r="L315" s="160" t="str"/>
      <x:c r="M315" s="160" t="str"/>
      <x:c r="N315" s="151" t="str"/>
      <x:c r="O315" s="151" t="str"/>
      <x:c r="P315" s="151" t="str"/>
      <x:c r="Q315" s="151" t="str"/>
      <x:c r="R315" s="151" t="str"/>
      <x:c r="S315" s="151" t="str"/>
      <x:c r="T315" s="152" t="n">
        <x:f>IF(COUNTA(O315:S315)=0,"",MAX(0,IF(O315="",0,O315)+IF(P315="",0,P315)-IF(Q315="",0,Q315)-IF(R315="",0,R315)))</x:f>
        <x:v>0</x:v>
      </x:c>
      <x:c r="U315" s="152" t="str">
        <x:f>IF(OR(N315="",Q315=""),"",Q315-N315)</x:f>
      </x:c>
      <x:c r="V315" s="202" t="str">
        <x:f>IFERROR(Q315/N315,"")</x:f>
      </x:c>
      <x:c r="W315" s="137" t="str"/>
      <x:c r="X315" s="137" t="str"/>
      <x:c r="Y315" s="137" t="str"/>
      <x:c r="Z315" s="137" t="str"/>
      <x:c r="AA315" s="137" t="str"/>
      <x:c r="AB315" s="137" t="str"/>
      <x:c r="AC315" s="137" t="str"/>
      <x:c r="AD315" s="199" t="str"/>
    </x:row>
    <x:row r="316">
      <x:c r="A316" s="137" t="str"/>
      <x:c r="B316" s="138" t="str"/>
      <x:c r="C316" s="137" t="str"/>
      <x:c r="D316" s="137" t="str"/>
      <x:c r="E316" s="137" t="str"/>
      <x:c r="F316" s="137" t="str"/>
      <x:c r="G316" s="137" t="str"/>
      <x:c r="H316" s="137" t="str"/>
      <x:c r="I316" s="137" t="str"/>
      <x:c r="J316" s="137" t="str"/>
      <x:c r="K316" s="137" t="str"/>
      <x:c r="L316" s="160" t="str"/>
      <x:c r="M316" s="160" t="str"/>
      <x:c r="N316" s="151" t="str"/>
      <x:c r="O316" s="151" t="str"/>
      <x:c r="P316" s="151" t="str"/>
      <x:c r="Q316" s="151" t="str"/>
      <x:c r="R316" s="151" t="str"/>
      <x:c r="S316" s="151" t="str"/>
      <x:c r="T316" s="152" t="n">
        <x:f>IF(COUNTA(O316:S316)=0,"",MAX(0,IF(O316="",0,O316)+IF(P316="",0,P316)-IF(Q316="",0,Q316)-IF(R316="",0,R316)))</x:f>
        <x:v>0</x:v>
      </x:c>
      <x:c r="U316" s="152" t="str">
        <x:f>IF(OR(N316="",Q316=""),"",Q316-N316)</x:f>
      </x:c>
      <x:c r="V316" s="202" t="str">
        <x:f>IFERROR(Q316/N316,"")</x:f>
      </x:c>
      <x:c r="W316" s="137" t="str"/>
      <x:c r="X316" s="137" t="str"/>
      <x:c r="Y316" s="137" t="str"/>
      <x:c r="Z316" s="137" t="str"/>
      <x:c r="AA316" s="137" t="str"/>
      <x:c r="AB316" s="137" t="str"/>
      <x:c r="AC316" s="137" t="str"/>
      <x:c r="AD316" s="199" t="str"/>
    </x:row>
    <x:row r="317">
      <x:c r="A317" s="137" t="str"/>
      <x:c r="B317" s="138" t="str"/>
      <x:c r="C317" s="137" t="str"/>
      <x:c r="D317" s="137" t="str"/>
      <x:c r="E317" s="137" t="str"/>
      <x:c r="F317" s="137" t="str"/>
      <x:c r="G317" s="137" t="str"/>
      <x:c r="H317" s="137" t="str"/>
      <x:c r="I317" s="137" t="str"/>
      <x:c r="J317" s="137" t="str"/>
      <x:c r="K317" s="137" t="str"/>
      <x:c r="L317" s="160" t="str"/>
      <x:c r="M317" s="160" t="str"/>
      <x:c r="N317" s="151" t="str"/>
      <x:c r="O317" s="151" t="str"/>
      <x:c r="P317" s="151" t="str"/>
      <x:c r="Q317" s="151" t="str"/>
      <x:c r="R317" s="151" t="str"/>
      <x:c r="S317" s="151" t="str"/>
      <x:c r="T317" s="152" t="n">
        <x:f>IF(COUNTA(O317:S317)=0,"",MAX(0,IF(O317="",0,O317)+IF(P317="",0,P317)-IF(Q317="",0,Q317)-IF(R317="",0,R317)))</x:f>
        <x:v>0</x:v>
      </x:c>
      <x:c r="U317" s="152" t="str">
        <x:f>IF(OR(N317="",Q317=""),"",Q317-N317)</x:f>
      </x:c>
      <x:c r="V317" s="202" t="str">
        <x:f>IFERROR(Q317/N317,"")</x:f>
      </x:c>
      <x:c r="W317" s="137" t="str"/>
      <x:c r="X317" s="137" t="str"/>
      <x:c r="Y317" s="137" t="str"/>
      <x:c r="Z317" s="137" t="str"/>
      <x:c r="AA317" s="137" t="str"/>
      <x:c r="AB317" s="137" t="str"/>
      <x:c r="AC317" s="137" t="str"/>
      <x:c r="AD317" s="199" t="str"/>
    </x:row>
    <x:row r="318">
      <x:c r="A318" s="137" t="str"/>
      <x:c r="B318" s="138" t="str"/>
      <x:c r="C318" s="137" t="str"/>
      <x:c r="D318" s="137" t="str"/>
      <x:c r="E318" s="137" t="str"/>
      <x:c r="F318" s="137" t="str"/>
      <x:c r="G318" s="137" t="str"/>
      <x:c r="H318" s="137" t="str"/>
      <x:c r="I318" s="137" t="str"/>
      <x:c r="J318" s="137" t="str"/>
      <x:c r="K318" s="137" t="str"/>
      <x:c r="L318" s="160" t="str"/>
      <x:c r="M318" s="160" t="str"/>
      <x:c r="N318" s="151" t="str"/>
      <x:c r="O318" s="151" t="str"/>
      <x:c r="P318" s="151" t="str"/>
      <x:c r="Q318" s="151" t="str"/>
      <x:c r="R318" s="151" t="str"/>
      <x:c r="S318" s="151" t="str"/>
      <x:c r="T318" s="152" t="n">
        <x:f>IF(COUNTA(O318:S318)=0,"",MAX(0,IF(O318="",0,O318)+IF(P318="",0,P318)-IF(Q318="",0,Q318)-IF(R318="",0,R318)))</x:f>
        <x:v>0</x:v>
      </x:c>
      <x:c r="U318" s="152" t="str">
        <x:f>IF(OR(N318="",Q318=""),"",Q318-N318)</x:f>
      </x:c>
      <x:c r="V318" s="202" t="str">
        <x:f>IFERROR(Q318/N318,"")</x:f>
      </x:c>
      <x:c r="W318" s="137" t="str"/>
      <x:c r="X318" s="137" t="str"/>
      <x:c r="Y318" s="137" t="str"/>
      <x:c r="Z318" s="137" t="str"/>
      <x:c r="AA318" s="137" t="str"/>
      <x:c r="AB318" s="137" t="str"/>
      <x:c r="AC318" s="137" t="str"/>
      <x:c r="AD318" s="199" t="str"/>
    </x:row>
    <x:row r="319">
      <x:c r="A319" s="137" t="str"/>
      <x:c r="B319" s="138" t="str"/>
      <x:c r="C319" s="137" t="str"/>
      <x:c r="D319" s="137" t="str"/>
      <x:c r="E319" s="137" t="str"/>
      <x:c r="F319" s="137" t="str"/>
      <x:c r="G319" s="137" t="str"/>
      <x:c r="H319" s="137" t="str"/>
      <x:c r="I319" s="137" t="str"/>
      <x:c r="J319" s="137" t="str"/>
      <x:c r="K319" s="137" t="str"/>
      <x:c r="L319" s="160" t="str"/>
      <x:c r="M319" s="160" t="str"/>
      <x:c r="N319" s="151" t="str"/>
      <x:c r="O319" s="151" t="str"/>
      <x:c r="P319" s="151" t="str"/>
      <x:c r="Q319" s="151" t="str"/>
      <x:c r="R319" s="151" t="str"/>
      <x:c r="S319" s="151" t="str"/>
      <x:c r="T319" s="152" t="n">
        <x:f>IF(COUNTA(O319:S319)=0,"",MAX(0,IF(O319="",0,O319)+IF(P319="",0,P319)-IF(Q319="",0,Q319)-IF(R319="",0,R319)))</x:f>
        <x:v>0</x:v>
      </x:c>
      <x:c r="U319" s="152" t="str">
        <x:f>IF(OR(N319="",Q319=""),"",Q319-N319)</x:f>
      </x:c>
      <x:c r="V319" s="202" t="str">
        <x:f>IFERROR(Q319/N319,"")</x:f>
      </x:c>
      <x:c r="W319" s="137" t="str"/>
      <x:c r="X319" s="137" t="str"/>
      <x:c r="Y319" s="137" t="str"/>
      <x:c r="Z319" s="137" t="str"/>
      <x:c r="AA319" s="137" t="str"/>
      <x:c r="AB319" s="137" t="str"/>
      <x:c r="AC319" s="137" t="str"/>
      <x:c r="AD319" s="199" t="str"/>
    </x:row>
    <x:row r="320">
      <x:c r="A320" s="137" t="str"/>
      <x:c r="B320" s="138" t="str"/>
      <x:c r="C320" s="137" t="str"/>
      <x:c r="D320" s="137" t="str"/>
      <x:c r="E320" s="137" t="str"/>
      <x:c r="F320" s="137" t="str"/>
      <x:c r="G320" s="137" t="str"/>
      <x:c r="H320" s="137" t="str"/>
      <x:c r="I320" s="137" t="str"/>
      <x:c r="J320" s="137" t="str"/>
      <x:c r="K320" s="137" t="str"/>
      <x:c r="L320" s="160" t="str"/>
      <x:c r="M320" s="160" t="str"/>
      <x:c r="N320" s="151" t="str"/>
      <x:c r="O320" s="151" t="str"/>
      <x:c r="P320" s="151" t="str"/>
      <x:c r="Q320" s="151" t="str"/>
      <x:c r="R320" s="151" t="str"/>
      <x:c r="S320" s="151" t="str"/>
      <x:c r="T320" s="152" t="n">
        <x:f>IF(COUNTA(O320:S320)=0,"",MAX(0,IF(O320="",0,O320)+IF(P320="",0,P320)-IF(Q320="",0,Q320)-IF(R320="",0,R320)))</x:f>
        <x:v>0</x:v>
      </x:c>
      <x:c r="U320" s="152" t="str">
        <x:f>IF(OR(N320="",Q320=""),"",Q320-N320)</x:f>
      </x:c>
      <x:c r="V320" s="202" t="str">
        <x:f>IFERROR(Q320/N320,"")</x:f>
      </x:c>
      <x:c r="W320" s="137" t="str"/>
      <x:c r="X320" s="137" t="str"/>
      <x:c r="Y320" s="137" t="str"/>
      <x:c r="Z320" s="137" t="str"/>
      <x:c r="AA320" s="137" t="str"/>
      <x:c r="AB320" s="137" t="str"/>
      <x:c r="AC320" s="137" t="str"/>
      <x:c r="AD320" s="199" t="str"/>
    </x:row>
    <x:row r="321">
      <x:c r="A321" s="137" t="str"/>
      <x:c r="B321" s="138" t="str"/>
      <x:c r="C321" s="137" t="str"/>
      <x:c r="D321" s="137" t="str"/>
      <x:c r="E321" s="137" t="str"/>
      <x:c r="F321" s="137" t="str"/>
      <x:c r="G321" s="137" t="str"/>
      <x:c r="H321" s="137" t="str"/>
      <x:c r="I321" s="137" t="str"/>
      <x:c r="J321" s="137" t="str"/>
      <x:c r="K321" s="137" t="str"/>
      <x:c r="L321" s="160" t="str"/>
      <x:c r="M321" s="160" t="str"/>
      <x:c r="N321" s="151" t="str"/>
      <x:c r="O321" s="151" t="str"/>
      <x:c r="P321" s="151" t="str"/>
      <x:c r="Q321" s="151" t="str"/>
      <x:c r="R321" s="151" t="str"/>
      <x:c r="S321" s="151" t="str"/>
      <x:c r="T321" s="152" t="n">
        <x:f>IF(COUNTA(O321:S321)=0,"",MAX(0,IF(O321="",0,O321)+IF(P321="",0,P321)-IF(Q321="",0,Q321)-IF(R321="",0,R321)))</x:f>
        <x:v>0</x:v>
      </x:c>
      <x:c r="U321" s="152" t="str">
        <x:f>IF(OR(N321="",Q321=""),"",Q321-N321)</x:f>
      </x:c>
      <x:c r="V321" s="202" t="str">
        <x:f>IFERROR(Q321/N321,"")</x:f>
      </x:c>
      <x:c r="W321" s="137" t="str"/>
      <x:c r="X321" s="137" t="str"/>
      <x:c r="Y321" s="137" t="str"/>
      <x:c r="Z321" s="137" t="str"/>
      <x:c r="AA321" s="137" t="str"/>
      <x:c r="AB321" s="137" t="str"/>
      <x:c r="AC321" s="137" t="str"/>
      <x:c r="AD321" s="199" t="str"/>
    </x:row>
    <x:row r="322">
      <x:c r="A322" s="137" t="str"/>
      <x:c r="B322" s="138" t="str"/>
      <x:c r="C322" s="137" t="str"/>
      <x:c r="D322" s="137" t="str"/>
      <x:c r="E322" s="137" t="str"/>
      <x:c r="F322" s="137" t="str"/>
      <x:c r="G322" s="137" t="str"/>
      <x:c r="H322" s="137" t="str"/>
      <x:c r="I322" s="137" t="str"/>
      <x:c r="J322" s="137" t="str"/>
      <x:c r="K322" s="137" t="str"/>
      <x:c r="L322" s="160" t="str"/>
      <x:c r="M322" s="160" t="str"/>
      <x:c r="N322" s="151" t="str"/>
      <x:c r="O322" s="151" t="str"/>
      <x:c r="P322" s="151" t="str"/>
      <x:c r="Q322" s="151" t="str"/>
      <x:c r="R322" s="151" t="str"/>
      <x:c r="S322" s="151" t="str"/>
      <x:c r="T322" s="152" t="n">
        <x:f>IF(COUNTA(O322:S322)=0,"",MAX(0,IF(O322="",0,O322)+IF(P322="",0,P322)-IF(Q322="",0,Q322)-IF(R322="",0,R322)))</x:f>
        <x:v>0</x:v>
      </x:c>
      <x:c r="U322" s="152" t="str">
        <x:f>IF(OR(N322="",Q322=""),"",Q322-N322)</x:f>
      </x:c>
      <x:c r="V322" s="202" t="str">
        <x:f>IFERROR(Q322/N322,"")</x:f>
      </x:c>
      <x:c r="W322" s="137" t="str"/>
      <x:c r="X322" s="137" t="str"/>
      <x:c r="Y322" s="137" t="str"/>
      <x:c r="Z322" s="137" t="str"/>
      <x:c r="AA322" s="137" t="str"/>
      <x:c r="AB322" s="137" t="str"/>
      <x:c r="AC322" s="137" t="str"/>
      <x:c r="AD322" s="199" t="str"/>
    </x:row>
    <x:row r="323">
      <x:c r="A323" s="137" t="str"/>
      <x:c r="B323" s="138" t="str"/>
      <x:c r="C323" s="137" t="str"/>
      <x:c r="D323" s="137" t="str"/>
      <x:c r="E323" s="137" t="str"/>
      <x:c r="F323" s="137" t="str"/>
      <x:c r="G323" s="137" t="str"/>
      <x:c r="H323" s="137" t="str"/>
      <x:c r="I323" s="137" t="str"/>
      <x:c r="J323" s="137" t="str"/>
      <x:c r="K323" s="137" t="str"/>
      <x:c r="L323" s="160" t="str"/>
      <x:c r="M323" s="160" t="str"/>
      <x:c r="N323" s="151" t="str"/>
      <x:c r="O323" s="151" t="str"/>
      <x:c r="P323" s="151" t="str"/>
      <x:c r="Q323" s="151" t="str"/>
      <x:c r="R323" s="151" t="str"/>
      <x:c r="S323" s="151" t="str"/>
      <x:c r="T323" s="152" t="n">
        <x:f>IF(COUNTA(O323:S323)=0,"",MAX(0,IF(O323="",0,O323)+IF(P323="",0,P323)-IF(Q323="",0,Q323)-IF(R323="",0,R323)))</x:f>
        <x:v>0</x:v>
      </x:c>
      <x:c r="U323" s="152" t="str">
        <x:f>IF(OR(N323="",Q323=""),"",Q323-N323)</x:f>
      </x:c>
      <x:c r="V323" s="202" t="str">
        <x:f>IFERROR(Q323/N323,"")</x:f>
      </x:c>
      <x:c r="W323" s="137" t="str"/>
      <x:c r="X323" s="137" t="str"/>
      <x:c r="Y323" s="137" t="str"/>
      <x:c r="Z323" s="137" t="str"/>
      <x:c r="AA323" s="137" t="str"/>
      <x:c r="AB323" s="137" t="str"/>
      <x:c r="AC323" s="137" t="str"/>
      <x:c r="AD323" s="199" t="str"/>
    </x:row>
    <x:row r="324">
      <x:c r="A324" s="137" t="str"/>
      <x:c r="B324" s="138" t="str"/>
      <x:c r="C324" s="137" t="str"/>
      <x:c r="D324" s="137" t="str"/>
      <x:c r="E324" s="137" t="str"/>
      <x:c r="F324" s="137" t="str"/>
      <x:c r="G324" s="137" t="str"/>
      <x:c r="H324" s="137" t="str"/>
      <x:c r="I324" s="137" t="str"/>
      <x:c r="J324" s="137" t="str"/>
      <x:c r="K324" s="137" t="str"/>
      <x:c r="L324" s="160" t="str"/>
      <x:c r="M324" s="160" t="str"/>
      <x:c r="N324" s="151" t="str"/>
      <x:c r="O324" s="151" t="str"/>
      <x:c r="P324" s="151" t="str"/>
      <x:c r="Q324" s="151" t="str"/>
      <x:c r="R324" s="151" t="str"/>
      <x:c r="S324" s="151" t="str"/>
      <x:c r="T324" s="152" t="n">
        <x:f>IF(COUNTA(O324:S324)=0,"",MAX(0,IF(O324="",0,O324)+IF(P324="",0,P324)-IF(Q324="",0,Q324)-IF(R324="",0,R324)))</x:f>
        <x:v>0</x:v>
      </x:c>
      <x:c r="U324" s="152" t="str">
        <x:f>IF(OR(N324="",Q324=""),"",Q324-N324)</x:f>
      </x:c>
      <x:c r="V324" s="202" t="str">
        <x:f>IFERROR(Q324/N324,"")</x:f>
      </x:c>
      <x:c r="W324" s="137" t="str"/>
      <x:c r="X324" s="137" t="str"/>
      <x:c r="Y324" s="137" t="str"/>
      <x:c r="Z324" s="137" t="str"/>
      <x:c r="AA324" s="137" t="str"/>
      <x:c r="AB324" s="137" t="str"/>
      <x:c r="AC324" s="137" t="str"/>
      <x:c r="AD324" s="199" t="str"/>
    </x:row>
    <x:row r="325">
      <x:c r="A325" s="137" t="str"/>
      <x:c r="B325" s="138" t="str"/>
      <x:c r="C325" s="137" t="str"/>
      <x:c r="D325" s="137" t="str"/>
      <x:c r="E325" s="137" t="str"/>
      <x:c r="F325" s="137" t="str"/>
      <x:c r="G325" s="137" t="str"/>
      <x:c r="H325" s="137" t="str"/>
      <x:c r="I325" s="137" t="str"/>
      <x:c r="J325" s="137" t="str"/>
      <x:c r="K325" s="137" t="str"/>
      <x:c r="L325" s="160" t="str"/>
      <x:c r="M325" s="160" t="str"/>
      <x:c r="N325" s="151" t="str"/>
      <x:c r="O325" s="151" t="str"/>
      <x:c r="P325" s="151" t="str"/>
      <x:c r="Q325" s="151" t="str"/>
      <x:c r="R325" s="151" t="str"/>
      <x:c r="S325" s="151" t="str"/>
      <x:c r="T325" s="152" t="n">
        <x:f>IF(COUNTA(O325:S325)=0,"",MAX(0,IF(O325="",0,O325)+IF(P325="",0,P325)-IF(Q325="",0,Q325)-IF(R325="",0,R325)))</x:f>
        <x:v>0</x:v>
      </x:c>
      <x:c r="U325" s="152" t="str">
        <x:f>IF(OR(N325="",Q325=""),"",Q325-N325)</x:f>
      </x:c>
      <x:c r="V325" s="202" t="str">
        <x:f>IFERROR(Q325/N325,"")</x:f>
      </x:c>
      <x:c r="W325" s="137" t="str"/>
      <x:c r="X325" s="137" t="str"/>
      <x:c r="Y325" s="137" t="str"/>
      <x:c r="Z325" s="137" t="str"/>
      <x:c r="AA325" s="137" t="str"/>
      <x:c r="AB325" s="137" t="str"/>
      <x:c r="AC325" s="137" t="str"/>
      <x:c r="AD325" s="199" t="str"/>
    </x:row>
    <x:row r="326">
      <x:c r="A326" s="137" t="str"/>
      <x:c r="B326" s="138" t="str"/>
      <x:c r="C326" s="137" t="str"/>
      <x:c r="D326" s="137" t="str"/>
      <x:c r="E326" s="137" t="str"/>
      <x:c r="F326" s="137" t="str"/>
      <x:c r="G326" s="137" t="str"/>
      <x:c r="H326" s="137" t="str"/>
      <x:c r="I326" s="137" t="str"/>
      <x:c r="J326" s="137" t="str"/>
      <x:c r="K326" s="137" t="str"/>
      <x:c r="L326" s="160" t="str"/>
      <x:c r="M326" s="160" t="str"/>
      <x:c r="N326" s="151" t="str"/>
      <x:c r="O326" s="151" t="str"/>
      <x:c r="P326" s="151" t="str"/>
      <x:c r="Q326" s="151" t="str"/>
      <x:c r="R326" s="151" t="str"/>
      <x:c r="S326" s="151" t="str"/>
      <x:c r="T326" s="152" t="n">
        <x:f>IF(COUNTA(O326:S326)=0,"",MAX(0,IF(O326="",0,O326)+IF(P326="",0,P326)-IF(Q326="",0,Q326)-IF(R326="",0,R326)))</x:f>
        <x:v>0</x:v>
      </x:c>
      <x:c r="U326" s="152" t="str">
        <x:f>IF(OR(N326="",Q326=""),"",Q326-N326)</x:f>
      </x:c>
      <x:c r="V326" s="202" t="str">
        <x:f>IFERROR(Q326/N326,"")</x:f>
      </x:c>
      <x:c r="W326" s="137" t="str"/>
      <x:c r="X326" s="137" t="str"/>
      <x:c r="Y326" s="137" t="str"/>
      <x:c r="Z326" s="137" t="str"/>
      <x:c r="AA326" s="137" t="str"/>
      <x:c r="AB326" s="137" t="str"/>
      <x:c r="AC326" s="137" t="str"/>
      <x:c r="AD326" s="199" t="str"/>
    </x:row>
    <x:row r="327">
      <x:c r="A327" s="137" t="str"/>
      <x:c r="B327" s="138" t="str"/>
      <x:c r="C327" s="137" t="str"/>
      <x:c r="D327" s="137" t="str"/>
      <x:c r="E327" s="137" t="str"/>
      <x:c r="F327" s="137" t="str"/>
      <x:c r="G327" s="137" t="str"/>
      <x:c r="H327" s="137" t="str"/>
      <x:c r="I327" s="137" t="str"/>
      <x:c r="J327" s="137" t="str"/>
      <x:c r="K327" s="137" t="str"/>
      <x:c r="L327" s="160" t="str"/>
      <x:c r="M327" s="160" t="str"/>
      <x:c r="N327" s="151" t="str"/>
      <x:c r="O327" s="151" t="str"/>
      <x:c r="P327" s="151" t="str"/>
      <x:c r="Q327" s="151" t="str"/>
      <x:c r="R327" s="151" t="str"/>
      <x:c r="S327" s="151" t="str"/>
      <x:c r="T327" s="152" t="n">
        <x:f>IF(COUNTA(O327:S327)=0,"",MAX(0,IF(O327="",0,O327)+IF(P327="",0,P327)-IF(Q327="",0,Q327)-IF(R327="",0,R327)))</x:f>
        <x:v>0</x:v>
      </x:c>
      <x:c r="U327" s="152" t="str">
        <x:f>IF(OR(N327="",Q327=""),"",Q327-N327)</x:f>
      </x:c>
      <x:c r="V327" s="202" t="str">
        <x:f>IFERROR(Q327/N327,"")</x:f>
      </x:c>
      <x:c r="W327" s="137" t="str"/>
      <x:c r="X327" s="137" t="str"/>
      <x:c r="Y327" s="137" t="str"/>
      <x:c r="Z327" s="137" t="str"/>
      <x:c r="AA327" s="137" t="str"/>
      <x:c r="AB327" s="137" t="str"/>
      <x:c r="AC327" s="137" t="str"/>
      <x:c r="AD327" s="199" t="str"/>
    </x:row>
    <x:row r="328">
      <x:c r="A328" s="137" t="str"/>
      <x:c r="B328" s="138" t="str"/>
      <x:c r="C328" s="137" t="str"/>
      <x:c r="D328" s="137" t="str"/>
      <x:c r="E328" s="137" t="str"/>
      <x:c r="F328" s="137" t="str"/>
      <x:c r="G328" s="137" t="str"/>
      <x:c r="H328" s="137" t="str"/>
      <x:c r="I328" s="137" t="str"/>
      <x:c r="J328" s="137" t="str"/>
      <x:c r="K328" s="137" t="str"/>
      <x:c r="L328" s="160" t="str"/>
      <x:c r="M328" s="160" t="str"/>
      <x:c r="N328" s="151" t="str"/>
      <x:c r="O328" s="151" t="str"/>
      <x:c r="P328" s="151" t="str"/>
      <x:c r="Q328" s="151" t="str"/>
      <x:c r="R328" s="151" t="str"/>
      <x:c r="S328" s="151" t="str"/>
      <x:c r="T328" s="152" t="n">
        <x:f>IF(COUNTA(O328:S328)=0,"",MAX(0,IF(O328="",0,O328)+IF(P328="",0,P328)-IF(Q328="",0,Q328)-IF(R328="",0,R328)))</x:f>
        <x:v>0</x:v>
      </x:c>
      <x:c r="U328" s="152" t="str">
        <x:f>IF(OR(N328="",Q328=""),"",Q328-N328)</x:f>
      </x:c>
      <x:c r="V328" s="202" t="str">
        <x:f>IFERROR(Q328/N328,"")</x:f>
      </x:c>
      <x:c r="W328" s="137" t="str"/>
      <x:c r="X328" s="137" t="str"/>
      <x:c r="Y328" s="137" t="str"/>
      <x:c r="Z328" s="137" t="str"/>
      <x:c r="AA328" s="137" t="str"/>
      <x:c r="AB328" s="137" t="str"/>
      <x:c r="AC328" s="137" t="str"/>
      <x:c r="AD328" s="199" t="str"/>
    </x:row>
    <x:row r="329">
      <x:c r="A329" s="137" t="str"/>
      <x:c r="B329" s="138" t="str"/>
      <x:c r="C329" s="137" t="str"/>
      <x:c r="D329" s="137" t="str"/>
      <x:c r="E329" s="137" t="str"/>
      <x:c r="F329" s="137" t="str"/>
      <x:c r="G329" s="137" t="str"/>
      <x:c r="H329" s="137" t="str"/>
      <x:c r="I329" s="137" t="str"/>
      <x:c r="J329" s="137" t="str"/>
      <x:c r="K329" s="137" t="str"/>
      <x:c r="L329" s="160" t="str"/>
      <x:c r="M329" s="160" t="str"/>
      <x:c r="N329" s="151" t="str"/>
      <x:c r="O329" s="151" t="str"/>
      <x:c r="P329" s="151" t="str"/>
      <x:c r="Q329" s="151" t="str"/>
      <x:c r="R329" s="151" t="str"/>
      <x:c r="S329" s="151" t="str"/>
      <x:c r="T329" s="152" t="n">
        <x:f>IF(COUNTA(O329:S329)=0,"",MAX(0,IF(O329="",0,O329)+IF(P329="",0,P329)-IF(Q329="",0,Q329)-IF(R329="",0,R329)))</x:f>
        <x:v>0</x:v>
      </x:c>
      <x:c r="U329" s="152" t="str">
        <x:f>IF(OR(N329="",Q329=""),"",Q329-N329)</x:f>
      </x:c>
      <x:c r="V329" s="202" t="str">
        <x:f>IFERROR(Q329/N329,"")</x:f>
      </x:c>
      <x:c r="W329" s="137" t="str"/>
      <x:c r="X329" s="137" t="str"/>
      <x:c r="Y329" s="137" t="str"/>
      <x:c r="Z329" s="137" t="str"/>
      <x:c r="AA329" s="137" t="str"/>
      <x:c r="AB329" s="137" t="str"/>
      <x:c r="AC329" s="137" t="str"/>
      <x:c r="AD329" s="199" t="str"/>
    </x:row>
    <x:row r="330">
      <x:c r="A330" s="137" t="str"/>
      <x:c r="B330" s="138" t="str"/>
      <x:c r="C330" s="137" t="str"/>
      <x:c r="D330" s="137" t="str"/>
      <x:c r="E330" s="137" t="str"/>
      <x:c r="F330" s="137" t="str"/>
      <x:c r="G330" s="137" t="str"/>
      <x:c r="H330" s="137" t="str"/>
      <x:c r="I330" s="137" t="str"/>
      <x:c r="J330" s="137" t="str"/>
      <x:c r="K330" s="137" t="str"/>
      <x:c r="L330" s="160" t="str"/>
      <x:c r="M330" s="160" t="str"/>
      <x:c r="N330" s="151" t="str"/>
      <x:c r="O330" s="151" t="str"/>
      <x:c r="P330" s="151" t="str"/>
      <x:c r="Q330" s="151" t="str"/>
      <x:c r="R330" s="151" t="str"/>
      <x:c r="S330" s="151" t="str"/>
      <x:c r="T330" s="152" t="n">
        <x:f>IF(COUNTA(O330:S330)=0,"",MAX(0,IF(O330="",0,O330)+IF(P330="",0,P330)-IF(Q330="",0,Q330)-IF(R330="",0,R330)))</x:f>
        <x:v>0</x:v>
      </x:c>
      <x:c r="U330" s="152" t="str">
        <x:f>IF(OR(N330="",Q330=""),"",Q330-N330)</x:f>
      </x:c>
      <x:c r="V330" s="202" t="str">
        <x:f>IFERROR(Q330/N330,"")</x:f>
      </x:c>
      <x:c r="W330" s="137" t="str"/>
      <x:c r="X330" s="137" t="str"/>
      <x:c r="Y330" s="137" t="str"/>
      <x:c r="Z330" s="137" t="str"/>
      <x:c r="AA330" s="137" t="str"/>
      <x:c r="AB330" s="137" t="str"/>
      <x:c r="AC330" s="137" t="str"/>
      <x:c r="AD330" s="199" t="str"/>
    </x:row>
    <x:row r="331">
      <x:c r="A331" s="137" t="str"/>
      <x:c r="B331" s="138" t="str"/>
      <x:c r="C331" s="137" t="str"/>
      <x:c r="D331" s="137" t="str"/>
      <x:c r="E331" s="137" t="str"/>
      <x:c r="F331" s="137" t="str"/>
      <x:c r="G331" s="137" t="str"/>
      <x:c r="H331" s="137" t="str"/>
      <x:c r="I331" s="137" t="str"/>
      <x:c r="J331" s="137" t="str"/>
      <x:c r="K331" s="137" t="str"/>
      <x:c r="L331" s="160" t="str"/>
      <x:c r="M331" s="160" t="str"/>
      <x:c r="N331" s="151" t="str"/>
      <x:c r="O331" s="151" t="str"/>
      <x:c r="P331" s="151" t="str"/>
      <x:c r="Q331" s="151" t="str"/>
      <x:c r="R331" s="151" t="str"/>
      <x:c r="S331" s="151" t="str"/>
      <x:c r="T331" s="152" t="n">
        <x:f>IF(COUNTA(O331:S331)=0,"",MAX(0,IF(O331="",0,O331)+IF(P331="",0,P331)-IF(Q331="",0,Q331)-IF(R331="",0,R331)))</x:f>
        <x:v>0</x:v>
      </x:c>
      <x:c r="U331" s="152" t="str">
        <x:f>IF(OR(N331="",Q331=""),"",Q331-N331)</x:f>
      </x:c>
      <x:c r="V331" s="202" t="str">
        <x:f>IFERROR(Q331/N331,"")</x:f>
      </x:c>
      <x:c r="W331" s="137" t="str"/>
      <x:c r="X331" s="137" t="str"/>
      <x:c r="Y331" s="137" t="str"/>
      <x:c r="Z331" s="137" t="str"/>
      <x:c r="AA331" s="137" t="str"/>
      <x:c r="AB331" s="137" t="str"/>
      <x:c r="AC331" s="137" t="str"/>
      <x:c r="AD331" s="199" t="str"/>
    </x:row>
    <x:row r="332">
      <x:c r="A332" s="137" t="str"/>
      <x:c r="B332" s="138" t="str"/>
      <x:c r="C332" s="137" t="str"/>
      <x:c r="D332" s="137" t="str"/>
      <x:c r="E332" s="137" t="str"/>
      <x:c r="F332" s="137" t="str"/>
      <x:c r="G332" s="137" t="str"/>
      <x:c r="H332" s="137" t="str"/>
      <x:c r="I332" s="137" t="str"/>
      <x:c r="J332" s="137" t="str"/>
      <x:c r="K332" s="137" t="str"/>
      <x:c r="L332" s="160" t="str"/>
      <x:c r="M332" s="160" t="str"/>
      <x:c r="N332" s="151" t="str"/>
      <x:c r="O332" s="151" t="str"/>
      <x:c r="P332" s="151" t="str"/>
      <x:c r="Q332" s="151" t="str"/>
      <x:c r="R332" s="151" t="str"/>
      <x:c r="S332" s="151" t="str"/>
      <x:c r="T332" s="152" t="n">
        <x:f>IF(COUNTA(O332:S332)=0,"",MAX(0,IF(O332="",0,O332)+IF(P332="",0,P332)-IF(Q332="",0,Q332)-IF(R332="",0,R332)))</x:f>
        <x:v>0</x:v>
      </x:c>
      <x:c r="U332" s="152" t="str">
        <x:f>IF(OR(N332="",Q332=""),"",Q332-N332)</x:f>
      </x:c>
      <x:c r="V332" s="202" t="str">
        <x:f>IFERROR(Q332/N332,"")</x:f>
      </x:c>
      <x:c r="W332" s="137" t="str"/>
      <x:c r="X332" s="137" t="str"/>
      <x:c r="Y332" s="137" t="str"/>
      <x:c r="Z332" s="137" t="str"/>
      <x:c r="AA332" s="137" t="str"/>
      <x:c r="AB332" s="137" t="str"/>
      <x:c r="AC332" s="137" t="str"/>
      <x:c r="AD332" s="199" t="str"/>
    </x:row>
    <x:row r="333">
      <x:c r="A333" s="137" t="str"/>
      <x:c r="B333" s="138" t="str"/>
      <x:c r="C333" s="137" t="str"/>
      <x:c r="D333" s="137" t="str"/>
      <x:c r="E333" s="137" t="str"/>
      <x:c r="F333" s="137" t="str"/>
      <x:c r="G333" s="137" t="str"/>
      <x:c r="H333" s="137" t="str"/>
      <x:c r="I333" s="137" t="str"/>
      <x:c r="J333" s="137" t="str"/>
      <x:c r="K333" s="137" t="str"/>
      <x:c r="L333" s="160" t="str"/>
      <x:c r="M333" s="160" t="str"/>
      <x:c r="N333" s="151" t="str"/>
      <x:c r="O333" s="151" t="str"/>
      <x:c r="P333" s="151" t="str"/>
      <x:c r="Q333" s="151" t="str"/>
      <x:c r="R333" s="151" t="str"/>
      <x:c r="S333" s="151" t="str"/>
      <x:c r="T333" s="152" t="n">
        <x:f>IF(COUNTA(O333:S333)=0,"",MAX(0,IF(O333="",0,O333)+IF(P333="",0,P333)-IF(Q333="",0,Q333)-IF(R333="",0,R333)))</x:f>
        <x:v>0</x:v>
      </x:c>
      <x:c r="U333" s="152" t="str">
        <x:f>IF(OR(N333="",Q333=""),"",Q333-N333)</x:f>
      </x:c>
      <x:c r="V333" s="202" t="str">
        <x:f>IFERROR(Q333/N333,"")</x:f>
      </x:c>
      <x:c r="W333" s="137" t="str"/>
      <x:c r="X333" s="137" t="str"/>
      <x:c r="Y333" s="137" t="str"/>
      <x:c r="Z333" s="137" t="str"/>
      <x:c r="AA333" s="137" t="str"/>
      <x:c r="AB333" s="137" t="str"/>
      <x:c r="AC333" s="137" t="str"/>
      <x:c r="AD333" s="199" t="str"/>
    </x:row>
    <x:row r="334">
      <x:c r="A334" s="137" t="str"/>
      <x:c r="B334" s="138" t="str"/>
      <x:c r="C334" s="137" t="str"/>
      <x:c r="D334" s="137" t="str"/>
      <x:c r="E334" s="137" t="str"/>
      <x:c r="F334" s="137" t="str"/>
      <x:c r="G334" s="137" t="str"/>
      <x:c r="H334" s="137" t="str"/>
      <x:c r="I334" s="137" t="str"/>
      <x:c r="J334" s="137" t="str"/>
      <x:c r="K334" s="137" t="str"/>
      <x:c r="L334" s="160" t="str"/>
      <x:c r="M334" s="160" t="str"/>
      <x:c r="N334" s="151" t="str"/>
      <x:c r="O334" s="151" t="str"/>
      <x:c r="P334" s="151" t="str"/>
      <x:c r="Q334" s="151" t="str"/>
      <x:c r="R334" s="151" t="str"/>
      <x:c r="S334" s="151" t="str"/>
      <x:c r="T334" s="152" t="n">
        <x:f>IF(COUNTA(O334:S334)=0,"",MAX(0,IF(O334="",0,O334)+IF(P334="",0,P334)-IF(Q334="",0,Q334)-IF(R334="",0,R334)))</x:f>
        <x:v>0</x:v>
      </x:c>
      <x:c r="U334" s="152" t="str">
        <x:f>IF(OR(N334="",Q334=""),"",Q334-N334)</x:f>
      </x:c>
      <x:c r="V334" s="202" t="str">
        <x:f>IFERROR(Q334/N334,"")</x:f>
      </x:c>
      <x:c r="W334" s="137" t="str"/>
      <x:c r="X334" s="137" t="str"/>
      <x:c r="Y334" s="137" t="str"/>
      <x:c r="Z334" s="137" t="str"/>
      <x:c r="AA334" s="137" t="str"/>
      <x:c r="AB334" s="137" t="str"/>
      <x:c r="AC334" s="137" t="str"/>
      <x:c r="AD334" s="199" t="str"/>
    </x:row>
    <x:row r="335">
      <x:c r="A335" s="137" t="str"/>
      <x:c r="B335" s="138" t="str"/>
      <x:c r="C335" s="137" t="str"/>
      <x:c r="D335" s="137" t="str"/>
      <x:c r="E335" s="137" t="str"/>
      <x:c r="F335" s="137" t="str"/>
      <x:c r="G335" s="137" t="str"/>
      <x:c r="H335" s="137" t="str"/>
      <x:c r="I335" s="137" t="str"/>
      <x:c r="J335" s="137" t="str"/>
      <x:c r="K335" s="137" t="str"/>
      <x:c r="L335" s="160" t="str"/>
      <x:c r="M335" s="160" t="str"/>
      <x:c r="N335" s="151" t="str"/>
      <x:c r="O335" s="151" t="str"/>
      <x:c r="P335" s="151" t="str"/>
      <x:c r="Q335" s="151" t="str"/>
      <x:c r="R335" s="151" t="str"/>
      <x:c r="S335" s="151" t="str"/>
      <x:c r="T335" s="152" t="n">
        <x:f>IF(COUNTA(O335:S335)=0,"",MAX(0,IF(O335="",0,O335)+IF(P335="",0,P335)-IF(Q335="",0,Q335)-IF(R335="",0,R335)))</x:f>
        <x:v>0</x:v>
      </x:c>
      <x:c r="U335" s="152" t="str">
        <x:f>IF(OR(N335="",Q335=""),"",Q335-N335)</x:f>
      </x:c>
      <x:c r="V335" s="202" t="str">
        <x:f>IFERROR(Q335/N335,"")</x:f>
      </x:c>
      <x:c r="W335" s="137" t="str"/>
      <x:c r="X335" s="137" t="str"/>
      <x:c r="Y335" s="137" t="str"/>
      <x:c r="Z335" s="137" t="str"/>
      <x:c r="AA335" s="137" t="str"/>
      <x:c r="AB335" s="137" t="str"/>
      <x:c r="AC335" s="137" t="str"/>
      <x:c r="AD335" s="199" t="str"/>
    </x:row>
    <x:row r="336">
      <x:c r="A336" s="137" t="str"/>
      <x:c r="B336" s="138" t="str"/>
      <x:c r="C336" s="137" t="str"/>
      <x:c r="D336" s="137" t="str"/>
      <x:c r="E336" s="137" t="str"/>
      <x:c r="F336" s="137" t="str"/>
      <x:c r="G336" s="137" t="str"/>
      <x:c r="H336" s="137" t="str"/>
      <x:c r="I336" s="137" t="str"/>
      <x:c r="J336" s="137" t="str"/>
      <x:c r="K336" s="137" t="str"/>
      <x:c r="L336" s="160" t="str"/>
      <x:c r="M336" s="160" t="str"/>
      <x:c r="N336" s="151" t="str"/>
      <x:c r="O336" s="151" t="str"/>
      <x:c r="P336" s="151" t="str"/>
      <x:c r="Q336" s="151" t="str"/>
      <x:c r="R336" s="151" t="str"/>
      <x:c r="S336" s="151" t="str"/>
      <x:c r="T336" s="152" t="n">
        <x:f>IF(COUNTA(O336:S336)=0,"",MAX(0,IF(O336="",0,O336)+IF(P336="",0,P336)-IF(Q336="",0,Q336)-IF(R336="",0,R336)))</x:f>
        <x:v>0</x:v>
      </x:c>
      <x:c r="U336" s="152" t="str">
        <x:f>IF(OR(N336="",Q336=""),"",Q336-N336)</x:f>
      </x:c>
      <x:c r="V336" s="202" t="str">
        <x:f>IFERROR(Q336/N336,"")</x:f>
      </x:c>
      <x:c r="W336" s="137" t="str"/>
      <x:c r="X336" s="137" t="str"/>
      <x:c r="Y336" s="137" t="str"/>
      <x:c r="Z336" s="137" t="str"/>
      <x:c r="AA336" s="137" t="str"/>
      <x:c r="AB336" s="137" t="str"/>
      <x:c r="AC336" s="137" t="str"/>
      <x:c r="AD336" s="199" t="str"/>
    </x:row>
    <x:row r="337">
      <x:c r="A337" s="137" t="str"/>
      <x:c r="B337" s="138" t="str"/>
      <x:c r="C337" s="137" t="str"/>
      <x:c r="D337" s="137" t="str"/>
      <x:c r="E337" s="137" t="str"/>
      <x:c r="F337" s="137" t="str"/>
      <x:c r="G337" s="137" t="str"/>
      <x:c r="H337" s="137" t="str"/>
      <x:c r="I337" s="137" t="str"/>
      <x:c r="J337" s="137" t="str"/>
      <x:c r="K337" s="137" t="str"/>
      <x:c r="L337" s="160" t="str"/>
      <x:c r="M337" s="160" t="str"/>
      <x:c r="N337" s="151" t="str"/>
      <x:c r="O337" s="151" t="str"/>
      <x:c r="P337" s="151" t="str"/>
      <x:c r="Q337" s="151" t="str"/>
      <x:c r="R337" s="151" t="str"/>
      <x:c r="S337" s="151" t="str"/>
      <x:c r="T337" s="152" t="n">
        <x:f>IF(COUNTA(O337:S337)=0,"",MAX(0,IF(O337="",0,O337)+IF(P337="",0,P337)-IF(Q337="",0,Q337)-IF(R337="",0,R337)))</x:f>
        <x:v>0</x:v>
      </x:c>
      <x:c r="U337" s="152" t="str">
        <x:f>IF(OR(N337="",Q337=""),"",Q337-N337)</x:f>
      </x:c>
      <x:c r="V337" s="202" t="str">
        <x:f>IFERROR(Q337/N337,"")</x:f>
      </x:c>
      <x:c r="W337" s="137" t="str"/>
      <x:c r="X337" s="137" t="str"/>
      <x:c r="Y337" s="137" t="str"/>
      <x:c r="Z337" s="137" t="str"/>
      <x:c r="AA337" s="137" t="str"/>
      <x:c r="AB337" s="137" t="str"/>
      <x:c r="AC337" s="137" t="str"/>
      <x:c r="AD337" s="199" t="str"/>
    </x:row>
    <x:row r="338">
      <x:c r="A338" s="137" t="str"/>
      <x:c r="B338" s="138" t="str"/>
      <x:c r="C338" s="137" t="str"/>
      <x:c r="D338" s="137" t="str"/>
      <x:c r="E338" s="137" t="str"/>
      <x:c r="F338" s="137" t="str"/>
      <x:c r="G338" s="137" t="str"/>
      <x:c r="H338" s="137" t="str"/>
      <x:c r="I338" s="137" t="str"/>
      <x:c r="J338" s="137" t="str"/>
      <x:c r="K338" s="137" t="str"/>
      <x:c r="L338" s="160" t="str"/>
      <x:c r="M338" s="160" t="str"/>
      <x:c r="N338" s="151" t="str"/>
      <x:c r="O338" s="151" t="str"/>
      <x:c r="P338" s="151" t="str"/>
      <x:c r="Q338" s="151" t="str"/>
      <x:c r="R338" s="151" t="str"/>
      <x:c r="S338" s="151" t="str"/>
      <x:c r="T338" s="152" t="n">
        <x:f>IF(COUNTA(O338:S338)=0,"",MAX(0,IF(O338="",0,O338)+IF(P338="",0,P338)-IF(Q338="",0,Q338)-IF(R338="",0,R338)))</x:f>
        <x:v>0</x:v>
      </x:c>
      <x:c r="U338" s="152" t="str">
        <x:f>IF(OR(N338="",Q338=""),"",Q338-N338)</x:f>
      </x:c>
      <x:c r="V338" s="202" t="str">
        <x:f>IFERROR(Q338/N338,"")</x:f>
      </x:c>
      <x:c r="W338" s="137" t="str"/>
      <x:c r="X338" s="137" t="str"/>
      <x:c r="Y338" s="137" t="str"/>
      <x:c r="Z338" s="137" t="str"/>
      <x:c r="AA338" s="137" t="str"/>
      <x:c r="AB338" s="137" t="str"/>
      <x:c r="AC338" s="137" t="str"/>
      <x:c r="AD338" s="199" t="str"/>
    </x:row>
    <x:row r="339">
      <x:c r="A339" s="137" t="str"/>
      <x:c r="B339" s="138" t="str"/>
      <x:c r="C339" s="137" t="str"/>
      <x:c r="D339" s="137" t="str"/>
      <x:c r="E339" s="137" t="str"/>
      <x:c r="F339" s="137" t="str"/>
      <x:c r="G339" s="137" t="str"/>
      <x:c r="H339" s="137" t="str"/>
      <x:c r="I339" s="137" t="str"/>
      <x:c r="J339" s="137" t="str"/>
      <x:c r="K339" s="137" t="str"/>
      <x:c r="L339" s="160" t="str"/>
      <x:c r="M339" s="160" t="str"/>
      <x:c r="N339" s="151" t="str"/>
      <x:c r="O339" s="151" t="str"/>
      <x:c r="P339" s="151" t="str"/>
      <x:c r="Q339" s="151" t="str"/>
      <x:c r="R339" s="151" t="str"/>
      <x:c r="S339" s="151" t="str"/>
      <x:c r="T339" s="152" t="n">
        <x:f>IF(COUNTA(O339:S339)=0,"",MAX(0,IF(O339="",0,O339)+IF(P339="",0,P339)-IF(Q339="",0,Q339)-IF(R339="",0,R339)))</x:f>
        <x:v>0</x:v>
      </x:c>
      <x:c r="U339" s="152" t="str">
        <x:f>IF(OR(N339="",Q339=""),"",Q339-N339)</x:f>
      </x:c>
      <x:c r="V339" s="202" t="str">
        <x:f>IFERROR(Q339/N339,"")</x:f>
      </x:c>
      <x:c r="W339" s="137" t="str"/>
      <x:c r="X339" s="137" t="str"/>
      <x:c r="Y339" s="137" t="str"/>
      <x:c r="Z339" s="137" t="str"/>
      <x:c r="AA339" s="137" t="str"/>
      <x:c r="AB339" s="137" t="str"/>
      <x:c r="AC339" s="137" t="str"/>
      <x:c r="AD339" s="199" t="str"/>
    </x:row>
    <x:row r="340">
      <x:c r="A340" s="137" t="str"/>
      <x:c r="B340" s="138" t="str"/>
      <x:c r="C340" s="137" t="str"/>
      <x:c r="D340" s="137" t="str"/>
      <x:c r="E340" s="137" t="str"/>
      <x:c r="F340" s="137" t="str"/>
      <x:c r="G340" s="137" t="str"/>
      <x:c r="H340" s="137" t="str"/>
      <x:c r="I340" s="137" t="str"/>
      <x:c r="J340" s="137" t="str"/>
      <x:c r="K340" s="137" t="str"/>
      <x:c r="L340" s="160" t="str"/>
      <x:c r="M340" s="160" t="str"/>
      <x:c r="N340" s="151" t="str"/>
      <x:c r="O340" s="151" t="str"/>
      <x:c r="P340" s="151" t="str"/>
      <x:c r="Q340" s="151" t="str"/>
      <x:c r="R340" s="151" t="str"/>
      <x:c r="S340" s="151" t="str"/>
      <x:c r="T340" s="152" t="n">
        <x:f>IF(COUNTA(O340:S340)=0,"",MAX(0,IF(O340="",0,O340)+IF(P340="",0,P340)-IF(Q340="",0,Q340)-IF(R340="",0,R340)))</x:f>
        <x:v>0</x:v>
      </x:c>
      <x:c r="U340" s="152" t="str">
        <x:f>IF(OR(N340="",Q340=""),"",Q340-N340)</x:f>
      </x:c>
      <x:c r="V340" s="202" t="str">
        <x:f>IFERROR(Q340/N340,"")</x:f>
      </x:c>
      <x:c r="W340" s="137" t="str"/>
      <x:c r="X340" s="137" t="str"/>
      <x:c r="Y340" s="137" t="str"/>
      <x:c r="Z340" s="137" t="str"/>
      <x:c r="AA340" s="137" t="str"/>
      <x:c r="AB340" s="137" t="str"/>
      <x:c r="AC340" s="137" t="str"/>
      <x:c r="AD340" s="199" t="str"/>
    </x:row>
    <x:row r="341">
      <x:c r="A341" s="137" t="str"/>
      <x:c r="B341" s="138" t="str"/>
      <x:c r="C341" s="137" t="str"/>
      <x:c r="D341" s="137" t="str"/>
      <x:c r="E341" s="137" t="str"/>
      <x:c r="F341" s="137" t="str"/>
      <x:c r="G341" s="137" t="str"/>
      <x:c r="H341" s="137" t="str"/>
      <x:c r="I341" s="137" t="str"/>
      <x:c r="J341" s="137" t="str"/>
      <x:c r="K341" s="137" t="str"/>
      <x:c r="L341" s="160" t="str"/>
      <x:c r="M341" s="160" t="str"/>
      <x:c r="N341" s="151" t="str"/>
      <x:c r="O341" s="151" t="str"/>
      <x:c r="P341" s="151" t="str"/>
      <x:c r="Q341" s="151" t="str"/>
      <x:c r="R341" s="151" t="str"/>
      <x:c r="S341" s="151" t="str"/>
      <x:c r="T341" s="152" t="n">
        <x:f>IF(COUNTA(O341:S341)=0,"",MAX(0,IF(O341="",0,O341)+IF(P341="",0,P341)-IF(Q341="",0,Q341)-IF(R341="",0,R341)))</x:f>
        <x:v>0</x:v>
      </x:c>
      <x:c r="U341" s="152" t="str">
        <x:f>IF(OR(N341="",Q341=""),"",Q341-N341)</x:f>
      </x:c>
      <x:c r="V341" s="202" t="str">
        <x:f>IFERROR(Q341/N341,"")</x:f>
      </x:c>
      <x:c r="W341" s="137" t="str"/>
      <x:c r="X341" s="137" t="str"/>
      <x:c r="Y341" s="137" t="str"/>
      <x:c r="Z341" s="137" t="str"/>
      <x:c r="AA341" s="137" t="str"/>
      <x:c r="AB341" s="137" t="str"/>
      <x:c r="AC341" s="137" t="str"/>
      <x:c r="AD341" s="199" t="str"/>
    </x:row>
    <x:row r="342">
      <x:c r="A342" s="137" t="str"/>
      <x:c r="B342" s="138" t="str"/>
      <x:c r="C342" s="137" t="str"/>
      <x:c r="D342" s="137" t="str"/>
      <x:c r="E342" s="137" t="str"/>
      <x:c r="F342" s="137" t="str"/>
      <x:c r="G342" s="137" t="str"/>
      <x:c r="H342" s="137" t="str"/>
      <x:c r="I342" s="137" t="str"/>
      <x:c r="J342" s="137" t="str"/>
      <x:c r="K342" s="137" t="str"/>
      <x:c r="L342" s="160" t="str"/>
      <x:c r="M342" s="160" t="str"/>
      <x:c r="N342" s="151" t="str"/>
      <x:c r="O342" s="151" t="str"/>
      <x:c r="P342" s="151" t="str"/>
      <x:c r="Q342" s="151" t="str"/>
      <x:c r="R342" s="151" t="str"/>
      <x:c r="S342" s="151" t="str"/>
      <x:c r="T342" s="152" t="n">
        <x:f>IF(COUNTA(O342:S342)=0,"",MAX(0,IF(O342="",0,O342)+IF(P342="",0,P342)-IF(Q342="",0,Q342)-IF(R342="",0,R342)))</x:f>
        <x:v>0</x:v>
      </x:c>
      <x:c r="U342" s="152" t="str">
        <x:f>IF(OR(N342="",Q342=""),"",Q342-N342)</x:f>
      </x:c>
      <x:c r="V342" s="202" t="str">
        <x:f>IFERROR(Q342/N342,"")</x:f>
      </x:c>
      <x:c r="W342" s="137" t="str"/>
      <x:c r="X342" s="137" t="str"/>
      <x:c r="Y342" s="137" t="str"/>
      <x:c r="Z342" s="137" t="str"/>
      <x:c r="AA342" s="137" t="str"/>
      <x:c r="AB342" s="137" t="str"/>
      <x:c r="AC342" s="137" t="str"/>
      <x:c r="AD342" s="199" t="str"/>
    </x:row>
    <x:row r="343">
      <x:c r="A343" s="137" t="str"/>
      <x:c r="B343" s="138" t="str"/>
      <x:c r="C343" s="137" t="str"/>
      <x:c r="D343" s="137" t="str"/>
      <x:c r="E343" s="137" t="str"/>
      <x:c r="F343" s="137" t="str"/>
      <x:c r="G343" s="137" t="str"/>
      <x:c r="H343" s="137" t="str"/>
      <x:c r="I343" s="137" t="str"/>
      <x:c r="J343" s="137" t="str"/>
      <x:c r="K343" s="137" t="str"/>
      <x:c r="L343" s="160" t="str"/>
      <x:c r="M343" s="160" t="str"/>
      <x:c r="N343" s="151" t="str"/>
      <x:c r="O343" s="151" t="str"/>
      <x:c r="P343" s="151" t="str"/>
      <x:c r="Q343" s="151" t="str"/>
      <x:c r="R343" s="151" t="str"/>
      <x:c r="S343" s="151" t="str"/>
      <x:c r="T343" s="152" t="n">
        <x:f>IF(COUNTA(O343:S343)=0,"",MAX(0,IF(O343="",0,O343)+IF(P343="",0,P343)-IF(Q343="",0,Q343)-IF(R343="",0,R343)))</x:f>
        <x:v>0</x:v>
      </x:c>
      <x:c r="U343" s="152" t="str">
        <x:f>IF(OR(N343="",Q343=""),"",Q343-N343)</x:f>
      </x:c>
      <x:c r="V343" s="202" t="str">
        <x:f>IFERROR(Q343/N343,"")</x:f>
      </x:c>
      <x:c r="W343" s="137" t="str"/>
      <x:c r="X343" s="137" t="str"/>
      <x:c r="Y343" s="137" t="str"/>
      <x:c r="Z343" s="137" t="str"/>
      <x:c r="AA343" s="137" t="str"/>
      <x:c r="AB343" s="137" t="str"/>
      <x:c r="AC343" s="137" t="str"/>
      <x:c r="AD343" s="199" t="str"/>
    </x:row>
    <x:row r="344">
      <x:c r="A344" s="137" t="str"/>
      <x:c r="B344" s="138" t="str"/>
      <x:c r="C344" s="137" t="str"/>
      <x:c r="D344" s="137" t="str"/>
      <x:c r="E344" s="137" t="str"/>
      <x:c r="F344" s="137" t="str"/>
      <x:c r="G344" s="137" t="str"/>
      <x:c r="H344" s="137" t="str"/>
      <x:c r="I344" s="137" t="str"/>
      <x:c r="J344" s="137" t="str"/>
      <x:c r="K344" s="137" t="str"/>
      <x:c r="L344" s="160" t="str"/>
      <x:c r="M344" s="160" t="str"/>
      <x:c r="N344" s="151" t="str"/>
      <x:c r="O344" s="151" t="str"/>
      <x:c r="P344" s="151" t="str"/>
      <x:c r="Q344" s="151" t="str"/>
      <x:c r="R344" s="151" t="str"/>
      <x:c r="S344" s="151" t="str"/>
      <x:c r="T344" s="152" t="n">
        <x:f>IF(COUNTA(O344:S344)=0,"",MAX(0,IF(O344="",0,O344)+IF(P344="",0,P344)-IF(Q344="",0,Q344)-IF(R344="",0,R344)))</x:f>
        <x:v>0</x:v>
      </x:c>
      <x:c r="U344" s="152" t="str">
        <x:f>IF(OR(N344="",Q344=""),"",Q344-N344)</x:f>
      </x:c>
      <x:c r="V344" s="202" t="str">
        <x:f>IFERROR(Q344/N344,"")</x:f>
      </x:c>
      <x:c r="W344" s="137" t="str"/>
      <x:c r="X344" s="137" t="str"/>
      <x:c r="Y344" s="137" t="str"/>
      <x:c r="Z344" s="137" t="str"/>
      <x:c r="AA344" s="137" t="str"/>
      <x:c r="AB344" s="137" t="str"/>
      <x:c r="AC344" s="137" t="str"/>
      <x:c r="AD344" s="199" t="str"/>
    </x:row>
    <x:row r="345">
      <x:c r="A345" s="137" t="str"/>
      <x:c r="B345" s="138" t="str"/>
      <x:c r="C345" s="137" t="str"/>
      <x:c r="D345" s="137" t="str"/>
      <x:c r="E345" s="137" t="str"/>
      <x:c r="F345" s="137" t="str"/>
      <x:c r="G345" s="137" t="str"/>
      <x:c r="H345" s="137" t="str"/>
      <x:c r="I345" s="137" t="str"/>
      <x:c r="J345" s="137" t="str"/>
      <x:c r="K345" s="137" t="str"/>
      <x:c r="L345" s="160" t="str"/>
      <x:c r="M345" s="160" t="str"/>
      <x:c r="N345" s="151" t="str"/>
      <x:c r="O345" s="151" t="str"/>
      <x:c r="P345" s="151" t="str"/>
      <x:c r="Q345" s="151" t="str"/>
      <x:c r="R345" s="151" t="str"/>
      <x:c r="S345" s="151" t="str"/>
      <x:c r="T345" s="152" t="n">
        <x:f>IF(COUNTA(O345:S345)=0,"",MAX(0,IF(O345="",0,O345)+IF(P345="",0,P345)-IF(Q345="",0,Q345)-IF(R345="",0,R345)))</x:f>
        <x:v>0</x:v>
      </x:c>
      <x:c r="U345" s="152" t="str">
        <x:f>IF(OR(N345="",Q345=""),"",Q345-N345)</x:f>
      </x:c>
      <x:c r="V345" s="202" t="str">
        <x:f>IFERROR(Q345/N345,"")</x:f>
      </x:c>
      <x:c r="W345" s="137" t="str"/>
      <x:c r="X345" s="137" t="str"/>
      <x:c r="Y345" s="137" t="str"/>
      <x:c r="Z345" s="137" t="str"/>
      <x:c r="AA345" s="137" t="str"/>
      <x:c r="AB345" s="137" t="str"/>
      <x:c r="AC345" s="137" t="str"/>
      <x:c r="AD345" s="199" t="str"/>
    </x:row>
    <x:row r="346">
      <x:c r="A346" s="137" t="str"/>
      <x:c r="B346" s="138" t="str"/>
      <x:c r="C346" s="137" t="str"/>
      <x:c r="D346" s="137" t="str"/>
      <x:c r="E346" s="137" t="str"/>
      <x:c r="F346" s="137" t="str"/>
      <x:c r="G346" s="137" t="str"/>
      <x:c r="H346" s="137" t="str"/>
      <x:c r="I346" s="137" t="str"/>
      <x:c r="J346" s="137" t="str"/>
      <x:c r="K346" s="137" t="str"/>
      <x:c r="L346" s="160" t="str"/>
      <x:c r="M346" s="160" t="str"/>
      <x:c r="N346" s="151" t="str"/>
      <x:c r="O346" s="151" t="str"/>
      <x:c r="P346" s="151" t="str"/>
      <x:c r="Q346" s="151" t="str"/>
      <x:c r="R346" s="151" t="str"/>
      <x:c r="S346" s="151" t="str"/>
      <x:c r="T346" s="152" t="n">
        <x:f>IF(COUNTA(O346:S346)=0,"",MAX(0,IF(O346="",0,O346)+IF(P346="",0,P346)-IF(Q346="",0,Q346)-IF(R346="",0,R346)))</x:f>
        <x:v>0</x:v>
      </x:c>
      <x:c r="U346" s="152" t="str">
        <x:f>IF(OR(N346="",Q346=""),"",Q346-N346)</x:f>
      </x:c>
      <x:c r="V346" s="202" t="str">
        <x:f>IFERROR(Q346/N346,"")</x:f>
      </x:c>
      <x:c r="W346" s="137" t="str"/>
      <x:c r="X346" s="137" t="str"/>
      <x:c r="Y346" s="137" t="str"/>
      <x:c r="Z346" s="137" t="str"/>
      <x:c r="AA346" s="137" t="str"/>
      <x:c r="AB346" s="137" t="str"/>
      <x:c r="AC346" s="137" t="str"/>
      <x:c r="AD346" s="199" t="str"/>
    </x:row>
    <x:row r="347">
      <x:c r="A347" s="137" t="str"/>
      <x:c r="B347" s="138" t="str"/>
      <x:c r="C347" s="137" t="str"/>
      <x:c r="D347" s="137" t="str"/>
      <x:c r="E347" s="137" t="str"/>
      <x:c r="F347" s="137" t="str"/>
      <x:c r="G347" s="137" t="str"/>
      <x:c r="H347" s="137" t="str"/>
      <x:c r="I347" s="137" t="str"/>
      <x:c r="J347" s="137" t="str"/>
      <x:c r="K347" s="137" t="str"/>
      <x:c r="L347" s="160" t="str"/>
      <x:c r="M347" s="160" t="str"/>
      <x:c r="N347" s="151" t="str"/>
      <x:c r="O347" s="151" t="str"/>
      <x:c r="P347" s="151" t="str"/>
      <x:c r="Q347" s="151" t="str"/>
      <x:c r="R347" s="151" t="str"/>
      <x:c r="S347" s="151" t="str"/>
      <x:c r="T347" s="152" t="n">
        <x:f>IF(COUNTA(O347:S347)=0,"",MAX(0,IF(O347="",0,O347)+IF(P347="",0,P347)-IF(Q347="",0,Q347)-IF(R347="",0,R347)))</x:f>
        <x:v>0</x:v>
      </x:c>
      <x:c r="U347" s="152" t="str">
        <x:f>IF(OR(N347="",Q347=""),"",Q347-N347)</x:f>
      </x:c>
      <x:c r="V347" s="202" t="str">
        <x:f>IFERROR(Q347/N347,"")</x:f>
      </x:c>
      <x:c r="W347" s="137" t="str"/>
      <x:c r="X347" s="137" t="str"/>
      <x:c r="Y347" s="137" t="str"/>
      <x:c r="Z347" s="137" t="str"/>
      <x:c r="AA347" s="137" t="str"/>
      <x:c r="AB347" s="137" t="str"/>
      <x:c r="AC347" s="137" t="str"/>
      <x:c r="AD347" s="199" t="str"/>
    </x:row>
    <x:row r="348">
      <x:c r="A348" s="137" t="str"/>
      <x:c r="B348" s="138" t="str"/>
      <x:c r="C348" s="137" t="str"/>
      <x:c r="D348" s="137" t="str"/>
      <x:c r="E348" s="137" t="str"/>
      <x:c r="F348" s="137" t="str"/>
      <x:c r="G348" s="137" t="str"/>
      <x:c r="H348" s="137" t="str"/>
      <x:c r="I348" s="137" t="str"/>
      <x:c r="J348" s="137" t="str"/>
      <x:c r="K348" s="137" t="str"/>
      <x:c r="L348" s="160" t="str"/>
      <x:c r="M348" s="160" t="str"/>
      <x:c r="N348" s="151" t="str"/>
      <x:c r="O348" s="151" t="str"/>
      <x:c r="P348" s="151" t="str"/>
      <x:c r="Q348" s="151" t="str"/>
      <x:c r="R348" s="151" t="str"/>
      <x:c r="S348" s="151" t="str"/>
      <x:c r="T348" s="152" t="n">
        <x:f>IF(COUNTA(O348:S348)=0,"",MAX(0,IF(O348="",0,O348)+IF(P348="",0,P348)-IF(Q348="",0,Q348)-IF(R348="",0,R348)))</x:f>
        <x:v>0</x:v>
      </x:c>
      <x:c r="U348" s="152" t="str">
        <x:f>IF(OR(N348="",Q348=""),"",Q348-N348)</x:f>
      </x:c>
      <x:c r="V348" s="202" t="str">
        <x:f>IFERROR(Q348/N348,"")</x:f>
      </x:c>
      <x:c r="W348" s="137" t="str"/>
      <x:c r="X348" s="137" t="str"/>
      <x:c r="Y348" s="137" t="str"/>
      <x:c r="Z348" s="137" t="str"/>
      <x:c r="AA348" s="137" t="str"/>
      <x:c r="AB348" s="137" t="str"/>
      <x:c r="AC348" s="137" t="str"/>
      <x:c r="AD348" s="199" t="str"/>
    </x:row>
    <x:row r="349">
      <x:c r="A349" s="137" t="str"/>
      <x:c r="B349" s="138" t="str"/>
      <x:c r="C349" s="137" t="str"/>
      <x:c r="D349" s="137" t="str"/>
      <x:c r="E349" s="137" t="str"/>
      <x:c r="F349" s="137" t="str"/>
      <x:c r="G349" s="137" t="str"/>
      <x:c r="H349" s="137" t="str"/>
      <x:c r="I349" s="137" t="str"/>
      <x:c r="J349" s="137" t="str"/>
      <x:c r="K349" s="137" t="str"/>
      <x:c r="L349" s="160" t="str"/>
      <x:c r="M349" s="160" t="str"/>
      <x:c r="N349" s="151" t="str"/>
      <x:c r="O349" s="151" t="str"/>
      <x:c r="P349" s="151" t="str"/>
      <x:c r="Q349" s="151" t="str"/>
      <x:c r="R349" s="151" t="str"/>
      <x:c r="S349" s="151" t="str"/>
      <x:c r="T349" s="152" t="n">
        <x:f>IF(COUNTA(O349:S349)=0,"",MAX(0,IF(O349="",0,O349)+IF(P349="",0,P349)-IF(Q349="",0,Q349)-IF(R349="",0,R349)))</x:f>
        <x:v>0</x:v>
      </x:c>
      <x:c r="U349" s="152" t="str">
        <x:f>IF(OR(N349="",Q349=""),"",Q349-N349)</x:f>
      </x:c>
      <x:c r="V349" s="202" t="str">
        <x:f>IFERROR(Q349/N349,"")</x:f>
      </x:c>
      <x:c r="W349" s="137" t="str"/>
      <x:c r="X349" s="137" t="str"/>
      <x:c r="Y349" s="137" t="str"/>
      <x:c r="Z349" s="137" t="str"/>
      <x:c r="AA349" s="137" t="str"/>
      <x:c r="AB349" s="137" t="str"/>
      <x:c r="AC349" s="137" t="str"/>
      <x:c r="AD349" s="199" t="str"/>
    </x:row>
    <x:row r="350">
      <x:c r="A350" s="137" t="str"/>
      <x:c r="B350" s="138" t="str"/>
      <x:c r="C350" s="137" t="str"/>
      <x:c r="D350" s="137" t="str"/>
      <x:c r="E350" s="137" t="str"/>
      <x:c r="F350" s="137" t="str"/>
      <x:c r="G350" s="137" t="str"/>
      <x:c r="H350" s="137" t="str"/>
      <x:c r="I350" s="137" t="str"/>
      <x:c r="J350" s="137" t="str"/>
      <x:c r="K350" s="137" t="str"/>
      <x:c r="L350" s="160" t="str"/>
      <x:c r="M350" s="160" t="str"/>
      <x:c r="N350" s="151" t="str"/>
      <x:c r="O350" s="151" t="str"/>
      <x:c r="P350" s="151" t="str"/>
      <x:c r="Q350" s="151" t="str"/>
      <x:c r="R350" s="151" t="str"/>
      <x:c r="S350" s="151" t="str"/>
      <x:c r="T350" s="152" t="n">
        <x:f>IF(COUNTA(O350:S350)=0,"",MAX(0,IF(O350="",0,O350)+IF(P350="",0,P350)-IF(Q350="",0,Q350)-IF(R350="",0,R350)))</x:f>
        <x:v>0</x:v>
      </x:c>
      <x:c r="U350" s="152" t="str">
        <x:f>IF(OR(N350="",Q350=""),"",Q350-N350)</x:f>
      </x:c>
      <x:c r="V350" s="202" t="str">
        <x:f>IFERROR(Q350/N350,"")</x:f>
      </x:c>
      <x:c r="W350" s="137" t="str"/>
      <x:c r="X350" s="137" t="str"/>
      <x:c r="Y350" s="137" t="str"/>
      <x:c r="Z350" s="137" t="str"/>
      <x:c r="AA350" s="137" t="str"/>
      <x:c r="AB350" s="137" t="str"/>
      <x:c r="AC350" s="137" t="str"/>
      <x:c r="AD350" s="199" t="str"/>
    </x:row>
    <x:row r="351">
      <x:c r="A351" s="137" t="str"/>
      <x:c r="B351" s="138" t="str"/>
      <x:c r="C351" s="137" t="str"/>
      <x:c r="D351" s="137" t="str"/>
      <x:c r="E351" s="137" t="str"/>
      <x:c r="F351" s="137" t="str"/>
      <x:c r="G351" s="137" t="str"/>
      <x:c r="H351" s="137" t="str"/>
      <x:c r="I351" s="137" t="str"/>
      <x:c r="J351" s="137" t="str"/>
      <x:c r="K351" s="137" t="str"/>
      <x:c r="L351" s="160" t="str"/>
      <x:c r="M351" s="160" t="str"/>
      <x:c r="N351" s="151" t="str"/>
      <x:c r="O351" s="151" t="str"/>
      <x:c r="P351" s="151" t="str"/>
      <x:c r="Q351" s="151" t="str"/>
      <x:c r="R351" s="151" t="str"/>
      <x:c r="S351" s="151" t="str"/>
      <x:c r="T351" s="152" t="n">
        <x:f>IF(COUNTA(O351:S351)=0,"",MAX(0,IF(O351="",0,O351)+IF(P351="",0,P351)-IF(Q351="",0,Q351)-IF(R351="",0,R351)))</x:f>
        <x:v>0</x:v>
      </x:c>
      <x:c r="U351" s="152" t="str">
        <x:f>IF(OR(N351="",Q351=""),"",Q351-N351)</x:f>
      </x:c>
      <x:c r="V351" s="202" t="str">
        <x:f>IFERROR(Q351/N351,"")</x:f>
      </x:c>
      <x:c r="W351" s="137" t="str"/>
      <x:c r="X351" s="137" t="str"/>
      <x:c r="Y351" s="137" t="str"/>
      <x:c r="Z351" s="137" t="str"/>
      <x:c r="AA351" s="137" t="str"/>
      <x:c r="AB351" s="137" t="str"/>
      <x:c r="AC351" s="137" t="str"/>
      <x:c r="AD351" s="199" t="str"/>
    </x:row>
    <x:row r="352">
      <x:c r="A352" s="137" t="str"/>
      <x:c r="B352" s="138" t="str"/>
      <x:c r="C352" s="137" t="str"/>
      <x:c r="D352" s="137" t="str"/>
      <x:c r="E352" s="137" t="str"/>
      <x:c r="F352" s="137" t="str"/>
      <x:c r="G352" s="137" t="str"/>
      <x:c r="H352" s="137" t="str"/>
      <x:c r="I352" s="137" t="str"/>
      <x:c r="J352" s="137" t="str"/>
      <x:c r="K352" s="137" t="str"/>
      <x:c r="L352" s="160" t="str"/>
      <x:c r="M352" s="160" t="str"/>
      <x:c r="N352" s="151" t="str"/>
      <x:c r="O352" s="151" t="str"/>
      <x:c r="P352" s="151" t="str"/>
      <x:c r="Q352" s="151" t="str"/>
      <x:c r="R352" s="151" t="str"/>
      <x:c r="S352" s="151" t="str"/>
      <x:c r="T352" s="152" t="n">
        <x:f>IF(COUNTA(O352:S352)=0,"",MAX(0,IF(O352="",0,O352)+IF(P352="",0,P352)-IF(Q352="",0,Q352)-IF(R352="",0,R352)))</x:f>
        <x:v>0</x:v>
      </x:c>
      <x:c r="U352" s="152" t="str">
        <x:f>IF(OR(N352="",Q352=""),"",Q352-N352)</x:f>
      </x:c>
      <x:c r="V352" s="202" t="str">
        <x:f>IFERROR(Q352/N352,"")</x:f>
      </x:c>
      <x:c r="W352" s="137" t="str"/>
      <x:c r="X352" s="137" t="str"/>
      <x:c r="Y352" s="137" t="str"/>
      <x:c r="Z352" s="137" t="str"/>
      <x:c r="AA352" s="137" t="str"/>
      <x:c r="AB352" s="137" t="str"/>
      <x:c r="AC352" s="137" t="str"/>
      <x:c r="AD352" s="199" t="str"/>
    </x:row>
    <x:row r="353">
      <x:c r="A353" s="137" t="str"/>
      <x:c r="B353" s="138" t="str"/>
      <x:c r="C353" s="137" t="str"/>
      <x:c r="D353" s="137" t="str"/>
      <x:c r="E353" s="137" t="str"/>
      <x:c r="F353" s="137" t="str"/>
      <x:c r="G353" s="137" t="str"/>
      <x:c r="H353" s="137" t="str"/>
      <x:c r="I353" s="137" t="str"/>
      <x:c r="J353" s="137" t="str"/>
      <x:c r="K353" s="137" t="str"/>
      <x:c r="L353" s="160" t="str"/>
      <x:c r="M353" s="160" t="str"/>
      <x:c r="N353" s="151" t="str"/>
      <x:c r="O353" s="151" t="str"/>
      <x:c r="P353" s="151" t="str"/>
      <x:c r="Q353" s="151" t="str"/>
      <x:c r="R353" s="151" t="str"/>
      <x:c r="S353" s="151" t="str"/>
      <x:c r="T353" s="152" t="n">
        <x:f>IF(COUNTA(O353:S353)=0,"",MAX(0,IF(O353="",0,O353)+IF(P353="",0,P353)-IF(Q353="",0,Q353)-IF(R353="",0,R353)))</x:f>
        <x:v>0</x:v>
      </x:c>
      <x:c r="U353" s="152" t="str">
        <x:f>IF(OR(N353="",Q353=""),"",Q353-N353)</x:f>
      </x:c>
      <x:c r="V353" s="202" t="str">
        <x:f>IFERROR(Q353/N353,"")</x:f>
      </x:c>
      <x:c r="W353" s="137" t="str"/>
      <x:c r="X353" s="137" t="str"/>
      <x:c r="Y353" s="137" t="str"/>
      <x:c r="Z353" s="137" t="str"/>
      <x:c r="AA353" s="137" t="str"/>
      <x:c r="AB353" s="137" t="str"/>
      <x:c r="AC353" s="137" t="str"/>
      <x:c r="AD353" s="199" t="str"/>
    </x:row>
    <x:row r="354">
      <x:c r="A354" s="137" t="str"/>
      <x:c r="B354" s="138" t="str"/>
      <x:c r="C354" s="137" t="str"/>
      <x:c r="D354" s="137" t="str"/>
      <x:c r="E354" s="137" t="str"/>
      <x:c r="F354" s="137" t="str"/>
      <x:c r="G354" s="137" t="str"/>
      <x:c r="H354" s="137" t="str"/>
      <x:c r="I354" s="137" t="str"/>
      <x:c r="J354" s="137" t="str"/>
      <x:c r="K354" s="137" t="str"/>
      <x:c r="L354" s="160" t="str"/>
      <x:c r="M354" s="160" t="str"/>
      <x:c r="N354" s="151" t="str"/>
      <x:c r="O354" s="151" t="str"/>
      <x:c r="P354" s="151" t="str"/>
      <x:c r="Q354" s="151" t="str"/>
      <x:c r="R354" s="151" t="str"/>
      <x:c r="S354" s="151" t="str"/>
      <x:c r="T354" s="152" t="n">
        <x:f>IF(COUNTA(O354:S354)=0,"",MAX(0,IF(O354="",0,O354)+IF(P354="",0,P354)-IF(Q354="",0,Q354)-IF(R354="",0,R354)))</x:f>
        <x:v>0</x:v>
      </x:c>
      <x:c r="U354" s="152" t="str">
        <x:f>IF(OR(N354="",Q354=""),"",Q354-N354)</x:f>
      </x:c>
      <x:c r="V354" s="202" t="str">
        <x:f>IFERROR(Q354/N354,"")</x:f>
      </x:c>
      <x:c r="W354" s="137" t="str"/>
      <x:c r="X354" s="137" t="str"/>
      <x:c r="Y354" s="137" t="str"/>
      <x:c r="Z354" s="137" t="str"/>
      <x:c r="AA354" s="137" t="str"/>
      <x:c r="AB354" s="137" t="str"/>
      <x:c r="AC354" s="137" t="str"/>
      <x:c r="AD354" s="199" t="str"/>
    </x:row>
    <x:row r="355">
      <x:c r="A355" s="137" t="str"/>
      <x:c r="B355" s="138" t="str"/>
      <x:c r="C355" s="137" t="str"/>
      <x:c r="D355" s="137" t="str"/>
      <x:c r="E355" s="137" t="str"/>
      <x:c r="F355" s="137" t="str"/>
      <x:c r="G355" s="137" t="str"/>
      <x:c r="H355" s="137" t="str"/>
      <x:c r="I355" s="137" t="str"/>
      <x:c r="J355" s="137" t="str"/>
      <x:c r="K355" s="137" t="str"/>
      <x:c r="L355" s="160" t="str"/>
      <x:c r="M355" s="160" t="str"/>
      <x:c r="N355" s="151" t="str"/>
      <x:c r="O355" s="151" t="str"/>
      <x:c r="P355" s="151" t="str"/>
      <x:c r="Q355" s="151" t="str"/>
      <x:c r="R355" s="151" t="str"/>
      <x:c r="S355" s="151" t="str"/>
      <x:c r="T355" s="152" t="n">
        <x:f>IF(COUNTA(O355:S355)=0,"",MAX(0,IF(O355="",0,O355)+IF(P355="",0,P355)-IF(Q355="",0,Q355)-IF(R355="",0,R355)))</x:f>
        <x:v>0</x:v>
      </x:c>
      <x:c r="U355" s="152" t="str">
        <x:f>IF(OR(N355="",Q355=""),"",Q355-N355)</x:f>
      </x:c>
      <x:c r="V355" s="202" t="str">
        <x:f>IFERROR(Q355/N355,"")</x:f>
      </x:c>
      <x:c r="W355" s="137" t="str"/>
      <x:c r="X355" s="137" t="str"/>
      <x:c r="Y355" s="137" t="str"/>
      <x:c r="Z355" s="137" t="str"/>
      <x:c r="AA355" s="137" t="str"/>
      <x:c r="AB355" s="137" t="str"/>
      <x:c r="AC355" s="137" t="str"/>
      <x:c r="AD355" s="199" t="str"/>
    </x:row>
    <x:row r="356">
      <x:c r="A356" s="137" t="str"/>
      <x:c r="B356" s="138" t="str"/>
      <x:c r="C356" s="137" t="str"/>
      <x:c r="D356" s="137" t="str"/>
      <x:c r="E356" s="137" t="str"/>
      <x:c r="F356" s="137" t="str"/>
      <x:c r="G356" s="137" t="str"/>
      <x:c r="H356" s="137" t="str"/>
      <x:c r="I356" s="137" t="str"/>
      <x:c r="J356" s="137" t="str"/>
      <x:c r="K356" s="137" t="str"/>
      <x:c r="L356" s="160" t="str"/>
      <x:c r="M356" s="160" t="str"/>
      <x:c r="N356" s="151" t="str"/>
      <x:c r="O356" s="151" t="str"/>
      <x:c r="P356" s="151" t="str"/>
      <x:c r="Q356" s="151" t="str"/>
      <x:c r="R356" s="151" t="str"/>
      <x:c r="S356" s="151" t="str"/>
      <x:c r="T356" s="152" t="n">
        <x:f>IF(COUNTA(O356:S356)=0,"",MAX(0,IF(O356="",0,O356)+IF(P356="",0,P356)-IF(Q356="",0,Q356)-IF(R356="",0,R356)))</x:f>
        <x:v>0</x:v>
      </x:c>
      <x:c r="U356" s="152" t="str">
        <x:f>IF(OR(N356="",Q356=""),"",Q356-N356)</x:f>
      </x:c>
      <x:c r="V356" s="202" t="str">
        <x:f>IFERROR(Q356/N356,"")</x:f>
      </x:c>
      <x:c r="W356" s="137" t="str"/>
      <x:c r="X356" s="137" t="str"/>
      <x:c r="Y356" s="137" t="str"/>
      <x:c r="Z356" s="137" t="str"/>
      <x:c r="AA356" s="137" t="str"/>
      <x:c r="AB356" s="137" t="str"/>
      <x:c r="AC356" s="137" t="str"/>
      <x:c r="AD356" s="199" t="str"/>
    </x:row>
    <x:row r="357">
      <x:c r="A357" s="137" t="str"/>
      <x:c r="B357" s="138" t="str"/>
      <x:c r="C357" s="137" t="str"/>
      <x:c r="D357" s="137" t="str"/>
      <x:c r="E357" s="137" t="str"/>
      <x:c r="F357" s="137" t="str"/>
      <x:c r="G357" s="137" t="str"/>
      <x:c r="H357" s="137" t="str"/>
      <x:c r="I357" s="137" t="str"/>
      <x:c r="J357" s="137" t="str"/>
      <x:c r="K357" s="137" t="str"/>
      <x:c r="L357" s="160" t="str"/>
      <x:c r="M357" s="160" t="str"/>
      <x:c r="N357" s="151" t="str"/>
      <x:c r="O357" s="151" t="str"/>
      <x:c r="P357" s="151" t="str"/>
      <x:c r="Q357" s="151" t="str"/>
      <x:c r="R357" s="151" t="str"/>
      <x:c r="S357" s="151" t="str"/>
      <x:c r="T357" s="152" t="n">
        <x:f>IF(COUNTA(O357:S357)=0,"",MAX(0,IF(O357="",0,O357)+IF(P357="",0,P357)-IF(Q357="",0,Q357)-IF(R357="",0,R357)))</x:f>
        <x:v>0</x:v>
      </x:c>
      <x:c r="U357" s="152" t="str">
        <x:f>IF(OR(N357="",Q357=""),"",Q357-N357)</x:f>
      </x:c>
      <x:c r="V357" s="202" t="str">
        <x:f>IFERROR(Q357/N357,"")</x:f>
      </x:c>
      <x:c r="W357" s="137" t="str"/>
      <x:c r="X357" s="137" t="str"/>
      <x:c r="Y357" s="137" t="str"/>
      <x:c r="Z357" s="137" t="str"/>
      <x:c r="AA357" s="137" t="str"/>
      <x:c r="AB357" s="137" t="str"/>
      <x:c r="AC357" s="137" t="str"/>
      <x:c r="AD357" s="199" t="str"/>
    </x:row>
    <x:row r="358">
      <x:c r="A358" s="137" t="str"/>
      <x:c r="B358" s="138" t="str"/>
      <x:c r="C358" s="137" t="str"/>
      <x:c r="D358" s="137" t="str"/>
      <x:c r="E358" s="137" t="str"/>
      <x:c r="F358" s="137" t="str"/>
      <x:c r="G358" s="137" t="str"/>
      <x:c r="H358" s="137" t="str"/>
      <x:c r="I358" s="137" t="str"/>
      <x:c r="J358" s="137" t="str"/>
      <x:c r="K358" s="137" t="str"/>
      <x:c r="L358" s="160" t="str"/>
      <x:c r="M358" s="160" t="str"/>
      <x:c r="N358" s="151" t="str"/>
      <x:c r="O358" s="151" t="str"/>
      <x:c r="P358" s="151" t="str"/>
      <x:c r="Q358" s="151" t="str"/>
      <x:c r="R358" s="151" t="str"/>
      <x:c r="S358" s="151" t="str"/>
      <x:c r="T358" s="152" t="n">
        <x:f>IF(COUNTA(O358:S358)=0,"",MAX(0,IF(O358="",0,O358)+IF(P358="",0,P358)-IF(Q358="",0,Q358)-IF(R358="",0,R358)))</x:f>
        <x:v>0</x:v>
      </x:c>
      <x:c r="U358" s="152" t="str">
        <x:f>IF(OR(N358="",Q358=""),"",Q358-N358)</x:f>
      </x:c>
      <x:c r="V358" s="202" t="str">
        <x:f>IFERROR(Q358/N358,"")</x:f>
      </x:c>
      <x:c r="W358" s="137" t="str"/>
      <x:c r="X358" s="137" t="str"/>
      <x:c r="Y358" s="137" t="str"/>
      <x:c r="Z358" s="137" t="str"/>
      <x:c r="AA358" s="137" t="str"/>
      <x:c r="AB358" s="137" t="str"/>
      <x:c r="AC358" s="137" t="str"/>
      <x:c r="AD358" s="199" t="str"/>
    </x:row>
    <x:row r="359">
      <x:c r="A359" s="137" t="str"/>
      <x:c r="B359" s="138" t="str"/>
      <x:c r="C359" s="137" t="str"/>
      <x:c r="D359" s="137" t="str"/>
      <x:c r="E359" s="137" t="str"/>
      <x:c r="F359" s="137" t="str"/>
      <x:c r="G359" s="137" t="str"/>
      <x:c r="H359" s="137" t="str"/>
      <x:c r="I359" s="137" t="str"/>
      <x:c r="J359" s="137" t="str"/>
      <x:c r="K359" s="137" t="str"/>
      <x:c r="L359" s="160" t="str"/>
      <x:c r="M359" s="160" t="str"/>
      <x:c r="N359" s="151" t="str"/>
      <x:c r="O359" s="151" t="str"/>
      <x:c r="P359" s="151" t="str"/>
      <x:c r="Q359" s="151" t="str"/>
      <x:c r="R359" s="151" t="str"/>
      <x:c r="S359" s="151" t="str"/>
      <x:c r="T359" s="152" t="n">
        <x:f>IF(COUNTA(O359:S359)=0,"",MAX(0,IF(O359="",0,O359)+IF(P359="",0,P359)-IF(Q359="",0,Q359)-IF(R359="",0,R359)))</x:f>
        <x:v>0</x:v>
      </x:c>
      <x:c r="U359" s="152" t="str">
        <x:f>IF(OR(N359="",Q359=""),"",Q359-N359)</x:f>
      </x:c>
      <x:c r="V359" s="202" t="str">
        <x:f>IFERROR(Q359/N359,"")</x:f>
      </x:c>
      <x:c r="W359" s="137" t="str"/>
      <x:c r="X359" s="137" t="str"/>
      <x:c r="Y359" s="137" t="str"/>
      <x:c r="Z359" s="137" t="str"/>
      <x:c r="AA359" s="137" t="str"/>
      <x:c r="AB359" s="137" t="str"/>
      <x:c r="AC359" s="137" t="str"/>
      <x:c r="AD359" s="199" t="str"/>
    </x:row>
    <x:row r="360">
      <x:c r="A360" s="137" t="str"/>
      <x:c r="B360" s="138" t="str"/>
      <x:c r="C360" s="137" t="str"/>
      <x:c r="D360" s="137" t="str"/>
      <x:c r="E360" s="137" t="str"/>
      <x:c r="F360" s="137" t="str"/>
      <x:c r="G360" s="137" t="str"/>
      <x:c r="H360" s="137" t="str"/>
      <x:c r="I360" s="137" t="str"/>
      <x:c r="J360" s="137" t="str"/>
      <x:c r="K360" s="137" t="str"/>
      <x:c r="L360" s="160" t="str"/>
      <x:c r="M360" s="160" t="str"/>
      <x:c r="N360" s="151" t="str"/>
      <x:c r="O360" s="151" t="str"/>
      <x:c r="P360" s="151" t="str"/>
      <x:c r="Q360" s="151" t="str"/>
      <x:c r="R360" s="151" t="str"/>
      <x:c r="S360" s="151" t="str"/>
      <x:c r="T360" s="152" t="n">
        <x:f>IF(COUNTA(O360:S360)=0,"",MAX(0,IF(O360="",0,O360)+IF(P360="",0,P360)-IF(Q360="",0,Q360)-IF(R360="",0,R360)))</x:f>
        <x:v>0</x:v>
      </x:c>
      <x:c r="U360" s="152" t="str">
        <x:f>IF(OR(N360="",Q360=""),"",Q360-N360)</x:f>
      </x:c>
      <x:c r="V360" s="202" t="str">
        <x:f>IFERROR(Q360/N360,"")</x:f>
      </x:c>
      <x:c r="W360" s="137" t="str"/>
      <x:c r="X360" s="137" t="str"/>
      <x:c r="Y360" s="137" t="str"/>
      <x:c r="Z360" s="137" t="str"/>
      <x:c r="AA360" s="137" t="str"/>
      <x:c r="AB360" s="137" t="str"/>
      <x:c r="AC360" s="137" t="str"/>
      <x:c r="AD360" s="199" t="str"/>
    </x:row>
    <x:row r="361">
      <x:c r="A361" s="137" t="str"/>
      <x:c r="B361" s="138" t="str"/>
      <x:c r="C361" s="137" t="str"/>
      <x:c r="D361" s="137" t="str"/>
      <x:c r="E361" s="137" t="str"/>
      <x:c r="F361" s="137" t="str"/>
      <x:c r="G361" s="137" t="str"/>
      <x:c r="H361" s="137" t="str"/>
      <x:c r="I361" s="137" t="str"/>
      <x:c r="J361" s="137" t="str"/>
      <x:c r="K361" s="137" t="str"/>
      <x:c r="L361" s="160" t="str"/>
      <x:c r="M361" s="160" t="str"/>
      <x:c r="N361" s="151" t="str"/>
      <x:c r="O361" s="151" t="str"/>
      <x:c r="P361" s="151" t="str"/>
      <x:c r="Q361" s="151" t="str"/>
      <x:c r="R361" s="151" t="str"/>
      <x:c r="S361" s="151" t="str"/>
      <x:c r="T361" s="152" t="n">
        <x:f>IF(COUNTA(O361:S361)=0,"",MAX(0,IF(O361="",0,O361)+IF(P361="",0,P361)-IF(Q361="",0,Q361)-IF(R361="",0,R361)))</x:f>
        <x:v>0</x:v>
      </x:c>
      <x:c r="U361" s="152" t="str">
        <x:f>IF(OR(N361="",Q361=""),"",Q361-N361)</x:f>
      </x:c>
      <x:c r="V361" s="202" t="str">
        <x:f>IFERROR(Q361/N361,"")</x:f>
      </x:c>
      <x:c r="W361" s="137" t="str"/>
      <x:c r="X361" s="137" t="str"/>
      <x:c r="Y361" s="137" t="str"/>
      <x:c r="Z361" s="137" t="str"/>
      <x:c r="AA361" s="137" t="str"/>
      <x:c r="AB361" s="137" t="str"/>
      <x:c r="AC361" s="137" t="str"/>
      <x:c r="AD361" s="199" t="str"/>
    </x:row>
    <x:row r="362">
      <x:c r="A362" s="137" t="str"/>
      <x:c r="B362" s="138" t="str"/>
      <x:c r="C362" s="137" t="str"/>
      <x:c r="D362" s="137" t="str"/>
      <x:c r="E362" s="137" t="str"/>
      <x:c r="F362" s="137" t="str"/>
      <x:c r="G362" s="137" t="str"/>
      <x:c r="H362" s="137" t="str"/>
      <x:c r="I362" s="137" t="str"/>
      <x:c r="J362" s="137" t="str"/>
      <x:c r="K362" s="137" t="str"/>
      <x:c r="L362" s="160" t="str"/>
      <x:c r="M362" s="160" t="str"/>
      <x:c r="N362" s="151" t="str"/>
      <x:c r="O362" s="151" t="str"/>
      <x:c r="P362" s="151" t="str"/>
      <x:c r="Q362" s="151" t="str"/>
      <x:c r="R362" s="151" t="str"/>
      <x:c r="S362" s="151" t="str"/>
      <x:c r="T362" s="152" t="n">
        <x:f>IF(COUNTA(O362:S362)=0,"",MAX(0,IF(O362="",0,O362)+IF(P362="",0,P362)-IF(Q362="",0,Q362)-IF(R362="",0,R362)))</x:f>
        <x:v>0</x:v>
      </x:c>
      <x:c r="U362" s="152" t="str">
        <x:f>IF(OR(N362="",Q362=""),"",Q362-N362)</x:f>
      </x:c>
      <x:c r="V362" s="202" t="str">
        <x:f>IFERROR(Q362/N362,"")</x:f>
      </x:c>
      <x:c r="W362" s="137" t="str"/>
      <x:c r="X362" s="137" t="str"/>
      <x:c r="Y362" s="137" t="str"/>
      <x:c r="Z362" s="137" t="str"/>
      <x:c r="AA362" s="137" t="str"/>
      <x:c r="AB362" s="137" t="str"/>
      <x:c r="AC362" s="137" t="str"/>
      <x:c r="AD362" s="199" t="str"/>
    </x:row>
    <x:row r="363">
      <x:c r="A363" s="137" t="str"/>
      <x:c r="B363" s="138" t="str"/>
      <x:c r="C363" s="137" t="str"/>
      <x:c r="D363" s="137" t="str"/>
      <x:c r="E363" s="137" t="str"/>
      <x:c r="F363" s="137" t="str"/>
      <x:c r="G363" s="137" t="str"/>
      <x:c r="H363" s="137" t="str"/>
      <x:c r="I363" s="137" t="str"/>
      <x:c r="J363" s="137" t="str"/>
      <x:c r="K363" s="137" t="str"/>
      <x:c r="L363" s="160" t="str"/>
      <x:c r="M363" s="160" t="str"/>
      <x:c r="N363" s="151" t="str"/>
      <x:c r="O363" s="151" t="str"/>
      <x:c r="P363" s="151" t="str"/>
      <x:c r="Q363" s="151" t="str"/>
      <x:c r="R363" s="151" t="str"/>
      <x:c r="S363" s="151" t="str"/>
      <x:c r="T363" s="152" t="n">
        <x:f>IF(COUNTA(O363:S363)=0,"",MAX(0,IF(O363="",0,O363)+IF(P363="",0,P363)-IF(Q363="",0,Q363)-IF(R363="",0,R363)))</x:f>
        <x:v>0</x:v>
      </x:c>
      <x:c r="U363" s="152" t="str">
        <x:f>IF(OR(N363="",Q363=""),"",Q363-N363)</x:f>
      </x:c>
      <x:c r="V363" s="202" t="str">
        <x:f>IFERROR(Q363/N363,"")</x:f>
      </x:c>
      <x:c r="W363" s="137" t="str"/>
      <x:c r="X363" s="137" t="str"/>
      <x:c r="Y363" s="137" t="str"/>
      <x:c r="Z363" s="137" t="str"/>
      <x:c r="AA363" s="137" t="str"/>
      <x:c r="AB363" s="137" t="str"/>
      <x:c r="AC363" s="137" t="str"/>
      <x:c r="AD363" s="199" t="str"/>
    </x:row>
    <x:row r="364">
      <x:c r="A364" s="137" t="str"/>
      <x:c r="B364" s="138" t="str"/>
      <x:c r="C364" s="137" t="str"/>
      <x:c r="D364" s="137" t="str"/>
      <x:c r="E364" s="137" t="str"/>
      <x:c r="F364" s="137" t="str"/>
      <x:c r="G364" s="137" t="str"/>
      <x:c r="H364" s="137" t="str"/>
      <x:c r="I364" s="137" t="str"/>
      <x:c r="J364" s="137" t="str"/>
      <x:c r="K364" s="137" t="str"/>
      <x:c r="L364" s="160" t="str"/>
      <x:c r="M364" s="160" t="str"/>
      <x:c r="N364" s="151" t="str"/>
      <x:c r="O364" s="151" t="str"/>
      <x:c r="P364" s="151" t="str"/>
      <x:c r="Q364" s="151" t="str"/>
      <x:c r="R364" s="151" t="str"/>
      <x:c r="S364" s="151" t="str"/>
      <x:c r="T364" s="152" t="n">
        <x:f>IF(COUNTA(O364:S364)=0,"",MAX(0,IF(O364="",0,O364)+IF(P364="",0,P364)-IF(Q364="",0,Q364)-IF(R364="",0,R364)))</x:f>
        <x:v>0</x:v>
      </x:c>
      <x:c r="U364" s="152" t="str">
        <x:f>IF(OR(N364="",Q364=""),"",Q364-N364)</x:f>
      </x:c>
      <x:c r="V364" s="202" t="str">
        <x:f>IFERROR(Q364/N364,"")</x:f>
      </x:c>
      <x:c r="W364" s="137" t="str"/>
      <x:c r="X364" s="137" t="str"/>
      <x:c r="Y364" s="137" t="str"/>
      <x:c r="Z364" s="137" t="str"/>
      <x:c r="AA364" s="137" t="str"/>
      <x:c r="AB364" s="137" t="str"/>
      <x:c r="AC364" s="137" t="str"/>
      <x:c r="AD364" s="199" t="str"/>
    </x:row>
    <x:row r="365">
      <x:c r="A365" s="137" t="str"/>
      <x:c r="B365" s="138" t="str"/>
      <x:c r="C365" s="137" t="str"/>
      <x:c r="D365" s="137" t="str"/>
      <x:c r="E365" s="137" t="str"/>
      <x:c r="F365" s="137" t="str"/>
      <x:c r="G365" s="137" t="str"/>
      <x:c r="H365" s="137" t="str"/>
      <x:c r="I365" s="137" t="str"/>
      <x:c r="J365" s="137" t="str"/>
      <x:c r="K365" s="137" t="str"/>
      <x:c r="L365" s="160" t="str"/>
      <x:c r="M365" s="160" t="str"/>
      <x:c r="N365" s="151" t="str"/>
      <x:c r="O365" s="151" t="str"/>
      <x:c r="P365" s="151" t="str"/>
      <x:c r="Q365" s="151" t="str"/>
      <x:c r="R365" s="151" t="str"/>
      <x:c r="S365" s="151" t="str"/>
      <x:c r="T365" s="152" t="n">
        <x:f>IF(COUNTA(O365:S365)=0,"",MAX(0,IF(O365="",0,O365)+IF(P365="",0,P365)-IF(Q365="",0,Q365)-IF(R365="",0,R365)))</x:f>
        <x:v>0</x:v>
      </x:c>
      <x:c r="U365" s="152" t="str">
        <x:f>IF(OR(N365="",Q365=""),"",Q365-N365)</x:f>
      </x:c>
      <x:c r="V365" s="202" t="str">
        <x:f>IFERROR(Q365/N365,"")</x:f>
      </x:c>
      <x:c r="W365" s="137" t="str"/>
      <x:c r="X365" s="137" t="str"/>
      <x:c r="Y365" s="137" t="str"/>
      <x:c r="Z365" s="137" t="str"/>
      <x:c r="AA365" s="137" t="str"/>
      <x:c r="AB365" s="137" t="str"/>
      <x:c r="AC365" s="137" t="str"/>
      <x:c r="AD365" s="199" t="str"/>
    </x:row>
    <x:row r="366">
      <x:c r="A366" s="137" t="str"/>
      <x:c r="B366" s="138" t="str"/>
      <x:c r="C366" s="137" t="str"/>
      <x:c r="D366" s="137" t="str"/>
      <x:c r="E366" s="137" t="str"/>
      <x:c r="F366" s="137" t="str"/>
      <x:c r="G366" s="137" t="str"/>
      <x:c r="H366" s="137" t="str"/>
      <x:c r="I366" s="137" t="str"/>
      <x:c r="J366" s="137" t="str"/>
      <x:c r="K366" s="137" t="str"/>
      <x:c r="L366" s="160" t="str"/>
      <x:c r="M366" s="160" t="str"/>
      <x:c r="N366" s="151" t="str"/>
      <x:c r="O366" s="151" t="str"/>
      <x:c r="P366" s="151" t="str"/>
      <x:c r="Q366" s="151" t="str"/>
      <x:c r="R366" s="151" t="str"/>
      <x:c r="S366" s="151" t="str"/>
      <x:c r="T366" s="152" t="n">
        <x:f>IF(COUNTA(O366:S366)=0,"",MAX(0,IF(O366="",0,O366)+IF(P366="",0,P366)-IF(Q366="",0,Q366)-IF(R366="",0,R366)))</x:f>
        <x:v>0</x:v>
      </x:c>
      <x:c r="U366" s="152" t="str">
        <x:f>IF(OR(N366="",Q366=""),"",Q366-N366)</x:f>
      </x:c>
      <x:c r="V366" s="202" t="str">
        <x:f>IFERROR(Q366/N366,"")</x:f>
      </x:c>
      <x:c r="W366" s="137" t="str"/>
      <x:c r="X366" s="137" t="str"/>
      <x:c r="Y366" s="137" t="str"/>
      <x:c r="Z366" s="137" t="str"/>
      <x:c r="AA366" s="137" t="str"/>
      <x:c r="AB366" s="137" t="str"/>
      <x:c r="AC366" s="137" t="str"/>
      <x:c r="AD366" s="199" t="str"/>
    </x:row>
    <x:row r="367">
      <x:c r="A367" s="137" t="str"/>
      <x:c r="B367" s="138" t="str"/>
      <x:c r="C367" s="137" t="str"/>
      <x:c r="D367" s="137" t="str"/>
      <x:c r="E367" s="137" t="str"/>
      <x:c r="F367" s="137" t="str"/>
      <x:c r="G367" s="137" t="str"/>
      <x:c r="H367" s="137" t="str"/>
      <x:c r="I367" s="137" t="str"/>
      <x:c r="J367" s="137" t="str"/>
      <x:c r="K367" s="137" t="str"/>
      <x:c r="L367" s="160" t="str"/>
      <x:c r="M367" s="160" t="str"/>
      <x:c r="N367" s="151" t="str"/>
      <x:c r="O367" s="151" t="str"/>
      <x:c r="P367" s="151" t="str"/>
      <x:c r="Q367" s="151" t="str"/>
      <x:c r="R367" s="151" t="str"/>
      <x:c r="S367" s="151" t="str"/>
      <x:c r="T367" s="152" t="n">
        <x:f>IF(COUNTA(O367:S367)=0,"",MAX(0,IF(O367="",0,O367)+IF(P367="",0,P367)-IF(Q367="",0,Q367)-IF(R367="",0,R367)))</x:f>
        <x:v>0</x:v>
      </x:c>
      <x:c r="U367" s="152" t="str">
        <x:f>IF(OR(N367="",Q367=""),"",Q367-N367)</x:f>
      </x:c>
      <x:c r="V367" s="202" t="str">
        <x:f>IFERROR(Q367/N367,"")</x:f>
      </x:c>
      <x:c r="W367" s="137" t="str"/>
      <x:c r="X367" s="137" t="str"/>
      <x:c r="Y367" s="137" t="str"/>
      <x:c r="Z367" s="137" t="str"/>
      <x:c r="AA367" s="137" t="str"/>
      <x:c r="AB367" s="137" t="str"/>
      <x:c r="AC367" s="137" t="str"/>
      <x:c r="AD367" s="199" t="str"/>
    </x:row>
    <x:row r="368">
      <x:c r="A368" s="137" t="str"/>
      <x:c r="B368" s="138" t="str"/>
      <x:c r="C368" s="137" t="str"/>
      <x:c r="D368" s="137" t="str"/>
      <x:c r="E368" s="137" t="str"/>
      <x:c r="F368" s="137" t="str"/>
      <x:c r="G368" s="137" t="str"/>
      <x:c r="H368" s="137" t="str"/>
      <x:c r="I368" s="137" t="str"/>
      <x:c r="J368" s="137" t="str"/>
      <x:c r="K368" s="137" t="str"/>
      <x:c r="L368" s="160" t="str"/>
      <x:c r="M368" s="160" t="str"/>
      <x:c r="N368" s="151" t="str"/>
      <x:c r="O368" s="151" t="str"/>
      <x:c r="P368" s="151" t="str"/>
      <x:c r="Q368" s="151" t="str"/>
      <x:c r="R368" s="151" t="str"/>
      <x:c r="S368" s="151" t="str"/>
      <x:c r="T368" s="152" t="n">
        <x:f>IF(COUNTA(O368:S368)=0,"",MAX(0,IF(O368="",0,O368)+IF(P368="",0,P368)-IF(Q368="",0,Q368)-IF(R368="",0,R368)))</x:f>
        <x:v>0</x:v>
      </x:c>
      <x:c r="U368" s="152" t="str">
        <x:f>IF(OR(N368="",Q368=""),"",Q368-N368)</x:f>
      </x:c>
      <x:c r="V368" s="202" t="str">
        <x:f>IFERROR(Q368/N368,"")</x:f>
      </x:c>
      <x:c r="W368" s="137" t="str"/>
      <x:c r="X368" s="137" t="str"/>
      <x:c r="Y368" s="137" t="str"/>
      <x:c r="Z368" s="137" t="str"/>
      <x:c r="AA368" s="137" t="str"/>
      <x:c r="AB368" s="137" t="str"/>
      <x:c r="AC368" s="137" t="str"/>
      <x:c r="AD368" s="199" t="str"/>
    </x:row>
    <x:row r="369">
      <x:c r="A369" s="137" t="str"/>
      <x:c r="B369" s="138" t="str"/>
      <x:c r="C369" s="137" t="str"/>
      <x:c r="D369" s="137" t="str"/>
      <x:c r="E369" s="137" t="str"/>
      <x:c r="F369" s="137" t="str"/>
      <x:c r="G369" s="137" t="str"/>
      <x:c r="H369" s="137" t="str"/>
      <x:c r="I369" s="137" t="str"/>
      <x:c r="J369" s="137" t="str"/>
      <x:c r="K369" s="137" t="str"/>
      <x:c r="L369" s="160" t="str"/>
      <x:c r="M369" s="160" t="str"/>
      <x:c r="N369" s="151" t="str"/>
      <x:c r="O369" s="151" t="str"/>
      <x:c r="P369" s="151" t="str"/>
      <x:c r="Q369" s="151" t="str"/>
      <x:c r="R369" s="151" t="str"/>
      <x:c r="S369" s="151" t="str"/>
      <x:c r="T369" s="152" t="n">
        <x:f>IF(COUNTA(O369:S369)=0,"",MAX(0,IF(O369="",0,O369)+IF(P369="",0,P369)-IF(Q369="",0,Q369)-IF(R369="",0,R369)))</x:f>
        <x:v>0</x:v>
      </x:c>
      <x:c r="U369" s="152" t="str">
        <x:f>IF(OR(N369="",Q369=""),"",Q369-N369)</x:f>
      </x:c>
      <x:c r="V369" s="202" t="str">
        <x:f>IFERROR(Q369/N369,"")</x:f>
      </x:c>
      <x:c r="W369" s="137" t="str"/>
      <x:c r="X369" s="137" t="str"/>
      <x:c r="Y369" s="137" t="str"/>
      <x:c r="Z369" s="137" t="str"/>
      <x:c r="AA369" s="137" t="str"/>
      <x:c r="AB369" s="137" t="str"/>
      <x:c r="AC369" s="137" t="str"/>
      <x:c r="AD369" s="199" t="str"/>
    </x:row>
    <x:row r="370">
      <x:c r="A370" s="137" t="str"/>
      <x:c r="B370" s="138" t="str"/>
      <x:c r="C370" s="137" t="str"/>
      <x:c r="D370" s="137" t="str"/>
      <x:c r="E370" s="137" t="str"/>
      <x:c r="F370" s="137" t="str"/>
      <x:c r="G370" s="137" t="str"/>
      <x:c r="H370" s="137" t="str"/>
      <x:c r="I370" s="137" t="str"/>
      <x:c r="J370" s="137" t="str"/>
      <x:c r="K370" s="137" t="str"/>
      <x:c r="L370" s="160" t="str"/>
      <x:c r="M370" s="160" t="str"/>
      <x:c r="N370" s="151" t="str"/>
      <x:c r="O370" s="151" t="str"/>
      <x:c r="P370" s="151" t="str"/>
      <x:c r="Q370" s="151" t="str"/>
      <x:c r="R370" s="151" t="str"/>
      <x:c r="S370" s="151" t="str"/>
      <x:c r="T370" s="152" t="n">
        <x:f>IF(COUNTA(O370:S370)=0,"",MAX(0,IF(O370="",0,O370)+IF(P370="",0,P370)-IF(Q370="",0,Q370)-IF(R370="",0,R370)))</x:f>
        <x:v>0</x:v>
      </x:c>
      <x:c r="U370" s="152" t="str">
        <x:f>IF(OR(N370="",Q370=""),"",Q370-N370)</x:f>
      </x:c>
      <x:c r="V370" s="202" t="str">
        <x:f>IFERROR(Q370/N370,"")</x:f>
      </x:c>
      <x:c r="W370" s="137" t="str"/>
      <x:c r="X370" s="137" t="str"/>
      <x:c r="Y370" s="137" t="str"/>
      <x:c r="Z370" s="137" t="str"/>
      <x:c r="AA370" s="137" t="str"/>
      <x:c r="AB370" s="137" t="str"/>
      <x:c r="AC370" s="137" t="str"/>
      <x:c r="AD370" s="199" t="str"/>
    </x:row>
    <x:row r="371">
      <x:c r="A371" s="137" t="str"/>
      <x:c r="B371" s="138" t="str"/>
      <x:c r="C371" s="137" t="str"/>
      <x:c r="D371" s="137" t="str"/>
      <x:c r="E371" s="137" t="str"/>
      <x:c r="F371" s="137" t="str"/>
      <x:c r="G371" s="137" t="str"/>
      <x:c r="H371" s="137" t="str"/>
      <x:c r="I371" s="137" t="str"/>
      <x:c r="J371" s="137" t="str"/>
      <x:c r="K371" s="137" t="str"/>
      <x:c r="L371" s="160" t="str"/>
      <x:c r="M371" s="160" t="str"/>
      <x:c r="N371" s="151" t="str"/>
      <x:c r="O371" s="151" t="str"/>
      <x:c r="P371" s="151" t="str"/>
      <x:c r="Q371" s="151" t="str"/>
      <x:c r="R371" s="151" t="str"/>
      <x:c r="S371" s="151" t="str"/>
      <x:c r="T371" s="152" t="n">
        <x:f>IF(COUNTA(O371:S371)=0,"",MAX(0,IF(O371="",0,O371)+IF(P371="",0,P371)-IF(Q371="",0,Q371)-IF(R371="",0,R371)))</x:f>
        <x:v>0</x:v>
      </x:c>
      <x:c r="U371" s="152" t="str">
        <x:f>IF(OR(N371="",Q371=""),"",Q371-N371)</x:f>
      </x:c>
      <x:c r="V371" s="202" t="str">
        <x:f>IFERROR(Q371/N371,"")</x:f>
      </x:c>
      <x:c r="W371" s="137" t="str"/>
      <x:c r="X371" s="137" t="str"/>
      <x:c r="Y371" s="137" t="str"/>
      <x:c r="Z371" s="137" t="str"/>
      <x:c r="AA371" s="137" t="str"/>
      <x:c r="AB371" s="137" t="str"/>
      <x:c r="AC371" s="137" t="str"/>
      <x:c r="AD371" s="199" t="str"/>
    </x:row>
    <x:row r="372">
      <x:c r="A372" s="137" t="str"/>
      <x:c r="B372" s="138" t="str"/>
      <x:c r="C372" s="137" t="str"/>
      <x:c r="D372" s="137" t="str"/>
      <x:c r="E372" s="137" t="str"/>
      <x:c r="F372" s="137" t="str"/>
      <x:c r="G372" s="137" t="str"/>
      <x:c r="H372" s="137" t="str"/>
      <x:c r="I372" s="137" t="str"/>
      <x:c r="J372" s="137" t="str"/>
      <x:c r="K372" s="137" t="str"/>
      <x:c r="L372" s="160" t="str"/>
      <x:c r="M372" s="160" t="str"/>
      <x:c r="N372" s="151" t="str"/>
      <x:c r="O372" s="151" t="str"/>
      <x:c r="P372" s="151" t="str"/>
      <x:c r="Q372" s="151" t="str"/>
      <x:c r="R372" s="151" t="str"/>
      <x:c r="S372" s="151" t="str"/>
      <x:c r="T372" s="152" t="n">
        <x:f>IF(COUNTA(O372:S372)=0,"",MAX(0,IF(O372="",0,O372)+IF(P372="",0,P372)-IF(Q372="",0,Q372)-IF(R372="",0,R372)))</x:f>
        <x:v>0</x:v>
      </x:c>
      <x:c r="U372" s="152" t="str">
        <x:f>IF(OR(N372="",Q372=""),"",Q372-N372)</x:f>
      </x:c>
      <x:c r="V372" s="202" t="str">
        <x:f>IFERROR(Q372/N372,"")</x:f>
      </x:c>
      <x:c r="W372" s="137" t="str"/>
      <x:c r="X372" s="137" t="str"/>
      <x:c r="Y372" s="137" t="str"/>
      <x:c r="Z372" s="137" t="str"/>
      <x:c r="AA372" s="137" t="str"/>
      <x:c r="AB372" s="137" t="str"/>
      <x:c r="AC372" s="137" t="str"/>
      <x:c r="AD372" s="199" t="str"/>
    </x:row>
    <x:row r="373">
      <x:c r="A373" s="137" t="str"/>
      <x:c r="B373" s="138" t="str"/>
      <x:c r="C373" s="137" t="str"/>
      <x:c r="D373" s="137" t="str"/>
      <x:c r="E373" s="137" t="str"/>
      <x:c r="F373" s="137" t="str"/>
      <x:c r="G373" s="137" t="str"/>
      <x:c r="H373" s="137" t="str"/>
      <x:c r="I373" s="137" t="str"/>
      <x:c r="J373" s="137" t="str"/>
      <x:c r="K373" s="137" t="str"/>
      <x:c r="L373" s="160" t="str"/>
      <x:c r="M373" s="160" t="str"/>
      <x:c r="N373" s="151" t="str"/>
      <x:c r="O373" s="151" t="str"/>
      <x:c r="P373" s="151" t="str"/>
      <x:c r="Q373" s="151" t="str"/>
      <x:c r="R373" s="151" t="str"/>
      <x:c r="S373" s="151" t="str"/>
      <x:c r="T373" s="152" t="n">
        <x:f>IF(COUNTA(O373:S373)=0,"",MAX(0,IF(O373="",0,O373)+IF(P373="",0,P373)-IF(Q373="",0,Q373)-IF(R373="",0,R373)))</x:f>
        <x:v>0</x:v>
      </x:c>
      <x:c r="U373" s="152" t="str">
        <x:f>IF(OR(N373="",Q373=""),"",Q373-N373)</x:f>
      </x:c>
      <x:c r="V373" s="202" t="str">
        <x:f>IFERROR(Q373/N373,"")</x:f>
      </x:c>
      <x:c r="W373" s="137" t="str"/>
      <x:c r="X373" s="137" t="str"/>
      <x:c r="Y373" s="137" t="str"/>
      <x:c r="Z373" s="137" t="str"/>
      <x:c r="AA373" s="137" t="str"/>
      <x:c r="AB373" s="137" t="str"/>
      <x:c r="AC373" s="137" t="str"/>
      <x:c r="AD373" s="199" t="str"/>
    </x:row>
    <x:row r="374">
      <x:c r="A374" s="137" t="str"/>
      <x:c r="B374" s="138" t="str"/>
      <x:c r="C374" s="137" t="str"/>
      <x:c r="D374" s="137" t="str"/>
      <x:c r="E374" s="137" t="str"/>
      <x:c r="F374" s="137" t="str"/>
      <x:c r="G374" s="137" t="str"/>
      <x:c r="H374" s="137" t="str"/>
      <x:c r="I374" s="137" t="str"/>
      <x:c r="J374" s="137" t="str"/>
      <x:c r="K374" s="137" t="str"/>
      <x:c r="L374" s="160" t="str"/>
      <x:c r="M374" s="160" t="str"/>
      <x:c r="N374" s="151" t="str"/>
      <x:c r="O374" s="151" t="str"/>
      <x:c r="P374" s="151" t="str"/>
      <x:c r="Q374" s="151" t="str"/>
      <x:c r="R374" s="151" t="str"/>
      <x:c r="S374" s="151" t="str"/>
      <x:c r="T374" s="152" t="n">
        <x:f>IF(COUNTA(O374:S374)=0,"",MAX(0,IF(O374="",0,O374)+IF(P374="",0,P374)-IF(Q374="",0,Q374)-IF(R374="",0,R374)))</x:f>
        <x:v>0</x:v>
      </x:c>
      <x:c r="U374" s="152" t="str">
        <x:f>IF(OR(N374="",Q374=""),"",Q374-N374)</x:f>
      </x:c>
      <x:c r="V374" s="202" t="str">
        <x:f>IFERROR(Q374/N374,"")</x:f>
      </x:c>
      <x:c r="W374" s="137" t="str"/>
      <x:c r="X374" s="137" t="str"/>
      <x:c r="Y374" s="137" t="str"/>
      <x:c r="Z374" s="137" t="str"/>
      <x:c r="AA374" s="137" t="str"/>
      <x:c r="AB374" s="137" t="str"/>
      <x:c r="AC374" s="137" t="str"/>
      <x:c r="AD374" s="199" t="str"/>
    </x:row>
    <x:row r="375">
      <x:c r="A375" s="137" t="str"/>
      <x:c r="B375" s="138" t="str"/>
      <x:c r="C375" s="137" t="str"/>
      <x:c r="D375" s="137" t="str"/>
      <x:c r="E375" s="137" t="str"/>
      <x:c r="F375" s="137" t="str"/>
      <x:c r="G375" s="137" t="str"/>
      <x:c r="H375" s="137" t="str"/>
      <x:c r="I375" s="137" t="str"/>
      <x:c r="J375" s="137" t="str"/>
      <x:c r="K375" s="137" t="str"/>
      <x:c r="L375" s="160" t="str"/>
      <x:c r="M375" s="160" t="str"/>
      <x:c r="N375" s="151" t="str"/>
      <x:c r="O375" s="151" t="str"/>
      <x:c r="P375" s="151" t="str"/>
      <x:c r="Q375" s="151" t="str"/>
      <x:c r="R375" s="151" t="str"/>
      <x:c r="S375" s="151" t="str"/>
      <x:c r="T375" s="152" t="n">
        <x:f>IF(COUNTA(O375:S375)=0,"",MAX(0,IF(O375="",0,O375)+IF(P375="",0,P375)-IF(Q375="",0,Q375)-IF(R375="",0,R375)))</x:f>
        <x:v>0</x:v>
      </x:c>
      <x:c r="U375" s="152" t="str">
        <x:f>IF(OR(N375="",Q375=""),"",Q375-N375)</x:f>
      </x:c>
      <x:c r="V375" s="202" t="str">
        <x:f>IFERROR(Q375/N375,"")</x:f>
      </x:c>
      <x:c r="W375" s="137" t="str"/>
      <x:c r="X375" s="137" t="str"/>
      <x:c r="Y375" s="137" t="str"/>
      <x:c r="Z375" s="137" t="str"/>
      <x:c r="AA375" s="137" t="str"/>
      <x:c r="AB375" s="137" t="str"/>
      <x:c r="AC375" s="137" t="str"/>
      <x:c r="AD375" s="199" t="str"/>
    </x:row>
    <x:row r="376">
      <x:c r="A376" s="137" t="str"/>
      <x:c r="B376" s="138" t="str"/>
      <x:c r="C376" s="137" t="str"/>
      <x:c r="D376" s="137" t="str"/>
      <x:c r="E376" s="137" t="str"/>
      <x:c r="F376" s="137" t="str"/>
      <x:c r="G376" s="137" t="str"/>
      <x:c r="H376" s="137" t="str"/>
      <x:c r="I376" s="137" t="str"/>
      <x:c r="J376" s="137" t="str"/>
      <x:c r="K376" s="137" t="str"/>
      <x:c r="L376" s="160" t="str"/>
      <x:c r="M376" s="160" t="str"/>
      <x:c r="N376" s="151" t="str"/>
      <x:c r="O376" s="151" t="str"/>
      <x:c r="P376" s="151" t="str"/>
      <x:c r="Q376" s="151" t="str"/>
      <x:c r="R376" s="151" t="str"/>
      <x:c r="S376" s="151" t="str"/>
      <x:c r="T376" s="152" t="n">
        <x:f>IF(COUNTA(O376:S376)=0,"",MAX(0,IF(O376="",0,O376)+IF(P376="",0,P376)-IF(Q376="",0,Q376)-IF(R376="",0,R376)))</x:f>
        <x:v>0</x:v>
      </x:c>
      <x:c r="U376" s="152" t="str">
        <x:f>IF(OR(N376="",Q376=""),"",Q376-N376)</x:f>
      </x:c>
      <x:c r="V376" s="202" t="str">
        <x:f>IFERROR(Q376/N376,"")</x:f>
      </x:c>
      <x:c r="W376" s="137" t="str"/>
      <x:c r="X376" s="137" t="str"/>
      <x:c r="Y376" s="137" t="str"/>
      <x:c r="Z376" s="137" t="str"/>
      <x:c r="AA376" s="137" t="str"/>
      <x:c r="AB376" s="137" t="str"/>
      <x:c r="AC376" s="137" t="str"/>
      <x:c r="AD376" s="199" t="str"/>
    </x:row>
    <x:row r="377">
      <x:c r="A377" s="137" t="str"/>
      <x:c r="B377" s="138" t="str"/>
      <x:c r="C377" s="137" t="str"/>
      <x:c r="D377" s="137" t="str"/>
      <x:c r="E377" s="137" t="str"/>
      <x:c r="F377" s="137" t="str"/>
      <x:c r="G377" s="137" t="str"/>
      <x:c r="H377" s="137" t="str"/>
      <x:c r="I377" s="137" t="str"/>
      <x:c r="J377" s="137" t="str"/>
      <x:c r="K377" s="137" t="str"/>
      <x:c r="L377" s="160" t="str"/>
      <x:c r="M377" s="160" t="str"/>
      <x:c r="N377" s="151" t="str"/>
      <x:c r="O377" s="151" t="str"/>
      <x:c r="P377" s="151" t="str"/>
      <x:c r="Q377" s="151" t="str"/>
      <x:c r="R377" s="151" t="str"/>
      <x:c r="S377" s="151" t="str"/>
      <x:c r="T377" s="152" t="n">
        <x:f>IF(COUNTA(O377:S377)=0,"",MAX(0,IF(O377="",0,O377)+IF(P377="",0,P377)-IF(Q377="",0,Q377)-IF(R377="",0,R377)))</x:f>
        <x:v>0</x:v>
      </x:c>
      <x:c r="U377" s="152" t="str">
        <x:f>IF(OR(N377="",Q377=""),"",Q377-N377)</x:f>
      </x:c>
      <x:c r="V377" s="202" t="str">
        <x:f>IFERROR(Q377/N377,"")</x:f>
      </x:c>
      <x:c r="W377" s="137" t="str"/>
      <x:c r="X377" s="137" t="str"/>
      <x:c r="Y377" s="137" t="str"/>
      <x:c r="Z377" s="137" t="str"/>
      <x:c r="AA377" s="137" t="str"/>
      <x:c r="AB377" s="137" t="str"/>
      <x:c r="AC377" s="137" t="str"/>
      <x:c r="AD377" s="199" t="str"/>
    </x:row>
    <x:row r="378">
      <x:c r="A378" s="137" t="str"/>
      <x:c r="B378" s="138" t="str"/>
      <x:c r="C378" s="137" t="str"/>
      <x:c r="D378" s="137" t="str"/>
      <x:c r="E378" s="137" t="str"/>
      <x:c r="F378" s="137" t="str"/>
      <x:c r="G378" s="137" t="str"/>
      <x:c r="H378" s="137" t="str"/>
      <x:c r="I378" s="137" t="str"/>
      <x:c r="J378" s="137" t="str"/>
      <x:c r="K378" s="137" t="str"/>
      <x:c r="L378" s="160" t="str"/>
      <x:c r="M378" s="160" t="str"/>
      <x:c r="N378" s="151" t="str"/>
      <x:c r="O378" s="151" t="str"/>
      <x:c r="P378" s="151" t="str"/>
      <x:c r="Q378" s="151" t="str"/>
      <x:c r="R378" s="151" t="str"/>
      <x:c r="S378" s="151" t="str"/>
      <x:c r="T378" s="152" t="n">
        <x:f>IF(COUNTA(O378:S378)=0,"",MAX(0,IF(O378="",0,O378)+IF(P378="",0,P378)-IF(Q378="",0,Q378)-IF(R378="",0,R378)))</x:f>
        <x:v>0</x:v>
      </x:c>
      <x:c r="U378" s="152" t="str">
        <x:f>IF(OR(N378="",Q378=""),"",Q378-N378)</x:f>
      </x:c>
      <x:c r="V378" s="202" t="str">
        <x:f>IFERROR(Q378/N378,"")</x:f>
      </x:c>
      <x:c r="W378" s="137" t="str"/>
      <x:c r="X378" s="137" t="str"/>
      <x:c r="Y378" s="137" t="str"/>
      <x:c r="Z378" s="137" t="str"/>
      <x:c r="AA378" s="137" t="str"/>
      <x:c r="AB378" s="137" t="str"/>
      <x:c r="AC378" s="137" t="str"/>
      <x:c r="AD378" s="199" t="str"/>
    </x:row>
    <x:row r="379">
      <x:c r="A379" s="137" t="str"/>
      <x:c r="B379" s="138" t="str"/>
      <x:c r="C379" s="137" t="str"/>
      <x:c r="D379" s="137" t="str"/>
      <x:c r="E379" s="137" t="str"/>
      <x:c r="F379" s="137" t="str"/>
      <x:c r="G379" s="137" t="str"/>
      <x:c r="H379" s="137" t="str"/>
      <x:c r="I379" s="137" t="str"/>
      <x:c r="J379" s="137" t="str"/>
      <x:c r="K379" s="137" t="str"/>
      <x:c r="L379" s="160" t="str"/>
      <x:c r="M379" s="160" t="str"/>
      <x:c r="N379" s="151" t="str"/>
      <x:c r="O379" s="151" t="str"/>
      <x:c r="P379" s="151" t="str"/>
      <x:c r="Q379" s="151" t="str"/>
      <x:c r="R379" s="151" t="str"/>
      <x:c r="S379" s="151" t="str"/>
      <x:c r="T379" s="152" t="n">
        <x:f>IF(COUNTA(O379:S379)=0,"",MAX(0,IF(O379="",0,O379)+IF(P379="",0,P379)-IF(Q379="",0,Q379)-IF(R379="",0,R379)))</x:f>
        <x:v>0</x:v>
      </x:c>
      <x:c r="U379" s="152" t="str">
        <x:f>IF(OR(N379="",Q379=""),"",Q379-N379)</x:f>
      </x:c>
      <x:c r="V379" s="202" t="str">
        <x:f>IFERROR(Q379/N379,"")</x:f>
      </x:c>
      <x:c r="W379" s="137" t="str"/>
      <x:c r="X379" s="137" t="str"/>
      <x:c r="Y379" s="137" t="str"/>
      <x:c r="Z379" s="137" t="str"/>
      <x:c r="AA379" s="137" t="str"/>
      <x:c r="AB379" s="137" t="str"/>
      <x:c r="AC379" s="137" t="str"/>
      <x:c r="AD379" s="199" t="str"/>
    </x:row>
    <x:row r="380">
      <x:c r="A380" s="137" t="str"/>
      <x:c r="B380" s="138" t="str"/>
      <x:c r="C380" s="137" t="str"/>
      <x:c r="D380" s="137" t="str"/>
      <x:c r="E380" s="137" t="str"/>
      <x:c r="F380" s="137" t="str"/>
      <x:c r="G380" s="137" t="str"/>
      <x:c r="H380" s="137" t="str"/>
      <x:c r="I380" s="137" t="str"/>
      <x:c r="J380" s="137" t="str"/>
      <x:c r="K380" s="137" t="str"/>
      <x:c r="L380" s="160" t="str"/>
      <x:c r="M380" s="160" t="str"/>
      <x:c r="N380" s="151" t="str"/>
      <x:c r="O380" s="151" t="str"/>
      <x:c r="P380" s="151" t="str"/>
      <x:c r="Q380" s="151" t="str"/>
      <x:c r="R380" s="151" t="str"/>
      <x:c r="S380" s="151" t="str"/>
      <x:c r="T380" s="152" t="n">
        <x:f>IF(COUNTA(O380:S380)=0,"",MAX(0,IF(O380="",0,O380)+IF(P380="",0,P380)-IF(Q380="",0,Q380)-IF(R380="",0,R380)))</x:f>
        <x:v>0</x:v>
      </x:c>
      <x:c r="U380" s="152" t="str">
        <x:f>IF(OR(N380="",Q380=""),"",Q380-N380)</x:f>
      </x:c>
      <x:c r="V380" s="202" t="str">
        <x:f>IFERROR(Q380/N380,"")</x:f>
      </x:c>
      <x:c r="W380" s="137" t="str"/>
      <x:c r="X380" s="137" t="str"/>
      <x:c r="Y380" s="137" t="str"/>
      <x:c r="Z380" s="137" t="str"/>
      <x:c r="AA380" s="137" t="str"/>
      <x:c r="AB380" s="137" t="str"/>
      <x:c r="AC380" s="137" t="str"/>
      <x:c r="AD380" s="199" t="str"/>
    </x:row>
    <x:row r="381">
      <x:c r="A381" s="137" t="str"/>
      <x:c r="B381" s="138" t="str"/>
      <x:c r="C381" s="137" t="str"/>
      <x:c r="D381" s="137" t="str"/>
      <x:c r="E381" s="137" t="str"/>
      <x:c r="F381" s="137" t="str"/>
      <x:c r="G381" s="137" t="str"/>
      <x:c r="H381" s="137" t="str"/>
      <x:c r="I381" s="137" t="str"/>
      <x:c r="J381" s="137" t="str"/>
      <x:c r="K381" s="137" t="str"/>
      <x:c r="L381" s="160" t="str"/>
      <x:c r="M381" s="160" t="str"/>
      <x:c r="N381" s="151" t="str"/>
      <x:c r="O381" s="151" t="str"/>
      <x:c r="P381" s="151" t="str"/>
      <x:c r="Q381" s="151" t="str"/>
      <x:c r="R381" s="151" t="str"/>
      <x:c r="S381" s="151" t="str"/>
      <x:c r="T381" s="152" t="n">
        <x:f>IF(COUNTA(O381:S381)=0,"",MAX(0,IF(O381="",0,O381)+IF(P381="",0,P381)-IF(Q381="",0,Q381)-IF(R381="",0,R381)))</x:f>
        <x:v>0</x:v>
      </x:c>
      <x:c r="U381" s="152" t="str">
        <x:f>IF(OR(N381="",Q381=""),"",Q381-N381)</x:f>
      </x:c>
      <x:c r="V381" s="202" t="str">
        <x:f>IFERROR(Q381/N381,"")</x:f>
      </x:c>
      <x:c r="W381" s="137" t="str"/>
      <x:c r="X381" s="137" t="str"/>
      <x:c r="Y381" s="137" t="str"/>
      <x:c r="Z381" s="137" t="str"/>
      <x:c r="AA381" s="137" t="str"/>
      <x:c r="AB381" s="137" t="str"/>
      <x:c r="AC381" s="137" t="str"/>
      <x:c r="AD381" s="199" t="str"/>
    </x:row>
    <x:row r="382">
      <x:c r="A382" s="137" t="str"/>
      <x:c r="B382" s="138" t="str"/>
      <x:c r="C382" s="137" t="str"/>
      <x:c r="D382" s="137" t="str"/>
      <x:c r="E382" s="137" t="str"/>
      <x:c r="F382" s="137" t="str"/>
      <x:c r="G382" s="137" t="str"/>
      <x:c r="H382" s="137" t="str"/>
      <x:c r="I382" s="137" t="str"/>
      <x:c r="J382" s="137" t="str"/>
      <x:c r="K382" s="137" t="str"/>
      <x:c r="L382" s="160" t="str"/>
      <x:c r="M382" s="160" t="str"/>
      <x:c r="N382" s="151" t="str"/>
      <x:c r="O382" s="151" t="str"/>
      <x:c r="P382" s="151" t="str"/>
      <x:c r="Q382" s="151" t="str"/>
      <x:c r="R382" s="151" t="str"/>
      <x:c r="S382" s="151" t="str"/>
      <x:c r="T382" s="152" t="n">
        <x:f>IF(COUNTA(O382:S382)=0,"",MAX(0,IF(O382="",0,O382)+IF(P382="",0,P382)-IF(Q382="",0,Q382)-IF(R382="",0,R382)))</x:f>
        <x:v>0</x:v>
      </x:c>
      <x:c r="U382" s="152" t="str">
        <x:f>IF(OR(N382="",Q382=""),"",Q382-N382)</x:f>
      </x:c>
      <x:c r="V382" s="202" t="str">
        <x:f>IFERROR(Q382/N382,"")</x:f>
      </x:c>
      <x:c r="W382" s="137" t="str"/>
      <x:c r="X382" s="137" t="str"/>
      <x:c r="Y382" s="137" t="str"/>
      <x:c r="Z382" s="137" t="str"/>
      <x:c r="AA382" s="137" t="str"/>
      <x:c r="AB382" s="137" t="str"/>
      <x:c r="AC382" s="137" t="str"/>
      <x:c r="AD382" s="199" t="str"/>
    </x:row>
    <x:row r="383">
      <x:c r="A383" s="137" t="str"/>
      <x:c r="B383" s="138" t="str"/>
      <x:c r="C383" s="137" t="str"/>
      <x:c r="D383" s="137" t="str"/>
      <x:c r="E383" s="137" t="str"/>
      <x:c r="F383" s="137" t="str"/>
      <x:c r="G383" s="137" t="str"/>
      <x:c r="H383" s="137" t="str"/>
      <x:c r="I383" s="137" t="str"/>
      <x:c r="J383" s="137" t="str"/>
      <x:c r="K383" s="137" t="str"/>
      <x:c r="L383" s="160" t="str"/>
      <x:c r="M383" s="160" t="str"/>
      <x:c r="N383" s="151" t="str"/>
      <x:c r="O383" s="151" t="str"/>
      <x:c r="P383" s="151" t="str"/>
      <x:c r="Q383" s="151" t="str"/>
      <x:c r="R383" s="151" t="str"/>
      <x:c r="S383" s="151" t="str"/>
      <x:c r="T383" s="152" t="n">
        <x:f>IF(COUNTA(O383:S383)=0,"",MAX(0,IF(O383="",0,O383)+IF(P383="",0,P383)-IF(Q383="",0,Q383)-IF(R383="",0,R383)))</x:f>
        <x:v>0</x:v>
      </x:c>
      <x:c r="U383" s="152" t="str">
        <x:f>IF(OR(N383="",Q383=""),"",Q383-N383)</x:f>
      </x:c>
      <x:c r="V383" s="202" t="str">
        <x:f>IFERROR(Q383/N383,"")</x:f>
      </x:c>
      <x:c r="W383" s="137" t="str"/>
      <x:c r="X383" s="137" t="str"/>
      <x:c r="Y383" s="137" t="str"/>
      <x:c r="Z383" s="137" t="str"/>
      <x:c r="AA383" s="137" t="str"/>
      <x:c r="AB383" s="137" t="str"/>
      <x:c r="AC383" s="137" t="str"/>
      <x:c r="AD383" s="199" t="str"/>
    </x:row>
    <x:row r="384">
      <x:c r="A384" s="137" t="str"/>
      <x:c r="B384" s="138" t="str"/>
      <x:c r="C384" s="137" t="str"/>
      <x:c r="D384" s="137" t="str"/>
      <x:c r="E384" s="137" t="str"/>
      <x:c r="F384" s="137" t="str"/>
      <x:c r="G384" s="137" t="str"/>
      <x:c r="H384" s="137" t="str"/>
      <x:c r="I384" s="137" t="str"/>
      <x:c r="J384" s="137" t="str"/>
      <x:c r="K384" s="137" t="str"/>
      <x:c r="L384" s="160" t="str"/>
      <x:c r="M384" s="160" t="str"/>
      <x:c r="N384" s="151" t="str"/>
      <x:c r="O384" s="151" t="str"/>
      <x:c r="P384" s="151" t="str"/>
      <x:c r="Q384" s="151" t="str"/>
      <x:c r="R384" s="151" t="str"/>
      <x:c r="S384" s="151" t="str"/>
      <x:c r="T384" s="152" t="n">
        <x:f>IF(COUNTA(O384:S384)=0,"",MAX(0,IF(O384="",0,O384)+IF(P384="",0,P384)-IF(Q384="",0,Q384)-IF(R384="",0,R384)))</x:f>
        <x:v>0</x:v>
      </x:c>
      <x:c r="U384" s="152" t="str">
        <x:f>IF(OR(N384="",Q384=""),"",Q384-N384)</x:f>
      </x:c>
      <x:c r="V384" s="202" t="str">
        <x:f>IFERROR(Q384/N384,"")</x:f>
      </x:c>
      <x:c r="W384" s="137" t="str"/>
      <x:c r="X384" s="137" t="str"/>
      <x:c r="Y384" s="137" t="str"/>
      <x:c r="Z384" s="137" t="str"/>
      <x:c r="AA384" s="137" t="str"/>
      <x:c r="AB384" s="137" t="str"/>
      <x:c r="AC384" s="137" t="str"/>
      <x:c r="AD384" s="199" t="str"/>
    </x:row>
    <x:row r="385">
      <x:c r="A385" s="137" t="str"/>
      <x:c r="B385" s="138" t="str"/>
      <x:c r="C385" s="137" t="str"/>
      <x:c r="D385" s="137" t="str"/>
      <x:c r="E385" s="137" t="str"/>
      <x:c r="F385" s="137" t="str"/>
      <x:c r="G385" s="137" t="str"/>
      <x:c r="H385" s="137" t="str"/>
      <x:c r="I385" s="137" t="str"/>
      <x:c r="J385" s="137" t="str"/>
      <x:c r="K385" s="137" t="str"/>
      <x:c r="L385" s="160" t="str"/>
      <x:c r="M385" s="160" t="str"/>
      <x:c r="N385" s="151" t="str"/>
      <x:c r="O385" s="151" t="str"/>
      <x:c r="P385" s="151" t="str"/>
      <x:c r="Q385" s="151" t="str"/>
      <x:c r="R385" s="151" t="str"/>
      <x:c r="S385" s="151" t="str"/>
      <x:c r="T385" s="152" t="n">
        <x:f>IF(COUNTA(O385:S385)=0,"",MAX(0,IF(O385="",0,O385)+IF(P385="",0,P385)-IF(Q385="",0,Q385)-IF(R385="",0,R385)))</x:f>
        <x:v>0</x:v>
      </x:c>
      <x:c r="U385" s="152" t="str">
        <x:f>IF(OR(N385="",Q385=""),"",Q385-N385)</x:f>
      </x:c>
      <x:c r="V385" s="202" t="str">
        <x:f>IFERROR(Q385/N385,"")</x:f>
      </x:c>
      <x:c r="W385" s="137" t="str"/>
      <x:c r="X385" s="137" t="str"/>
      <x:c r="Y385" s="137" t="str"/>
      <x:c r="Z385" s="137" t="str"/>
      <x:c r="AA385" s="137" t="str"/>
      <x:c r="AB385" s="137" t="str"/>
      <x:c r="AC385" s="137" t="str"/>
      <x:c r="AD385" s="199" t="str"/>
    </x:row>
    <x:row r="386">
      <x:c r="A386" s="137" t="str"/>
      <x:c r="B386" s="138" t="str"/>
      <x:c r="C386" s="137" t="str"/>
      <x:c r="D386" s="137" t="str"/>
      <x:c r="E386" s="137" t="str"/>
      <x:c r="F386" s="137" t="str"/>
      <x:c r="G386" s="137" t="str"/>
      <x:c r="H386" s="137" t="str"/>
      <x:c r="I386" s="137" t="str"/>
      <x:c r="J386" s="137" t="str"/>
      <x:c r="K386" s="137" t="str"/>
      <x:c r="L386" s="160" t="str"/>
      <x:c r="M386" s="160" t="str"/>
      <x:c r="N386" s="151" t="str"/>
      <x:c r="O386" s="151" t="str"/>
      <x:c r="P386" s="151" t="str"/>
      <x:c r="Q386" s="151" t="str"/>
      <x:c r="R386" s="151" t="str"/>
      <x:c r="S386" s="151" t="str"/>
      <x:c r="T386" s="152" t="n">
        <x:f>IF(COUNTA(O386:S386)=0,"",MAX(0,IF(O386="",0,O386)+IF(P386="",0,P386)-IF(Q386="",0,Q386)-IF(R386="",0,R386)))</x:f>
        <x:v>0</x:v>
      </x:c>
      <x:c r="U386" s="152" t="str">
        <x:f>IF(OR(N386="",Q386=""),"",Q386-N386)</x:f>
      </x:c>
      <x:c r="V386" s="202" t="str">
        <x:f>IFERROR(Q386/N386,"")</x:f>
      </x:c>
      <x:c r="W386" s="137" t="str"/>
      <x:c r="X386" s="137" t="str"/>
      <x:c r="Y386" s="137" t="str"/>
      <x:c r="Z386" s="137" t="str"/>
      <x:c r="AA386" s="137" t="str"/>
      <x:c r="AB386" s="137" t="str"/>
      <x:c r="AC386" s="137" t="str"/>
      <x:c r="AD386" s="199" t="str"/>
    </x:row>
    <x:row r="387">
      <x:c r="A387" s="137" t="str"/>
      <x:c r="B387" s="138" t="str"/>
      <x:c r="C387" s="137" t="str"/>
      <x:c r="D387" s="137" t="str"/>
      <x:c r="E387" s="137" t="str"/>
      <x:c r="F387" s="137" t="str"/>
      <x:c r="G387" s="137" t="str"/>
      <x:c r="H387" s="137" t="str"/>
      <x:c r="I387" s="137" t="str"/>
      <x:c r="J387" s="137" t="str"/>
      <x:c r="K387" s="137" t="str"/>
      <x:c r="L387" s="160" t="str"/>
      <x:c r="M387" s="160" t="str"/>
      <x:c r="N387" s="151" t="str"/>
      <x:c r="O387" s="151" t="str"/>
      <x:c r="P387" s="151" t="str"/>
      <x:c r="Q387" s="151" t="str"/>
      <x:c r="R387" s="151" t="str"/>
      <x:c r="S387" s="151" t="str"/>
      <x:c r="T387" s="152" t="n">
        <x:f>IF(COUNTA(O387:S387)=0,"",MAX(0,IF(O387="",0,O387)+IF(P387="",0,P387)-IF(Q387="",0,Q387)-IF(R387="",0,R387)))</x:f>
        <x:v>0</x:v>
      </x:c>
      <x:c r="U387" s="152" t="str">
        <x:f>IF(OR(N387="",Q387=""),"",Q387-N387)</x:f>
      </x:c>
      <x:c r="V387" s="202" t="str">
        <x:f>IFERROR(Q387/N387,"")</x:f>
      </x:c>
      <x:c r="W387" s="137" t="str"/>
      <x:c r="X387" s="137" t="str"/>
      <x:c r="Y387" s="137" t="str"/>
      <x:c r="Z387" s="137" t="str"/>
      <x:c r="AA387" s="137" t="str"/>
      <x:c r="AB387" s="137" t="str"/>
      <x:c r="AC387" s="137" t="str"/>
      <x:c r="AD387" s="199" t="str"/>
    </x:row>
    <x:row r="388">
      <x:c r="A388" s="137" t="str"/>
      <x:c r="B388" s="138" t="str"/>
      <x:c r="C388" s="137" t="str"/>
      <x:c r="D388" s="137" t="str"/>
      <x:c r="E388" s="137" t="str"/>
      <x:c r="F388" s="137" t="str"/>
      <x:c r="G388" s="137" t="str"/>
      <x:c r="H388" s="137" t="str"/>
      <x:c r="I388" s="137" t="str"/>
      <x:c r="J388" s="137" t="str"/>
      <x:c r="K388" s="137" t="str"/>
      <x:c r="L388" s="160" t="str"/>
      <x:c r="M388" s="160" t="str"/>
      <x:c r="N388" s="151" t="str"/>
      <x:c r="O388" s="151" t="str"/>
      <x:c r="P388" s="151" t="str"/>
      <x:c r="Q388" s="151" t="str"/>
      <x:c r="R388" s="151" t="str"/>
      <x:c r="S388" s="151" t="str"/>
      <x:c r="T388" s="152" t="n">
        <x:f>IF(COUNTA(O388:S388)=0,"",MAX(0,IF(O388="",0,O388)+IF(P388="",0,P388)-IF(Q388="",0,Q388)-IF(R388="",0,R388)))</x:f>
        <x:v>0</x:v>
      </x:c>
      <x:c r="U388" s="152" t="str">
        <x:f>IF(OR(N388="",Q388=""),"",Q388-N388)</x:f>
      </x:c>
      <x:c r="V388" s="202" t="str">
        <x:f>IFERROR(Q388/N388,"")</x:f>
      </x:c>
      <x:c r="W388" s="137" t="str"/>
      <x:c r="X388" s="137" t="str"/>
      <x:c r="Y388" s="137" t="str"/>
      <x:c r="Z388" s="137" t="str"/>
      <x:c r="AA388" s="137" t="str"/>
      <x:c r="AB388" s="137" t="str"/>
      <x:c r="AC388" s="137" t="str"/>
      <x:c r="AD388" s="199" t="str"/>
    </x:row>
    <x:row r="389">
      <x:c r="A389" s="137" t="str"/>
      <x:c r="B389" s="138" t="str"/>
      <x:c r="C389" s="137" t="str"/>
      <x:c r="D389" s="137" t="str"/>
      <x:c r="E389" s="137" t="str"/>
      <x:c r="F389" s="137" t="str"/>
      <x:c r="G389" s="137" t="str"/>
      <x:c r="H389" s="137" t="str"/>
      <x:c r="I389" s="137" t="str"/>
      <x:c r="J389" s="137" t="str"/>
      <x:c r="K389" s="137" t="str"/>
      <x:c r="L389" s="160" t="str"/>
      <x:c r="M389" s="160" t="str"/>
      <x:c r="N389" s="151" t="str"/>
      <x:c r="O389" s="151" t="str"/>
      <x:c r="P389" s="151" t="str"/>
      <x:c r="Q389" s="151" t="str"/>
      <x:c r="R389" s="151" t="str"/>
      <x:c r="S389" s="151" t="str"/>
      <x:c r="T389" s="152" t="n">
        <x:f>IF(COUNTA(O389:S389)=0,"",MAX(0,IF(O389="",0,O389)+IF(P389="",0,P389)-IF(Q389="",0,Q389)-IF(R389="",0,R389)))</x:f>
        <x:v>0</x:v>
      </x:c>
      <x:c r="U389" s="152" t="str">
        <x:f>IF(OR(N389="",Q389=""),"",Q389-N389)</x:f>
      </x:c>
      <x:c r="V389" s="202" t="str">
        <x:f>IFERROR(Q389/N389,"")</x:f>
      </x:c>
      <x:c r="W389" s="137" t="str"/>
      <x:c r="X389" s="137" t="str"/>
      <x:c r="Y389" s="137" t="str"/>
      <x:c r="Z389" s="137" t="str"/>
      <x:c r="AA389" s="137" t="str"/>
      <x:c r="AB389" s="137" t="str"/>
      <x:c r="AC389" s="137" t="str"/>
      <x:c r="AD389" s="199" t="str"/>
    </x:row>
    <x:row r="390">
      <x:c r="A390" s="137" t="str"/>
      <x:c r="B390" s="138" t="str"/>
      <x:c r="C390" s="137" t="str"/>
      <x:c r="D390" s="137" t="str"/>
      <x:c r="E390" s="137" t="str"/>
      <x:c r="F390" s="137" t="str"/>
      <x:c r="G390" s="137" t="str"/>
      <x:c r="H390" s="137" t="str"/>
      <x:c r="I390" s="137" t="str"/>
      <x:c r="J390" s="137" t="str"/>
      <x:c r="K390" s="137" t="str"/>
      <x:c r="L390" s="160" t="str"/>
      <x:c r="M390" s="160" t="str"/>
      <x:c r="N390" s="151" t="str"/>
      <x:c r="O390" s="151" t="str"/>
      <x:c r="P390" s="151" t="str"/>
      <x:c r="Q390" s="151" t="str"/>
      <x:c r="R390" s="151" t="str"/>
      <x:c r="S390" s="151" t="str"/>
      <x:c r="T390" s="152" t="n">
        <x:f>IF(COUNTA(O390:S390)=0,"",MAX(0,IF(O390="",0,O390)+IF(P390="",0,P390)-IF(Q390="",0,Q390)-IF(R390="",0,R390)))</x:f>
        <x:v>0</x:v>
      </x:c>
      <x:c r="U390" s="152" t="str">
        <x:f>IF(OR(N390="",Q390=""),"",Q390-N390)</x:f>
      </x:c>
      <x:c r="V390" s="202" t="str">
        <x:f>IFERROR(Q390/N390,"")</x:f>
      </x:c>
      <x:c r="W390" s="137" t="str"/>
      <x:c r="X390" s="137" t="str"/>
      <x:c r="Y390" s="137" t="str"/>
      <x:c r="Z390" s="137" t="str"/>
      <x:c r="AA390" s="137" t="str"/>
      <x:c r="AB390" s="137" t="str"/>
      <x:c r="AC390" s="137" t="str"/>
      <x:c r="AD390" s="199" t="str"/>
    </x:row>
    <x:row r="391">
      <x:c r="A391" s="137" t="str"/>
      <x:c r="B391" s="138" t="str"/>
      <x:c r="C391" s="137" t="str"/>
      <x:c r="D391" s="137" t="str"/>
      <x:c r="E391" s="137" t="str"/>
      <x:c r="F391" s="137" t="str"/>
      <x:c r="G391" s="137" t="str"/>
      <x:c r="H391" s="137" t="str"/>
      <x:c r="I391" s="137" t="str"/>
      <x:c r="J391" s="137" t="str"/>
      <x:c r="K391" s="137" t="str"/>
      <x:c r="L391" s="160" t="str"/>
      <x:c r="M391" s="160" t="str"/>
      <x:c r="N391" s="151" t="str"/>
      <x:c r="O391" s="151" t="str"/>
      <x:c r="P391" s="151" t="str"/>
      <x:c r="Q391" s="151" t="str"/>
      <x:c r="R391" s="151" t="str"/>
      <x:c r="S391" s="151" t="str"/>
      <x:c r="T391" s="152" t="n">
        <x:f>IF(COUNTA(O391:S391)=0,"",MAX(0,IF(O391="",0,O391)+IF(P391="",0,P391)-IF(Q391="",0,Q391)-IF(R391="",0,R391)))</x:f>
        <x:v>0</x:v>
      </x:c>
      <x:c r="U391" s="152" t="str">
        <x:f>IF(OR(N391="",Q391=""),"",Q391-N391)</x:f>
      </x:c>
      <x:c r="V391" s="202" t="str">
        <x:f>IFERROR(Q391/N391,"")</x:f>
      </x:c>
      <x:c r="W391" s="137" t="str"/>
      <x:c r="X391" s="137" t="str"/>
      <x:c r="Y391" s="137" t="str"/>
      <x:c r="Z391" s="137" t="str"/>
      <x:c r="AA391" s="137" t="str"/>
      <x:c r="AB391" s="137" t="str"/>
      <x:c r="AC391" s="137" t="str"/>
      <x:c r="AD391" s="199" t="str"/>
    </x:row>
    <x:row r="392">
      <x:c r="A392" s="137" t="str"/>
      <x:c r="B392" s="138" t="str"/>
      <x:c r="C392" s="137" t="str"/>
      <x:c r="D392" s="137" t="str"/>
      <x:c r="E392" s="137" t="str"/>
      <x:c r="F392" s="137" t="str"/>
      <x:c r="G392" s="137" t="str"/>
      <x:c r="H392" s="137" t="str"/>
      <x:c r="I392" s="137" t="str"/>
      <x:c r="J392" s="137" t="str"/>
      <x:c r="K392" s="137" t="str"/>
      <x:c r="L392" s="160" t="str"/>
      <x:c r="M392" s="160" t="str"/>
      <x:c r="N392" s="151" t="str"/>
      <x:c r="O392" s="151" t="str"/>
      <x:c r="P392" s="151" t="str"/>
      <x:c r="Q392" s="151" t="str"/>
      <x:c r="R392" s="151" t="str"/>
      <x:c r="S392" s="151" t="str"/>
      <x:c r="T392" s="152" t="n">
        <x:f>IF(COUNTA(O392:S392)=0,"",MAX(0,IF(O392="",0,O392)+IF(P392="",0,P392)-IF(Q392="",0,Q392)-IF(R392="",0,R392)))</x:f>
        <x:v>0</x:v>
      </x:c>
      <x:c r="U392" s="152" t="str">
        <x:f>IF(OR(N392="",Q392=""),"",Q392-N392)</x:f>
      </x:c>
      <x:c r="V392" s="202" t="str">
        <x:f>IFERROR(Q392/N392,"")</x:f>
      </x:c>
      <x:c r="W392" s="137" t="str"/>
      <x:c r="X392" s="137" t="str"/>
      <x:c r="Y392" s="137" t="str"/>
      <x:c r="Z392" s="137" t="str"/>
      <x:c r="AA392" s="137" t="str"/>
      <x:c r="AB392" s="137" t="str"/>
      <x:c r="AC392" s="137" t="str"/>
      <x:c r="AD392" s="199" t="str"/>
    </x:row>
    <x:row r="393">
      <x:c r="A393" s="137" t="str"/>
      <x:c r="B393" s="138" t="str"/>
      <x:c r="C393" s="137" t="str"/>
      <x:c r="D393" s="137" t="str"/>
      <x:c r="E393" s="137" t="str"/>
      <x:c r="F393" s="137" t="str"/>
      <x:c r="G393" s="137" t="str"/>
      <x:c r="H393" s="137" t="str"/>
      <x:c r="I393" s="137" t="str"/>
      <x:c r="J393" s="137" t="str"/>
      <x:c r="K393" s="137" t="str"/>
      <x:c r="L393" s="160" t="str"/>
      <x:c r="M393" s="160" t="str"/>
      <x:c r="N393" s="151" t="str"/>
      <x:c r="O393" s="151" t="str"/>
      <x:c r="P393" s="151" t="str"/>
      <x:c r="Q393" s="151" t="str"/>
      <x:c r="R393" s="151" t="str"/>
      <x:c r="S393" s="151" t="str"/>
      <x:c r="T393" s="152" t="n">
        <x:f>IF(COUNTA(O393:S393)=0,"",MAX(0,IF(O393="",0,O393)+IF(P393="",0,P393)-IF(Q393="",0,Q393)-IF(R393="",0,R393)))</x:f>
        <x:v>0</x:v>
      </x:c>
      <x:c r="U393" s="152" t="str">
        <x:f>IF(OR(N393="",Q393=""),"",Q393-N393)</x:f>
      </x:c>
      <x:c r="V393" s="202" t="str">
        <x:f>IFERROR(Q393/N393,"")</x:f>
      </x:c>
      <x:c r="W393" s="137" t="str"/>
      <x:c r="X393" s="137" t="str"/>
      <x:c r="Y393" s="137" t="str"/>
      <x:c r="Z393" s="137" t="str"/>
      <x:c r="AA393" s="137" t="str"/>
      <x:c r="AB393" s="137" t="str"/>
      <x:c r="AC393" s="137" t="str"/>
      <x:c r="AD393" s="199" t="str"/>
    </x:row>
    <x:row r="394">
      <x:c r="A394" s="137" t="str"/>
      <x:c r="B394" s="138" t="str"/>
      <x:c r="C394" s="137" t="str"/>
      <x:c r="D394" s="137" t="str"/>
      <x:c r="E394" s="137" t="str"/>
      <x:c r="F394" s="137" t="str"/>
      <x:c r="G394" s="137" t="str"/>
      <x:c r="H394" s="137" t="str"/>
      <x:c r="I394" s="137" t="str"/>
      <x:c r="J394" s="137" t="str"/>
      <x:c r="K394" s="137" t="str"/>
      <x:c r="L394" s="160" t="str"/>
      <x:c r="M394" s="160" t="str"/>
      <x:c r="N394" s="151" t="str"/>
      <x:c r="O394" s="151" t="str"/>
      <x:c r="P394" s="151" t="str"/>
      <x:c r="Q394" s="151" t="str"/>
      <x:c r="R394" s="151" t="str"/>
      <x:c r="S394" s="151" t="str"/>
      <x:c r="T394" s="152" t="n">
        <x:f>IF(COUNTA(O394:S394)=0,"",MAX(0,IF(O394="",0,O394)+IF(P394="",0,P394)-IF(Q394="",0,Q394)-IF(R394="",0,R394)))</x:f>
        <x:v>0</x:v>
      </x:c>
      <x:c r="U394" s="152" t="str">
        <x:f>IF(OR(N394="",Q394=""),"",Q394-N394)</x:f>
      </x:c>
      <x:c r="V394" s="202" t="str">
        <x:f>IFERROR(Q394/N394,"")</x:f>
      </x:c>
      <x:c r="W394" s="137" t="str"/>
      <x:c r="X394" s="137" t="str"/>
      <x:c r="Y394" s="137" t="str"/>
      <x:c r="Z394" s="137" t="str"/>
      <x:c r="AA394" s="137" t="str"/>
      <x:c r="AB394" s="137" t="str"/>
      <x:c r="AC394" s="137" t="str"/>
      <x:c r="AD394" s="199" t="str"/>
    </x:row>
    <x:row r="395">
      <x:c r="A395" s="137" t="str"/>
      <x:c r="B395" s="138" t="str"/>
      <x:c r="C395" s="137" t="str"/>
      <x:c r="D395" s="137" t="str"/>
      <x:c r="E395" s="137" t="str"/>
      <x:c r="F395" s="137" t="str"/>
      <x:c r="G395" s="137" t="str"/>
      <x:c r="H395" s="137" t="str"/>
      <x:c r="I395" s="137" t="str"/>
      <x:c r="J395" s="137" t="str"/>
      <x:c r="K395" s="137" t="str"/>
      <x:c r="L395" s="160" t="str"/>
      <x:c r="M395" s="160" t="str"/>
      <x:c r="N395" s="151" t="str"/>
      <x:c r="O395" s="151" t="str"/>
      <x:c r="P395" s="151" t="str"/>
      <x:c r="Q395" s="151" t="str"/>
      <x:c r="R395" s="151" t="str"/>
      <x:c r="S395" s="151" t="str"/>
      <x:c r="T395" s="152" t="n">
        <x:f>IF(COUNTA(O395:S395)=0,"",MAX(0,IF(O395="",0,O395)+IF(P395="",0,P395)-IF(Q395="",0,Q395)-IF(R395="",0,R395)))</x:f>
        <x:v>0</x:v>
      </x:c>
      <x:c r="U395" s="152" t="str">
        <x:f>IF(OR(N395="",Q395=""),"",Q395-N395)</x:f>
      </x:c>
      <x:c r="V395" s="202" t="str">
        <x:f>IFERROR(Q395/N395,"")</x:f>
      </x:c>
      <x:c r="W395" s="137" t="str"/>
      <x:c r="X395" s="137" t="str"/>
      <x:c r="Y395" s="137" t="str"/>
      <x:c r="Z395" s="137" t="str"/>
      <x:c r="AA395" s="137" t="str"/>
      <x:c r="AB395" s="137" t="str"/>
      <x:c r="AC395" s="137" t="str"/>
      <x:c r="AD395" s="199" t="str"/>
    </x:row>
    <x:row r="396">
      <x:c r="A396" s="137" t="str"/>
      <x:c r="B396" s="138" t="str"/>
      <x:c r="C396" s="137" t="str"/>
      <x:c r="D396" s="137" t="str"/>
      <x:c r="E396" s="137" t="str"/>
      <x:c r="F396" s="137" t="str"/>
      <x:c r="G396" s="137" t="str"/>
      <x:c r="H396" s="137" t="str"/>
      <x:c r="I396" s="137" t="str"/>
      <x:c r="J396" s="137" t="str"/>
      <x:c r="K396" s="137" t="str"/>
      <x:c r="L396" s="160" t="str"/>
      <x:c r="M396" s="160" t="str"/>
      <x:c r="N396" s="151" t="str"/>
      <x:c r="O396" s="151" t="str"/>
      <x:c r="P396" s="151" t="str"/>
      <x:c r="Q396" s="151" t="str"/>
      <x:c r="R396" s="151" t="str"/>
      <x:c r="S396" s="151" t="str"/>
      <x:c r="T396" s="152" t="n">
        <x:f>IF(COUNTA(O396:S396)=0,"",MAX(0,IF(O396="",0,O396)+IF(P396="",0,P396)-IF(Q396="",0,Q396)-IF(R396="",0,R396)))</x:f>
        <x:v>0</x:v>
      </x:c>
      <x:c r="U396" s="152" t="str">
        <x:f>IF(OR(N396="",Q396=""),"",Q396-N396)</x:f>
      </x:c>
      <x:c r="V396" s="202" t="str">
        <x:f>IFERROR(Q396/N396,"")</x:f>
      </x:c>
      <x:c r="W396" s="137" t="str"/>
      <x:c r="X396" s="137" t="str"/>
      <x:c r="Y396" s="137" t="str"/>
      <x:c r="Z396" s="137" t="str"/>
      <x:c r="AA396" s="137" t="str"/>
      <x:c r="AB396" s="137" t="str"/>
      <x:c r="AC396" s="137" t="str"/>
      <x:c r="AD396" s="199" t="str"/>
    </x:row>
    <x:row r="397">
      <x:c r="A397" s="137" t="str"/>
      <x:c r="B397" s="138" t="str"/>
      <x:c r="C397" s="137" t="str"/>
      <x:c r="D397" s="137" t="str"/>
      <x:c r="E397" s="137" t="str"/>
      <x:c r="F397" s="137" t="str"/>
      <x:c r="G397" s="137" t="str"/>
      <x:c r="H397" s="137" t="str"/>
      <x:c r="I397" s="137" t="str"/>
      <x:c r="J397" s="137" t="str"/>
      <x:c r="K397" s="137" t="str"/>
      <x:c r="L397" s="160" t="str"/>
      <x:c r="M397" s="160" t="str"/>
      <x:c r="N397" s="151" t="str"/>
      <x:c r="O397" s="151" t="str"/>
      <x:c r="P397" s="151" t="str"/>
      <x:c r="Q397" s="151" t="str"/>
      <x:c r="R397" s="151" t="str"/>
      <x:c r="S397" s="151" t="str"/>
      <x:c r="T397" s="152" t="n">
        <x:f>IF(COUNTA(O397:S397)=0,"",MAX(0,IF(O397="",0,O397)+IF(P397="",0,P397)-IF(Q397="",0,Q397)-IF(R397="",0,R397)))</x:f>
        <x:v>0</x:v>
      </x:c>
      <x:c r="U397" s="152" t="str">
        <x:f>IF(OR(N397="",Q397=""),"",Q397-N397)</x:f>
      </x:c>
      <x:c r="V397" s="202" t="str">
        <x:f>IFERROR(Q397/N397,"")</x:f>
      </x:c>
      <x:c r="W397" s="137" t="str"/>
      <x:c r="X397" s="137" t="str"/>
      <x:c r="Y397" s="137" t="str"/>
      <x:c r="Z397" s="137" t="str"/>
      <x:c r="AA397" s="137" t="str"/>
      <x:c r="AB397" s="137" t="str"/>
      <x:c r="AC397" s="137" t="str"/>
      <x:c r="AD397" s="199" t="str"/>
    </x:row>
    <x:row r="398">
      <x:c r="A398" s="137" t="str"/>
      <x:c r="B398" s="138" t="str"/>
      <x:c r="C398" s="137" t="str"/>
      <x:c r="D398" s="137" t="str"/>
      <x:c r="E398" s="137" t="str"/>
      <x:c r="F398" s="137" t="str"/>
      <x:c r="G398" s="137" t="str"/>
      <x:c r="H398" s="137" t="str"/>
      <x:c r="I398" s="137" t="str"/>
      <x:c r="J398" s="137" t="str"/>
      <x:c r="K398" s="137" t="str"/>
      <x:c r="L398" s="160" t="str"/>
      <x:c r="M398" s="160" t="str"/>
      <x:c r="N398" s="151" t="str"/>
      <x:c r="O398" s="151" t="str"/>
      <x:c r="P398" s="151" t="str"/>
      <x:c r="Q398" s="151" t="str"/>
      <x:c r="R398" s="151" t="str"/>
      <x:c r="S398" s="151" t="str"/>
      <x:c r="T398" s="152" t="n">
        <x:f>IF(COUNTA(O398:S398)=0,"",MAX(0,IF(O398="",0,O398)+IF(P398="",0,P398)-IF(Q398="",0,Q398)-IF(R398="",0,R398)))</x:f>
        <x:v>0</x:v>
      </x:c>
      <x:c r="U398" s="152" t="str">
        <x:f>IF(OR(N398="",Q398=""),"",Q398-N398)</x:f>
      </x:c>
      <x:c r="V398" s="202" t="str">
        <x:f>IFERROR(Q398/N398,"")</x:f>
      </x:c>
      <x:c r="W398" s="137" t="str"/>
      <x:c r="X398" s="137" t="str"/>
      <x:c r="Y398" s="137" t="str"/>
      <x:c r="Z398" s="137" t="str"/>
      <x:c r="AA398" s="137" t="str"/>
      <x:c r="AB398" s="137" t="str"/>
      <x:c r="AC398" s="137" t="str"/>
      <x:c r="AD398" s="199" t="str"/>
    </x:row>
    <x:row r="399">
      <x:c r="A399" s="137" t="str"/>
      <x:c r="B399" s="138" t="str"/>
      <x:c r="C399" s="137" t="str"/>
      <x:c r="D399" s="137" t="str"/>
      <x:c r="E399" s="137" t="str"/>
      <x:c r="F399" s="137" t="str"/>
      <x:c r="G399" s="137" t="str"/>
      <x:c r="H399" s="137" t="str"/>
      <x:c r="I399" s="137" t="str"/>
      <x:c r="J399" s="137" t="str"/>
      <x:c r="K399" s="137" t="str"/>
      <x:c r="L399" s="160" t="str"/>
      <x:c r="M399" s="160" t="str"/>
      <x:c r="N399" s="151" t="str"/>
      <x:c r="O399" s="151" t="str"/>
      <x:c r="P399" s="151" t="str"/>
      <x:c r="Q399" s="151" t="str"/>
      <x:c r="R399" s="151" t="str"/>
      <x:c r="S399" s="151" t="str"/>
      <x:c r="T399" s="152" t="n">
        <x:f>IF(COUNTA(O399:S399)=0,"",MAX(0,IF(O399="",0,O399)+IF(P399="",0,P399)-IF(Q399="",0,Q399)-IF(R399="",0,R399)))</x:f>
        <x:v>0</x:v>
      </x:c>
      <x:c r="U399" s="152" t="str">
        <x:f>IF(OR(N399="",Q399=""),"",Q399-N399)</x:f>
      </x:c>
      <x:c r="V399" s="202" t="str">
        <x:f>IFERROR(Q399/N399,"")</x:f>
      </x:c>
      <x:c r="W399" s="137" t="str"/>
      <x:c r="X399" s="137" t="str"/>
      <x:c r="Y399" s="137" t="str"/>
      <x:c r="Z399" s="137" t="str"/>
      <x:c r="AA399" s="137" t="str"/>
      <x:c r="AB399" s="137" t="str"/>
      <x:c r="AC399" s="137" t="str"/>
      <x:c r="AD399" s="199" t="str"/>
    </x:row>
    <x:row r="400">
      <x:c r="A400" s="137" t="str"/>
      <x:c r="B400" s="138" t="str"/>
      <x:c r="C400" s="137" t="str"/>
      <x:c r="D400" s="137" t="str"/>
      <x:c r="E400" s="137" t="str"/>
      <x:c r="F400" s="137" t="str"/>
      <x:c r="G400" s="137" t="str"/>
      <x:c r="H400" s="137" t="str"/>
      <x:c r="I400" s="137" t="str"/>
      <x:c r="J400" s="137" t="str"/>
      <x:c r="K400" s="137" t="str"/>
      <x:c r="L400" s="160" t="str"/>
      <x:c r="M400" s="160" t="str"/>
      <x:c r="N400" s="151" t="str"/>
      <x:c r="O400" s="151" t="str"/>
      <x:c r="P400" s="151" t="str"/>
      <x:c r="Q400" s="151" t="str"/>
      <x:c r="R400" s="151" t="str"/>
      <x:c r="S400" s="151" t="str"/>
      <x:c r="T400" s="152" t="n">
        <x:f>IF(COUNTA(O400:S400)=0,"",MAX(0,IF(O400="",0,O400)+IF(P400="",0,P400)-IF(Q400="",0,Q400)-IF(R400="",0,R400)))</x:f>
        <x:v>0</x:v>
      </x:c>
      <x:c r="U400" s="152" t="str">
        <x:f>IF(OR(N400="",Q400=""),"",Q400-N400)</x:f>
      </x:c>
      <x:c r="V400" s="202" t="str">
        <x:f>IFERROR(Q400/N400,"")</x:f>
      </x:c>
      <x:c r="W400" s="137" t="str"/>
      <x:c r="X400" s="137" t="str"/>
      <x:c r="Y400" s="137" t="str"/>
      <x:c r="Z400" s="137" t="str"/>
      <x:c r="AA400" s="137" t="str"/>
      <x:c r="AB400" s="137" t="str"/>
      <x:c r="AC400" s="137" t="str"/>
      <x:c r="AD400" s="199" t="str"/>
    </x:row>
    <x:row r="401">
      <x:c r="A401" s="137" t="str"/>
      <x:c r="B401" s="138" t="str"/>
      <x:c r="C401" s="137" t="str"/>
      <x:c r="D401" s="137" t="str"/>
      <x:c r="E401" s="137" t="str"/>
      <x:c r="F401" s="137" t="str"/>
      <x:c r="G401" s="137" t="str"/>
      <x:c r="H401" s="137" t="str"/>
      <x:c r="I401" s="137" t="str"/>
      <x:c r="J401" s="137" t="str"/>
      <x:c r="K401" s="137" t="str"/>
      <x:c r="L401" s="160" t="str"/>
      <x:c r="M401" s="160" t="str"/>
      <x:c r="N401" s="151" t="str"/>
      <x:c r="O401" s="151" t="str"/>
      <x:c r="P401" s="151" t="str"/>
      <x:c r="Q401" s="151" t="str"/>
      <x:c r="R401" s="151" t="str"/>
      <x:c r="S401" s="151" t="str"/>
      <x:c r="T401" s="152" t="n">
        <x:f>IF(COUNTA(O401:S401)=0,"",MAX(0,IF(O401="",0,O401)+IF(P401="",0,P401)-IF(Q401="",0,Q401)-IF(R401="",0,R401)))</x:f>
        <x:v>0</x:v>
      </x:c>
      <x:c r="U401" s="152" t="str">
        <x:f>IF(OR(N401="",Q401=""),"",Q401-N401)</x:f>
      </x:c>
      <x:c r="V401" s="202" t="str">
        <x:f>IFERROR(Q401/N401,"")</x:f>
      </x:c>
      <x:c r="W401" s="137" t="str"/>
      <x:c r="X401" s="137" t="str"/>
      <x:c r="Y401" s="137" t="str"/>
      <x:c r="Z401" s="137" t="str"/>
      <x:c r="AA401" s="137" t="str"/>
      <x:c r="AB401" s="137" t="str"/>
      <x:c r="AC401" s="137" t="str"/>
      <x:c r="AD401" s="199" t="str"/>
    </x:row>
    <x:row r="402">
      <x:c r="A402" s="137" t="str"/>
      <x:c r="B402" s="138" t="str"/>
      <x:c r="C402" s="137" t="str"/>
      <x:c r="D402" s="137" t="str"/>
      <x:c r="E402" s="137" t="str"/>
      <x:c r="F402" s="137" t="str"/>
      <x:c r="G402" s="137" t="str"/>
      <x:c r="H402" s="137" t="str"/>
      <x:c r="I402" s="137" t="str"/>
      <x:c r="J402" s="137" t="str"/>
      <x:c r="K402" s="137" t="str"/>
      <x:c r="L402" s="160" t="str"/>
      <x:c r="M402" s="160" t="str"/>
      <x:c r="N402" s="151" t="str"/>
      <x:c r="O402" s="151" t="str"/>
      <x:c r="P402" s="151" t="str"/>
      <x:c r="Q402" s="151" t="str"/>
      <x:c r="R402" s="151" t="str"/>
      <x:c r="S402" s="151" t="str"/>
      <x:c r="T402" s="152" t="n">
        <x:f>IF(COUNTA(O402:S402)=0,"",MAX(0,IF(O402="",0,O402)+IF(P402="",0,P402)-IF(Q402="",0,Q402)-IF(R402="",0,R402)))</x:f>
        <x:v>0</x:v>
      </x:c>
      <x:c r="U402" s="152" t="str">
        <x:f>IF(OR(N402="",Q402=""),"",Q402-N402)</x:f>
      </x:c>
      <x:c r="V402" s="202" t="str">
        <x:f>IFERROR(Q402/N402,"")</x:f>
      </x:c>
      <x:c r="W402" s="137" t="str"/>
      <x:c r="X402" s="137" t="str"/>
      <x:c r="Y402" s="137" t="str"/>
      <x:c r="Z402" s="137" t="str"/>
      <x:c r="AA402" s="137" t="str"/>
      <x:c r="AB402" s="137" t="str"/>
      <x:c r="AC402" s="137" t="str"/>
      <x:c r="AD402" s="199" t="str"/>
    </x:row>
    <x:row r="403">
      <x:c r="A403" s="137" t="str"/>
      <x:c r="B403" s="138" t="str"/>
      <x:c r="C403" s="137" t="str"/>
      <x:c r="D403" s="137" t="str"/>
      <x:c r="E403" s="137" t="str"/>
      <x:c r="F403" s="137" t="str"/>
      <x:c r="G403" s="137" t="str"/>
      <x:c r="H403" s="137" t="str"/>
      <x:c r="I403" s="137" t="str"/>
      <x:c r="J403" s="137" t="str"/>
      <x:c r="K403" s="137" t="str"/>
      <x:c r="L403" s="160" t="str"/>
      <x:c r="M403" s="160" t="str"/>
      <x:c r="N403" s="151" t="str"/>
      <x:c r="O403" s="151" t="str"/>
      <x:c r="P403" s="151" t="str"/>
      <x:c r="Q403" s="151" t="str"/>
      <x:c r="R403" s="151" t="str"/>
      <x:c r="S403" s="151" t="str"/>
      <x:c r="T403" s="152" t="n">
        <x:f>IF(COUNTA(O403:S403)=0,"",MAX(0,IF(O403="",0,O403)+IF(P403="",0,P403)-IF(Q403="",0,Q403)-IF(R403="",0,R403)))</x:f>
        <x:v>0</x:v>
      </x:c>
      <x:c r="U403" s="152" t="str">
        <x:f>IF(OR(N403="",Q403=""),"",Q403-N403)</x:f>
      </x:c>
      <x:c r="V403" s="202" t="str">
        <x:f>IFERROR(Q403/N403,"")</x:f>
      </x:c>
      <x:c r="W403" s="137" t="str"/>
      <x:c r="X403" s="137" t="str"/>
      <x:c r="Y403" s="137" t="str"/>
      <x:c r="Z403" s="137" t="str"/>
      <x:c r="AA403" s="137" t="str"/>
      <x:c r="AB403" s="137" t="str"/>
      <x:c r="AC403" s="137" t="str"/>
      <x:c r="AD403" s="199" t="str"/>
    </x:row>
    <x:row r="404">
      <x:c r="A404" s="137" t="str"/>
      <x:c r="B404" s="138" t="str"/>
      <x:c r="C404" s="137" t="str"/>
      <x:c r="D404" s="137" t="str"/>
      <x:c r="E404" s="137" t="str"/>
      <x:c r="F404" s="137" t="str"/>
      <x:c r="G404" s="137" t="str"/>
      <x:c r="H404" s="137" t="str"/>
      <x:c r="I404" s="137" t="str"/>
      <x:c r="J404" s="137" t="str"/>
      <x:c r="K404" s="137" t="str"/>
      <x:c r="L404" s="160" t="str"/>
      <x:c r="M404" s="160" t="str"/>
      <x:c r="N404" s="151" t="str"/>
      <x:c r="O404" s="151" t="str"/>
      <x:c r="P404" s="151" t="str"/>
      <x:c r="Q404" s="151" t="str"/>
      <x:c r="R404" s="151" t="str"/>
      <x:c r="S404" s="151" t="str"/>
      <x:c r="T404" s="152" t="n">
        <x:f>IF(COUNTA(O404:S404)=0,"",MAX(0,IF(O404="",0,O404)+IF(P404="",0,P404)-IF(Q404="",0,Q404)-IF(R404="",0,R404)))</x:f>
        <x:v>0</x:v>
      </x:c>
      <x:c r="U404" s="152" t="str">
        <x:f>IF(OR(N404="",Q404=""),"",Q404-N404)</x:f>
      </x:c>
      <x:c r="V404" s="202" t="str">
        <x:f>IFERROR(Q404/N404,"")</x:f>
      </x:c>
      <x:c r="W404" s="137" t="str"/>
      <x:c r="X404" s="137" t="str"/>
      <x:c r="Y404" s="137" t="str"/>
      <x:c r="Z404" s="137" t="str"/>
      <x:c r="AA404" s="137" t="str"/>
      <x:c r="AB404" s="137" t="str"/>
      <x:c r="AC404" s="137" t="str"/>
      <x:c r="AD404" s="199" t="str"/>
    </x:row>
    <x:row r="405">
      <x:c r="A405" s="137" t="str"/>
      <x:c r="B405" s="138" t="str"/>
      <x:c r="C405" s="137" t="str"/>
      <x:c r="D405" s="137" t="str"/>
      <x:c r="E405" s="137" t="str"/>
      <x:c r="F405" s="137" t="str"/>
      <x:c r="G405" s="137" t="str"/>
      <x:c r="H405" s="137" t="str"/>
      <x:c r="I405" s="137" t="str"/>
      <x:c r="J405" s="137" t="str"/>
      <x:c r="K405" s="137" t="str"/>
      <x:c r="L405" s="160" t="str"/>
      <x:c r="M405" s="160" t="str"/>
      <x:c r="N405" s="151" t="str"/>
      <x:c r="O405" s="151" t="str"/>
      <x:c r="P405" s="151" t="str"/>
      <x:c r="Q405" s="151" t="str"/>
      <x:c r="R405" s="151" t="str"/>
      <x:c r="S405" s="151" t="str"/>
      <x:c r="T405" s="152" t="n">
        <x:f>IF(COUNTA(O405:S405)=0,"",MAX(0,IF(O405="",0,O405)+IF(P405="",0,P405)-IF(Q405="",0,Q405)-IF(R405="",0,R405)))</x:f>
        <x:v>0</x:v>
      </x:c>
      <x:c r="U405" s="152" t="str">
        <x:f>IF(OR(N405="",Q405=""),"",Q405-N405)</x:f>
      </x:c>
      <x:c r="V405" s="202" t="str">
        <x:f>IFERROR(Q405/N405,"")</x:f>
      </x:c>
      <x:c r="W405" s="137" t="str"/>
      <x:c r="X405" s="137" t="str"/>
      <x:c r="Y405" s="137" t="str"/>
      <x:c r="Z405" s="137" t="str"/>
      <x:c r="AA405" s="137" t="str"/>
      <x:c r="AB405" s="137" t="str"/>
      <x:c r="AC405" s="137" t="str"/>
      <x:c r="AD405" s="199" t="str"/>
    </x:row>
    <x:row r="406">
      <x:c r="A406" s="137" t="str"/>
      <x:c r="B406" s="138" t="str"/>
      <x:c r="C406" s="137" t="str"/>
      <x:c r="D406" s="137" t="str"/>
      <x:c r="E406" s="137" t="str"/>
      <x:c r="F406" s="137" t="str"/>
      <x:c r="G406" s="137" t="str"/>
      <x:c r="H406" s="137" t="str"/>
      <x:c r="I406" s="137" t="str"/>
      <x:c r="J406" s="137" t="str"/>
      <x:c r="K406" s="137" t="str"/>
      <x:c r="L406" s="160" t="str"/>
      <x:c r="M406" s="160" t="str"/>
      <x:c r="N406" s="151" t="str"/>
      <x:c r="O406" s="151" t="str"/>
      <x:c r="P406" s="151" t="str"/>
      <x:c r="Q406" s="151" t="str"/>
      <x:c r="R406" s="151" t="str"/>
      <x:c r="S406" s="151" t="str"/>
      <x:c r="T406" s="152" t="n">
        <x:f>IF(COUNTA(O406:S406)=0,"",MAX(0,IF(O406="",0,O406)+IF(P406="",0,P406)-IF(Q406="",0,Q406)-IF(R406="",0,R406)))</x:f>
        <x:v>0</x:v>
      </x:c>
      <x:c r="U406" s="152" t="str">
        <x:f>IF(OR(N406="",Q406=""),"",Q406-N406)</x:f>
      </x:c>
      <x:c r="V406" s="202" t="str">
        <x:f>IFERROR(Q406/N406,"")</x:f>
      </x:c>
      <x:c r="W406" s="137" t="str"/>
      <x:c r="X406" s="137" t="str"/>
      <x:c r="Y406" s="137" t="str"/>
      <x:c r="Z406" s="137" t="str"/>
      <x:c r="AA406" s="137" t="str"/>
      <x:c r="AB406" s="137" t="str"/>
      <x:c r="AC406" s="137" t="str"/>
      <x:c r="AD406" s="199" t="str"/>
    </x:row>
    <x:row r="407">
      <x:c r="A407" s="137" t="str"/>
      <x:c r="B407" s="138" t="str"/>
      <x:c r="C407" s="137" t="str"/>
      <x:c r="D407" s="137" t="str"/>
      <x:c r="E407" s="137" t="str"/>
      <x:c r="F407" s="137" t="str"/>
      <x:c r="G407" s="137" t="str"/>
      <x:c r="H407" s="137" t="str"/>
      <x:c r="I407" s="137" t="str"/>
      <x:c r="J407" s="137" t="str"/>
      <x:c r="K407" s="137" t="str"/>
      <x:c r="L407" s="160" t="str"/>
      <x:c r="M407" s="160" t="str"/>
      <x:c r="N407" s="151" t="str"/>
      <x:c r="O407" s="151" t="str"/>
      <x:c r="P407" s="151" t="str"/>
      <x:c r="Q407" s="151" t="str"/>
      <x:c r="R407" s="151" t="str"/>
      <x:c r="S407" s="151" t="str"/>
      <x:c r="T407" s="152" t="n">
        <x:f>IF(COUNTA(O407:S407)=0,"",MAX(0,IF(O407="",0,O407)+IF(P407="",0,P407)-IF(Q407="",0,Q407)-IF(R407="",0,R407)))</x:f>
        <x:v>0</x:v>
      </x:c>
      <x:c r="U407" s="152" t="str">
        <x:f>IF(OR(N407="",Q407=""),"",Q407-N407)</x:f>
      </x:c>
      <x:c r="V407" s="202" t="str">
        <x:f>IFERROR(Q407/N407,"")</x:f>
      </x:c>
      <x:c r="W407" s="137" t="str"/>
      <x:c r="X407" s="137" t="str"/>
      <x:c r="Y407" s="137" t="str"/>
      <x:c r="Z407" s="137" t="str"/>
      <x:c r="AA407" s="137" t="str"/>
      <x:c r="AB407" s="137" t="str"/>
      <x:c r="AC407" s="137" t="str"/>
      <x:c r="AD407" s="199" t="str"/>
    </x:row>
    <x:row r="408">
      <x:c r="A408" s="137" t="str"/>
      <x:c r="B408" s="138" t="str"/>
      <x:c r="C408" s="137" t="str"/>
      <x:c r="D408" s="137" t="str"/>
      <x:c r="E408" s="137" t="str"/>
      <x:c r="F408" s="137" t="str"/>
      <x:c r="G408" s="137" t="str"/>
      <x:c r="H408" s="137" t="str"/>
      <x:c r="I408" s="137" t="str"/>
      <x:c r="J408" s="137" t="str"/>
      <x:c r="K408" s="137" t="str"/>
      <x:c r="L408" s="160" t="str"/>
      <x:c r="M408" s="160" t="str"/>
      <x:c r="N408" s="151" t="str"/>
      <x:c r="O408" s="151" t="str"/>
      <x:c r="P408" s="151" t="str"/>
      <x:c r="Q408" s="151" t="str"/>
      <x:c r="R408" s="151" t="str"/>
      <x:c r="S408" s="151" t="str"/>
      <x:c r="T408" s="152" t="n">
        <x:f>IF(COUNTA(O408:S408)=0,"",MAX(0,IF(O408="",0,O408)+IF(P408="",0,P408)-IF(Q408="",0,Q408)-IF(R408="",0,R408)))</x:f>
        <x:v>0</x:v>
      </x:c>
      <x:c r="U408" s="152" t="str">
        <x:f>IF(OR(N408="",Q408=""),"",Q408-N408)</x:f>
      </x:c>
      <x:c r="V408" s="202" t="str">
        <x:f>IFERROR(Q408/N408,"")</x:f>
      </x:c>
      <x:c r="W408" s="137" t="str"/>
      <x:c r="X408" s="137" t="str"/>
      <x:c r="Y408" s="137" t="str"/>
      <x:c r="Z408" s="137" t="str"/>
      <x:c r="AA408" s="137" t="str"/>
      <x:c r="AB408" s="137" t="str"/>
      <x:c r="AC408" s="137" t="str"/>
      <x:c r="AD408" s="199" t="str"/>
    </x:row>
    <x:row r="409">
      <x:c r="A409" s="137" t="str"/>
      <x:c r="B409" s="138" t="str"/>
      <x:c r="C409" s="137" t="str"/>
      <x:c r="D409" s="137" t="str"/>
      <x:c r="E409" s="137" t="str"/>
      <x:c r="F409" s="137" t="str"/>
      <x:c r="G409" s="137" t="str"/>
      <x:c r="H409" s="137" t="str"/>
      <x:c r="I409" s="137" t="str"/>
      <x:c r="J409" s="137" t="str"/>
      <x:c r="K409" s="137" t="str"/>
      <x:c r="L409" s="160" t="str"/>
      <x:c r="M409" s="160" t="str"/>
      <x:c r="N409" s="151" t="str"/>
      <x:c r="O409" s="151" t="str"/>
      <x:c r="P409" s="151" t="str"/>
      <x:c r="Q409" s="151" t="str"/>
      <x:c r="R409" s="151" t="str"/>
      <x:c r="S409" s="151" t="str"/>
      <x:c r="T409" s="152" t="n">
        <x:f>IF(COUNTA(O409:S409)=0,"",MAX(0,IF(O409="",0,O409)+IF(P409="",0,P409)-IF(Q409="",0,Q409)-IF(R409="",0,R409)))</x:f>
        <x:v>0</x:v>
      </x:c>
      <x:c r="U409" s="152" t="str">
        <x:f>IF(OR(N409="",Q409=""),"",Q409-N409)</x:f>
      </x:c>
      <x:c r="V409" s="202" t="str">
        <x:f>IFERROR(Q409/N409,"")</x:f>
      </x:c>
      <x:c r="W409" s="137" t="str"/>
      <x:c r="X409" s="137" t="str"/>
      <x:c r="Y409" s="137" t="str"/>
      <x:c r="Z409" s="137" t="str"/>
      <x:c r="AA409" s="137" t="str"/>
      <x:c r="AB409" s="137" t="str"/>
      <x:c r="AC409" s="137" t="str"/>
      <x:c r="AD409" s="199" t="str"/>
    </x:row>
    <x:row r="410">
      <x:c r="A410" s="137" t="str"/>
      <x:c r="B410" s="138" t="str"/>
      <x:c r="C410" s="137" t="str"/>
      <x:c r="D410" s="137" t="str"/>
      <x:c r="E410" s="137" t="str"/>
      <x:c r="F410" s="137" t="str"/>
      <x:c r="G410" s="137" t="str"/>
      <x:c r="H410" s="137" t="str"/>
      <x:c r="I410" s="137" t="str"/>
      <x:c r="J410" s="137" t="str"/>
      <x:c r="K410" s="137" t="str"/>
      <x:c r="L410" s="160" t="str"/>
      <x:c r="M410" s="160" t="str"/>
      <x:c r="N410" s="151" t="str"/>
      <x:c r="O410" s="151" t="str"/>
      <x:c r="P410" s="151" t="str"/>
      <x:c r="Q410" s="151" t="str"/>
      <x:c r="R410" s="151" t="str"/>
      <x:c r="S410" s="151" t="str"/>
      <x:c r="T410" s="152" t="n">
        <x:f>IF(COUNTA(O410:S410)=0,"",MAX(0,IF(O410="",0,O410)+IF(P410="",0,P410)-IF(Q410="",0,Q410)-IF(R410="",0,R410)))</x:f>
        <x:v>0</x:v>
      </x:c>
      <x:c r="U410" s="152" t="str">
        <x:f>IF(OR(N410="",Q410=""),"",Q410-N410)</x:f>
      </x:c>
      <x:c r="V410" s="202" t="str">
        <x:f>IFERROR(Q410/N410,"")</x:f>
      </x:c>
      <x:c r="W410" s="137" t="str"/>
      <x:c r="X410" s="137" t="str"/>
      <x:c r="Y410" s="137" t="str"/>
      <x:c r="Z410" s="137" t="str"/>
      <x:c r="AA410" s="137" t="str"/>
      <x:c r="AB410" s="137" t="str"/>
      <x:c r="AC410" s="137" t="str"/>
      <x:c r="AD410" s="199" t="str"/>
    </x:row>
    <x:row r="411">
      <x:c r="A411" s="137" t="str"/>
      <x:c r="B411" s="138" t="str"/>
      <x:c r="C411" s="137" t="str"/>
      <x:c r="D411" s="137" t="str"/>
      <x:c r="E411" s="137" t="str"/>
      <x:c r="F411" s="137" t="str"/>
      <x:c r="G411" s="137" t="str"/>
      <x:c r="H411" s="137" t="str"/>
      <x:c r="I411" s="137" t="str"/>
      <x:c r="J411" s="137" t="str"/>
      <x:c r="K411" s="137" t="str"/>
      <x:c r="L411" s="160" t="str"/>
      <x:c r="M411" s="160" t="str"/>
      <x:c r="N411" s="151" t="str"/>
      <x:c r="O411" s="151" t="str"/>
      <x:c r="P411" s="151" t="str"/>
      <x:c r="Q411" s="151" t="str"/>
      <x:c r="R411" s="151" t="str"/>
      <x:c r="S411" s="151" t="str"/>
      <x:c r="T411" s="152" t="n">
        <x:f>IF(COUNTA(O411:S411)=0,"",MAX(0,IF(O411="",0,O411)+IF(P411="",0,P411)-IF(Q411="",0,Q411)-IF(R411="",0,R411)))</x:f>
        <x:v>0</x:v>
      </x:c>
      <x:c r="U411" s="152" t="str">
        <x:f>IF(OR(N411="",Q411=""),"",Q411-N411)</x:f>
      </x:c>
      <x:c r="V411" s="202" t="str">
        <x:f>IFERROR(Q411/N411,"")</x:f>
      </x:c>
      <x:c r="W411" s="137" t="str"/>
      <x:c r="X411" s="137" t="str"/>
      <x:c r="Y411" s="137" t="str"/>
      <x:c r="Z411" s="137" t="str"/>
      <x:c r="AA411" s="137" t="str"/>
      <x:c r="AB411" s="137" t="str"/>
      <x:c r="AC411" s="137" t="str"/>
      <x:c r="AD411" s="199" t="str"/>
    </x:row>
    <x:row r="412">
      <x:c r="A412" s="137" t="str"/>
      <x:c r="B412" s="138" t="str"/>
      <x:c r="C412" s="137" t="str"/>
      <x:c r="D412" s="137" t="str"/>
      <x:c r="E412" s="137" t="str"/>
      <x:c r="F412" s="137" t="str"/>
      <x:c r="G412" s="137" t="str"/>
      <x:c r="H412" s="137" t="str"/>
      <x:c r="I412" s="137" t="str"/>
      <x:c r="J412" s="137" t="str"/>
      <x:c r="K412" s="137" t="str"/>
      <x:c r="L412" s="160" t="str"/>
      <x:c r="M412" s="160" t="str"/>
      <x:c r="N412" s="151" t="str"/>
      <x:c r="O412" s="151" t="str"/>
      <x:c r="P412" s="151" t="str"/>
      <x:c r="Q412" s="151" t="str"/>
      <x:c r="R412" s="151" t="str"/>
      <x:c r="S412" s="151" t="str"/>
      <x:c r="T412" s="152" t="n">
        <x:f>IF(COUNTA(O412:S412)=0,"",MAX(0,IF(O412="",0,O412)+IF(P412="",0,P412)-IF(Q412="",0,Q412)-IF(R412="",0,R412)))</x:f>
        <x:v>0</x:v>
      </x:c>
      <x:c r="U412" s="152" t="str">
        <x:f>IF(OR(N412="",Q412=""),"",Q412-N412)</x:f>
      </x:c>
      <x:c r="V412" s="202" t="str">
        <x:f>IFERROR(Q412/N412,"")</x:f>
      </x:c>
      <x:c r="W412" s="137" t="str"/>
      <x:c r="X412" s="137" t="str"/>
      <x:c r="Y412" s="137" t="str"/>
      <x:c r="Z412" s="137" t="str"/>
      <x:c r="AA412" s="137" t="str"/>
      <x:c r="AB412" s="137" t="str"/>
      <x:c r="AC412" s="137" t="str"/>
      <x:c r="AD412" s="199" t="str"/>
    </x:row>
    <x:row r="413">
      <x:c r="A413" s="137" t="str"/>
      <x:c r="B413" s="138" t="str"/>
      <x:c r="C413" s="137" t="str"/>
      <x:c r="D413" s="137" t="str"/>
      <x:c r="E413" s="137" t="str"/>
      <x:c r="F413" s="137" t="str"/>
      <x:c r="G413" s="137" t="str"/>
      <x:c r="H413" s="137" t="str"/>
      <x:c r="I413" s="137" t="str"/>
      <x:c r="J413" s="137" t="str"/>
      <x:c r="K413" s="137" t="str"/>
      <x:c r="L413" s="160" t="str"/>
      <x:c r="M413" s="160" t="str"/>
      <x:c r="N413" s="151" t="str"/>
      <x:c r="O413" s="151" t="str"/>
      <x:c r="P413" s="151" t="str"/>
      <x:c r="Q413" s="151" t="str"/>
      <x:c r="R413" s="151" t="str"/>
      <x:c r="S413" s="151" t="str"/>
      <x:c r="T413" s="152" t="n">
        <x:f>IF(COUNTA(O413:S413)=0,"",MAX(0,IF(O413="",0,O413)+IF(P413="",0,P413)-IF(Q413="",0,Q413)-IF(R413="",0,R413)))</x:f>
        <x:v>0</x:v>
      </x:c>
      <x:c r="U413" s="152" t="str">
        <x:f>IF(OR(N413="",Q413=""),"",Q413-N413)</x:f>
      </x:c>
      <x:c r="V413" s="202" t="str">
        <x:f>IFERROR(Q413/N413,"")</x:f>
      </x:c>
      <x:c r="W413" s="137" t="str"/>
      <x:c r="X413" s="137" t="str"/>
      <x:c r="Y413" s="137" t="str"/>
      <x:c r="Z413" s="137" t="str"/>
      <x:c r="AA413" s="137" t="str"/>
      <x:c r="AB413" s="137" t="str"/>
      <x:c r="AC413" s="137" t="str"/>
      <x:c r="AD413" s="199" t="str"/>
    </x:row>
    <x:row r="414">
      <x:c r="A414" s="137" t="str"/>
      <x:c r="B414" s="138" t="str"/>
      <x:c r="C414" s="137" t="str"/>
      <x:c r="D414" s="137" t="str"/>
      <x:c r="E414" s="137" t="str"/>
      <x:c r="F414" s="137" t="str"/>
      <x:c r="G414" s="137" t="str"/>
      <x:c r="H414" s="137" t="str"/>
      <x:c r="I414" s="137" t="str"/>
      <x:c r="J414" s="137" t="str"/>
      <x:c r="K414" s="137" t="str"/>
      <x:c r="L414" s="160" t="str"/>
      <x:c r="M414" s="160" t="str"/>
      <x:c r="N414" s="151" t="str"/>
      <x:c r="O414" s="151" t="str"/>
      <x:c r="P414" s="151" t="str"/>
      <x:c r="Q414" s="151" t="str"/>
      <x:c r="R414" s="151" t="str"/>
      <x:c r="S414" s="151" t="str"/>
      <x:c r="T414" s="152" t="n">
        <x:f>IF(COUNTA(O414:S414)=0,"",MAX(0,IF(O414="",0,O414)+IF(P414="",0,P414)-IF(Q414="",0,Q414)-IF(R414="",0,R414)))</x:f>
        <x:v>0</x:v>
      </x:c>
      <x:c r="U414" s="152" t="str">
        <x:f>IF(OR(N414="",Q414=""),"",Q414-N414)</x:f>
      </x:c>
      <x:c r="V414" s="202" t="str">
        <x:f>IFERROR(Q414/N414,"")</x:f>
      </x:c>
      <x:c r="W414" s="137" t="str"/>
      <x:c r="X414" s="137" t="str"/>
      <x:c r="Y414" s="137" t="str"/>
      <x:c r="Z414" s="137" t="str"/>
      <x:c r="AA414" s="137" t="str"/>
      <x:c r="AB414" s="137" t="str"/>
      <x:c r="AC414" s="137" t="str"/>
      <x:c r="AD414" s="199" t="str"/>
    </x:row>
    <x:row r="415">
      <x:c r="A415" s="137" t="str"/>
      <x:c r="B415" s="138" t="str"/>
      <x:c r="C415" s="137" t="str"/>
      <x:c r="D415" s="137" t="str"/>
      <x:c r="E415" s="137" t="str"/>
      <x:c r="F415" s="137" t="str"/>
      <x:c r="G415" s="137" t="str"/>
      <x:c r="H415" s="137" t="str"/>
      <x:c r="I415" s="137" t="str"/>
      <x:c r="J415" s="137" t="str"/>
      <x:c r="K415" s="137" t="str"/>
      <x:c r="L415" s="160" t="str"/>
      <x:c r="M415" s="160" t="str"/>
      <x:c r="N415" s="151" t="str"/>
      <x:c r="O415" s="151" t="str"/>
      <x:c r="P415" s="151" t="str"/>
      <x:c r="Q415" s="151" t="str"/>
      <x:c r="R415" s="151" t="str"/>
      <x:c r="S415" s="151" t="str"/>
      <x:c r="T415" s="152" t="n">
        <x:f>IF(COUNTA(O415:S415)=0,"",MAX(0,IF(O415="",0,O415)+IF(P415="",0,P415)-IF(Q415="",0,Q415)-IF(R415="",0,R415)))</x:f>
        <x:v>0</x:v>
      </x:c>
      <x:c r="U415" s="152" t="str">
        <x:f>IF(OR(N415="",Q415=""),"",Q415-N415)</x:f>
      </x:c>
      <x:c r="V415" s="202" t="str">
        <x:f>IFERROR(Q415/N415,"")</x:f>
      </x:c>
      <x:c r="W415" s="137" t="str"/>
      <x:c r="X415" s="137" t="str"/>
      <x:c r="Y415" s="137" t="str"/>
      <x:c r="Z415" s="137" t="str"/>
      <x:c r="AA415" s="137" t="str"/>
      <x:c r="AB415" s="137" t="str"/>
      <x:c r="AC415" s="137" t="str"/>
      <x:c r="AD415" s="199" t="str"/>
    </x:row>
    <x:row r="416">
      <x:c r="A416" s="137" t="str"/>
      <x:c r="B416" s="138" t="str"/>
      <x:c r="C416" s="137" t="str"/>
      <x:c r="D416" s="137" t="str"/>
      <x:c r="E416" s="137" t="str"/>
      <x:c r="F416" s="137" t="str"/>
      <x:c r="G416" s="137" t="str"/>
      <x:c r="H416" s="137" t="str"/>
      <x:c r="I416" s="137" t="str"/>
      <x:c r="J416" s="137" t="str"/>
      <x:c r="K416" s="137" t="str"/>
      <x:c r="L416" s="160" t="str"/>
      <x:c r="M416" s="160" t="str"/>
      <x:c r="N416" s="151" t="str"/>
      <x:c r="O416" s="151" t="str"/>
      <x:c r="P416" s="151" t="str"/>
      <x:c r="Q416" s="151" t="str"/>
      <x:c r="R416" s="151" t="str"/>
      <x:c r="S416" s="151" t="str"/>
      <x:c r="T416" s="152" t="n">
        <x:f>IF(COUNTA(O416:S416)=0,"",MAX(0,IF(O416="",0,O416)+IF(P416="",0,P416)-IF(Q416="",0,Q416)-IF(R416="",0,R416)))</x:f>
        <x:v>0</x:v>
      </x:c>
      <x:c r="U416" s="152" t="str">
        <x:f>IF(OR(N416="",Q416=""),"",Q416-N416)</x:f>
      </x:c>
      <x:c r="V416" s="202" t="str">
        <x:f>IFERROR(Q416/N416,"")</x:f>
      </x:c>
      <x:c r="W416" s="137" t="str"/>
      <x:c r="X416" s="137" t="str"/>
      <x:c r="Y416" s="137" t="str"/>
      <x:c r="Z416" s="137" t="str"/>
      <x:c r="AA416" s="137" t="str"/>
      <x:c r="AB416" s="137" t="str"/>
      <x:c r="AC416" s="137" t="str"/>
      <x:c r="AD416" s="199" t="str"/>
    </x:row>
    <x:row r="417">
      <x:c r="A417" s="137" t="str"/>
      <x:c r="B417" s="138" t="str"/>
      <x:c r="C417" s="137" t="str"/>
      <x:c r="D417" s="137" t="str"/>
      <x:c r="E417" s="137" t="str"/>
      <x:c r="F417" s="137" t="str"/>
      <x:c r="G417" s="137" t="str"/>
      <x:c r="H417" s="137" t="str"/>
      <x:c r="I417" s="137" t="str"/>
      <x:c r="J417" s="137" t="str"/>
      <x:c r="K417" s="137" t="str"/>
      <x:c r="L417" s="160" t="str"/>
      <x:c r="M417" s="160" t="str"/>
      <x:c r="N417" s="151" t="str"/>
      <x:c r="O417" s="151" t="str"/>
      <x:c r="P417" s="151" t="str"/>
      <x:c r="Q417" s="151" t="str"/>
      <x:c r="R417" s="151" t="str"/>
      <x:c r="S417" s="151" t="str"/>
      <x:c r="T417" s="152" t="n">
        <x:f>IF(COUNTA(O417:S417)=0,"",MAX(0,IF(O417="",0,O417)+IF(P417="",0,P417)-IF(Q417="",0,Q417)-IF(R417="",0,R417)))</x:f>
        <x:v>0</x:v>
      </x:c>
      <x:c r="U417" s="152" t="str">
        <x:f>IF(OR(N417="",Q417=""),"",Q417-N417)</x:f>
      </x:c>
      <x:c r="V417" s="202" t="str">
        <x:f>IFERROR(Q417/N417,"")</x:f>
      </x:c>
      <x:c r="W417" s="137" t="str"/>
      <x:c r="X417" s="137" t="str"/>
      <x:c r="Y417" s="137" t="str"/>
      <x:c r="Z417" s="137" t="str"/>
      <x:c r="AA417" s="137" t="str"/>
      <x:c r="AB417" s="137" t="str"/>
      <x:c r="AC417" s="137" t="str"/>
      <x:c r="AD417" s="199" t="str"/>
    </x:row>
    <x:row r="418">
      <x:c r="A418" s="137" t="str"/>
      <x:c r="B418" s="138" t="str"/>
      <x:c r="C418" s="137" t="str"/>
      <x:c r="D418" s="137" t="str"/>
      <x:c r="E418" s="137" t="str"/>
      <x:c r="F418" s="137" t="str"/>
      <x:c r="G418" s="137" t="str"/>
      <x:c r="H418" s="137" t="str"/>
      <x:c r="I418" s="137" t="str"/>
      <x:c r="J418" s="137" t="str"/>
      <x:c r="K418" s="137" t="str"/>
      <x:c r="L418" s="160" t="str"/>
      <x:c r="M418" s="160" t="str"/>
      <x:c r="N418" s="151" t="str"/>
      <x:c r="O418" s="151" t="str"/>
      <x:c r="P418" s="151" t="str"/>
      <x:c r="Q418" s="151" t="str"/>
      <x:c r="R418" s="151" t="str"/>
      <x:c r="S418" s="151" t="str"/>
      <x:c r="T418" s="152" t="n">
        <x:f>IF(COUNTA(O418:S418)=0,"",MAX(0,IF(O418="",0,O418)+IF(P418="",0,P418)-IF(Q418="",0,Q418)-IF(R418="",0,R418)))</x:f>
        <x:v>0</x:v>
      </x:c>
      <x:c r="U418" s="152" t="str">
        <x:f>IF(OR(N418="",Q418=""),"",Q418-N418)</x:f>
      </x:c>
      <x:c r="V418" s="202" t="str">
        <x:f>IFERROR(Q418/N418,"")</x:f>
      </x:c>
      <x:c r="W418" s="137" t="str"/>
      <x:c r="X418" s="137" t="str"/>
      <x:c r="Y418" s="137" t="str"/>
      <x:c r="Z418" s="137" t="str"/>
      <x:c r="AA418" s="137" t="str"/>
      <x:c r="AB418" s="137" t="str"/>
      <x:c r="AC418" s="137" t="str"/>
      <x:c r="AD418" s="199" t="str"/>
    </x:row>
    <x:row r="419">
      <x:c r="A419" s="137" t="str"/>
      <x:c r="B419" s="138" t="str"/>
      <x:c r="C419" s="137" t="str"/>
      <x:c r="D419" s="137" t="str"/>
      <x:c r="E419" s="137" t="str"/>
      <x:c r="F419" s="137" t="str"/>
      <x:c r="G419" s="137" t="str"/>
      <x:c r="H419" s="137" t="str"/>
      <x:c r="I419" s="137" t="str"/>
      <x:c r="J419" s="137" t="str"/>
      <x:c r="K419" s="137" t="str"/>
      <x:c r="L419" s="160" t="str"/>
      <x:c r="M419" s="160" t="str"/>
      <x:c r="N419" s="151" t="str"/>
      <x:c r="O419" s="151" t="str"/>
      <x:c r="P419" s="151" t="str"/>
      <x:c r="Q419" s="151" t="str"/>
      <x:c r="R419" s="151" t="str"/>
      <x:c r="S419" s="151" t="str"/>
      <x:c r="T419" s="152" t="n">
        <x:f>IF(COUNTA(O419:S419)=0,"",MAX(0,IF(O419="",0,O419)+IF(P419="",0,P419)-IF(Q419="",0,Q419)-IF(R419="",0,R419)))</x:f>
        <x:v>0</x:v>
      </x:c>
      <x:c r="U419" s="152" t="str">
        <x:f>IF(OR(N419="",Q419=""),"",Q419-N419)</x:f>
      </x:c>
      <x:c r="V419" s="202" t="str">
        <x:f>IFERROR(Q419/N419,"")</x:f>
      </x:c>
      <x:c r="W419" s="137" t="str"/>
      <x:c r="X419" s="137" t="str"/>
      <x:c r="Y419" s="137" t="str"/>
      <x:c r="Z419" s="137" t="str"/>
      <x:c r="AA419" s="137" t="str"/>
      <x:c r="AB419" s="137" t="str"/>
      <x:c r="AC419" s="137" t="str"/>
      <x:c r="AD419" s="199" t="str"/>
    </x:row>
    <x:row r="420">
      <x:c r="A420" s="137" t="str"/>
      <x:c r="B420" s="138" t="str"/>
      <x:c r="C420" s="137" t="str"/>
      <x:c r="D420" s="137" t="str"/>
      <x:c r="E420" s="137" t="str"/>
      <x:c r="F420" s="137" t="str"/>
      <x:c r="G420" s="137" t="str"/>
      <x:c r="H420" s="137" t="str"/>
      <x:c r="I420" s="137" t="str"/>
      <x:c r="J420" s="137" t="str"/>
      <x:c r="K420" s="137" t="str"/>
      <x:c r="L420" s="160" t="str"/>
      <x:c r="M420" s="160" t="str"/>
      <x:c r="N420" s="151" t="str"/>
      <x:c r="O420" s="151" t="str"/>
      <x:c r="P420" s="151" t="str"/>
      <x:c r="Q420" s="151" t="str"/>
      <x:c r="R420" s="151" t="str"/>
      <x:c r="S420" s="151" t="str"/>
      <x:c r="T420" s="152" t="n">
        <x:f>IF(COUNTA(O420:S420)=0,"",MAX(0,IF(O420="",0,O420)+IF(P420="",0,P420)-IF(Q420="",0,Q420)-IF(R420="",0,R420)))</x:f>
        <x:v>0</x:v>
      </x:c>
      <x:c r="U420" s="152" t="str">
        <x:f>IF(OR(N420="",Q420=""),"",Q420-N420)</x:f>
      </x:c>
      <x:c r="V420" s="202" t="str">
        <x:f>IFERROR(Q420/N420,"")</x:f>
      </x:c>
      <x:c r="W420" s="137" t="str"/>
      <x:c r="X420" s="137" t="str"/>
      <x:c r="Y420" s="137" t="str"/>
      <x:c r="Z420" s="137" t="str"/>
      <x:c r="AA420" s="137" t="str"/>
      <x:c r="AB420" s="137" t="str"/>
      <x:c r="AC420" s="137" t="str"/>
      <x:c r="AD420" s="199" t="str"/>
    </x:row>
    <x:row r="421">
      <x:c r="A421" s="137" t="str"/>
      <x:c r="B421" s="138" t="str"/>
      <x:c r="C421" s="137" t="str"/>
      <x:c r="D421" s="137" t="str"/>
      <x:c r="E421" s="137" t="str"/>
      <x:c r="F421" s="137" t="str"/>
      <x:c r="G421" s="137" t="str"/>
      <x:c r="H421" s="137" t="str"/>
      <x:c r="I421" s="137" t="str"/>
      <x:c r="J421" s="137" t="str"/>
      <x:c r="K421" s="137" t="str"/>
      <x:c r="L421" s="160" t="str"/>
      <x:c r="M421" s="160" t="str"/>
      <x:c r="N421" s="151" t="str"/>
      <x:c r="O421" s="151" t="str"/>
      <x:c r="P421" s="151" t="str"/>
      <x:c r="Q421" s="151" t="str"/>
      <x:c r="R421" s="151" t="str"/>
      <x:c r="S421" s="151" t="str"/>
      <x:c r="T421" s="152" t="n">
        <x:f>IF(COUNTA(O421:S421)=0,"",MAX(0,IF(O421="",0,O421)+IF(P421="",0,P421)-IF(Q421="",0,Q421)-IF(R421="",0,R421)))</x:f>
        <x:v>0</x:v>
      </x:c>
      <x:c r="U421" s="152" t="str">
        <x:f>IF(OR(N421="",Q421=""),"",Q421-N421)</x:f>
      </x:c>
      <x:c r="V421" s="202" t="str">
        <x:f>IFERROR(Q421/N421,"")</x:f>
      </x:c>
      <x:c r="W421" s="137" t="str"/>
      <x:c r="X421" s="137" t="str"/>
      <x:c r="Y421" s="137" t="str"/>
      <x:c r="Z421" s="137" t="str"/>
      <x:c r="AA421" s="137" t="str"/>
      <x:c r="AB421" s="137" t="str"/>
      <x:c r="AC421" s="137" t="str"/>
      <x:c r="AD421" s="199" t="str"/>
    </x:row>
    <x:row r="422">
      <x:c r="A422" s="137" t="str"/>
      <x:c r="B422" s="138" t="str"/>
      <x:c r="C422" s="137" t="str"/>
      <x:c r="D422" s="137" t="str"/>
      <x:c r="E422" s="137" t="str"/>
      <x:c r="F422" s="137" t="str"/>
      <x:c r="G422" s="137" t="str"/>
      <x:c r="H422" s="137" t="str"/>
      <x:c r="I422" s="137" t="str"/>
      <x:c r="J422" s="137" t="str"/>
      <x:c r="K422" s="137" t="str"/>
      <x:c r="L422" s="160" t="str"/>
      <x:c r="M422" s="160" t="str"/>
      <x:c r="N422" s="151" t="str"/>
      <x:c r="O422" s="151" t="str"/>
      <x:c r="P422" s="151" t="str"/>
      <x:c r="Q422" s="151" t="str"/>
      <x:c r="R422" s="151" t="str"/>
      <x:c r="S422" s="151" t="str"/>
      <x:c r="T422" s="152" t="n">
        <x:f>IF(COUNTA(O422:S422)=0,"",MAX(0,IF(O422="",0,O422)+IF(P422="",0,P422)-IF(Q422="",0,Q422)-IF(R422="",0,R422)))</x:f>
        <x:v>0</x:v>
      </x:c>
      <x:c r="U422" s="152" t="str">
        <x:f>IF(OR(N422="",Q422=""),"",Q422-N422)</x:f>
      </x:c>
      <x:c r="V422" s="202" t="str">
        <x:f>IFERROR(Q422/N422,"")</x:f>
      </x:c>
      <x:c r="W422" s="137" t="str"/>
      <x:c r="X422" s="137" t="str"/>
      <x:c r="Y422" s="137" t="str"/>
      <x:c r="Z422" s="137" t="str"/>
      <x:c r="AA422" s="137" t="str"/>
      <x:c r="AB422" s="137" t="str"/>
      <x:c r="AC422" s="137" t="str"/>
      <x:c r="AD422" s="199" t="str"/>
    </x:row>
    <x:row r="423">
      <x:c r="A423" s="137" t="str"/>
      <x:c r="B423" s="138" t="str"/>
      <x:c r="C423" s="137" t="str"/>
      <x:c r="D423" s="137" t="str"/>
      <x:c r="E423" s="137" t="str"/>
      <x:c r="F423" s="137" t="str"/>
      <x:c r="G423" s="137" t="str"/>
      <x:c r="H423" s="137" t="str"/>
      <x:c r="I423" s="137" t="str"/>
      <x:c r="J423" s="137" t="str"/>
      <x:c r="K423" s="137" t="str"/>
      <x:c r="L423" s="160" t="str"/>
      <x:c r="M423" s="160" t="str"/>
      <x:c r="N423" s="151" t="str"/>
      <x:c r="O423" s="151" t="str"/>
      <x:c r="P423" s="151" t="str"/>
      <x:c r="Q423" s="151" t="str"/>
      <x:c r="R423" s="151" t="str"/>
      <x:c r="S423" s="151" t="str"/>
      <x:c r="T423" s="152" t="n">
        <x:f>IF(COUNTA(O423:S423)=0,"",MAX(0,IF(O423="",0,O423)+IF(P423="",0,P423)-IF(Q423="",0,Q423)-IF(R423="",0,R423)))</x:f>
        <x:v>0</x:v>
      </x:c>
      <x:c r="U423" s="152" t="str">
        <x:f>IF(OR(N423="",Q423=""),"",Q423-N423)</x:f>
      </x:c>
      <x:c r="V423" s="202" t="str">
        <x:f>IFERROR(Q423/N423,"")</x:f>
      </x:c>
      <x:c r="W423" s="137" t="str"/>
      <x:c r="X423" s="137" t="str"/>
      <x:c r="Y423" s="137" t="str"/>
      <x:c r="Z423" s="137" t="str"/>
      <x:c r="AA423" s="137" t="str"/>
      <x:c r="AB423" s="137" t="str"/>
      <x:c r="AC423" s="137" t="str"/>
      <x:c r="AD423" s="199" t="str"/>
    </x:row>
    <x:row r="424">
      <x:c r="A424" s="137" t="str"/>
      <x:c r="B424" s="138" t="str"/>
      <x:c r="C424" s="137" t="str"/>
      <x:c r="D424" s="137" t="str"/>
      <x:c r="E424" s="137" t="str"/>
      <x:c r="F424" s="137" t="str"/>
      <x:c r="G424" s="137" t="str"/>
      <x:c r="H424" s="137" t="str"/>
      <x:c r="I424" s="137" t="str"/>
      <x:c r="J424" s="137" t="str"/>
      <x:c r="K424" s="137" t="str"/>
      <x:c r="L424" s="160" t="str"/>
      <x:c r="M424" s="160" t="str"/>
      <x:c r="N424" s="151" t="str"/>
      <x:c r="O424" s="151" t="str"/>
      <x:c r="P424" s="151" t="str"/>
      <x:c r="Q424" s="151" t="str"/>
      <x:c r="R424" s="151" t="str"/>
      <x:c r="S424" s="151" t="str"/>
      <x:c r="T424" s="152" t="n">
        <x:f>IF(COUNTA(O424:S424)=0,"",MAX(0,IF(O424="",0,O424)+IF(P424="",0,P424)-IF(Q424="",0,Q424)-IF(R424="",0,R424)))</x:f>
        <x:v>0</x:v>
      </x:c>
      <x:c r="U424" s="152" t="str">
        <x:f>IF(OR(N424="",Q424=""),"",Q424-N424)</x:f>
      </x:c>
      <x:c r="V424" s="202" t="str">
        <x:f>IFERROR(Q424/N424,"")</x:f>
      </x:c>
      <x:c r="W424" s="137" t="str"/>
      <x:c r="X424" s="137" t="str"/>
      <x:c r="Y424" s="137" t="str"/>
      <x:c r="Z424" s="137" t="str"/>
      <x:c r="AA424" s="137" t="str"/>
      <x:c r="AB424" s="137" t="str"/>
      <x:c r="AC424" s="137" t="str"/>
      <x:c r="AD424" s="199" t="str"/>
    </x:row>
    <x:row r="425">
      <x:c r="A425" s="137" t="str"/>
      <x:c r="B425" s="138" t="str"/>
      <x:c r="C425" s="137" t="str"/>
      <x:c r="D425" s="137" t="str"/>
      <x:c r="E425" s="137" t="str"/>
      <x:c r="F425" s="137" t="str"/>
      <x:c r="G425" s="137" t="str"/>
      <x:c r="H425" s="137" t="str"/>
      <x:c r="I425" s="137" t="str"/>
      <x:c r="J425" s="137" t="str"/>
      <x:c r="K425" s="137" t="str"/>
      <x:c r="L425" s="160" t="str"/>
      <x:c r="M425" s="160" t="str"/>
      <x:c r="N425" s="151" t="str"/>
      <x:c r="O425" s="151" t="str"/>
      <x:c r="P425" s="151" t="str"/>
      <x:c r="Q425" s="151" t="str"/>
      <x:c r="R425" s="151" t="str"/>
      <x:c r="S425" s="151" t="str"/>
      <x:c r="T425" s="152" t="n">
        <x:f>IF(COUNTA(O425:S425)=0,"",MAX(0,IF(O425="",0,O425)+IF(P425="",0,P425)-IF(Q425="",0,Q425)-IF(R425="",0,R425)))</x:f>
        <x:v>0</x:v>
      </x:c>
      <x:c r="U425" s="152" t="str">
        <x:f>IF(OR(N425="",Q425=""),"",Q425-N425)</x:f>
      </x:c>
      <x:c r="V425" s="202" t="str">
        <x:f>IFERROR(Q425/N425,"")</x:f>
      </x:c>
      <x:c r="W425" s="137" t="str"/>
      <x:c r="X425" s="137" t="str"/>
      <x:c r="Y425" s="137" t="str"/>
      <x:c r="Z425" s="137" t="str"/>
      <x:c r="AA425" s="137" t="str"/>
      <x:c r="AB425" s="137" t="str"/>
      <x:c r="AC425" s="137" t="str"/>
      <x:c r="AD425" s="199" t="str"/>
    </x:row>
    <x:row r="426">
      <x:c r="A426" s="137" t="str"/>
      <x:c r="B426" s="138" t="str"/>
      <x:c r="C426" s="137" t="str"/>
      <x:c r="D426" s="137" t="str"/>
      <x:c r="E426" s="137" t="str"/>
      <x:c r="F426" s="137" t="str"/>
      <x:c r="G426" s="137" t="str"/>
      <x:c r="H426" s="137" t="str"/>
      <x:c r="I426" s="137" t="str"/>
      <x:c r="J426" s="137" t="str"/>
      <x:c r="K426" s="137" t="str"/>
      <x:c r="L426" s="160" t="str"/>
      <x:c r="M426" s="160" t="str"/>
      <x:c r="N426" s="151" t="str"/>
      <x:c r="O426" s="151" t="str"/>
      <x:c r="P426" s="151" t="str"/>
      <x:c r="Q426" s="151" t="str"/>
      <x:c r="R426" s="151" t="str"/>
      <x:c r="S426" s="151" t="str"/>
      <x:c r="T426" s="152" t="n">
        <x:f>IF(COUNTA(O426:S426)=0,"",MAX(0,IF(O426="",0,O426)+IF(P426="",0,P426)-IF(Q426="",0,Q426)-IF(R426="",0,R426)))</x:f>
        <x:v>0</x:v>
      </x:c>
      <x:c r="U426" s="152" t="str">
        <x:f>IF(OR(N426="",Q426=""),"",Q426-N426)</x:f>
      </x:c>
      <x:c r="V426" s="202" t="str">
        <x:f>IFERROR(Q426/N426,"")</x:f>
      </x:c>
      <x:c r="W426" s="137" t="str"/>
      <x:c r="X426" s="137" t="str"/>
      <x:c r="Y426" s="137" t="str"/>
      <x:c r="Z426" s="137" t="str"/>
      <x:c r="AA426" s="137" t="str"/>
      <x:c r="AB426" s="137" t="str"/>
      <x:c r="AC426" s="137" t="str"/>
      <x:c r="AD426" s="199" t="str"/>
    </x:row>
    <x:row r="427">
      <x:c r="A427" s="137" t="str"/>
      <x:c r="B427" s="138" t="str"/>
      <x:c r="C427" s="137" t="str"/>
      <x:c r="D427" s="137" t="str"/>
      <x:c r="E427" s="137" t="str"/>
      <x:c r="F427" s="137" t="str"/>
      <x:c r="G427" s="137" t="str"/>
      <x:c r="H427" s="137" t="str"/>
      <x:c r="I427" s="137" t="str"/>
      <x:c r="J427" s="137" t="str"/>
      <x:c r="K427" s="137" t="str"/>
      <x:c r="L427" s="160" t="str"/>
      <x:c r="M427" s="160" t="str"/>
      <x:c r="N427" s="151" t="str"/>
      <x:c r="O427" s="151" t="str"/>
      <x:c r="P427" s="151" t="str"/>
      <x:c r="Q427" s="151" t="str"/>
      <x:c r="R427" s="151" t="str"/>
      <x:c r="S427" s="151" t="str"/>
      <x:c r="T427" s="152" t="n">
        <x:f>IF(COUNTA(O427:S427)=0,"",MAX(0,IF(O427="",0,O427)+IF(P427="",0,P427)-IF(Q427="",0,Q427)-IF(R427="",0,R427)))</x:f>
        <x:v>0</x:v>
      </x:c>
      <x:c r="U427" s="152" t="str">
        <x:f>IF(OR(N427="",Q427=""),"",Q427-N427)</x:f>
      </x:c>
      <x:c r="V427" s="202" t="str">
        <x:f>IFERROR(Q427/N427,"")</x:f>
      </x:c>
      <x:c r="W427" s="137" t="str"/>
      <x:c r="X427" s="137" t="str"/>
      <x:c r="Y427" s="137" t="str"/>
      <x:c r="Z427" s="137" t="str"/>
      <x:c r="AA427" s="137" t="str"/>
      <x:c r="AB427" s="137" t="str"/>
      <x:c r="AC427" s="137" t="str"/>
      <x:c r="AD427" s="199" t="str"/>
    </x:row>
    <x:row r="428">
      <x:c r="A428" s="137" t="str"/>
      <x:c r="B428" s="138" t="str"/>
      <x:c r="C428" s="137" t="str"/>
      <x:c r="D428" s="137" t="str"/>
      <x:c r="E428" s="137" t="str"/>
      <x:c r="F428" s="137" t="str"/>
      <x:c r="G428" s="137" t="str"/>
      <x:c r="H428" s="137" t="str"/>
      <x:c r="I428" s="137" t="str"/>
      <x:c r="J428" s="137" t="str"/>
      <x:c r="K428" s="137" t="str"/>
      <x:c r="L428" s="160" t="str"/>
      <x:c r="M428" s="160" t="str"/>
      <x:c r="N428" s="151" t="str"/>
      <x:c r="O428" s="151" t="str"/>
      <x:c r="P428" s="151" t="str"/>
      <x:c r="Q428" s="151" t="str"/>
      <x:c r="R428" s="151" t="str"/>
      <x:c r="S428" s="151" t="str"/>
      <x:c r="T428" s="152" t="n">
        <x:f>IF(COUNTA(O428:S428)=0,"",MAX(0,IF(O428="",0,O428)+IF(P428="",0,P428)-IF(Q428="",0,Q428)-IF(R428="",0,R428)))</x:f>
        <x:v>0</x:v>
      </x:c>
      <x:c r="U428" s="152" t="str">
        <x:f>IF(OR(N428="",Q428=""),"",Q428-N428)</x:f>
      </x:c>
      <x:c r="V428" s="202" t="str">
        <x:f>IFERROR(Q428/N428,"")</x:f>
      </x:c>
      <x:c r="W428" s="137" t="str"/>
      <x:c r="X428" s="137" t="str"/>
      <x:c r="Y428" s="137" t="str"/>
      <x:c r="Z428" s="137" t="str"/>
      <x:c r="AA428" s="137" t="str"/>
      <x:c r="AB428" s="137" t="str"/>
      <x:c r="AC428" s="137" t="str"/>
      <x:c r="AD428" s="199" t="str"/>
    </x:row>
    <x:row r="429">
      <x:c r="A429" s="137" t="str"/>
      <x:c r="B429" s="138" t="str"/>
      <x:c r="C429" s="137" t="str"/>
      <x:c r="D429" s="137" t="str"/>
      <x:c r="E429" s="137" t="str"/>
      <x:c r="F429" s="137" t="str"/>
      <x:c r="G429" s="137" t="str"/>
      <x:c r="H429" s="137" t="str"/>
      <x:c r="I429" s="137" t="str"/>
      <x:c r="J429" s="137" t="str"/>
      <x:c r="K429" s="137" t="str"/>
      <x:c r="L429" s="160" t="str"/>
      <x:c r="M429" s="160" t="str"/>
      <x:c r="N429" s="151" t="str"/>
      <x:c r="O429" s="151" t="str"/>
      <x:c r="P429" s="151" t="str"/>
      <x:c r="Q429" s="151" t="str"/>
      <x:c r="R429" s="151" t="str"/>
      <x:c r="S429" s="151" t="str"/>
      <x:c r="T429" s="152" t="n">
        <x:f>IF(COUNTA(O429:S429)=0,"",MAX(0,IF(O429="",0,O429)+IF(P429="",0,P429)-IF(Q429="",0,Q429)-IF(R429="",0,R429)))</x:f>
        <x:v>0</x:v>
      </x:c>
      <x:c r="U429" s="152" t="str">
        <x:f>IF(OR(N429="",Q429=""),"",Q429-N429)</x:f>
      </x:c>
      <x:c r="V429" s="202" t="str">
        <x:f>IFERROR(Q429/N429,"")</x:f>
      </x:c>
      <x:c r="W429" s="137" t="str"/>
      <x:c r="X429" s="137" t="str"/>
      <x:c r="Y429" s="137" t="str"/>
      <x:c r="Z429" s="137" t="str"/>
      <x:c r="AA429" s="137" t="str"/>
      <x:c r="AB429" s="137" t="str"/>
      <x:c r="AC429" s="137" t="str"/>
      <x:c r="AD429" s="199" t="str"/>
    </x:row>
    <x:row r="430">
      <x:c r="A430" s="137" t="str"/>
      <x:c r="B430" s="138" t="str"/>
      <x:c r="C430" s="137" t="str"/>
      <x:c r="D430" s="137" t="str"/>
      <x:c r="E430" s="137" t="str"/>
      <x:c r="F430" s="137" t="str"/>
      <x:c r="G430" s="137" t="str"/>
      <x:c r="H430" s="137" t="str"/>
      <x:c r="I430" s="137" t="str"/>
      <x:c r="J430" s="137" t="str"/>
      <x:c r="K430" s="137" t="str"/>
      <x:c r="L430" s="160" t="str"/>
      <x:c r="M430" s="160" t="str"/>
      <x:c r="N430" s="151" t="str"/>
      <x:c r="O430" s="151" t="str"/>
      <x:c r="P430" s="151" t="str"/>
      <x:c r="Q430" s="151" t="str"/>
      <x:c r="R430" s="151" t="str"/>
      <x:c r="S430" s="151" t="str"/>
      <x:c r="T430" s="152" t="n">
        <x:f>IF(COUNTA(O430:S430)=0,"",MAX(0,IF(O430="",0,O430)+IF(P430="",0,P430)-IF(Q430="",0,Q430)-IF(R430="",0,R430)))</x:f>
        <x:v>0</x:v>
      </x:c>
      <x:c r="U430" s="152" t="str">
        <x:f>IF(OR(N430="",Q430=""),"",Q430-N430)</x:f>
      </x:c>
      <x:c r="V430" s="202" t="str">
        <x:f>IFERROR(Q430/N430,"")</x:f>
      </x:c>
      <x:c r="W430" s="137" t="str"/>
      <x:c r="X430" s="137" t="str"/>
      <x:c r="Y430" s="137" t="str"/>
      <x:c r="Z430" s="137" t="str"/>
      <x:c r="AA430" s="137" t="str"/>
      <x:c r="AB430" s="137" t="str"/>
      <x:c r="AC430" s="137" t="str"/>
      <x:c r="AD430" s="199" t="str"/>
    </x:row>
    <x:row r="431">
      <x:c r="A431" s="137" t="str"/>
      <x:c r="B431" s="138" t="str"/>
      <x:c r="C431" s="137" t="str"/>
      <x:c r="D431" s="137" t="str"/>
      <x:c r="E431" s="137" t="str"/>
      <x:c r="F431" s="137" t="str"/>
      <x:c r="G431" s="137" t="str"/>
      <x:c r="H431" s="137" t="str"/>
      <x:c r="I431" s="137" t="str"/>
      <x:c r="J431" s="137" t="str"/>
      <x:c r="K431" s="137" t="str"/>
      <x:c r="L431" s="160" t="str"/>
      <x:c r="M431" s="160" t="str"/>
      <x:c r="N431" s="151" t="str"/>
      <x:c r="O431" s="151" t="str"/>
      <x:c r="P431" s="151" t="str"/>
      <x:c r="Q431" s="151" t="str"/>
      <x:c r="R431" s="151" t="str"/>
      <x:c r="S431" s="151" t="str"/>
      <x:c r="T431" s="152" t="n">
        <x:f>IF(COUNTA(O431:S431)=0,"",MAX(0,IF(O431="",0,O431)+IF(P431="",0,P431)-IF(Q431="",0,Q431)-IF(R431="",0,R431)))</x:f>
        <x:v>0</x:v>
      </x:c>
      <x:c r="U431" s="152" t="str">
        <x:f>IF(OR(N431="",Q431=""),"",Q431-N431)</x:f>
      </x:c>
      <x:c r="V431" s="202" t="str">
        <x:f>IFERROR(Q431/N431,"")</x:f>
      </x:c>
      <x:c r="W431" s="137" t="str"/>
      <x:c r="X431" s="137" t="str"/>
      <x:c r="Y431" s="137" t="str"/>
      <x:c r="Z431" s="137" t="str"/>
      <x:c r="AA431" s="137" t="str"/>
      <x:c r="AB431" s="137" t="str"/>
      <x:c r="AC431" s="137" t="str"/>
      <x:c r="AD431" s="199" t="str"/>
    </x:row>
    <x:row r="432">
      <x:c r="A432" s="137" t="str"/>
      <x:c r="B432" s="138" t="str"/>
      <x:c r="C432" s="137" t="str"/>
      <x:c r="D432" s="137" t="str"/>
      <x:c r="E432" s="137" t="str"/>
      <x:c r="F432" s="137" t="str"/>
      <x:c r="G432" s="137" t="str"/>
      <x:c r="H432" s="137" t="str"/>
      <x:c r="I432" s="137" t="str"/>
      <x:c r="J432" s="137" t="str"/>
      <x:c r="K432" s="137" t="str"/>
      <x:c r="L432" s="160" t="str"/>
      <x:c r="M432" s="160" t="str"/>
      <x:c r="N432" s="151" t="str"/>
      <x:c r="O432" s="151" t="str"/>
      <x:c r="P432" s="151" t="str"/>
      <x:c r="Q432" s="151" t="str"/>
      <x:c r="R432" s="151" t="str"/>
      <x:c r="S432" s="151" t="str"/>
      <x:c r="T432" s="152" t="n">
        <x:f>IF(COUNTA(O432:S432)=0,"",MAX(0,IF(O432="",0,O432)+IF(P432="",0,P432)-IF(Q432="",0,Q432)-IF(R432="",0,R432)))</x:f>
        <x:v>0</x:v>
      </x:c>
      <x:c r="U432" s="152" t="str">
        <x:f>IF(OR(N432="",Q432=""),"",Q432-N432)</x:f>
      </x:c>
      <x:c r="V432" s="202" t="str">
        <x:f>IFERROR(Q432/N432,"")</x:f>
      </x:c>
      <x:c r="W432" s="137" t="str"/>
      <x:c r="X432" s="137" t="str"/>
      <x:c r="Y432" s="137" t="str"/>
      <x:c r="Z432" s="137" t="str"/>
      <x:c r="AA432" s="137" t="str"/>
      <x:c r="AB432" s="137" t="str"/>
      <x:c r="AC432" s="137" t="str"/>
      <x:c r="AD432" s="199" t="str"/>
    </x:row>
    <x:row r="433">
      <x:c r="A433" s="137" t="str"/>
      <x:c r="B433" s="138" t="str"/>
      <x:c r="C433" s="137" t="str"/>
      <x:c r="D433" s="137" t="str"/>
      <x:c r="E433" s="137" t="str"/>
      <x:c r="F433" s="137" t="str"/>
      <x:c r="G433" s="137" t="str"/>
      <x:c r="H433" s="137" t="str"/>
      <x:c r="I433" s="137" t="str"/>
      <x:c r="J433" s="137" t="str"/>
      <x:c r="K433" s="137" t="str"/>
      <x:c r="L433" s="160" t="str"/>
      <x:c r="M433" s="160" t="str"/>
      <x:c r="N433" s="151" t="str"/>
      <x:c r="O433" s="151" t="str"/>
      <x:c r="P433" s="151" t="str"/>
      <x:c r="Q433" s="151" t="str"/>
      <x:c r="R433" s="151" t="str"/>
      <x:c r="S433" s="151" t="str"/>
      <x:c r="T433" s="152" t="n">
        <x:f>IF(COUNTA(O433:S433)=0,"",MAX(0,IF(O433="",0,O433)+IF(P433="",0,P433)-IF(Q433="",0,Q433)-IF(R433="",0,R433)))</x:f>
        <x:v>0</x:v>
      </x:c>
      <x:c r="U433" s="152" t="str">
        <x:f>IF(OR(N433="",Q433=""),"",Q433-N433)</x:f>
      </x:c>
      <x:c r="V433" s="202" t="str">
        <x:f>IFERROR(Q433/N433,"")</x:f>
      </x:c>
      <x:c r="W433" s="137" t="str"/>
      <x:c r="X433" s="137" t="str"/>
      <x:c r="Y433" s="137" t="str"/>
      <x:c r="Z433" s="137" t="str"/>
      <x:c r="AA433" s="137" t="str"/>
      <x:c r="AB433" s="137" t="str"/>
      <x:c r="AC433" s="137" t="str"/>
      <x:c r="AD433" s="199" t="str"/>
    </x:row>
    <x:row r="434">
      <x:c r="A434" s="137" t="str"/>
      <x:c r="B434" s="138" t="str"/>
      <x:c r="C434" s="137" t="str"/>
      <x:c r="D434" s="137" t="str"/>
      <x:c r="E434" s="137" t="str"/>
      <x:c r="F434" s="137" t="str"/>
      <x:c r="G434" s="137" t="str"/>
      <x:c r="H434" s="137" t="str"/>
      <x:c r="I434" s="137" t="str"/>
      <x:c r="J434" s="137" t="str"/>
      <x:c r="K434" s="137" t="str"/>
      <x:c r="L434" s="160" t="str"/>
      <x:c r="M434" s="160" t="str"/>
      <x:c r="N434" s="151" t="str"/>
      <x:c r="O434" s="151" t="str"/>
      <x:c r="P434" s="151" t="str"/>
      <x:c r="Q434" s="151" t="str"/>
      <x:c r="R434" s="151" t="str"/>
      <x:c r="S434" s="151" t="str"/>
      <x:c r="T434" s="152" t="n">
        <x:f>IF(COUNTA(O434:S434)=0,"",MAX(0,IF(O434="",0,O434)+IF(P434="",0,P434)-IF(Q434="",0,Q434)-IF(R434="",0,R434)))</x:f>
        <x:v>0</x:v>
      </x:c>
      <x:c r="U434" s="152" t="str">
        <x:f>IF(OR(N434="",Q434=""),"",Q434-N434)</x:f>
      </x:c>
      <x:c r="V434" s="202" t="str">
        <x:f>IFERROR(Q434/N434,"")</x:f>
      </x:c>
      <x:c r="W434" s="137" t="str"/>
      <x:c r="X434" s="137" t="str"/>
      <x:c r="Y434" s="137" t="str"/>
      <x:c r="Z434" s="137" t="str"/>
      <x:c r="AA434" s="137" t="str"/>
      <x:c r="AB434" s="137" t="str"/>
      <x:c r="AC434" s="137" t="str"/>
      <x:c r="AD434" s="199" t="str"/>
    </x:row>
    <x:row r="435">
      <x:c r="A435" s="137" t="str"/>
      <x:c r="B435" s="138" t="str"/>
      <x:c r="C435" s="137" t="str"/>
      <x:c r="D435" s="137" t="str"/>
      <x:c r="E435" s="137" t="str"/>
      <x:c r="F435" s="137" t="str"/>
      <x:c r="G435" s="137" t="str"/>
      <x:c r="H435" s="137" t="str"/>
      <x:c r="I435" s="137" t="str"/>
      <x:c r="J435" s="137" t="str"/>
      <x:c r="K435" s="137" t="str"/>
      <x:c r="L435" s="160" t="str"/>
      <x:c r="M435" s="160" t="str"/>
      <x:c r="N435" s="151" t="str"/>
      <x:c r="O435" s="151" t="str"/>
      <x:c r="P435" s="151" t="str"/>
      <x:c r="Q435" s="151" t="str"/>
      <x:c r="R435" s="151" t="str"/>
      <x:c r="S435" s="151" t="str"/>
      <x:c r="T435" s="152" t="n">
        <x:f>IF(COUNTA(O435:S435)=0,"",MAX(0,IF(O435="",0,O435)+IF(P435="",0,P435)-IF(Q435="",0,Q435)-IF(R435="",0,R435)))</x:f>
        <x:v>0</x:v>
      </x:c>
      <x:c r="U435" s="152" t="str">
        <x:f>IF(OR(N435="",Q435=""),"",Q435-N435)</x:f>
      </x:c>
      <x:c r="V435" s="202" t="str">
        <x:f>IFERROR(Q435/N435,"")</x:f>
      </x:c>
      <x:c r="W435" s="137" t="str"/>
      <x:c r="X435" s="137" t="str"/>
      <x:c r="Y435" s="137" t="str"/>
      <x:c r="Z435" s="137" t="str"/>
      <x:c r="AA435" s="137" t="str"/>
      <x:c r="AB435" s="137" t="str"/>
      <x:c r="AC435" s="137" t="str"/>
      <x:c r="AD435" s="199" t="str"/>
    </x:row>
    <x:row r="436">
      <x:c r="A436" s="137" t="str"/>
      <x:c r="B436" s="138" t="str"/>
      <x:c r="C436" s="137" t="str"/>
      <x:c r="D436" s="137" t="str"/>
      <x:c r="E436" s="137" t="str"/>
      <x:c r="F436" s="137" t="str"/>
      <x:c r="G436" s="137" t="str"/>
      <x:c r="H436" s="137" t="str"/>
      <x:c r="I436" s="137" t="str"/>
      <x:c r="J436" s="137" t="str"/>
      <x:c r="K436" s="137" t="str"/>
      <x:c r="L436" s="160" t="str"/>
      <x:c r="M436" s="160" t="str"/>
      <x:c r="N436" s="151" t="str"/>
      <x:c r="O436" s="151" t="str"/>
      <x:c r="P436" s="151" t="str"/>
      <x:c r="Q436" s="151" t="str"/>
      <x:c r="R436" s="151" t="str"/>
      <x:c r="S436" s="151" t="str"/>
      <x:c r="T436" s="152" t="n">
        <x:f>IF(COUNTA(O436:S436)=0,"",MAX(0,IF(O436="",0,O436)+IF(P436="",0,P436)-IF(Q436="",0,Q436)-IF(R436="",0,R436)))</x:f>
        <x:v>0</x:v>
      </x:c>
      <x:c r="U436" s="152" t="str">
        <x:f>IF(OR(N436="",Q436=""),"",Q436-N436)</x:f>
      </x:c>
      <x:c r="V436" s="202" t="str">
        <x:f>IFERROR(Q436/N436,"")</x:f>
      </x:c>
      <x:c r="W436" s="137" t="str"/>
      <x:c r="X436" s="137" t="str"/>
      <x:c r="Y436" s="137" t="str"/>
      <x:c r="Z436" s="137" t="str"/>
      <x:c r="AA436" s="137" t="str"/>
      <x:c r="AB436" s="137" t="str"/>
      <x:c r="AC436" s="137" t="str"/>
      <x:c r="AD436" s="199" t="str"/>
    </x:row>
    <x:row r="437">
      <x:c r="A437" s="137" t="str"/>
      <x:c r="B437" s="138" t="str"/>
      <x:c r="C437" s="137" t="str"/>
      <x:c r="D437" s="137" t="str"/>
      <x:c r="E437" s="137" t="str"/>
      <x:c r="F437" s="137" t="str"/>
      <x:c r="G437" s="137" t="str"/>
      <x:c r="H437" s="137" t="str"/>
      <x:c r="I437" s="137" t="str"/>
      <x:c r="J437" s="137" t="str"/>
      <x:c r="K437" s="137" t="str"/>
      <x:c r="L437" s="160" t="str"/>
      <x:c r="M437" s="160" t="str"/>
      <x:c r="N437" s="151" t="str"/>
      <x:c r="O437" s="151" t="str"/>
      <x:c r="P437" s="151" t="str"/>
      <x:c r="Q437" s="151" t="str"/>
      <x:c r="R437" s="151" t="str"/>
      <x:c r="S437" s="151" t="str"/>
      <x:c r="T437" s="152" t="n">
        <x:f>IF(COUNTA(O437:S437)=0,"",MAX(0,IF(O437="",0,O437)+IF(P437="",0,P437)-IF(Q437="",0,Q437)-IF(R437="",0,R437)))</x:f>
        <x:v>0</x:v>
      </x:c>
      <x:c r="U437" s="152" t="str">
        <x:f>IF(OR(N437="",Q437=""),"",Q437-N437)</x:f>
      </x:c>
      <x:c r="V437" s="202" t="str">
        <x:f>IFERROR(Q437/N437,"")</x:f>
      </x:c>
      <x:c r="W437" s="137" t="str"/>
      <x:c r="X437" s="137" t="str"/>
      <x:c r="Y437" s="137" t="str"/>
      <x:c r="Z437" s="137" t="str"/>
      <x:c r="AA437" s="137" t="str"/>
      <x:c r="AB437" s="137" t="str"/>
      <x:c r="AC437" s="137" t="str"/>
      <x:c r="AD437" s="199" t="str"/>
    </x:row>
    <x:row r="438">
      <x:c r="A438" s="137" t="str"/>
      <x:c r="B438" s="138" t="str"/>
      <x:c r="C438" s="137" t="str"/>
      <x:c r="D438" s="137" t="str"/>
      <x:c r="E438" s="137" t="str"/>
      <x:c r="F438" s="137" t="str"/>
      <x:c r="G438" s="137" t="str"/>
      <x:c r="H438" s="137" t="str"/>
      <x:c r="I438" s="137" t="str"/>
      <x:c r="J438" s="137" t="str"/>
      <x:c r="K438" s="137" t="str"/>
      <x:c r="L438" s="160" t="str"/>
      <x:c r="M438" s="160" t="str"/>
      <x:c r="N438" s="151" t="str"/>
      <x:c r="O438" s="151" t="str"/>
      <x:c r="P438" s="151" t="str"/>
      <x:c r="Q438" s="151" t="str"/>
      <x:c r="R438" s="151" t="str"/>
      <x:c r="S438" s="151" t="str"/>
      <x:c r="T438" s="152" t="n">
        <x:f>IF(COUNTA(O438:S438)=0,"",MAX(0,IF(O438="",0,O438)+IF(P438="",0,P438)-IF(Q438="",0,Q438)-IF(R438="",0,R438)))</x:f>
        <x:v>0</x:v>
      </x:c>
      <x:c r="U438" s="152" t="str">
        <x:f>IF(OR(N438="",Q438=""),"",Q438-N438)</x:f>
      </x:c>
      <x:c r="V438" s="202" t="str">
        <x:f>IFERROR(Q438/N438,"")</x:f>
      </x:c>
      <x:c r="W438" s="137" t="str"/>
      <x:c r="X438" s="137" t="str"/>
      <x:c r="Y438" s="137" t="str"/>
      <x:c r="Z438" s="137" t="str"/>
      <x:c r="AA438" s="137" t="str"/>
      <x:c r="AB438" s="137" t="str"/>
      <x:c r="AC438" s="137" t="str"/>
      <x:c r="AD438" s="199" t="str"/>
    </x:row>
    <x:row r="439">
      <x:c r="A439" s="137" t="str"/>
      <x:c r="B439" s="138" t="str"/>
      <x:c r="C439" s="137" t="str"/>
      <x:c r="D439" s="137" t="str"/>
      <x:c r="E439" s="137" t="str"/>
      <x:c r="F439" s="137" t="str"/>
      <x:c r="G439" s="137" t="str"/>
      <x:c r="H439" s="137" t="str"/>
      <x:c r="I439" s="137" t="str"/>
      <x:c r="J439" s="137" t="str"/>
      <x:c r="K439" s="137" t="str"/>
      <x:c r="L439" s="160" t="str"/>
      <x:c r="M439" s="160" t="str"/>
      <x:c r="N439" s="151" t="str"/>
      <x:c r="O439" s="151" t="str"/>
      <x:c r="P439" s="151" t="str"/>
      <x:c r="Q439" s="151" t="str"/>
      <x:c r="R439" s="151" t="str"/>
      <x:c r="S439" s="151" t="str"/>
      <x:c r="T439" s="152" t="n">
        <x:f>IF(COUNTA(O439:S439)=0,"",MAX(0,IF(O439="",0,O439)+IF(P439="",0,P439)-IF(Q439="",0,Q439)-IF(R439="",0,R439)))</x:f>
        <x:v>0</x:v>
      </x:c>
      <x:c r="U439" s="152" t="str">
        <x:f>IF(OR(N439="",Q439=""),"",Q439-N439)</x:f>
      </x:c>
      <x:c r="V439" s="202" t="str">
        <x:f>IFERROR(Q439/N439,"")</x:f>
      </x:c>
      <x:c r="W439" s="137" t="str"/>
      <x:c r="X439" s="137" t="str"/>
      <x:c r="Y439" s="137" t="str"/>
      <x:c r="Z439" s="137" t="str"/>
      <x:c r="AA439" s="137" t="str"/>
      <x:c r="AB439" s="137" t="str"/>
      <x:c r="AC439" s="137" t="str"/>
      <x:c r="AD439" s="199" t="str"/>
    </x:row>
    <x:row r="440">
      <x:c r="A440" s="137" t="str"/>
      <x:c r="B440" s="138" t="str"/>
      <x:c r="C440" s="137" t="str"/>
      <x:c r="D440" s="137" t="str"/>
      <x:c r="E440" s="137" t="str"/>
      <x:c r="F440" s="137" t="str"/>
      <x:c r="G440" s="137" t="str"/>
      <x:c r="H440" s="137" t="str"/>
      <x:c r="I440" s="137" t="str"/>
      <x:c r="J440" s="137" t="str"/>
      <x:c r="K440" s="137" t="str"/>
      <x:c r="L440" s="160" t="str"/>
      <x:c r="M440" s="160" t="str"/>
      <x:c r="N440" s="151" t="str"/>
      <x:c r="O440" s="151" t="str"/>
      <x:c r="P440" s="151" t="str"/>
      <x:c r="Q440" s="151" t="str"/>
      <x:c r="R440" s="151" t="str"/>
      <x:c r="S440" s="151" t="str"/>
      <x:c r="T440" s="152" t="n">
        <x:f>IF(COUNTA(O440:S440)=0,"",MAX(0,IF(O440="",0,O440)+IF(P440="",0,P440)-IF(Q440="",0,Q440)-IF(R440="",0,R440)))</x:f>
        <x:v>0</x:v>
      </x:c>
      <x:c r="U440" s="152" t="str">
        <x:f>IF(OR(N440="",Q440=""),"",Q440-N440)</x:f>
      </x:c>
      <x:c r="V440" s="202" t="str">
        <x:f>IFERROR(Q440/N440,"")</x:f>
      </x:c>
      <x:c r="W440" s="137" t="str"/>
      <x:c r="X440" s="137" t="str"/>
      <x:c r="Y440" s="137" t="str"/>
      <x:c r="Z440" s="137" t="str"/>
      <x:c r="AA440" s="137" t="str"/>
      <x:c r="AB440" s="137" t="str"/>
      <x:c r="AC440" s="137" t="str"/>
      <x:c r="AD440" s="199" t="str"/>
    </x:row>
    <x:row r="441">
      <x:c r="A441" s="137" t="str"/>
      <x:c r="B441" s="138" t="str"/>
      <x:c r="C441" s="137" t="str"/>
      <x:c r="D441" s="137" t="str"/>
      <x:c r="E441" s="137" t="str"/>
      <x:c r="F441" s="137" t="str"/>
      <x:c r="G441" s="137" t="str"/>
      <x:c r="H441" s="137" t="str"/>
      <x:c r="I441" s="137" t="str"/>
      <x:c r="J441" s="137" t="str"/>
      <x:c r="K441" s="137" t="str"/>
      <x:c r="L441" s="160" t="str"/>
      <x:c r="M441" s="160" t="str"/>
      <x:c r="N441" s="151" t="str"/>
      <x:c r="O441" s="151" t="str"/>
      <x:c r="P441" s="151" t="str"/>
      <x:c r="Q441" s="151" t="str"/>
      <x:c r="R441" s="151" t="str"/>
      <x:c r="S441" s="151" t="str"/>
      <x:c r="T441" s="152" t="n">
        <x:f>IF(COUNTA(O441:S441)=0,"",MAX(0,IF(O441="",0,O441)+IF(P441="",0,P441)-IF(Q441="",0,Q441)-IF(R441="",0,R441)))</x:f>
        <x:v>0</x:v>
      </x:c>
      <x:c r="U441" s="152" t="str">
        <x:f>IF(OR(N441="",Q441=""),"",Q441-N441)</x:f>
      </x:c>
      <x:c r="V441" s="202" t="str">
        <x:f>IFERROR(Q441/N441,"")</x:f>
      </x:c>
      <x:c r="W441" s="137" t="str"/>
      <x:c r="X441" s="137" t="str"/>
      <x:c r="Y441" s="137" t="str"/>
      <x:c r="Z441" s="137" t="str"/>
      <x:c r="AA441" s="137" t="str"/>
      <x:c r="AB441" s="137" t="str"/>
      <x:c r="AC441" s="137" t="str"/>
      <x:c r="AD441" s="199" t="str"/>
    </x:row>
    <x:row r="442">
      <x:c r="A442" s="137" t="str"/>
      <x:c r="B442" s="138" t="str"/>
      <x:c r="C442" s="137" t="str"/>
      <x:c r="D442" s="137" t="str"/>
      <x:c r="E442" s="137" t="str"/>
      <x:c r="F442" s="137" t="str"/>
      <x:c r="G442" s="137" t="str"/>
      <x:c r="H442" s="137" t="str"/>
      <x:c r="I442" s="137" t="str"/>
      <x:c r="J442" s="137" t="str"/>
      <x:c r="K442" s="137" t="str"/>
      <x:c r="L442" s="160" t="str"/>
      <x:c r="M442" s="160" t="str"/>
      <x:c r="N442" s="151" t="str"/>
      <x:c r="O442" s="151" t="str"/>
      <x:c r="P442" s="151" t="str"/>
      <x:c r="Q442" s="151" t="str"/>
      <x:c r="R442" s="151" t="str"/>
      <x:c r="S442" s="151" t="str"/>
      <x:c r="T442" s="152" t="n">
        <x:f>IF(COUNTA(O442:S442)=0,"",MAX(0,IF(O442="",0,O442)+IF(P442="",0,P442)-IF(Q442="",0,Q442)-IF(R442="",0,R442)))</x:f>
        <x:v>0</x:v>
      </x:c>
      <x:c r="U442" s="152" t="str">
        <x:f>IF(OR(N442="",Q442=""),"",Q442-N442)</x:f>
      </x:c>
      <x:c r="V442" s="202" t="str">
        <x:f>IFERROR(Q442/N442,"")</x:f>
      </x:c>
      <x:c r="W442" s="137" t="str"/>
      <x:c r="X442" s="137" t="str"/>
      <x:c r="Y442" s="137" t="str"/>
      <x:c r="Z442" s="137" t="str"/>
      <x:c r="AA442" s="137" t="str"/>
      <x:c r="AB442" s="137" t="str"/>
      <x:c r="AC442" s="137" t="str"/>
      <x:c r="AD442" s="199" t="str"/>
    </x:row>
    <x:row r="443">
      <x:c r="A443" s="137" t="str"/>
      <x:c r="B443" s="138" t="str"/>
      <x:c r="C443" s="137" t="str"/>
      <x:c r="D443" s="137" t="str"/>
      <x:c r="E443" s="137" t="str"/>
      <x:c r="F443" s="137" t="str"/>
      <x:c r="G443" s="137" t="str"/>
      <x:c r="H443" s="137" t="str"/>
      <x:c r="I443" s="137" t="str"/>
      <x:c r="J443" s="137" t="str"/>
      <x:c r="K443" s="137" t="str"/>
      <x:c r="L443" s="160" t="str"/>
      <x:c r="M443" s="160" t="str"/>
      <x:c r="N443" s="151" t="str"/>
      <x:c r="O443" s="151" t="str"/>
      <x:c r="P443" s="151" t="str"/>
      <x:c r="Q443" s="151" t="str"/>
      <x:c r="R443" s="151" t="str"/>
      <x:c r="S443" s="151" t="str"/>
      <x:c r="T443" s="152" t="n">
        <x:f>IF(COUNTA(O443:S443)=0,"",MAX(0,IF(O443="",0,O443)+IF(P443="",0,P443)-IF(Q443="",0,Q443)-IF(R443="",0,R443)))</x:f>
        <x:v>0</x:v>
      </x:c>
      <x:c r="U443" s="152" t="str">
        <x:f>IF(OR(N443="",Q443=""),"",Q443-N443)</x:f>
      </x:c>
      <x:c r="V443" s="202" t="str">
        <x:f>IFERROR(Q443/N443,"")</x:f>
      </x:c>
      <x:c r="W443" s="137" t="str"/>
      <x:c r="X443" s="137" t="str"/>
      <x:c r="Y443" s="137" t="str"/>
      <x:c r="Z443" s="137" t="str"/>
      <x:c r="AA443" s="137" t="str"/>
      <x:c r="AB443" s="137" t="str"/>
      <x:c r="AC443" s="137" t="str"/>
      <x:c r="AD443" s="199" t="str"/>
    </x:row>
    <x:row r="444">
      <x:c r="A444" s="137" t="str"/>
      <x:c r="B444" s="138" t="str"/>
      <x:c r="C444" s="137" t="str"/>
      <x:c r="D444" s="137" t="str"/>
      <x:c r="E444" s="137" t="str"/>
      <x:c r="F444" s="137" t="str"/>
      <x:c r="G444" s="137" t="str"/>
      <x:c r="H444" s="137" t="str"/>
      <x:c r="I444" s="137" t="str"/>
      <x:c r="J444" s="137" t="str"/>
      <x:c r="K444" s="137" t="str"/>
      <x:c r="L444" s="160" t="str"/>
      <x:c r="M444" s="160" t="str"/>
      <x:c r="N444" s="151" t="str"/>
      <x:c r="O444" s="151" t="str"/>
      <x:c r="P444" s="151" t="str"/>
      <x:c r="Q444" s="151" t="str"/>
      <x:c r="R444" s="151" t="str"/>
      <x:c r="S444" s="151" t="str"/>
      <x:c r="T444" s="152" t="n">
        <x:f>IF(COUNTA(O444:S444)=0,"",MAX(0,IF(O444="",0,O444)+IF(P444="",0,P444)-IF(Q444="",0,Q444)-IF(R444="",0,R444)))</x:f>
        <x:v>0</x:v>
      </x:c>
      <x:c r="U444" s="152" t="str">
        <x:f>IF(OR(N444="",Q444=""),"",Q444-N444)</x:f>
      </x:c>
      <x:c r="V444" s="202" t="str">
        <x:f>IFERROR(Q444/N444,"")</x:f>
      </x:c>
      <x:c r="W444" s="137" t="str"/>
      <x:c r="X444" s="137" t="str"/>
      <x:c r="Y444" s="137" t="str"/>
      <x:c r="Z444" s="137" t="str"/>
      <x:c r="AA444" s="137" t="str"/>
      <x:c r="AB444" s="137" t="str"/>
      <x:c r="AC444" s="137" t="str"/>
      <x:c r="AD444" s="199" t="str"/>
    </x:row>
    <x:row r="445">
      <x:c r="A445" s="137" t="str"/>
      <x:c r="B445" s="138" t="str"/>
      <x:c r="C445" s="137" t="str"/>
      <x:c r="D445" s="137" t="str"/>
      <x:c r="E445" s="137" t="str"/>
      <x:c r="F445" s="137" t="str"/>
      <x:c r="G445" s="137" t="str"/>
      <x:c r="H445" s="137" t="str"/>
      <x:c r="I445" s="137" t="str"/>
      <x:c r="J445" s="137" t="str"/>
      <x:c r="K445" s="137" t="str"/>
      <x:c r="L445" s="160" t="str"/>
      <x:c r="M445" s="160" t="str"/>
      <x:c r="N445" s="151" t="str"/>
      <x:c r="O445" s="151" t="str"/>
      <x:c r="P445" s="151" t="str"/>
      <x:c r="Q445" s="151" t="str"/>
      <x:c r="R445" s="151" t="str"/>
      <x:c r="S445" s="151" t="str"/>
      <x:c r="T445" s="152" t="n">
        <x:f>IF(COUNTA(O445:S445)=0,"",MAX(0,IF(O445="",0,O445)+IF(P445="",0,P445)-IF(Q445="",0,Q445)-IF(R445="",0,R445)))</x:f>
        <x:v>0</x:v>
      </x:c>
      <x:c r="U445" s="152" t="str">
        <x:f>IF(OR(N445="",Q445=""),"",Q445-N445)</x:f>
      </x:c>
      <x:c r="V445" s="202" t="str">
        <x:f>IFERROR(Q445/N445,"")</x:f>
      </x:c>
      <x:c r="W445" s="137" t="str"/>
      <x:c r="X445" s="137" t="str"/>
      <x:c r="Y445" s="137" t="str"/>
      <x:c r="Z445" s="137" t="str"/>
      <x:c r="AA445" s="137" t="str"/>
      <x:c r="AB445" s="137" t="str"/>
      <x:c r="AC445" s="137" t="str"/>
      <x:c r="AD445" s="199" t="str"/>
    </x:row>
    <x:row r="446">
      <x:c r="A446" s="137" t="str"/>
      <x:c r="B446" s="138" t="str"/>
      <x:c r="C446" s="137" t="str"/>
      <x:c r="D446" s="137" t="str"/>
      <x:c r="E446" s="137" t="str"/>
      <x:c r="F446" s="137" t="str"/>
      <x:c r="G446" s="137" t="str"/>
      <x:c r="H446" s="137" t="str"/>
      <x:c r="I446" s="137" t="str"/>
      <x:c r="J446" s="137" t="str"/>
      <x:c r="K446" s="137" t="str"/>
      <x:c r="L446" s="160" t="str"/>
      <x:c r="M446" s="160" t="str"/>
      <x:c r="N446" s="151" t="str"/>
      <x:c r="O446" s="151" t="str"/>
      <x:c r="P446" s="151" t="str"/>
      <x:c r="Q446" s="151" t="str"/>
      <x:c r="R446" s="151" t="str"/>
      <x:c r="S446" s="151" t="str"/>
      <x:c r="T446" s="152" t="n">
        <x:f>IF(COUNTA(O446:S446)=0,"",MAX(0,IF(O446="",0,O446)+IF(P446="",0,P446)-IF(Q446="",0,Q446)-IF(R446="",0,R446)))</x:f>
        <x:v>0</x:v>
      </x:c>
      <x:c r="U446" s="152" t="str">
        <x:f>IF(OR(N446="",Q446=""),"",Q446-N446)</x:f>
      </x:c>
      <x:c r="V446" s="202" t="str">
        <x:f>IFERROR(Q446/N446,"")</x:f>
      </x:c>
      <x:c r="W446" s="137" t="str"/>
      <x:c r="X446" s="137" t="str"/>
      <x:c r="Y446" s="137" t="str"/>
      <x:c r="Z446" s="137" t="str"/>
      <x:c r="AA446" s="137" t="str"/>
      <x:c r="AB446" s="137" t="str"/>
      <x:c r="AC446" s="137" t="str"/>
      <x:c r="AD446" s="199" t="str"/>
    </x:row>
    <x:row r="447">
      <x:c r="A447" s="137" t="str"/>
      <x:c r="B447" s="138" t="str"/>
      <x:c r="C447" s="137" t="str"/>
      <x:c r="D447" s="137" t="str"/>
      <x:c r="E447" s="137" t="str"/>
      <x:c r="F447" s="137" t="str"/>
      <x:c r="G447" s="137" t="str"/>
      <x:c r="H447" s="137" t="str"/>
      <x:c r="I447" s="137" t="str"/>
      <x:c r="J447" s="137" t="str"/>
      <x:c r="K447" s="137" t="str"/>
      <x:c r="L447" s="160" t="str"/>
      <x:c r="M447" s="160" t="str"/>
      <x:c r="N447" s="151" t="str"/>
      <x:c r="O447" s="151" t="str"/>
      <x:c r="P447" s="151" t="str"/>
      <x:c r="Q447" s="151" t="str"/>
      <x:c r="R447" s="151" t="str"/>
      <x:c r="S447" s="151" t="str"/>
      <x:c r="T447" s="152" t="n">
        <x:f>IF(COUNTA(O447:S447)=0,"",MAX(0,IF(O447="",0,O447)+IF(P447="",0,P447)-IF(Q447="",0,Q447)-IF(R447="",0,R447)))</x:f>
        <x:v>0</x:v>
      </x:c>
      <x:c r="U447" s="152" t="str">
        <x:f>IF(OR(N447="",Q447=""),"",Q447-N447)</x:f>
      </x:c>
      <x:c r="V447" s="202" t="str">
        <x:f>IFERROR(Q447/N447,"")</x:f>
      </x:c>
      <x:c r="W447" s="137" t="str"/>
      <x:c r="X447" s="137" t="str"/>
      <x:c r="Y447" s="137" t="str"/>
      <x:c r="Z447" s="137" t="str"/>
      <x:c r="AA447" s="137" t="str"/>
      <x:c r="AB447" s="137" t="str"/>
      <x:c r="AC447" s="137" t="str"/>
      <x:c r="AD447" s="199" t="str"/>
    </x:row>
    <x:row r="448">
      <x:c r="A448" s="137" t="str"/>
      <x:c r="B448" s="138" t="str"/>
      <x:c r="C448" s="137" t="str"/>
      <x:c r="D448" s="137" t="str"/>
      <x:c r="E448" s="137" t="str"/>
      <x:c r="F448" s="137" t="str"/>
      <x:c r="G448" s="137" t="str"/>
      <x:c r="H448" s="137" t="str"/>
      <x:c r="I448" s="137" t="str"/>
      <x:c r="J448" s="137" t="str"/>
      <x:c r="K448" s="137" t="str"/>
      <x:c r="L448" s="160" t="str"/>
      <x:c r="M448" s="160" t="str"/>
      <x:c r="N448" s="151" t="str"/>
      <x:c r="O448" s="151" t="str"/>
      <x:c r="P448" s="151" t="str"/>
      <x:c r="Q448" s="151" t="str"/>
      <x:c r="R448" s="151" t="str"/>
      <x:c r="S448" s="151" t="str"/>
      <x:c r="T448" s="152" t="n">
        <x:f>IF(COUNTA(O448:S448)=0,"",MAX(0,IF(O448="",0,O448)+IF(P448="",0,P448)-IF(Q448="",0,Q448)-IF(R448="",0,R448)))</x:f>
        <x:v>0</x:v>
      </x:c>
      <x:c r="U448" s="152" t="str">
        <x:f>IF(OR(N448="",Q448=""),"",Q448-N448)</x:f>
      </x:c>
      <x:c r="V448" s="202" t="str">
        <x:f>IFERROR(Q448/N448,"")</x:f>
      </x:c>
      <x:c r="W448" s="137" t="str"/>
      <x:c r="X448" s="137" t="str"/>
      <x:c r="Y448" s="137" t="str"/>
      <x:c r="Z448" s="137" t="str"/>
      <x:c r="AA448" s="137" t="str"/>
      <x:c r="AB448" s="137" t="str"/>
      <x:c r="AC448" s="137" t="str"/>
      <x:c r="AD448" s="199" t="str"/>
    </x:row>
    <x:row r="449">
      <x:c r="A449" s="137" t="str"/>
      <x:c r="B449" s="138" t="str"/>
      <x:c r="C449" s="137" t="str"/>
      <x:c r="D449" s="137" t="str"/>
      <x:c r="E449" s="137" t="str"/>
      <x:c r="F449" s="137" t="str"/>
      <x:c r="G449" s="137" t="str"/>
      <x:c r="H449" s="137" t="str"/>
      <x:c r="I449" s="137" t="str"/>
      <x:c r="J449" s="137" t="str"/>
      <x:c r="K449" s="137" t="str"/>
      <x:c r="L449" s="160" t="str"/>
      <x:c r="M449" s="160" t="str"/>
      <x:c r="N449" s="151" t="str"/>
      <x:c r="O449" s="151" t="str"/>
      <x:c r="P449" s="151" t="str"/>
      <x:c r="Q449" s="151" t="str"/>
      <x:c r="R449" s="151" t="str"/>
      <x:c r="S449" s="151" t="str"/>
      <x:c r="T449" s="152" t="n">
        <x:f>IF(COUNTA(O449:S449)=0,"",MAX(0,IF(O449="",0,O449)+IF(P449="",0,P449)-IF(Q449="",0,Q449)-IF(R449="",0,R449)))</x:f>
        <x:v>0</x:v>
      </x:c>
      <x:c r="U449" s="152" t="str">
        <x:f>IF(OR(N449="",Q449=""),"",Q449-N449)</x:f>
      </x:c>
      <x:c r="V449" s="202" t="str">
        <x:f>IFERROR(Q449/N449,"")</x:f>
      </x:c>
      <x:c r="W449" s="137" t="str"/>
      <x:c r="X449" s="137" t="str"/>
      <x:c r="Y449" s="137" t="str"/>
      <x:c r="Z449" s="137" t="str"/>
      <x:c r="AA449" s="137" t="str"/>
      <x:c r="AB449" s="137" t="str"/>
      <x:c r="AC449" s="137" t="str"/>
      <x:c r="AD449" s="199" t="str"/>
    </x:row>
    <x:row r="450">
      <x:c r="A450" s="137" t="str"/>
      <x:c r="B450" s="138" t="str"/>
      <x:c r="C450" s="137" t="str"/>
      <x:c r="D450" s="137" t="str"/>
      <x:c r="E450" s="137" t="str"/>
      <x:c r="F450" s="137" t="str"/>
      <x:c r="G450" s="137" t="str"/>
      <x:c r="H450" s="137" t="str"/>
      <x:c r="I450" s="137" t="str"/>
      <x:c r="J450" s="137" t="str"/>
      <x:c r="K450" s="137" t="str"/>
      <x:c r="L450" s="160" t="str"/>
      <x:c r="M450" s="160" t="str"/>
      <x:c r="N450" s="151" t="str"/>
      <x:c r="O450" s="151" t="str"/>
      <x:c r="P450" s="151" t="str"/>
      <x:c r="Q450" s="151" t="str"/>
      <x:c r="R450" s="151" t="str"/>
      <x:c r="S450" s="151" t="str"/>
      <x:c r="T450" s="152" t="n">
        <x:f>IF(COUNTA(O450:S450)=0,"",MAX(0,IF(O450="",0,O450)+IF(P450="",0,P450)-IF(Q450="",0,Q450)-IF(R450="",0,R450)))</x:f>
        <x:v>0</x:v>
      </x:c>
      <x:c r="U450" s="152" t="str">
        <x:f>IF(OR(N450="",Q450=""),"",Q450-N450)</x:f>
      </x:c>
      <x:c r="V450" s="202" t="str">
        <x:f>IFERROR(Q450/N450,"")</x:f>
      </x:c>
      <x:c r="W450" s="137" t="str"/>
      <x:c r="X450" s="137" t="str"/>
      <x:c r="Y450" s="137" t="str"/>
      <x:c r="Z450" s="137" t="str"/>
      <x:c r="AA450" s="137" t="str"/>
      <x:c r="AB450" s="137" t="str"/>
      <x:c r="AC450" s="137" t="str"/>
      <x:c r="AD450" s="199" t="str"/>
    </x:row>
    <x:row r="451">
      <x:c r="A451" s="137" t="str"/>
      <x:c r="B451" s="138" t="str"/>
      <x:c r="C451" s="137" t="str"/>
      <x:c r="D451" s="137" t="str"/>
      <x:c r="E451" s="137" t="str"/>
      <x:c r="F451" s="137" t="str"/>
      <x:c r="G451" s="137" t="str"/>
      <x:c r="H451" s="137" t="str"/>
      <x:c r="I451" s="137" t="str"/>
      <x:c r="J451" s="137" t="str"/>
      <x:c r="K451" s="137" t="str"/>
      <x:c r="L451" s="160" t="str"/>
      <x:c r="M451" s="160" t="str"/>
      <x:c r="N451" s="151" t="str"/>
      <x:c r="O451" s="151" t="str"/>
      <x:c r="P451" s="151" t="str"/>
      <x:c r="Q451" s="151" t="str"/>
      <x:c r="R451" s="151" t="str"/>
      <x:c r="S451" s="151" t="str"/>
      <x:c r="T451" s="152" t="n">
        <x:f>IF(COUNTA(O451:S451)=0,"",MAX(0,IF(O451="",0,O451)+IF(P451="",0,P451)-IF(Q451="",0,Q451)-IF(R451="",0,R451)))</x:f>
        <x:v>0</x:v>
      </x:c>
      <x:c r="U451" s="152" t="str">
        <x:f>IF(OR(N451="",Q451=""),"",Q451-N451)</x:f>
      </x:c>
      <x:c r="V451" s="202" t="str">
        <x:f>IFERROR(Q451/N451,"")</x:f>
      </x:c>
      <x:c r="W451" s="137" t="str"/>
      <x:c r="X451" s="137" t="str"/>
      <x:c r="Y451" s="137" t="str"/>
      <x:c r="Z451" s="137" t="str"/>
      <x:c r="AA451" s="137" t="str"/>
      <x:c r="AB451" s="137" t="str"/>
      <x:c r="AC451" s="137" t="str"/>
      <x:c r="AD451" s="199" t="str"/>
    </x:row>
    <x:row r="452">
      <x:c r="A452" s="137" t="str"/>
      <x:c r="B452" s="138" t="str"/>
      <x:c r="C452" s="137" t="str"/>
      <x:c r="D452" s="137" t="str"/>
      <x:c r="E452" s="137" t="str"/>
      <x:c r="F452" s="137" t="str"/>
      <x:c r="G452" s="137" t="str"/>
      <x:c r="H452" s="137" t="str"/>
      <x:c r="I452" s="137" t="str"/>
      <x:c r="J452" s="137" t="str"/>
      <x:c r="K452" s="137" t="str"/>
      <x:c r="L452" s="160" t="str"/>
      <x:c r="M452" s="160" t="str"/>
      <x:c r="N452" s="151" t="str"/>
      <x:c r="O452" s="151" t="str"/>
      <x:c r="P452" s="151" t="str"/>
      <x:c r="Q452" s="151" t="str"/>
      <x:c r="R452" s="151" t="str"/>
      <x:c r="S452" s="151" t="str"/>
      <x:c r="T452" s="152" t="n">
        <x:f>IF(COUNTA(O452:S452)=0,"",MAX(0,IF(O452="",0,O452)+IF(P452="",0,P452)-IF(Q452="",0,Q452)-IF(R452="",0,R452)))</x:f>
        <x:v>0</x:v>
      </x:c>
      <x:c r="U452" s="152" t="str">
        <x:f>IF(OR(N452="",Q452=""),"",Q452-N452)</x:f>
      </x:c>
      <x:c r="V452" s="202" t="str">
        <x:f>IFERROR(Q452/N452,"")</x:f>
      </x:c>
      <x:c r="W452" s="137" t="str"/>
      <x:c r="X452" s="137" t="str"/>
      <x:c r="Y452" s="137" t="str"/>
      <x:c r="Z452" s="137" t="str"/>
      <x:c r="AA452" s="137" t="str"/>
      <x:c r="AB452" s="137" t="str"/>
      <x:c r="AC452" s="137" t="str"/>
      <x:c r="AD452" s="199" t="str"/>
    </x:row>
    <x:row r="453">
      <x:c r="A453" s="137" t="str"/>
      <x:c r="B453" s="138" t="str"/>
      <x:c r="C453" s="137" t="str"/>
      <x:c r="D453" s="137" t="str"/>
      <x:c r="E453" s="137" t="str"/>
      <x:c r="F453" s="137" t="str"/>
      <x:c r="G453" s="137" t="str"/>
      <x:c r="H453" s="137" t="str"/>
      <x:c r="I453" s="137" t="str"/>
      <x:c r="J453" s="137" t="str"/>
      <x:c r="K453" s="137" t="str"/>
      <x:c r="L453" s="160" t="str"/>
      <x:c r="M453" s="160" t="str"/>
      <x:c r="N453" s="151" t="str"/>
      <x:c r="O453" s="151" t="str"/>
      <x:c r="P453" s="151" t="str"/>
      <x:c r="Q453" s="151" t="str"/>
      <x:c r="R453" s="151" t="str"/>
      <x:c r="S453" s="151" t="str"/>
      <x:c r="T453" s="152" t="n">
        <x:f>IF(COUNTA(O453:S453)=0,"",MAX(0,IF(O453="",0,O453)+IF(P453="",0,P453)-IF(Q453="",0,Q453)-IF(R453="",0,R453)))</x:f>
        <x:v>0</x:v>
      </x:c>
      <x:c r="U453" s="152" t="str">
        <x:f>IF(OR(N453="",Q453=""),"",Q453-N453)</x:f>
      </x:c>
      <x:c r="V453" s="202" t="str">
        <x:f>IFERROR(Q453/N453,"")</x:f>
      </x:c>
      <x:c r="W453" s="137" t="str"/>
      <x:c r="X453" s="137" t="str"/>
      <x:c r="Y453" s="137" t="str"/>
      <x:c r="Z453" s="137" t="str"/>
      <x:c r="AA453" s="137" t="str"/>
      <x:c r="AB453" s="137" t="str"/>
      <x:c r="AC453" s="137" t="str"/>
      <x:c r="AD453" s="199" t="str"/>
    </x:row>
    <x:row r="454">
      <x:c r="A454" s="137" t="str"/>
      <x:c r="B454" s="138" t="str"/>
      <x:c r="C454" s="137" t="str"/>
      <x:c r="D454" s="137" t="str"/>
      <x:c r="E454" s="137" t="str"/>
      <x:c r="F454" s="137" t="str"/>
      <x:c r="G454" s="137" t="str"/>
      <x:c r="H454" s="137" t="str"/>
      <x:c r="I454" s="137" t="str"/>
      <x:c r="J454" s="137" t="str"/>
      <x:c r="K454" s="137" t="str"/>
      <x:c r="L454" s="160" t="str"/>
      <x:c r="M454" s="160" t="str"/>
      <x:c r="N454" s="151" t="str"/>
      <x:c r="O454" s="151" t="str"/>
      <x:c r="P454" s="151" t="str"/>
      <x:c r="Q454" s="151" t="str"/>
      <x:c r="R454" s="151" t="str"/>
      <x:c r="S454" s="151" t="str"/>
      <x:c r="T454" s="152" t="n">
        <x:f>IF(COUNTA(O454:S454)=0,"",MAX(0,IF(O454="",0,O454)+IF(P454="",0,P454)-IF(Q454="",0,Q454)-IF(R454="",0,R454)))</x:f>
        <x:v>0</x:v>
      </x:c>
      <x:c r="U454" s="152" t="str">
        <x:f>IF(OR(N454="",Q454=""),"",Q454-N454)</x:f>
      </x:c>
      <x:c r="V454" s="202" t="str">
        <x:f>IFERROR(Q454/N454,"")</x:f>
      </x:c>
      <x:c r="W454" s="137" t="str"/>
      <x:c r="X454" s="137" t="str"/>
      <x:c r="Y454" s="137" t="str"/>
      <x:c r="Z454" s="137" t="str"/>
      <x:c r="AA454" s="137" t="str"/>
      <x:c r="AB454" s="137" t="str"/>
      <x:c r="AC454" s="137" t="str"/>
      <x:c r="AD454" s="199" t="str"/>
    </x:row>
    <x:row r="455">
      <x:c r="A455" s="137" t="str"/>
      <x:c r="B455" s="138" t="str"/>
      <x:c r="C455" s="137" t="str"/>
      <x:c r="D455" s="137" t="str"/>
      <x:c r="E455" s="137" t="str"/>
      <x:c r="F455" s="137" t="str"/>
      <x:c r="G455" s="137" t="str"/>
      <x:c r="H455" s="137" t="str"/>
      <x:c r="I455" s="137" t="str"/>
      <x:c r="J455" s="137" t="str"/>
      <x:c r="K455" s="137" t="str"/>
      <x:c r="L455" s="160" t="str"/>
      <x:c r="M455" s="160" t="str"/>
      <x:c r="N455" s="151" t="str"/>
      <x:c r="O455" s="151" t="str"/>
      <x:c r="P455" s="151" t="str"/>
      <x:c r="Q455" s="151" t="str"/>
      <x:c r="R455" s="151" t="str"/>
      <x:c r="S455" s="151" t="str"/>
      <x:c r="T455" s="152" t="n">
        <x:f>IF(COUNTA(O455:S455)=0,"",MAX(0,IF(O455="",0,O455)+IF(P455="",0,P455)-IF(Q455="",0,Q455)-IF(R455="",0,R455)))</x:f>
        <x:v>0</x:v>
      </x:c>
      <x:c r="U455" s="152" t="str">
        <x:f>IF(OR(N455="",Q455=""),"",Q455-N455)</x:f>
      </x:c>
      <x:c r="V455" s="202" t="str">
        <x:f>IFERROR(Q455/N455,"")</x:f>
      </x:c>
      <x:c r="W455" s="137" t="str"/>
      <x:c r="X455" s="137" t="str"/>
      <x:c r="Y455" s="137" t="str"/>
      <x:c r="Z455" s="137" t="str"/>
      <x:c r="AA455" s="137" t="str"/>
      <x:c r="AB455" s="137" t="str"/>
      <x:c r="AC455" s="137" t="str"/>
      <x:c r="AD455" s="199" t="str"/>
    </x:row>
    <x:row r="456">
      <x:c r="A456" s="137" t="str"/>
      <x:c r="B456" s="138" t="str"/>
      <x:c r="C456" s="137" t="str"/>
      <x:c r="D456" s="137" t="str"/>
      <x:c r="E456" s="137" t="str"/>
      <x:c r="F456" s="137" t="str"/>
      <x:c r="G456" s="137" t="str"/>
      <x:c r="H456" s="137" t="str"/>
      <x:c r="I456" s="137" t="str"/>
      <x:c r="J456" s="137" t="str"/>
      <x:c r="K456" s="137" t="str"/>
      <x:c r="L456" s="160" t="str"/>
      <x:c r="M456" s="160" t="str"/>
      <x:c r="N456" s="151" t="str"/>
      <x:c r="O456" s="151" t="str"/>
      <x:c r="P456" s="151" t="str"/>
      <x:c r="Q456" s="151" t="str"/>
      <x:c r="R456" s="151" t="str"/>
      <x:c r="S456" s="151" t="str"/>
      <x:c r="T456" s="152" t="n">
        <x:f>IF(COUNTA(O456:S456)=0,"",MAX(0,IF(O456="",0,O456)+IF(P456="",0,P456)-IF(Q456="",0,Q456)-IF(R456="",0,R456)))</x:f>
        <x:v>0</x:v>
      </x:c>
      <x:c r="U456" s="152" t="str">
        <x:f>IF(OR(N456="",Q456=""),"",Q456-N456)</x:f>
      </x:c>
      <x:c r="V456" s="202" t="str">
        <x:f>IFERROR(Q456/N456,"")</x:f>
      </x:c>
      <x:c r="W456" s="137" t="str"/>
      <x:c r="X456" s="137" t="str"/>
      <x:c r="Y456" s="137" t="str"/>
      <x:c r="Z456" s="137" t="str"/>
      <x:c r="AA456" s="137" t="str"/>
      <x:c r="AB456" s="137" t="str"/>
      <x:c r="AC456" s="137" t="str"/>
      <x:c r="AD456" s="199" t="str"/>
    </x:row>
    <x:row r="457">
      <x:c r="A457" s="137" t="str"/>
      <x:c r="B457" s="138" t="str"/>
      <x:c r="C457" s="137" t="str"/>
      <x:c r="D457" s="137" t="str"/>
      <x:c r="E457" s="137" t="str"/>
      <x:c r="F457" s="137" t="str"/>
      <x:c r="G457" s="137" t="str"/>
      <x:c r="H457" s="137" t="str"/>
      <x:c r="I457" s="137" t="str"/>
      <x:c r="J457" s="137" t="str"/>
      <x:c r="K457" s="137" t="str"/>
      <x:c r="L457" s="160" t="str"/>
      <x:c r="M457" s="160" t="str"/>
      <x:c r="N457" s="151" t="str"/>
      <x:c r="O457" s="151" t="str"/>
      <x:c r="P457" s="151" t="str"/>
      <x:c r="Q457" s="151" t="str"/>
      <x:c r="R457" s="151" t="str"/>
      <x:c r="S457" s="151" t="str"/>
      <x:c r="T457" s="152" t="n">
        <x:f>IF(COUNTA(O457:S457)=0,"",MAX(0,IF(O457="",0,O457)+IF(P457="",0,P457)-IF(Q457="",0,Q457)-IF(R457="",0,R457)))</x:f>
        <x:v>0</x:v>
      </x:c>
      <x:c r="U457" s="152" t="str">
        <x:f>IF(OR(N457="",Q457=""),"",Q457-N457)</x:f>
      </x:c>
      <x:c r="V457" s="202" t="str">
        <x:f>IFERROR(Q457/N457,"")</x:f>
      </x:c>
      <x:c r="W457" s="137" t="str"/>
      <x:c r="X457" s="137" t="str"/>
      <x:c r="Y457" s="137" t="str"/>
      <x:c r="Z457" s="137" t="str"/>
      <x:c r="AA457" s="137" t="str"/>
      <x:c r="AB457" s="137" t="str"/>
      <x:c r="AC457" s="137" t="str"/>
      <x:c r="AD457" s="199" t="str"/>
    </x:row>
    <x:row r="458">
      <x:c r="A458" s="137" t="str"/>
      <x:c r="B458" s="138" t="str"/>
      <x:c r="C458" s="137" t="str"/>
      <x:c r="D458" s="137" t="str"/>
      <x:c r="E458" s="137" t="str"/>
      <x:c r="F458" s="137" t="str"/>
      <x:c r="G458" s="137" t="str"/>
      <x:c r="H458" s="137" t="str"/>
      <x:c r="I458" s="137" t="str"/>
      <x:c r="J458" s="137" t="str"/>
      <x:c r="K458" s="137" t="str"/>
      <x:c r="L458" s="160" t="str"/>
      <x:c r="M458" s="160" t="str"/>
      <x:c r="N458" s="151" t="str"/>
      <x:c r="O458" s="151" t="str"/>
      <x:c r="P458" s="151" t="str"/>
      <x:c r="Q458" s="151" t="str"/>
      <x:c r="R458" s="151" t="str"/>
      <x:c r="S458" s="151" t="str"/>
      <x:c r="T458" s="152" t="n">
        <x:f>IF(COUNTA(O458:S458)=0,"",MAX(0,IF(O458="",0,O458)+IF(P458="",0,P458)-IF(Q458="",0,Q458)-IF(R458="",0,R458)))</x:f>
        <x:v>0</x:v>
      </x:c>
      <x:c r="U458" s="152" t="str">
        <x:f>IF(OR(N458="",Q458=""),"",Q458-N458)</x:f>
      </x:c>
      <x:c r="V458" s="202" t="str">
        <x:f>IFERROR(Q458/N458,"")</x:f>
      </x:c>
      <x:c r="W458" s="137" t="str"/>
      <x:c r="X458" s="137" t="str"/>
      <x:c r="Y458" s="137" t="str"/>
      <x:c r="Z458" s="137" t="str"/>
      <x:c r="AA458" s="137" t="str"/>
      <x:c r="AB458" s="137" t="str"/>
      <x:c r="AC458" s="137" t="str"/>
      <x:c r="AD458" s="199" t="str"/>
    </x:row>
    <x:row r="459">
      <x:c r="A459" s="137" t="str"/>
      <x:c r="B459" s="138" t="str"/>
      <x:c r="C459" s="137" t="str"/>
      <x:c r="D459" s="137" t="str"/>
      <x:c r="E459" s="137" t="str"/>
      <x:c r="F459" s="137" t="str"/>
      <x:c r="G459" s="137" t="str"/>
      <x:c r="H459" s="137" t="str"/>
      <x:c r="I459" s="137" t="str"/>
      <x:c r="J459" s="137" t="str"/>
      <x:c r="K459" s="137" t="str"/>
      <x:c r="L459" s="160" t="str"/>
      <x:c r="M459" s="160" t="str"/>
      <x:c r="N459" s="151" t="str"/>
      <x:c r="O459" s="151" t="str"/>
      <x:c r="P459" s="151" t="str"/>
      <x:c r="Q459" s="151" t="str"/>
      <x:c r="R459" s="151" t="str"/>
      <x:c r="S459" s="151" t="str"/>
      <x:c r="T459" s="152" t="n">
        <x:f>IF(COUNTA(O459:S459)=0,"",MAX(0,IF(O459="",0,O459)+IF(P459="",0,P459)-IF(Q459="",0,Q459)-IF(R459="",0,R459)))</x:f>
        <x:v>0</x:v>
      </x:c>
      <x:c r="U459" s="152" t="str">
        <x:f>IF(OR(N459="",Q459=""),"",Q459-N459)</x:f>
      </x:c>
      <x:c r="V459" s="202" t="str">
        <x:f>IFERROR(Q459/N459,"")</x:f>
      </x:c>
      <x:c r="W459" s="137" t="str"/>
      <x:c r="X459" s="137" t="str"/>
      <x:c r="Y459" s="137" t="str"/>
      <x:c r="Z459" s="137" t="str"/>
      <x:c r="AA459" s="137" t="str"/>
      <x:c r="AB459" s="137" t="str"/>
      <x:c r="AC459" s="137" t="str"/>
      <x:c r="AD459" s="199" t="str"/>
    </x:row>
    <x:row r="460">
      <x:c r="A460" s="137" t="str"/>
      <x:c r="B460" s="138" t="str"/>
      <x:c r="C460" s="137" t="str"/>
      <x:c r="D460" s="137" t="str"/>
      <x:c r="E460" s="137" t="str"/>
      <x:c r="F460" s="137" t="str"/>
      <x:c r="G460" s="137" t="str"/>
      <x:c r="H460" s="137" t="str"/>
      <x:c r="I460" s="137" t="str"/>
      <x:c r="J460" s="137" t="str"/>
      <x:c r="K460" s="137" t="str"/>
      <x:c r="L460" s="160" t="str"/>
      <x:c r="M460" s="160" t="str"/>
      <x:c r="N460" s="151" t="str"/>
      <x:c r="O460" s="151" t="str"/>
      <x:c r="P460" s="151" t="str"/>
      <x:c r="Q460" s="151" t="str"/>
      <x:c r="R460" s="151" t="str"/>
      <x:c r="S460" s="151" t="str"/>
      <x:c r="T460" s="152" t="n">
        <x:f>IF(COUNTA(O460:S460)=0,"",MAX(0,IF(O460="",0,O460)+IF(P460="",0,P460)-IF(Q460="",0,Q460)-IF(R460="",0,R460)))</x:f>
        <x:v>0</x:v>
      </x:c>
      <x:c r="U460" s="152" t="str">
        <x:f>IF(OR(N460="",Q460=""),"",Q460-N460)</x:f>
      </x:c>
      <x:c r="V460" s="202" t="str">
        <x:f>IFERROR(Q460/N460,"")</x:f>
      </x:c>
      <x:c r="W460" s="137" t="str"/>
      <x:c r="X460" s="137" t="str"/>
      <x:c r="Y460" s="137" t="str"/>
      <x:c r="Z460" s="137" t="str"/>
      <x:c r="AA460" s="137" t="str"/>
      <x:c r="AB460" s="137" t="str"/>
      <x:c r="AC460" s="137" t="str"/>
      <x:c r="AD460" s="199" t="str"/>
    </x:row>
    <x:row r="461">
      <x:c r="A461" s="137" t="str"/>
      <x:c r="B461" s="138" t="str"/>
      <x:c r="C461" s="137" t="str"/>
      <x:c r="D461" s="137" t="str"/>
      <x:c r="E461" s="137" t="str"/>
      <x:c r="F461" s="137" t="str"/>
      <x:c r="G461" s="137" t="str"/>
      <x:c r="H461" s="137" t="str"/>
      <x:c r="I461" s="137" t="str"/>
      <x:c r="J461" s="137" t="str"/>
      <x:c r="K461" s="137" t="str"/>
      <x:c r="L461" s="160" t="str"/>
      <x:c r="M461" s="160" t="str"/>
      <x:c r="N461" s="151" t="str"/>
      <x:c r="O461" s="151" t="str"/>
      <x:c r="P461" s="151" t="str"/>
      <x:c r="Q461" s="151" t="str"/>
      <x:c r="R461" s="151" t="str"/>
      <x:c r="S461" s="151" t="str"/>
      <x:c r="T461" s="152" t="n">
        <x:f>IF(COUNTA(O461:S461)=0,"",MAX(0,IF(O461="",0,O461)+IF(P461="",0,P461)-IF(Q461="",0,Q461)-IF(R461="",0,R461)))</x:f>
        <x:v>0</x:v>
      </x:c>
      <x:c r="U461" s="152" t="str">
        <x:f>IF(OR(N461="",Q461=""),"",Q461-N461)</x:f>
      </x:c>
      <x:c r="V461" s="202" t="str">
        <x:f>IFERROR(Q461/N461,"")</x:f>
      </x:c>
      <x:c r="W461" s="137" t="str"/>
      <x:c r="X461" s="137" t="str"/>
      <x:c r="Y461" s="137" t="str"/>
      <x:c r="Z461" s="137" t="str"/>
      <x:c r="AA461" s="137" t="str"/>
      <x:c r="AB461" s="137" t="str"/>
      <x:c r="AC461" s="137" t="str"/>
      <x:c r="AD461" s="199" t="str"/>
    </x:row>
    <x:row r="462">
      <x:c r="A462" s="137" t="str"/>
      <x:c r="B462" s="138" t="str"/>
      <x:c r="C462" s="137" t="str"/>
      <x:c r="D462" s="137" t="str"/>
      <x:c r="E462" s="137" t="str"/>
      <x:c r="F462" s="137" t="str"/>
      <x:c r="G462" s="137" t="str"/>
      <x:c r="H462" s="137" t="str"/>
      <x:c r="I462" s="137" t="str"/>
      <x:c r="J462" s="137" t="str"/>
      <x:c r="K462" s="137" t="str"/>
      <x:c r="L462" s="160" t="str"/>
      <x:c r="M462" s="160" t="str"/>
      <x:c r="N462" s="151" t="str"/>
      <x:c r="O462" s="151" t="str"/>
      <x:c r="P462" s="151" t="str"/>
      <x:c r="Q462" s="151" t="str"/>
      <x:c r="R462" s="151" t="str"/>
      <x:c r="S462" s="151" t="str"/>
      <x:c r="T462" s="152" t="n">
        <x:f>IF(COUNTA(O462:S462)=0,"",MAX(0,IF(O462="",0,O462)+IF(P462="",0,P462)-IF(Q462="",0,Q462)-IF(R462="",0,R462)))</x:f>
        <x:v>0</x:v>
      </x:c>
      <x:c r="U462" s="152" t="str">
        <x:f>IF(OR(N462="",Q462=""),"",Q462-N462)</x:f>
      </x:c>
      <x:c r="V462" s="202" t="str">
        <x:f>IFERROR(Q462/N462,"")</x:f>
      </x:c>
      <x:c r="W462" s="137" t="str"/>
      <x:c r="X462" s="137" t="str"/>
      <x:c r="Y462" s="137" t="str"/>
      <x:c r="Z462" s="137" t="str"/>
      <x:c r="AA462" s="137" t="str"/>
      <x:c r="AB462" s="137" t="str"/>
      <x:c r="AC462" s="137" t="str"/>
      <x:c r="AD462" s="199" t="str"/>
    </x:row>
    <x:row r="463">
      <x:c r="A463" s="137" t="str"/>
      <x:c r="B463" s="138" t="str"/>
      <x:c r="C463" s="137" t="str"/>
      <x:c r="D463" s="137" t="str"/>
      <x:c r="E463" s="137" t="str"/>
      <x:c r="F463" s="137" t="str"/>
      <x:c r="G463" s="137" t="str"/>
      <x:c r="H463" s="137" t="str"/>
      <x:c r="I463" s="137" t="str"/>
      <x:c r="J463" s="137" t="str"/>
      <x:c r="K463" s="137" t="str"/>
      <x:c r="L463" s="160" t="str"/>
      <x:c r="M463" s="160" t="str"/>
      <x:c r="N463" s="151" t="str"/>
      <x:c r="O463" s="151" t="str"/>
      <x:c r="P463" s="151" t="str"/>
      <x:c r="Q463" s="151" t="str"/>
      <x:c r="R463" s="151" t="str"/>
      <x:c r="S463" s="151" t="str"/>
      <x:c r="T463" s="152" t="n">
        <x:f>IF(COUNTA(O463:S463)=0,"",MAX(0,IF(O463="",0,O463)+IF(P463="",0,P463)-IF(Q463="",0,Q463)-IF(R463="",0,R463)))</x:f>
        <x:v>0</x:v>
      </x:c>
      <x:c r="U463" s="152" t="str">
        <x:f>IF(OR(N463="",Q463=""),"",Q463-N463)</x:f>
      </x:c>
      <x:c r="V463" s="202" t="str">
        <x:f>IFERROR(Q463/N463,"")</x:f>
      </x:c>
      <x:c r="W463" s="137" t="str"/>
      <x:c r="X463" s="137" t="str"/>
      <x:c r="Y463" s="137" t="str"/>
      <x:c r="Z463" s="137" t="str"/>
      <x:c r="AA463" s="137" t="str"/>
      <x:c r="AB463" s="137" t="str"/>
      <x:c r="AC463" s="137" t="str"/>
      <x:c r="AD463" s="199" t="str"/>
    </x:row>
    <x:row r="464">
      <x:c r="A464" s="137" t="str"/>
      <x:c r="B464" s="138" t="str"/>
      <x:c r="C464" s="137" t="str"/>
      <x:c r="D464" s="137" t="str"/>
      <x:c r="E464" s="137" t="str"/>
      <x:c r="F464" s="137" t="str"/>
      <x:c r="G464" s="137" t="str"/>
      <x:c r="H464" s="137" t="str"/>
      <x:c r="I464" s="137" t="str"/>
      <x:c r="J464" s="137" t="str"/>
      <x:c r="K464" s="137" t="str"/>
      <x:c r="L464" s="160" t="str"/>
      <x:c r="M464" s="160" t="str"/>
      <x:c r="N464" s="151" t="str"/>
      <x:c r="O464" s="151" t="str"/>
      <x:c r="P464" s="151" t="str"/>
      <x:c r="Q464" s="151" t="str"/>
      <x:c r="R464" s="151" t="str"/>
      <x:c r="S464" s="151" t="str"/>
      <x:c r="T464" s="152" t="n">
        <x:f>IF(COUNTA(O464:S464)=0,"",MAX(0,IF(O464="",0,O464)+IF(P464="",0,P464)-IF(Q464="",0,Q464)-IF(R464="",0,R464)))</x:f>
        <x:v>0</x:v>
      </x:c>
      <x:c r="U464" s="152" t="str">
        <x:f>IF(OR(N464="",Q464=""),"",Q464-N464)</x:f>
      </x:c>
      <x:c r="V464" s="202" t="str">
        <x:f>IFERROR(Q464/N464,"")</x:f>
      </x:c>
      <x:c r="W464" s="137" t="str"/>
      <x:c r="X464" s="137" t="str"/>
      <x:c r="Y464" s="137" t="str"/>
      <x:c r="Z464" s="137" t="str"/>
      <x:c r="AA464" s="137" t="str"/>
      <x:c r="AB464" s="137" t="str"/>
      <x:c r="AC464" s="137" t="str"/>
      <x:c r="AD464" s="199" t="str"/>
    </x:row>
    <x:row r="465">
      <x:c r="A465" s="137" t="str"/>
      <x:c r="B465" s="138" t="str"/>
      <x:c r="C465" s="137" t="str"/>
      <x:c r="D465" s="137" t="str"/>
      <x:c r="E465" s="137" t="str"/>
      <x:c r="F465" s="137" t="str"/>
      <x:c r="G465" s="137" t="str"/>
      <x:c r="H465" s="137" t="str"/>
      <x:c r="I465" s="137" t="str"/>
      <x:c r="J465" s="137" t="str"/>
      <x:c r="K465" s="137" t="str"/>
      <x:c r="L465" s="160" t="str"/>
      <x:c r="M465" s="160" t="str"/>
      <x:c r="N465" s="151" t="str"/>
      <x:c r="O465" s="151" t="str"/>
      <x:c r="P465" s="151" t="str"/>
      <x:c r="Q465" s="151" t="str"/>
      <x:c r="R465" s="151" t="str"/>
      <x:c r="S465" s="151" t="str"/>
      <x:c r="T465" s="152" t="n">
        <x:f>IF(COUNTA(O465:S465)=0,"",MAX(0,IF(O465="",0,O465)+IF(P465="",0,P465)-IF(Q465="",0,Q465)-IF(R465="",0,R465)))</x:f>
        <x:v>0</x:v>
      </x:c>
      <x:c r="U465" s="152" t="str">
        <x:f>IF(OR(N465="",Q465=""),"",Q465-N465)</x:f>
      </x:c>
      <x:c r="V465" s="202" t="str">
        <x:f>IFERROR(Q465/N465,"")</x:f>
      </x:c>
      <x:c r="W465" s="137" t="str"/>
      <x:c r="X465" s="137" t="str"/>
      <x:c r="Y465" s="137" t="str"/>
      <x:c r="Z465" s="137" t="str"/>
      <x:c r="AA465" s="137" t="str"/>
      <x:c r="AB465" s="137" t="str"/>
      <x:c r="AC465" s="137" t="str"/>
      <x:c r="AD465" s="199" t="str"/>
    </x:row>
    <x:row r="466">
      <x:c r="A466" s="137" t="str"/>
      <x:c r="B466" s="138" t="str"/>
      <x:c r="C466" s="137" t="str"/>
      <x:c r="D466" s="137" t="str"/>
      <x:c r="E466" s="137" t="str"/>
      <x:c r="F466" s="137" t="str"/>
      <x:c r="G466" s="137" t="str"/>
      <x:c r="H466" s="137" t="str"/>
      <x:c r="I466" s="137" t="str"/>
      <x:c r="J466" s="137" t="str"/>
      <x:c r="K466" s="137" t="str"/>
      <x:c r="L466" s="160" t="str"/>
      <x:c r="M466" s="160" t="str"/>
      <x:c r="N466" s="151" t="str"/>
      <x:c r="O466" s="151" t="str"/>
      <x:c r="P466" s="151" t="str"/>
      <x:c r="Q466" s="151" t="str"/>
      <x:c r="R466" s="151" t="str"/>
      <x:c r="S466" s="151" t="str"/>
      <x:c r="T466" s="152" t="n">
        <x:f>IF(COUNTA(O466:S466)=0,"",MAX(0,IF(O466="",0,O466)+IF(P466="",0,P466)-IF(Q466="",0,Q466)-IF(R466="",0,R466)))</x:f>
        <x:v>0</x:v>
      </x:c>
      <x:c r="U466" s="152" t="str">
        <x:f>IF(OR(N466="",Q466=""),"",Q466-N466)</x:f>
      </x:c>
      <x:c r="V466" s="202" t="str">
        <x:f>IFERROR(Q466/N466,"")</x:f>
      </x:c>
      <x:c r="W466" s="137" t="str"/>
      <x:c r="X466" s="137" t="str"/>
      <x:c r="Y466" s="137" t="str"/>
      <x:c r="Z466" s="137" t="str"/>
      <x:c r="AA466" s="137" t="str"/>
      <x:c r="AB466" s="137" t="str"/>
      <x:c r="AC466" s="137" t="str"/>
      <x:c r="AD466" s="199" t="str"/>
    </x:row>
    <x:row r="467">
      <x:c r="A467" s="137" t="str"/>
      <x:c r="B467" s="138" t="str"/>
      <x:c r="C467" s="137" t="str"/>
      <x:c r="D467" s="137" t="str"/>
      <x:c r="E467" s="137" t="str"/>
      <x:c r="F467" s="137" t="str"/>
      <x:c r="G467" s="137" t="str"/>
      <x:c r="H467" s="137" t="str"/>
      <x:c r="I467" s="137" t="str"/>
      <x:c r="J467" s="137" t="str"/>
      <x:c r="K467" s="137" t="str"/>
      <x:c r="L467" s="160" t="str"/>
      <x:c r="M467" s="160" t="str"/>
      <x:c r="N467" s="151" t="str"/>
      <x:c r="O467" s="151" t="str"/>
      <x:c r="P467" s="151" t="str"/>
      <x:c r="Q467" s="151" t="str"/>
      <x:c r="R467" s="151" t="str"/>
      <x:c r="S467" s="151" t="str"/>
      <x:c r="T467" s="152" t="n">
        <x:f>IF(COUNTA(O467:S467)=0,"",MAX(0,IF(O467="",0,O467)+IF(P467="",0,P467)-IF(Q467="",0,Q467)-IF(R467="",0,R467)))</x:f>
        <x:v>0</x:v>
      </x:c>
      <x:c r="U467" s="152" t="str">
        <x:f>IF(OR(N467="",Q467=""),"",Q467-N467)</x:f>
      </x:c>
      <x:c r="V467" s="202" t="str">
        <x:f>IFERROR(Q467/N467,"")</x:f>
      </x:c>
      <x:c r="W467" s="137" t="str"/>
      <x:c r="X467" s="137" t="str"/>
      <x:c r="Y467" s="137" t="str"/>
      <x:c r="Z467" s="137" t="str"/>
      <x:c r="AA467" s="137" t="str"/>
      <x:c r="AB467" s="137" t="str"/>
      <x:c r="AC467" s="137" t="str"/>
      <x:c r="AD467" s="199" t="str"/>
    </x:row>
    <x:row r="468">
      <x:c r="A468" s="137" t="str"/>
      <x:c r="B468" s="138" t="str"/>
      <x:c r="C468" s="137" t="str"/>
      <x:c r="D468" s="137" t="str"/>
      <x:c r="E468" s="137" t="str"/>
      <x:c r="F468" s="137" t="str"/>
      <x:c r="G468" s="137" t="str"/>
      <x:c r="H468" s="137" t="str"/>
      <x:c r="I468" s="137" t="str"/>
      <x:c r="J468" s="137" t="str"/>
      <x:c r="K468" s="137" t="str"/>
      <x:c r="L468" s="160" t="str"/>
      <x:c r="M468" s="160" t="str"/>
      <x:c r="N468" s="151" t="str"/>
      <x:c r="O468" s="151" t="str"/>
      <x:c r="P468" s="151" t="str"/>
      <x:c r="Q468" s="151" t="str"/>
      <x:c r="R468" s="151" t="str"/>
      <x:c r="S468" s="151" t="str"/>
      <x:c r="T468" s="152" t="n">
        <x:f>IF(COUNTA(O468:S468)=0,"",MAX(0,IF(O468="",0,O468)+IF(P468="",0,P468)-IF(Q468="",0,Q468)-IF(R468="",0,R468)))</x:f>
        <x:v>0</x:v>
      </x:c>
      <x:c r="U468" s="152" t="str">
        <x:f>IF(OR(N468="",Q468=""),"",Q468-N468)</x:f>
      </x:c>
      <x:c r="V468" s="202" t="str">
        <x:f>IFERROR(Q468/N468,"")</x:f>
      </x:c>
      <x:c r="W468" s="137" t="str"/>
      <x:c r="X468" s="137" t="str"/>
      <x:c r="Y468" s="137" t="str"/>
      <x:c r="Z468" s="137" t="str"/>
      <x:c r="AA468" s="137" t="str"/>
      <x:c r="AB468" s="137" t="str"/>
      <x:c r="AC468" s="137" t="str"/>
      <x:c r="AD468" s="199" t="str"/>
    </x:row>
    <x:row r="469">
      <x:c r="A469" s="137" t="str"/>
      <x:c r="B469" s="138" t="str"/>
      <x:c r="C469" s="137" t="str"/>
      <x:c r="D469" s="137" t="str"/>
      <x:c r="E469" s="137" t="str"/>
      <x:c r="F469" s="137" t="str"/>
      <x:c r="G469" s="137" t="str"/>
      <x:c r="H469" s="137" t="str"/>
      <x:c r="I469" s="137" t="str"/>
      <x:c r="J469" s="137" t="str"/>
      <x:c r="K469" s="137" t="str"/>
      <x:c r="L469" s="160" t="str"/>
      <x:c r="M469" s="160" t="str"/>
      <x:c r="N469" s="151" t="str"/>
      <x:c r="O469" s="151" t="str"/>
      <x:c r="P469" s="151" t="str"/>
      <x:c r="Q469" s="151" t="str"/>
      <x:c r="R469" s="151" t="str"/>
      <x:c r="S469" s="151" t="str"/>
      <x:c r="T469" s="152" t="n">
        <x:f>IF(COUNTA(O469:S469)=0,"",MAX(0,IF(O469="",0,O469)+IF(P469="",0,P469)-IF(Q469="",0,Q469)-IF(R469="",0,R469)))</x:f>
        <x:v>0</x:v>
      </x:c>
      <x:c r="U469" s="152" t="str">
        <x:f>IF(OR(N469="",Q469=""),"",Q469-N469)</x:f>
      </x:c>
      <x:c r="V469" s="202" t="str">
        <x:f>IFERROR(Q469/N469,"")</x:f>
      </x:c>
      <x:c r="W469" s="137" t="str"/>
      <x:c r="X469" s="137" t="str"/>
      <x:c r="Y469" s="137" t="str"/>
      <x:c r="Z469" s="137" t="str"/>
      <x:c r="AA469" s="137" t="str"/>
      <x:c r="AB469" s="137" t="str"/>
      <x:c r="AC469" s="137" t="str"/>
      <x:c r="AD469" s="199" t="str"/>
    </x:row>
    <x:row r="470">
      <x:c r="A470" s="137" t="str"/>
      <x:c r="B470" s="138" t="str"/>
      <x:c r="C470" s="137" t="str"/>
      <x:c r="D470" s="137" t="str"/>
      <x:c r="E470" s="137" t="str"/>
      <x:c r="F470" s="137" t="str"/>
      <x:c r="G470" s="137" t="str"/>
      <x:c r="H470" s="137" t="str"/>
      <x:c r="I470" s="137" t="str"/>
      <x:c r="J470" s="137" t="str"/>
      <x:c r="K470" s="137" t="str"/>
      <x:c r="L470" s="160" t="str"/>
      <x:c r="M470" s="160" t="str"/>
      <x:c r="N470" s="151" t="str"/>
      <x:c r="O470" s="151" t="str"/>
      <x:c r="P470" s="151" t="str"/>
      <x:c r="Q470" s="151" t="str"/>
      <x:c r="R470" s="151" t="str"/>
      <x:c r="S470" s="151" t="str"/>
      <x:c r="T470" s="152" t="n">
        <x:f>IF(COUNTA(O470:S470)=0,"",MAX(0,IF(O470="",0,O470)+IF(P470="",0,P470)-IF(Q470="",0,Q470)-IF(R470="",0,R470)))</x:f>
        <x:v>0</x:v>
      </x:c>
      <x:c r="U470" s="152" t="str">
        <x:f>IF(OR(N470="",Q470=""),"",Q470-N470)</x:f>
      </x:c>
      <x:c r="V470" s="202" t="str">
        <x:f>IFERROR(Q470/N470,"")</x:f>
      </x:c>
      <x:c r="W470" s="137" t="str"/>
      <x:c r="X470" s="137" t="str"/>
      <x:c r="Y470" s="137" t="str"/>
      <x:c r="Z470" s="137" t="str"/>
      <x:c r="AA470" s="137" t="str"/>
      <x:c r="AB470" s="137" t="str"/>
      <x:c r="AC470" s="137" t="str"/>
      <x:c r="AD470" s="199" t="str"/>
    </x:row>
    <x:row r="471">
      <x:c r="A471" s="137" t="str"/>
      <x:c r="B471" s="138" t="str"/>
      <x:c r="C471" s="137" t="str"/>
      <x:c r="D471" s="137" t="str"/>
      <x:c r="E471" s="137" t="str"/>
      <x:c r="F471" s="137" t="str"/>
      <x:c r="G471" s="137" t="str"/>
      <x:c r="H471" s="137" t="str"/>
      <x:c r="I471" s="137" t="str"/>
      <x:c r="J471" s="137" t="str"/>
      <x:c r="K471" s="137" t="str"/>
      <x:c r="L471" s="160" t="str"/>
      <x:c r="M471" s="160" t="str"/>
      <x:c r="N471" s="151" t="str"/>
      <x:c r="O471" s="151" t="str"/>
      <x:c r="P471" s="151" t="str"/>
      <x:c r="Q471" s="151" t="str"/>
      <x:c r="R471" s="151" t="str"/>
      <x:c r="S471" s="151" t="str"/>
      <x:c r="T471" s="152" t="n">
        <x:f>IF(COUNTA(O471:S471)=0,"",MAX(0,IF(O471="",0,O471)+IF(P471="",0,P471)-IF(Q471="",0,Q471)-IF(R471="",0,R471)))</x:f>
        <x:v>0</x:v>
      </x:c>
      <x:c r="U471" s="152" t="str">
        <x:f>IF(OR(N471="",Q471=""),"",Q471-N471)</x:f>
      </x:c>
      <x:c r="V471" s="202" t="str">
        <x:f>IFERROR(Q471/N471,"")</x:f>
      </x:c>
      <x:c r="W471" s="137" t="str"/>
      <x:c r="X471" s="137" t="str"/>
      <x:c r="Y471" s="137" t="str"/>
      <x:c r="Z471" s="137" t="str"/>
      <x:c r="AA471" s="137" t="str"/>
      <x:c r="AB471" s="137" t="str"/>
      <x:c r="AC471" s="137" t="str"/>
      <x:c r="AD471" s="199" t="str"/>
    </x:row>
    <x:row r="472">
      <x:c r="A472" s="137" t="str"/>
      <x:c r="B472" s="138" t="str"/>
      <x:c r="C472" s="137" t="str"/>
      <x:c r="D472" s="137" t="str"/>
      <x:c r="E472" s="137" t="str"/>
      <x:c r="F472" s="137" t="str"/>
      <x:c r="G472" s="137" t="str"/>
      <x:c r="H472" s="137" t="str"/>
      <x:c r="I472" s="137" t="str"/>
      <x:c r="J472" s="137" t="str"/>
      <x:c r="K472" s="137" t="str"/>
      <x:c r="L472" s="160" t="str"/>
      <x:c r="M472" s="160" t="str"/>
      <x:c r="N472" s="151" t="str"/>
      <x:c r="O472" s="151" t="str"/>
      <x:c r="P472" s="151" t="str"/>
      <x:c r="Q472" s="151" t="str"/>
      <x:c r="R472" s="151" t="str"/>
      <x:c r="S472" s="151" t="str"/>
      <x:c r="T472" s="152" t="n">
        <x:f>IF(COUNTA(O472:S472)=0,"",MAX(0,IF(O472="",0,O472)+IF(P472="",0,P472)-IF(Q472="",0,Q472)-IF(R472="",0,R472)))</x:f>
        <x:v>0</x:v>
      </x:c>
      <x:c r="U472" s="152" t="str">
        <x:f>IF(OR(N472="",Q472=""),"",Q472-N472)</x:f>
      </x:c>
      <x:c r="V472" s="202" t="str">
        <x:f>IFERROR(Q472/N472,"")</x:f>
      </x:c>
      <x:c r="W472" s="137" t="str"/>
      <x:c r="X472" s="137" t="str"/>
      <x:c r="Y472" s="137" t="str"/>
      <x:c r="Z472" s="137" t="str"/>
      <x:c r="AA472" s="137" t="str"/>
      <x:c r="AB472" s="137" t="str"/>
      <x:c r="AC472" s="137" t="str"/>
      <x:c r="AD472" s="199" t="str"/>
    </x:row>
    <x:row r="473">
      <x:c r="A473" s="137" t="str"/>
      <x:c r="B473" s="138" t="str"/>
      <x:c r="C473" s="137" t="str"/>
      <x:c r="D473" s="137" t="str"/>
      <x:c r="E473" s="137" t="str"/>
      <x:c r="F473" s="137" t="str"/>
      <x:c r="G473" s="137" t="str"/>
      <x:c r="H473" s="137" t="str"/>
      <x:c r="I473" s="137" t="str"/>
      <x:c r="J473" s="137" t="str"/>
      <x:c r="K473" s="137" t="str"/>
      <x:c r="L473" s="160" t="str"/>
      <x:c r="M473" s="160" t="str"/>
      <x:c r="N473" s="151" t="str"/>
      <x:c r="O473" s="151" t="str"/>
      <x:c r="P473" s="151" t="str"/>
      <x:c r="Q473" s="151" t="str"/>
      <x:c r="R473" s="151" t="str"/>
      <x:c r="S473" s="151" t="str"/>
      <x:c r="T473" s="152" t="n">
        <x:f>IF(COUNTA(O473:S473)=0,"",MAX(0,IF(O473="",0,O473)+IF(P473="",0,P473)-IF(Q473="",0,Q473)-IF(R473="",0,R473)))</x:f>
        <x:v>0</x:v>
      </x:c>
      <x:c r="U473" s="152" t="str">
        <x:f>IF(OR(N473="",Q473=""),"",Q473-N473)</x:f>
      </x:c>
      <x:c r="V473" s="202" t="str">
        <x:f>IFERROR(Q473/N473,"")</x:f>
      </x:c>
      <x:c r="W473" s="137" t="str"/>
      <x:c r="X473" s="137" t="str"/>
      <x:c r="Y473" s="137" t="str"/>
      <x:c r="Z473" s="137" t="str"/>
      <x:c r="AA473" s="137" t="str"/>
      <x:c r="AB473" s="137" t="str"/>
      <x:c r="AC473" s="137" t="str"/>
      <x:c r="AD473" s="199" t="str"/>
    </x:row>
    <x:row r="474">
      <x:c r="A474" s="137" t="str"/>
      <x:c r="B474" s="138" t="str"/>
      <x:c r="C474" s="137" t="str"/>
      <x:c r="D474" s="137" t="str"/>
      <x:c r="E474" s="137" t="str"/>
      <x:c r="F474" s="137" t="str"/>
      <x:c r="G474" s="137" t="str"/>
      <x:c r="H474" s="137" t="str"/>
      <x:c r="I474" s="137" t="str"/>
      <x:c r="J474" s="137" t="str"/>
      <x:c r="K474" s="137" t="str"/>
      <x:c r="L474" s="160" t="str"/>
      <x:c r="M474" s="160" t="str"/>
      <x:c r="N474" s="151" t="str"/>
      <x:c r="O474" s="151" t="str"/>
      <x:c r="P474" s="151" t="str"/>
      <x:c r="Q474" s="151" t="str"/>
      <x:c r="R474" s="151" t="str"/>
      <x:c r="S474" s="151" t="str"/>
      <x:c r="T474" s="152" t="n">
        <x:f>IF(COUNTA(O474:S474)=0,"",MAX(0,IF(O474="",0,O474)+IF(P474="",0,P474)-IF(Q474="",0,Q474)-IF(R474="",0,R474)))</x:f>
        <x:v>0</x:v>
      </x:c>
      <x:c r="U474" s="152" t="str">
        <x:f>IF(OR(N474="",Q474=""),"",Q474-N474)</x:f>
      </x:c>
      <x:c r="V474" s="202" t="str">
        <x:f>IFERROR(Q474/N474,"")</x:f>
      </x:c>
      <x:c r="W474" s="137" t="str"/>
      <x:c r="X474" s="137" t="str"/>
      <x:c r="Y474" s="137" t="str"/>
      <x:c r="Z474" s="137" t="str"/>
      <x:c r="AA474" s="137" t="str"/>
      <x:c r="AB474" s="137" t="str"/>
      <x:c r="AC474" s="137" t="str"/>
      <x:c r="AD474" s="199" t="str"/>
    </x:row>
    <x:row r="475">
      <x:c r="A475" s="137" t="str"/>
      <x:c r="B475" s="138" t="str"/>
      <x:c r="C475" s="137" t="str"/>
      <x:c r="D475" s="137" t="str"/>
      <x:c r="E475" s="137" t="str"/>
      <x:c r="F475" s="137" t="str"/>
      <x:c r="G475" s="137" t="str"/>
      <x:c r="H475" s="137" t="str"/>
      <x:c r="I475" s="137" t="str"/>
      <x:c r="J475" s="137" t="str"/>
      <x:c r="K475" s="137" t="str"/>
      <x:c r="L475" s="160" t="str"/>
      <x:c r="M475" s="160" t="str"/>
      <x:c r="N475" s="151" t="str"/>
      <x:c r="O475" s="151" t="str"/>
      <x:c r="P475" s="151" t="str"/>
      <x:c r="Q475" s="151" t="str"/>
      <x:c r="R475" s="151" t="str"/>
      <x:c r="S475" s="151" t="str"/>
      <x:c r="T475" s="152" t="n">
        <x:f>IF(COUNTA(O475:S475)=0,"",MAX(0,IF(O475="",0,O475)+IF(P475="",0,P475)-IF(Q475="",0,Q475)-IF(R475="",0,R475)))</x:f>
        <x:v>0</x:v>
      </x:c>
      <x:c r="U475" s="152" t="str">
        <x:f>IF(OR(N475="",Q475=""),"",Q475-N475)</x:f>
      </x:c>
      <x:c r="V475" s="202" t="str">
        <x:f>IFERROR(Q475/N475,"")</x:f>
      </x:c>
      <x:c r="W475" s="137" t="str"/>
      <x:c r="X475" s="137" t="str"/>
      <x:c r="Y475" s="137" t="str"/>
      <x:c r="Z475" s="137" t="str"/>
      <x:c r="AA475" s="137" t="str"/>
      <x:c r="AB475" s="137" t="str"/>
      <x:c r="AC475" s="137" t="str"/>
      <x:c r="AD475" s="199" t="str"/>
    </x:row>
    <x:row r="476">
      <x:c r="A476" s="137" t="str"/>
      <x:c r="B476" s="138" t="str"/>
      <x:c r="C476" s="137" t="str"/>
      <x:c r="D476" s="137" t="str"/>
      <x:c r="E476" s="137" t="str"/>
      <x:c r="F476" s="137" t="str"/>
      <x:c r="G476" s="137" t="str"/>
      <x:c r="H476" s="137" t="str"/>
      <x:c r="I476" s="137" t="str"/>
      <x:c r="J476" s="137" t="str"/>
      <x:c r="K476" s="137" t="str"/>
      <x:c r="L476" s="160" t="str"/>
      <x:c r="M476" s="160" t="str"/>
      <x:c r="N476" s="151" t="str"/>
      <x:c r="O476" s="151" t="str"/>
      <x:c r="P476" s="151" t="str"/>
      <x:c r="Q476" s="151" t="str"/>
      <x:c r="R476" s="151" t="str"/>
      <x:c r="S476" s="151" t="str"/>
      <x:c r="T476" s="152" t="n">
        <x:f>IF(COUNTA(O476:S476)=0,"",MAX(0,IF(O476="",0,O476)+IF(P476="",0,P476)-IF(Q476="",0,Q476)-IF(R476="",0,R476)))</x:f>
        <x:v>0</x:v>
      </x:c>
      <x:c r="U476" s="152" t="str">
        <x:f>IF(OR(N476="",Q476=""),"",Q476-N476)</x:f>
      </x:c>
      <x:c r="V476" s="202" t="str">
        <x:f>IFERROR(Q476/N476,"")</x:f>
      </x:c>
      <x:c r="W476" s="137" t="str"/>
      <x:c r="X476" s="137" t="str"/>
      <x:c r="Y476" s="137" t="str"/>
      <x:c r="Z476" s="137" t="str"/>
      <x:c r="AA476" s="137" t="str"/>
      <x:c r="AB476" s="137" t="str"/>
      <x:c r="AC476" s="137" t="str"/>
      <x:c r="AD476" s="199" t="str"/>
    </x:row>
    <x:row r="477">
      <x:c r="A477" s="137" t="str"/>
      <x:c r="B477" s="138" t="str"/>
      <x:c r="C477" s="137" t="str"/>
      <x:c r="D477" s="137" t="str"/>
      <x:c r="E477" s="137" t="str"/>
      <x:c r="F477" s="137" t="str"/>
      <x:c r="G477" s="137" t="str"/>
      <x:c r="H477" s="137" t="str"/>
      <x:c r="I477" s="137" t="str"/>
      <x:c r="J477" s="137" t="str"/>
      <x:c r="K477" s="137" t="str"/>
      <x:c r="L477" s="160" t="str"/>
      <x:c r="M477" s="160" t="str"/>
      <x:c r="N477" s="151" t="str"/>
      <x:c r="O477" s="151" t="str"/>
      <x:c r="P477" s="151" t="str"/>
      <x:c r="Q477" s="151" t="str"/>
      <x:c r="R477" s="151" t="str"/>
      <x:c r="S477" s="151" t="str"/>
      <x:c r="T477" s="152" t="n">
        <x:f>IF(COUNTA(O477:S477)=0,"",MAX(0,IF(O477="",0,O477)+IF(P477="",0,P477)-IF(Q477="",0,Q477)-IF(R477="",0,R477)))</x:f>
        <x:v>0</x:v>
      </x:c>
      <x:c r="U477" s="152" t="str">
        <x:f>IF(OR(N477="",Q477=""),"",Q477-N477)</x:f>
      </x:c>
      <x:c r="V477" s="202" t="str">
        <x:f>IFERROR(Q477/N477,"")</x:f>
      </x:c>
      <x:c r="W477" s="137" t="str"/>
      <x:c r="X477" s="137" t="str"/>
      <x:c r="Y477" s="137" t="str"/>
      <x:c r="Z477" s="137" t="str"/>
      <x:c r="AA477" s="137" t="str"/>
      <x:c r="AB477" s="137" t="str"/>
      <x:c r="AC477" s="137" t="str"/>
      <x:c r="AD477" s="199" t="str"/>
    </x:row>
    <x:row r="478">
      <x:c r="A478" s="137" t="str"/>
      <x:c r="B478" s="138" t="str"/>
      <x:c r="C478" s="137" t="str"/>
      <x:c r="D478" s="137" t="str"/>
      <x:c r="E478" s="137" t="str"/>
      <x:c r="F478" s="137" t="str"/>
      <x:c r="G478" s="137" t="str"/>
      <x:c r="H478" s="137" t="str"/>
      <x:c r="I478" s="137" t="str"/>
      <x:c r="J478" s="137" t="str"/>
      <x:c r="K478" s="137" t="str"/>
      <x:c r="L478" s="160" t="str"/>
      <x:c r="M478" s="160" t="str"/>
      <x:c r="N478" s="151" t="str"/>
      <x:c r="O478" s="151" t="str"/>
      <x:c r="P478" s="151" t="str"/>
      <x:c r="Q478" s="151" t="str"/>
      <x:c r="R478" s="151" t="str"/>
      <x:c r="S478" s="151" t="str"/>
      <x:c r="T478" s="152" t="n">
        <x:f>IF(COUNTA(O478:S478)=0,"",MAX(0,IF(O478="",0,O478)+IF(P478="",0,P478)-IF(Q478="",0,Q478)-IF(R478="",0,R478)))</x:f>
        <x:v>0</x:v>
      </x:c>
      <x:c r="U478" s="152" t="str">
        <x:f>IF(OR(N478="",Q478=""),"",Q478-N478)</x:f>
      </x:c>
      <x:c r="V478" s="202" t="str">
        <x:f>IFERROR(Q478/N478,"")</x:f>
      </x:c>
      <x:c r="W478" s="137" t="str"/>
      <x:c r="X478" s="137" t="str"/>
      <x:c r="Y478" s="137" t="str"/>
      <x:c r="Z478" s="137" t="str"/>
      <x:c r="AA478" s="137" t="str"/>
      <x:c r="AB478" s="137" t="str"/>
      <x:c r="AC478" s="137" t="str"/>
      <x:c r="AD478" s="199" t="str"/>
    </x:row>
    <x:row r="479">
      <x:c r="A479" s="137" t="str"/>
      <x:c r="B479" s="138" t="str"/>
      <x:c r="C479" s="137" t="str"/>
      <x:c r="D479" s="137" t="str"/>
      <x:c r="E479" s="137" t="str"/>
      <x:c r="F479" s="137" t="str"/>
      <x:c r="G479" s="137" t="str"/>
      <x:c r="H479" s="137" t="str"/>
      <x:c r="I479" s="137" t="str"/>
      <x:c r="J479" s="137" t="str"/>
      <x:c r="K479" s="137" t="str"/>
      <x:c r="L479" s="160" t="str"/>
      <x:c r="M479" s="160" t="str"/>
      <x:c r="N479" s="151" t="str"/>
      <x:c r="O479" s="151" t="str"/>
      <x:c r="P479" s="151" t="str"/>
      <x:c r="Q479" s="151" t="str"/>
      <x:c r="R479" s="151" t="str"/>
      <x:c r="S479" s="151" t="str"/>
      <x:c r="T479" s="152" t="n">
        <x:f>IF(COUNTA(O479:S479)=0,"",MAX(0,IF(O479="",0,O479)+IF(P479="",0,P479)-IF(Q479="",0,Q479)-IF(R479="",0,R479)))</x:f>
        <x:v>0</x:v>
      </x:c>
      <x:c r="U479" s="152" t="str">
        <x:f>IF(OR(N479="",Q479=""),"",Q479-N479)</x:f>
      </x:c>
      <x:c r="V479" s="202" t="str">
        <x:f>IFERROR(Q479/N479,"")</x:f>
      </x:c>
      <x:c r="W479" s="137" t="str"/>
      <x:c r="X479" s="137" t="str"/>
      <x:c r="Y479" s="137" t="str"/>
      <x:c r="Z479" s="137" t="str"/>
      <x:c r="AA479" s="137" t="str"/>
      <x:c r="AB479" s="137" t="str"/>
      <x:c r="AC479" s="137" t="str"/>
      <x:c r="AD479" s="199" t="str"/>
    </x:row>
    <x:row r="480">
      <x:c r="A480" s="137" t="str"/>
      <x:c r="B480" s="138" t="str"/>
      <x:c r="C480" s="137" t="str"/>
      <x:c r="D480" s="137" t="str"/>
      <x:c r="E480" s="137" t="str"/>
      <x:c r="F480" s="137" t="str"/>
      <x:c r="G480" s="137" t="str"/>
      <x:c r="H480" s="137" t="str"/>
      <x:c r="I480" s="137" t="str"/>
      <x:c r="J480" s="137" t="str"/>
      <x:c r="K480" s="137" t="str"/>
      <x:c r="L480" s="160" t="str"/>
      <x:c r="M480" s="160" t="str"/>
      <x:c r="N480" s="151" t="str"/>
      <x:c r="O480" s="151" t="str"/>
      <x:c r="P480" s="151" t="str"/>
      <x:c r="Q480" s="151" t="str"/>
      <x:c r="R480" s="151" t="str"/>
      <x:c r="S480" s="151" t="str"/>
      <x:c r="T480" s="152" t="n">
        <x:f>IF(COUNTA(O480:S480)=0,"",MAX(0,IF(O480="",0,O480)+IF(P480="",0,P480)-IF(Q480="",0,Q480)-IF(R480="",0,R480)))</x:f>
        <x:v>0</x:v>
      </x:c>
      <x:c r="U480" s="152" t="str">
        <x:f>IF(OR(N480="",Q480=""),"",Q480-N480)</x:f>
      </x:c>
      <x:c r="V480" s="202" t="str">
        <x:f>IFERROR(Q480/N480,"")</x:f>
      </x:c>
      <x:c r="W480" s="137" t="str"/>
      <x:c r="X480" s="137" t="str"/>
      <x:c r="Y480" s="137" t="str"/>
      <x:c r="Z480" s="137" t="str"/>
      <x:c r="AA480" s="137" t="str"/>
      <x:c r="AB480" s="137" t="str"/>
      <x:c r="AC480" s="137" t="str"/>
      <x:c r="AD480" s="199" t="str"/>
    </x:row>
    <x:row r="481">
      <x:c r="A481" s="137" t="str"/>
      <x:c r="B481" s="138" t="str"/>
      <x:c r="C481" s="137" t="str"/>
      <x:c r="D481" s="137" t="str"/>
      <x:c r="E481" s="137" t="str"/>
      <x:c r="F481" s="137" t="str"/>
      <x:c r="G481" s="137" t="str"/>
      <x:c r="H481" s="137" t="str"/>
      <x:c r="I481" s="137" t="str"/>
      <x:c r="J481" s="137" t="str"/>
      <x:c r="K481" s="137" t="str"/>
      <x:c r="L481" s="160" t="str"/>
      <x:c r="M481" s="160" t="str"/>
      <x:c r="N481" s="151" t="str"/>
      <x:c r="O481" s="151" t="str"/>
      <x:c r="P481" s="151" t="str"/>
      <x:c r="Q481" s="151" t="str"/>
      <x:c r="R481" s="151" t="str"/>
      <x:c r="S481" s="151" t="str"/>
      <x:c r="T481" s="152" t="n">
        <x:f>IF(COUNTA(O481:S481)=0,"",MAX(0,IF(O481="",0,O481)+IF(P481="",0,P481)-IF(Q481="",0,Q481)-IF(R481="",0,R481)))</x:f>
        <x:v>0</x:v>
      </x:c>
      <x:c r="U481" s="152" t="str">
        <x:f>IF(OR(N481="",Q481=""),"",Q481-N481)</x:f>
      </x:c>
      <x:c r="V481" s="202" t="str">
        <x:f>IFERROR(Q481/N481,"")</x:f>
      </x:c>
      <x:c r="W481" s="137" t="str"/>
      <x:c r="X481" s="137" t="str"/>
      <x:c r="Y481" s="137" t="str"/>
      <x:c r="Z481" s="137" t="str"/>
      <x:c r="AA481" s="137" t="str"/>
      <x:c r="AB481" s="137" t="str"/>
      <x:c r="AC481" s="137" t="str"/>
      <x:c r="AD481" s="199" t="str"/>
    </x:row>
    <x:row r="482">
      <x:c r="A482" s="137" t="str"/>
      <x:c r="B482" s="138" t="str"/>
      <x:c r="C482" s="137" t="str"/>
      <x:c r="D482" s="137" t="str"/>
      <x:c r="E482" s="137" t="str"/>
      <x:c r="F482" s="137" t="str"/>
      <x:c r="G482" s="137" t="str"/>
      <x:c r="H482" s="137" t="str"/>
      <x:c r="I482" s="137" t="str"/>
      <x:c r="J482" s="137" t="str"/>
      <x:c r="K482" s="137" t="str"/>
      <x:c r="L482" s="160" t="str"/>
      <x:c r="M482" s="160" t="str"/>
      <x:c r="N482" s="151" t="str"/>
      <x:c r="O482" s="151" t="str"/>
      <x:c r="P482" s="151" t="str"/>
      <x:c r="Q482" s="151" t="str"/>
      <x:c r="R482" s="151" t="str"/>
      <x:c r="S482" s="151" t="str"/>
      <x:c r="T482" s="152" t="n">
        <x:f>IF(COUNTA(O482:S482)=0,"",MAX(0,IF(O482="",0,O482)+IF(P482="",0,P482)-IF(Q482="",0,Q482)-IF(R482="",0,R482)))</x:f>
        <x:v>0</x:v>
      </x:c>
      <x:c r="U482" s="152" t="str">
        <x:f>IF(OR(N482="",Q482=""),"",Q482-N482)</x:f>
      </x:c>
      <x:c r="V482" s="202" t="str">
        <x:f>IFERROR(Q482/N482,"")</x:f>
      </x:c>
      <x:c r="W482" s="137" t="str"/>
      <x:c r="X482" s="137" t="str"/>
      <x:c r="Y482" s="137" t="str"/>
      <x:c r="Z482" s="137" t="str"/>
      <x:c r="AA482" s="137" t="str"/>
      <x:c r="AB482" s="137" t="str"/>
      <x:c r="AC482" s="137" t="str"/>
      <x:c r="AD482" s="199" t="str"/>
    </x:row>
    <x:row r="483">
      <x:c r="A483" s="137" t="str"/>
      <x:c r="B483" s="138" t="str"/>
      <x:c r="C483" s="137" t="str"/>
      <x:c r="D483" s="137" t="str"/>
      <x:c r="E483" s="137" t="str"/>
      <x:c r="F483" s="137" t="str"/>
      <x:c r="G483" s="137" t="str"/>
      <x:c r="H483" s="137" t="str"/>
      <x:c r="I483" s="137" t="str"/>
      <x:c r="J483" s="137" t="str"/>
      <x:c r="K483" s="137" t="str"/>
      <x:c r="L483" s="160" t="str"/>
      <x:c r="M483" s="160" t="str"/>
      <x:c r="N483" s="151" t="str"/>
      <x:c r="O483" s="151" t="str"/>
      <x:c r="P483" s="151" t="str"/>
      <x:c r="Q483" s="151" t="str"/>
      <x:c r="R483" s="151" t="str"/>
      <x:c r="S483" s="151" t="str"/>
      <x:c r="T483" s="152" t="n">
        <x:f>IF(COUNTA(O483:S483)=0,"",MAX(0,IF(O483="",0,O483)+IF(P483="",0,P483)-IF(Q483="",0,Q483)-IF(R483="",0,R483)))</x:f>
        <x:v>0</x:v>
      </x:c>
      <x:c r="U483" s="152" t="str">
        <x:f>IF(OR(N483="",Q483=""),"",Q483-N483)</x:f>
      </x:c>
      <x:c r="V483" s="202" t="str">
        <x:f>IFERROR(Q483/N483,"")</x:f>
      </x:c>
      <x:c r="W483" s="137" t="str"/>
      <x:c r="X483" s="137" t="str"/>
      <x:c r="Y483" s="137" t="str"/>
      <x:c r="Z483" s="137" t="str"/>
      <x:c r="AA483" s="137" t="str"/>
      <x:c r="AB483" s="137" t="str"/>
      <x:c r="AC483" s="137" t="str"/>
      <x:c r="AD483" s="199" t="str"/>
    </x:row>
    <x:row r="484">
      <x:c r="A484" s="137" t="str"/>
      <x:c r="B484" s="138" t="str"/>
      <x:c r="C484" s="137" t="str"/>
      <x:c r="D484" s="137" t="str"/>
      <x:c r="E484" s="137" t="str"/>
      <x:c r="F484" s="137" t="str"/>
      <x:c r="G484" s="137" t="str"/>
      <x:c r="H484" s="137" t="str"/>
      <x:c r="I484" s="137" t="str"/>
      <x:c r="J484" s="137" t="str"/>
      <x:c r="K484" s="137" t="str"/>
      <x:c r="L484" s="160" t="str"/>
      <x:c r="M484" s="160" t="str"/>
      <x:c r="N484" s="151" t="str"/>
      <x:c r="O484" s="151" t="str"/>
      <x:c r="P484" s="151" t="str"/>
      <x:c r="Q484" s="151" t="str"/>
      <x:c r="R484" s="151" t="str"/>
      <x:c r="S484" s="151" t="str"/>
      <x:c r="T484" s="152" t="n">
        <x:f>IF(COUNTA(O484:S484)=0,"",MAX(0,IF(O484="",0,O484)+IF(P484="",0,P484)-IF(Q484="",0,Q484)-IF(R484="",0,R484)))</x:f>
        <x:v>0</x:v>
      </x:c>
      <x:c r="U484" s="152" t="str">
        <x:f>IF(OR(N484="",Q484=""),"",Q484-N484)</x:f>
      </x:c>
      <x:c r="V484" s="202" t="str">
        <x:f>IFERROR(Q484/N484,"")</x:f>
      </x:c>
      <x:c r="W484" s="137" t="str"/>
      <x:c r="X484" s="137" t="str"/>
      <x:c r="Y484" s="137" t="str"/>
      <x:c r="Z484" s="137" t="str"/>
      <x:c r="AA484" s="137" t="str"/>
      <x:c r="AB484" s="137" t="str"/>
      <x:c r="AC484" s="137" t="str"/>
      <x:c r="AD484" s="199" t="str"/>
    </x:row>
    <x:row r="485">
      <x:c r="A485" s="137" t="str"/>
      <x:c r="B485" s="138" t="str"/>
      <x:c r="C485" s="137" t="str"/>
      <x:c r="D485" s="137" t="str"/>
      <x:c r="E485" s="137" t="str"/>
      <x:c r="F485" s="137" t="str"/>
      <x:c r="G485" s="137" t="str"/>
      <x:c r="H485" s="137" t="str"/>
      <x:c r="I485" s="137" t="str"/>
      <x:c r="J485" s="137" t="str"/>
      <x:c r="K485" s="137" t="str"/>
      <x:c r="L485" s="160" t="str"/>
      <x:c r="M485" s="160" t="str"/>
      <x:c r="N485" s="151" t="str"/>
      <x:c r="O485" s="151" t="str"/>
      <x:c r="P485" s="151" t="str"/>
      <x:c r="Q485" s="151" t="str"/>
      <x:c r="R485" s="151" t="str"/>
      <x:c r="S485" s="151" t="str"/>
      <x:c r="T485" s="152" t="n">
        <x:f>IF(COUNTA(O485:S485)=0,"",MAX(0,IF(O485="",0,O485)+IF(P485="",0,P485)-IF(Q485="",0,Q485)-IF(R485="",0,R485)))</x:f>
        <x:v>0</x:v>
      </x:c>
      <x:c r="U485" s="152" t="str">
        <x:f>IF(OR(N485="",Q485=""),"",Q485-N485)</x:f>
      </x:c>
      <x:c r="V485" s="202" t="str">
        <x:f>IFERROR(Q485/N485,"")</x:f>
      </x:c>
      <x:c r="W485" s="137" t="str"/>
      <x:c r="X485" s="137" t="str"/>
      <x:c r="Y485" s="137" t="str"/>
      <x:c r="Z485" s="137" t="str"/>
      <x:c r="AA485" s="137" t="str"/>
      <x:c r="AB485" s="137" t="str"/>
      <x:c r="AC485" s="137" t="str"/>
      <x:c r="AD485" s="199" t="str"/>
    </x:row>
    <x:row r="486">
      <x:c r="A486" s="137" t="str"/>
      <x:c r="B486" s="138" t="str"/>
      <x:c r="C486" s="137" t="str"/>
      <x:c r="D486" s="137" t="str"/>
      <x:c r="E486" s="137" t="str"/>
      <x:c r="F486" s="137" t="str"/>
      <x:c r="G486" s="137" t="str"/>
      <x:c r="H486" s="137" t="str"/>
      <x:c r="I486" s="137" t="str"/>
      <x:c r="J486" s="137" t="str"/>
      <x:c r="K486" s="137" t="str"/>
      <x:c r="L486" s="160" t="str"/>
      <x:c r="M486" s="160" t="str"/>
      <x:c r="N486" s="151" t="str"/>
      <x:c r="O486" s="151" t="str"/>
      <x:c r="P486" s="151" t="str"/>
      <x:c r="Q486" s="151" t="str"/>
      <x:c r="R486" s="151" t="str"/>
      <x:c r="S486" s="151" t="str"/>
      <x:c r="T486" s="152" t="n">
        <x:f>IF(COUNTA(O486:S486)=0,"",MAX(0,IF(O486="",0,O486)+IF(P486="",0,P486)-IF(Q486="",0,Q486)-IF(R486="",0,R486)))</x:f>
        <x:v>0</x:v>
      </x:c>
      <x:c r="U486" s="152" t="str">
        <x:f>IF(OR(N486="",Q486=""),"",Q486-N486)</x:f>
      </x:c>
      <x:c r="V486" s="202" t="str">
        <x:f>IFERROR(Q486/N486,"")</x:f>
      </x:c>
      <x:c r="W486" s="137" t="str"/>
      <x:c r="X486" s="137" t="str"/>
      <x:c r="Y486" s="137" t="str"/>
      <x:c r="Z486" s="137" t="str"/>
      <x:c r="AA486" s="137" t="str"/>
      <x:c r="AB486" s="137" t="str"/>
      <x:c r="AC486" s="137" t="str"/>
      <x:c r="AD486" s="199" t="str"/>
    </x:row>
    <x:row r="487">
      <x:c r="A487" s="137" t="str"/>
      <x:c r="B487" s="138" t="str"/>
      <x:c r="C487" s="137" t="str"/>
      <x:c r="D487" s="137" t="str"/>
      <x:c r="E487" s="137" t="str"/>
      <x:c r="F487" s="137" t="str"/>
      <x:c r="G487" s="137" t="str"/>
      <x:c r="H487" s="137" t="str"/>
      <x:c r="I487" s="137" t="str"/>
      <x:c r="J487" s="137" t="str"/>
      <x:c r="K487" s="137" t="str"/>
      <x:c r="L487" s="160" t="str"/>
      <x:c r="M487" s="160" t="str"/>
      <x:c r="N487" s="151" t="str"/>
      <x:c r="O487" s="151" t="str"/>
      <x:c r="P487" s="151" t="str"/>
      <x:c r="Q487" s="151" t="str"/>
      <x:c r="R487" s="151" t="str"/>
      <x:c r="S487" s="151" t="str"/>
      <x:c r="T487" s="152" t="n">
        <x:f>IF(COUNTA(O487:S487)=0,"",MAX(0,IF(O487="",0,O487)+IF(P487="",0,P487)-IF(Q487="",0,Q487)-IF(R487="",0,R487)))</x:f>
        <x:v>0</x:v>
      </x:c>
      <x:c r="U487" s="152" t="str">
        <x:f>IF(OR(N487="",Q487=""),"",Q487-N487)</x:f>
      </x:c>
      <x:c r="V487" s="202" t="str">
        <x:f>IFERROR(Q487/N487,"")</x:f>
      </x:c>
      <x:c r="W487" s="137" t="str"/>
      <x:c r="X487" s="137" t="str"/>
      <x:c r="Y487" s="137" t="str"/>
      <x:c r="Z487" s="137" t="str"/>
      <x:c r="AA487" s="137" t="str"/>
      <x:c r="AB487" s="137" t="str"/>
      <x:c r="AC487" s="137" t="str"/>
      <x:c r="AD487" s="199" t="str"/>
    </x:row>
    <x:row r="488">
      <x:c r="A488" s="137" t="str"/>
      <x:c r="B488" s="138" t="str"/>
      <x:c r="C488" s="137" t="str"/>
      <x:c r="D488" s="137" t="str"/>
      <x:c r="E488" s="137" t="str"/>
      <x:c r="F488" s="137" t="str"/>
      <x:c r="G488" s="137" t="str"/>
      <x:c r="H488" s="137" t="str"/>
      <x:c r="I488" s="137" t="str"/>
      <x:c r="J488" s="137" t="str"/>
      <x:c r="K488" s="137" t="str"/>
      <x:c r="L488" s="160" t="str"/>
      <x:c r="M488" s="160" t="str"/>
      <x:c r="N488" s="151" t="str"/>
      <x:c r="O488" s="151" t="str"/>
      <x:c r="P488" s="151" t="str"/>
      <x:c r="Q488" s="151" t="str"/>
      <x:c r="R488" s="151" t="str"/>
      <x:c r="S488" s="151" t="str"/>
      <x:c r="T488" s="152" t="n">
        <x:f>IF(COUNTA(O488:S488)=0,"",MAX(0,IF(O488="",0,O488)+IF(P488="",0,P488)-IF(Q488="",0,Q488)-IF(R488="",0,R488)))</x:f>
        <x:v>0</x:v>
      </x:c>
      <x:c r="U488" s="152" t="str">
        <x:f>IF(OR(N488="",Q488=""),"",Q488-N488)</x:f>
      </x:c>
      <x:c r="V488" s="202" t="str">
        <x:f>IFERROR(Q488/N488,"")</x:f>
      </x:c>
      <x:c r="W488" s="137" t="str"/>
      <x:c r="X488" s="137" t="str"/>
      <x:c r="Y488" s="137" t="str"/>
      <x:c r="Z488" s="137" t="str"/>
      <x:c r="AA488" s="137" t="str"/>
      <x:c r="AB488" s="137" t="str"/>
      <x:c r="AC488" s="137" t="str"/>
      <x:c r="AD488" s="199" t="str"/>
    </x:row>
    <x:row r="489">
      <x:c r="A489" s="137" t="str"/>
      <x:c r="B489" s="138" t="str"/>
      <x:c r="C489" s="137" t="str"/>
      <x:c r="D489" s="137" t="str"/>
      <x:c r="E489" s="137" t="str"/>
      <x:c r="F489" s="137" t="str"/>
      <x:c r="G489" s="137" t="str"/>
      <x:c r="H489" s="137" t="str"/>
      <x:c r="I489" s="137" t="str"/>
      <x:c r="J489" s="137" t="str"/>
      <x:c r="K489" s="137" t="str"/>
      <x:c r="L489" s="160" t="str"/>
      <x:c r="M489" s="160" t="str"/>
      <x:c r="N489" s="151" t="str"/>
      <x:c r="O489" s="151" t="str"/>
      <x:c r="P489" s="151" t="str"/>
      <x:c r="Q489" s="151" t="str"/>
      <x:c r="R489" s="151" t="str"/>
      <x:c r="S489" s="151" t="str"/>
      <x:c r="T489" s="152" t="n">
        <x:f>IF(COUNTA(O489:S489)=0,"",MAX(0,IF(O489="",0,O489)+IF(P489="",0,P489)-IF(Q489="",0,Q489)-IF(R489="",0,R489)))</x:f>
        <x:v>0</x:v>
      </x:c>
      <x:c r="U489" s="152" t="str">
        <x:f>IF(OR(N489="",Q489=""),"",Q489-N489)</x:f>
      </x:c>
      <x:c r="V489" s="202" t="str">
        <x:f>IFERROR(Q489/N489,"")</x:f>
      </x:c>
      <x:c r="W489" s="137" t="str"/>
      <x:c r="X489" s="137" t="str"/>
      <x:c r="Y489" s="137" t="str"/>
      <x:c r="Z489" s="137" t="str"/>
      <x:c r="AA489" s="137" t="str"/>
      <x:c r="AB489" s="137" t="str"/>
      <x:c r="AC489" s="137" t="str"/>
      <x:c r="AD489" s="199" t="str"/>
    </x:row>
    <x:row r="490">
      <x:c r="A490" s="137" t="str"/>
      <x:c r="B490" s="138" t="str"/>
      <x:c r="C490" s="137" t="str"/>
      <x:c r="D490" s="137" t="str"/>
      <x:c r="E490" s="137" t="str"/>
      <x:c r="F490" s="137" t="str"/>
      <x:c r="G490" s="137" t="str"/>
      <x:c r="H490" s="137" t="str"/>
      <x:c r="I490" s="137" t="str"/>
      <x:c r="J490" s="137" t="str"/>
      <x:c r="K490" s="137" t="str"/>
      <x:c r="L490" s="160" t="str"/>
      <x:c r="M490" s="160" t="str"/>
      <x:c r="N490" s="151" t="str"/>
      <x:c r="O490" s="151" t="str"/>
      <x:c r="P490" s="151" t="str"/>
      <x:c r="Q490" s="151" t="str"/>
      <x:c r="R490" s="151" t="str"/>
      <x:c r="S490" s="151" t="str"/>
      <x:c r="T490" s="152" t="n">
        <x:f>IF(COUNTA(O490:S490)=0,"",MAX(0,IF(O490="",0,O490)+IF(P490="",0,P490)-IF(Q490="",0,Q490)-IF(R490="",0,R490)))</x:f>
        <x:v>0</x:v>
      </x:c>
      <x:c r="U490" s="152" t="str">
        <x:f>IF(OR(N490="",Q490=""),"",Q490-N490)</x:f>
      </x:c>
      <x:c r="V490" s="202" t="str">
        <x:f>IFERROR(Q490/N490,"")</x:f>
      </x:c>
      <x:c r="W490" s="137" t="str"/>
      <x:c r="X490" s="137" t="str"/>
      <x:c r="Y490" s="137" t="str"/>
      <x:c r="Z490" s="137" t="str"/>
      <x:c r="AA490" s="137" t="str"/>
      <x:c r="AB490" s="137" t="str"/>
      <x:c r="AC490" s="137" t="str"/>
      <x:c r="AD490" s="199" t="str"/>
    </x:row>
    <x:row r="491">
      <x:c r="A491" s="137" t="str"/>
      <x:c r="B491" s="138" t="str"/>
      <x:c r="C491" s="137" t="str"/>
      <x:c r="D491" s="137" t="str"/>
      <x:c r="E491" s="137" t="str"/>
      <x:c r="F491" s="137" t="str"/>
      <x:c r="G491" s="137" t="str"/>
      <x:c r="H491" s="137" t="str"/>
      <x:c r="I491" s="137" t="str"/>
      <x:c r="J491" s="137" t="str"/>
      <x:c r="K491" s="137" t="str"/>
      <x:c r="L491" s="160" t="str"/>
      <x:c r="M491" s="160" t="str"/>
      <x:c r="N491" s="151" t="str"/>
      <x:c r="O491" s="151" t="str"/>
      <x:c r="P491" s="151" t="str"/>
      <x:c r="Q491" s="151" t="str"/>
      <x:c r="R491" s="151" t="str"/>
      <x:c r="S491" s="151" t="str"/>
      <x:c r="T491" s="152" t="n">
        <x:f>IF(COUNTA(O491:S491)=0,"",MAX(0,IF(O491="",0,O491)+IF(P491="",0,P491)-IF(Q491="",0,Q491)-IF(R491="",0,R491)))</x:f>
        <x:v>0</x:v>
      </x:c>
      <x:c r="U491" s="152" t="str">
        <x:f>IF(OR(N491="",Q491=""),"",Q491-N491)</x:f>
      </x:c>
      <x:c r="V491" s="202" t="str">
        <x:f>IFERROR(Q491/N491,"")</x:f>
      </x:c>
      <x:c r="W491" s="137" t="str"/>
      <x:c r="X491" s="137" t="str"/>
      <x:c r="Y491" s="137" t="str"/>
      <x:c r="Z491" s="137" t="str"/>
      <x:c r="AA491" s="137" t="str"/>
      <x:c r="AB491" s="137" t="str"/>
      <x:c r="AC491" s="137" t="str"/>
      <x:c r="AD491" s="199" t="str"/>
    </x:row>
    <x:row r="492">
      <x:c r="A492" s="137" t="str"/>
      <x:c r="B492" s="138" t="str"/>
      <x:c r="C492" s="137" t="str"/>
      <x:c r="D492" s="137" t="str"/>
      <x:c r="E492" s="137" t="str"/>
      <x:c r="F492" s="137" t="str"/>
      <x:c r="G492" s="137" t="str"/>
      <x:c r="H492" s="137" t="str"/>
      <x:c r="I492" s="137" t="str"/>
      <x:c r="J492" s="137" t="str"/>
      <x:c r="K492" s="137" t="str"/>
      <x:c r="L492" s="160" t="str"/>
      <x:c r="M492" s="160" t="str"/>
      <x:c r="N492" s="151" t="str"/>
      <x:c r="O492" s="151" t="str"/>
      <x:c r="P492" s="151" t="str"/>
      <x:c r="Q492" s="151" t="str"/>
      <x:c r="R492" s="151" t="str"/>
      <x:c r="S492" s="151" t="str"/>
      <x:c r="T492" s="152" t="n">
        <x:f>IF(COUNTA(O492:S492)=0,"",MAX(0,IF(O492="",0,O492)+IF(P492="",0,P492)-IF(Q492="",0,Q492)-IF(R492="",0,R492)))</x:f>
        <x:v>0</x:v>
      </x:c>
      <x:c r="U492" s="152" t="str">
        <x:f>IF(OR(N492="",Q492=""),"",Q492-N492)</x:f>
      </x:c>
      <x:c r="V492" s="202" t="str">
        <x:f>IFERROR(Q492/N492,"")</x:f>
      </x:c>
      <x:c r="W492" s="137" t="str"/>
      <x:c r="X492" s="137" t="str"/>
      <x:c r="Y492" s="137" t="str"/>
      <x:c r="Z492" s="137" t="str"/>
      <x:c r="AA492" s="137" t="str"/>
      <x:c r="AB492" s="137" t="str"/>
      <x:c r="AC492" s="137" t="str"/>
      <x:c r="AD492" s="199" t="str"/>
    </x:row>
    <x:row r="493">
      <x:c r="A493" s="137" t="str"/>
      <x:c r="B493" s="138" t="str"/>
      <x:c r="C493" s="137" t="str"/>
      <x:c r="D493" s="137" t="str"/>
      <x:c r="E493" s="137" t="str"/>
      <x:c r="F493" s="137" t="str"/>
      <x:c r="G493" s="137" t="str"/>
      <x:c r="H493" s="137" t="str"/>
      <x:c r="I493" s="137" t="str"/>
      <x:c r="J493" s="137" t="str"/>
      <x:c r="K493" s="137" t="str"/>
      <x:c r="L493" s="160" t="str"/>
      <x:c r="M493" s="160" t="str"/>
      <x:c r="N493" s="151" t="str"/>
      <x:c r="O493" s="151" t="str"/>
      <x:c r="P493" s="151" t="str"/>
      <x:c r="Q493" s="151" t="str"/>
      <x:c r="R493" s="151" t="str"/>
      <x:c r="S493" s="151" t="str"/>
      <x:c r="T493" s="152" t="n">
        <x:f>IF(COUNTA(O493:S493)=0,"",MAX(0,IF(O493="",0,O493)+IF(P493="",0,P493)-IF(Q493="",0,Q493)-IF(R493="",0,R493)))</x:f>
        <x:v>0</x:v>
      </x:c>
      <x:c r="U493" s="152" t="str">
        <x:f>IF(OR(N493="",Q493=""),"",Q493-N493)</x:f>
      </x:c>
      <x:c r="V493" s="202" t="str">
        <x:f>IFERROR(Q493/N493,"")</x:f>
      </x:c>
      <x:c r="W493" s="137" t="str"/>
      <x:c r="X493" s="137" t="str"/>
      <x:c r="Y493" s="137" t="str"/>
      <x:c r="Z493" s="137" t="str"/>
      <x:c r="AA493" s="137" t="str"/>
      <x:c r="AB493" s="137" t="str"/>
      <x:c r="AC493" s="137" t="str"/>
      <x:c r="AD493" s="199" t="str"/>
    </x:row>
    <x:row r="494">
      <x:c r="A494" s="137" t="str"/>
      <x:c r="B494" s="138" t="str"/>
      <x:c r="C494" s="137" t="str"/>
      <x:c r="D494" s="137" t="str"/>
      <x:c r="E494" s="137" t="str"/>
      <x:c r="F494" s="137" t="str"/>
      <x:c r="G494" s="137" t="str"/>
      <x:c r="H494" s="137" t="str"/>
      <x:c r="I494" s="137" t="str"/>
      <x:c r="J494" s="137" t="str"/>
      <x:c r="K494" s="137" t="str"/>
      <x:c r="L494" s="160" t="str"/>
      <x:c r="M494" s="160" t="str"/>
      <x:c r="N494" s="151" t="str"/>
      <x:c r="O494" s="151" t="str"/>
      <x:c r="P494" s="151" t="str"/>
      <x:c r="Q494" s="151" t="str"/>
      <x:c r="R494" s="151" t="str"/>
      <x:c r="S494" s="151" t="str"/>
      <x:c r="T494" s="152" t="n">
        <x:f>IF(COUNTA(O494:S494)=0,"",MAX(0,IF(O494="",0,O494)+IF(P494="",0,P494)-IF(Q494="",0,Q494)-IF(R494="",0,R494)))</x:f>
        <x:v>0</x:v>
      </x:c>
      <x:c r="U494" s="152" t="str">
        <x:f>IF(OR(N494="",Q494=""),"",Q494-N494)</x:f>
      </x:c>
      <x:c r="V494" s="202" t="str">
        <x:f>IFERROR(Q494/N494,"")</x:f>
      </x:c>
      <x:c r="W494" s="137" t="str"/>
      <x:c r="X494" s="137" t="str"/>
      <x:c r="Y494" s="137" t="str"/>
      <x:c r="Z494" s="137" t="str"/>
      <x:c r="AA494" s="137" t="str"/>
      <x:c r="AB494" s="137" t="str"/>
      <x:c r="AC494" s="137" t="str"/>
      <x:c r="AD494" s="199" t="str"/>
    </x:row>
    <x:row r="495">
      <x:c r="A495" s="137" t="str"/>
      <x:c r="B495" s="138" t="str"/>
      <x:c r="C495" s="137" t="str"/>
      <x:c r="D495" s="137" t="str"/>
      <x:c r="E495" s="137" t="str"/>
      <x:c r="F495" s="137" t="str"/>
      <x:c r="G495" s="137" t="str"/>
      <x:c r="H495" s="137" t="str"/>
      <x:c r="I495" s="137" t="str"/>
      <x:c r="J495" s="137" t="str"/>
      <x:c r="K495" s="137" t="str"/>
      <x:c r="L495" s="160" t="str"/>
      <x:c r="M495" s="160" t="str"/>
      <x:c r="N495" s="151" t="str"/>
      <x:c r="O495" s="151" t="str"/>
      <x:c r="P495" s="151" t="str"/>
      <x:c r="Q495" s="151" t="str"/>
      <x:c r="R495" s="151" t="str"/>
      <x:c r="S495" s="151" t="str"/>
      <x:c r="T495" s="152" t="n">
        <x:f>IF(COUNTA(O495:S495)=0,"",MAX(0,IF(O495="",0,O495)+IF(P495="",0,P495)-IF(Q495="",0,Q495)-IF(R495="",0,R495)))</x:f>
        <x:v>0</x:v>
      </x:c>
      <x:c r="U495" s="152" t="str">
        <x:f>IF(OR(N495="",Q495=""),"",Q495-N495)</x:f>
      </x:c>
      <x:c r="V495" s="202" t="str">
        <x:f>IFERROR(Q495/N495,"")</x:f>
      </x:c>
      <x:c r="W495" s="137" t="str"/>
      <x:c r="X495" s="137" t="str"/>
      <x:c r="Y495" s="137" t="str"/>
      <x:c r="Z495" s="137" t="str"/>
      <x:c r="AA495" s="137" t="str"/>
      <x:c r="AB495" s="137" t="str"/>
      <x:c r="AC495" s="137" t="str"/>
      <x:c r="AD495" s="199" t="str"/>
    </x:row>
    <x:row r="496">
      <x:c r="A496" s="137" t="str"/>
      <x:c r="B496" s="138" t="str"/>
      <x:c r="C496" s="137" t="str"/>
      <x:c r="D496" s="137" t="str"/>
      <x:c r="E496" s="137" t="str"/>
      <x:c r="F496" s="137" t="str"/>
      <x:c r="G496" s="137" t="str"/>
      <x:c r="H496" s="137" t="str"/>
      <x:c r="I496" s="137" t="str"/>
      <x:c r="J496" s="137" t="str"/>
      <x:c r="K496" s="137" t="str"/>
      <x:c r="L496" s="160" t="str"/>
      <x:c r="M496" s="160" t="str"/>
      <x:c r="N496" s="151" t="str"/>
      <x:c r="O496" s="151" t="str"/>
      <x:c r="P496" s="151" t="str"/>
      <x:c r="Q496" s="151" t="str"/>
      <x:c r="R496" s="151" t="str"/>
      <x:c r="S496" s="151" t="str"/>
      <x:c r="T496" s="152" t="n">
        <x:f>IF(COUNTA(O496:S496)=0,"",MAX(0,IF(O496="",0,O496)+IF(P496="",0,P496)-IF(Q496="",0,Q496)-IF(R496="",0,R496)))</x:f>
        <x:v>0</x:v>
      </x:c>
      <x:c r="U496" s="152" t="str">
        <x:f>IF(OR(N496="",Q496=""),"",Q496-N496)</x:f>
      </x:c>
      <x:c r="V496" s="202" t="str">
        <x:f>IFERROR(Q496/N496,"")</x:f>
      </x:c>
      <x:c r="W496" s="137" t="str"/>
      <x:c r="X496" s="137" t="str"/>
      <x:c r="Y496" s="137" t="str"/>
      <x:c r="Z496" s="137" t="str"/>
      <x:c r="AA496" s="137" t="str"/>
      <x:c r="AB496" s="137" t="str"/>
      <x:c r="AC496" s="137" t="str"/>
      <x:c r="AD496" s="199" t="str"/>
    </x:row>
    <x:row r="497">
      <x:c r="A497" s="137" t="str"/>
      <x:c r="B497" s="138" t="str"/>
      <x:c r="C497" s="137" t="str"/>
      <x:c r="D497" s="137" t="str"/>
      <x:c r="E497" s="137" t="str"/>
      <x:c r="F497" s="137" t="str"/>
      <x:c r="G497" s="137" t="str"/>
      <x:c r="H497" s="137" t="str"/>
      <x:c r="I497" s="137" t="str"/>
      <x:c r="J497" s="137" t="str"/>
      <x:c r="K497" s="137" t="str"/>
      <x:c r="L497" s="160" t="str"/>
      <x:c r="M497" s="160" t="str"/>
      <x:c r="N497" s="151" t="str"/>
      <x:c r="O497" s="151" t="str"/>
      <x:c r="P497" s="151" t="str"/>
      <x:c r="Q497" s="151" t="str"/>
      <x:c r="R497" s="151" t="str"/>
      <x:c r="S497" s="151" t="str"/>
      <x:c r="T497" s="152" t="n">
        <x:f>IF(COUNTA(O497:S497)=0,"",MAX(0,IF(O497="",0,O497)+IF(P497="",0,P497)-IF(Q497="",0,Q497)-IF(R497="",0,R497)))</x:f>
        <x:v>0</x:v>
      </x:c>
      <x:c r="U497" s="152" t="str">
        <x:f>IF(OR(N497="",Q497=""),"",Q497-N497)</x:f>
      </x:c>
      <x:c r="V497" s="202" t="str">
        <x:f>IFERROR(Q497/N497,"")</x:f>
      </x:c>
      <x:c r="W497" s="137" t="str"/>
      <x:c r="X497" s="137" t="str"/>
      <x:c r="Y497" s="137" t="str"/>
      <x:c r="Z497" s="137" t="str"/>
      <x:c r="AA497" s="137" t="str"/>
      <x:c r="AB497" s="137" t="str"/>
      <x:c r="AC497" s="137" t="str"/>
      <x:c r="AD497" s="199" t="str"/>
    </x:row>
    <x:row r="498">
      <x:c r="A498" s="137" t="str"/>
      <x:c r="B498" s="138" t="str"/>
      <x:c r="C498" s="137" t="str"/>
      <x:c r="D498" s="137" t="str"/>
      <x:c r="E498" s="137" t="str"/>
      <x:c r="F498" s="137" t="str"/>
      <x:c r="G498" s="137" t="str"/>
      <x:c r="H498" s="137" t="str"/>
      <x:c r="I498" s="137" t="str"/>
      <x:c r="J498" s="137" t="str"/>
      <x:c r="K498" s="137" t="str"/>
      <x:c r="L498" s="160" t="str"/>
      <x:c r="M498" s="160" t="str"/>
      <x:c r="N498" s="151" t="str"/>
      <x:c r="O498" s="151" t="str"/>
      <x:c r="P498" s="151" t="str"/>
      <x:c r="Q498" s="151" t="str"/>
      <x:c r="R498" s="151" t="str"/>
      <x:c r="S498" s="151" t="str"/>
      <x:c r="T498" s="152" t="n">
        <x:f>IF(COUNTA(O498:S498)=0,"",MAX(0,IF(O498="",0,O498)+IF(P498="",0,P498)-IF(Q498="",0,Q498)-IF(R498="",0,R498)))</x:f>
        <x:v>0</x:v>
      </x:c>
      <x:c r="U498" s="152" t="str">
        <x:f>IF(OR(N498="",Q498=""),"",Q498-N498)</x:f>
      </x:c>
      <x:c r="V498" s="202" t="str">
        <x:f>IFERROR(Q498/N498,"")</x:f>
      </x:c>
      <x:c r="W498" s="137" t="str"/>
      <x:c r="X498" s="137" t="str"/>
      <x:c r="Y498" s="137" t="str"/>
      <x:c r="Z498" s="137" t="str"/>
      <x:c r="AA498" s="137" t="str"/>
      <x:c r="AB498" s="137" t="str"/>
      <x:c r="AC498" s="137" t="str"/>
      <x:c r="AD498" s="199" t="str"/>
    </x:row>
    <x:row r="499">
      <x:c r="A499" s="137" t="str"/>
      <x:c r="B499" s="138" t="str"/>
      <x:c r="C499" s="137" t="str"/>
      <x:c r="D499" s="137" t="str"/>
      <x:c r="E499" s="137" t="str"/>
      <x:c r="F499" s="137" t="str"/>
      <x:c r="G499" s="137" t="str"/>
      <x:c r="H499" s="137" t="str"/>
      <x:c r="I499" s="137" t="str"/>
      <x:c r="J499" s="137" t="str"/>
      <x:c r="K499" s="137" t="str"/>
      <x:c r="L499" s="160" t="str"/>
      <x:c r="M499" s="160" t="str"/>
      <x:c r="N499" s="151" t="str"/>
      <x:c r="O499" s="151" t="str"/>
      <x:c r="P499" s="151" t="str"/>
      <x:c r="Q499" s="151" t="str"/>
      <x:c r="R499" s="151" t="str"/>
      <x:c r="S499" s="151" t="str"/>
      <x:c r="T499" s="152" t="n">
        <x:f>IF(COUNTA(O499:S499)=0,"",MAX(0,IF(O499="",0,O499)+IF(P499="",0,P499)-IF(Q499="",0,Q499)-IF(R499="",0,R499)))</x:f>
        <x:v>0</x:v>
      </x:c>
      <x:c r="U499" s="152" t="str">
        <x:f>IF(OR(N499="",Q499=""),"",Q499-N499)</x:f>
      </x:c>
      <x:c r="V499" s="202" t="str">
        <x:f>IFERROR(Q499/N499,"")</x:f>
      </x:c>
      <x:c r="W499" s="137" t="str"/>
      <x:c r="X499" s="137" t="str"/>
      <x:c r="Y499" s="137" t="str"/>
      <x:c r="Z499" s="137" t="str"/>
      <x:c r="AA499" s="137" t="str"/>
      <x:c r="AB499" s="137" t="str"/>
      <x:c r="AC499" s="137" t="str"/>
      <x:c r="AD499" s="199" t="str"/>
    </x:row>
    <x:row r="500">
      <x:c r="A500" s="137" t="str"/>
      <x:c r="B500" s="138" t="str"/>
      <x:c r="C500" s="137" t="str"/>
      <x:c r="D500" s="137" t="str"/>
      <x:c r="E500" s="137" t="str"/>
      <x:c r="F500" s="137" t="str"/>
      <x:c r="G500" s="137" t="str"/>
      <x:c r="H500" s="137" t="str"/>
      <x:c r="I500" s="137" t="str"/>
      <x:c r="J500" s="137" t="str"/>
      <x:c r="K500" s="137" t="str"/>
      <x:c r="L500" s="160" t="str"/>
      <x:c r="M500" s="160" t="str"/>
      <x:c r="N500" s="151" t="str"/>
      <x:c r="O500" s="151" t="str"/>
      <x:c r="P500" s="151" t="str"/>
      <x:c r="Q500" s="151" t="str"/>
      <x:c r="R500" s="151" t="str"/>
      <x:c r="S500" s="151" t="str"/>
      <x:c r="T500" s="152" t="n">
        <x:f>IF(COUNTA(O500:S500)=0,"",MAX(0,IF(O500="",0,O500)+IF(P500="",0,P500)-IF(Q500="",0,Q500)-IF(R500="",0,R500)))</x:f>
        <x:v>0</x:v>
      </x:c>
      <x:c r="U500" s="152" t="str">
        <x:f>IF(OR(N500="",Q500=""),"",Q500-N500)</x:f>
      </x:c>
      <x:c r="V500" s="202" t="str">
        <x:f>IFERROR(Q500/N500,"")</x:f>
      </x:c>
      <x:c r="W500" s="137" t="str"/>
      <x:c r="X500" s="137" t="str"/>
      <x:c r="Y500" s="137" t="str"/>
      <x:c r="Z500" s="137" t="str"/>
      <x:c r="AA500" s="137" t="str"/>
      <x:c r="AB500" s="137" t="str"/>
      <x:c r="AC500" s="137" t="str"/>
      <x:c r="AD500" s="199" t="str"/>
    </x:row>
    <x:row r="501">
      <x:c r="A501" s="137" t="str"/>
      <x:c r="B501" s="138" t="str"/>
      <x:c r="C501" s="137" t="str"/>
      <x:c r="D501" s="137" t="str"/>
      <x:c r="E501" s="137" t="str"/>
      <x:c r="F501" s="137" t="str"/>
      <x:c r="G501" s="137" t="str"/>
      <x:c r="H501" s="137" t="str"/>
      <x:c r="I501" s="137" t="str"/>
      <x:c r="J501" s="137" t="str"/>
      <x:c r="K501" s="137" t="str"/>
      <x:c r="L501" s="160" t="str"/>
      <x:c r="M501" s="160" t="str"/>
      <x:c r="N501" s="151" t="str"/>
      <x:c r="O501" s="151" t="str"/>
      <x:c r="P501" s="151" t="str"/>
      <x:c r="Q501" s="151" t="str"/>
      <x:c r="R501" s="151" t="str"/>
      <x:c r="S501" s="151" t="str"/>
      <x:c r="T501" s="152" t="n">
        <x:f>IF(COUNTA(O501:S501)=0,"",MAX(0,IF(O501="",0,O501)+IF(P501="",0,P501)-IF(Q501="",0,Q501)-IF(R501="",0,R501)))</x:f>
        <x:v>0</x:v>
      </x:c>
      <x:c r="U501" s="152" t="str">
        <x:f>IF(OR(N501="",Q501=""),"",Q501-N501)</x:f>
      </x:c>
      <x:c r="V501" s="202" t="str">
        <x:f>IFERROR(Q501/N501,"")</x:f>
      </x:c>
      <x:c r="W501" s="137" t="str"/>
      <x:c r="X501" s="137" t="str"/>
      <x:c r="Y501" s="137" t="str"/>
      <x:c r="Z501" s="137" t="str"/>
      <x:c r="AA501" s="137" t="str"/>
      <x:c r="AB501" s="137" t="str"/>
      <x:c r="AC501" s="137" t="str"/>
      <x:c r="AD501" s="199" t="str"/>
    </x:row>
    <x:row r="502">
      <x:c r="A502" s="137" t="str"/>
      <x:c r="B502" s="138" t="str"/>
      <x:c r="C502" s="137" t="str"/>
      <x:c r="D502" s="137" t="str"/>
      <x:c r="E502" s="137" t="str"/>
      <x:c r="F502" s="137" t="str"/>
      <x:c r="G502" s="137" t="str"/>
      <x:c r="H502" s="137" t="str"/>
      <x:c r="I502" s="137" t="str"/>
      <x:c r="J502" s="137" t="str"/>
      <x:c r="K502" s="137" t="str"/>
      <x:c r="L502" s="160" t="str"/>
      <x:c r="M502" s="160" t="str"/>
      <x:c r="N502" s="151" t="str"/>
      <x:c r="O502" s="151" t="str"/>
      <x:c r="P502" s="151" t="str"/>
      <x:c r="Q502" s="151" t="str"/>
      <x:c r="R502" s="151" t="str"/>
      <x:c r="S502" s="151" t="str"/>
      <x:c r="T502" s="152" t="n">
        <x:f>IF(COUNTA(O502:S502)=0,"",MAX(0,IF(O502="",0,O502)+IF(P502="",0,P502)-IF(Q502="",0,Q502)-IF(R502="",0,R502)))</x:f>
        <x:v>0</x:v>
      </x:c>
      <x:c r="U502" s="152" t="str">
        <x:f>IF(OR(N502="",Q502=""),"",Q502-N502)</x:f>
      </x:c>
      <x:c r="V502" s="202" t="str">
        <x:f>IFERROR(Q502/N502,"")</x:f>
      </x:c>
      <x:c r="W502" s="137" t="str"/>
      <x:c r="X502" s="137" t="str"/>
      <x:c r="Y502" s="137" t="str"/>
      <x:c r="Z502" s="137" t="str"/>
      <x:c r="AA502" s="137" t="str"/>
      <x:c r="AB502" s="137" t="str"/>
      <x:c r="AC502" s="137" t="str"/>
      <x:c r="AD502" s="199" t="str"/>
    </x:row>
    <x:row r="503">
      <x:c r="A503" s="137" t="str"/>
      <x:c r="B503" s="138" t="str"/>
      <x:c r="C503" s="137" t="str"/>
      <x:c r="D503" s="137" t="str"/>
      <x:c r="E503" s="137" t="str"/>
      <x:c r="F503" s="137" t="str"/>
      <x:c r="G503" s="137" t="str"/>
      <x:c r="H503" s="137" t="str"/>
      <x:c r="I503" s="137" t="str"/>
      <x:c r="J503" s="137" t="str"/>
      <x:c r="K503" s="137" t="str"/>
      <x:c r="L503" s="160" t="str"/>
      <x:c r="M503" s="160" t="str"/>
      <x:c r="N503" s="151" t="str"/>
      <x:c r="O503" s="151" t="str"/>
      <x:c r="P503" s="151" t="str"/>
      <x:c r="Q503" s="151" t="str"/>
      <x:c r="R503" s="151" t="str"/>
      <x:c r="S503" s="151" t="str"/>
      <x:c r="T503" s="152" t="n">
        <x:f>IF(COUNTA(O503:S503)=0,"",MAX(0,IF(O503="",0,O503)+IF(P503="",0,P503)-IF(Q503="",0,Q503)-IF(R503="",0,R503)))</x:f>
        <x:v>0</x:v>
      </x:c>
      <x:c r="U503" s="152" t="str">
        <x:f>IF(OR(N503="",Q503=""),"",Q503-N503)</x:f>
      </x:c>
      <x:c r="V503" s="202" t="str">
        <x:f>IFERROR(Q503/N503,"")</x:f>
      </x:c>
      <x:c r="W503" s="137" t="str"/>
      <x:c r="X503" s="137" t="str"/>
      <x:c r="Y503" s="137" t="str"/>
      <x:c r="Z503" s="137" t="str"/>
      <x:c r="AA503" s="137" t="str"/>
      <x:c r="AB503" s="137" t="str"/>
      <x:c r="AC503" s="137" t="str"/>
      <x:c r="AD503" s="199" t="str"/>
    </x:row>
    <x:row r="504">
      <x:c r="A504" s="137" t="str"/>
      <x:c r="B504" s="138" t="str"/>
      <x:c r="C504" s="137" t="str"/>
      <x:c r="D504" s="137" t="str"/>
      <x:c r="E504" s="137" t="str"/>
      <x:c r="F504" s="137" t="str"/>
      <x:c r="G504" s="137" t="str"/>
      <x:c r="H504" s="137" t="str"/>
      <x:c r="I504" s="137" t="str"/>
      <x:c r="J504" s="137" t="str"/>
      <x:c r="K504" s="137" t="str"/>
      <x:c r="L504" s="160" t="str"/>
      <x:c r="M504" s="160" t="str"/>
      <x:c r="N504" s="151" t="str"/>
      <x:c r="O504" s="151" t="str"/>
      <x:c r="P504" s="151" t="str"/>
      <x:c r="Q504" s="151" t="str"/>
      <x:c r="R504" s="151" t="str"/>
      <x:c r="S504" s="151" t="str"/>
      <x:c r="T504" s="152" t="n">
        <x:f>IF(COUNTA(O504:S504)=0,"",MAX(0,IF(O504="",0,O504)+IF(P504="",0,P504)-IF(Q504="",0,Q504)-IF(R504="",0,R504)))</x:f>
        <x:v>0</x:v>
      </x:c>
      <x:c r="U504" s="152" t="str">
        <x:f>IF(OR(N504="",Q504=""),"",Q504-N504)</x:f>
      </x:c>
      <x:c r="V504" s="202" t="str">
        <x:f>IFERROR(Q504/N504,"")</x:f>
      </x:c>
      <x:c r="W504" s="137" t="str"/>
      <x:c r="X504" s="137" t="str"/>
      <x:c r="Y504" s="137" t="str"/>
      <x:c r="Z504" s="137" t="str"/>
      <x:c r="AA504" s="137" t="str"/>
      <x:c r="AB504" s="137" t="str"/>
      <x:c r="AC504" s="137" t="str"/>
      <x:c r="AD504" s="199" t="str"/>
    </x:row>
    <x:row r="505">
      <x:c r="A505" s="137" t="str"/>
      <x:c r="B505" s="138" t="str"/>
      <x:c r="C505" s="137" t="str"/>
      <x:c r="D505" s="137" t="str"/>
      <x:c r="E505" s="137" t="str"/>
      <x:c r="F505" s="137" t="str"/>
      <x:c r="G505" s="137" t="str"/>
      <x:c r="H505" s="137" t="str"/>
      <x:c r="I505" s="137" t="str"/>
      <x:c r="J505" s="137" t="str"/>
      <x:c r="K505" s="137" t="str"/>
      <x:c r="L505" s="160" t="str"/>
      <x:c r="M505" s="160" t="str"/>
      <x:c r="N505" s="151" t="str"/>
      <x:c r="O505" s="151" t="str"/>
      <x:c r="P505" s="151" t="str"/>
      <x:c r="Q505" s="151" t="str"/>
      <x:c r="R505" s="151" t="str"/>
      <x:c r="S505" s="151" t="str"/>
      <x:c r="T505" s="152" t="n">
        <x:f>IF(COUNTA(O505:S505)=0,"",MAX(0,IF(O505="",0,O505)+IF(P505="",0,P505)-IF(Q505="",0,Q505)-IF(R505="",0,R505)))</x:f>
        <x:v>0</x:v>
      </x:c>
      <x:c r="U505" s="152" t="str">
        <x:f>IF(OR(N505="",Q505=""),"",Q505-N505)</x:f>
      </x:c>
      <x:c r="V505" s="202" t="str">
        <x:f>IFERROR(Q505/N505,"")</x:f>
      </x:c>
      <x:c r="W505" s="137" t="str"/>
      <x:c r="X505" s="137" t="str"/>
      <x:c r="Y505" s="137" t="str"/>
      <x:c r="Z505" s="137" t="str"/>
      <x:c r="AA505" s="137" t="str"/>
      <x:c r="AB505" s="137" t="str"/>
      <x:c r="AC505" s="137" t="str"/>
      <x:c r="AD505" s="199" t="str"/>
    </x:row>
    <x:row r="506">
      <x:c r="A506" s="137" t="str"/>
      <x:c r="B506" s="138" t="str"/>
      <x:c r="C506" s="137" t="str"/>
      <x:c r="D506" s="137" t="str"/>
      <x:c r="E506" s="137" t="str"/>
      <x:c r="F506" s="137" t="str"/>
      <x:c r="G506" s="137" t="str"/>
      <x:c r="H506" s="137" t="str"/>
      <x:c r="I506" s="137" t="str"/>
      <x:c r="J506" s="137" t="str"/>
      <x:c r="K506" s="137" t="str"/>
      <x:c r="L506" s="160" t="str"/>
      <x:c r="M506" s="160" t="str"/>
      <x:c r="N506" s="151" t="str"/>
      <x:c r="O506" s="151" t="str"/>
      <x:c r="P506" s="151" t="str"/>
      <x:c r="Q506" s="151" t="str"/>
      <x:c r="R506" s="151" t="str"/>
      <x:c r="S506" s="151" t="str"/>
      <x:c r="T506" s="152" t="n">
        <x:f>IF(COUNTA(O506:S506)=0,"",MAX(0,IF(O506="",0,O506)+IF(P506="",0,P506)-IF(Q506="",0,Q506)-IF(R506="",0,R506)))</x:f>
        <x:v>0</x:v>
      </x:c>
      <x:c r="U506" s="152" t="str">
        <x:f>IF(OR(N506="",Q506=""),"",Q506-N506)</x:f>
      </x:c>
      <x:c r="V506" s="202" t="str">
        <x:f>IFERROR(Q506/N506,"")</x:f>
      </x:c>
      <x:c r="W506" s="137" t="str"/>
      <x:c r="X506" s="137" t="str"/>
      <x:c r="Y506" s="137" t="str"/>
      <x:c r="Z506" s="137" t="str"/>
      <x:c r="AA506" s="137" t="str"/>
      <x:c r="AB506" s="137" t="str"/>
      <x:c r="AC506" s="137" t="str"/>
      <x:c r="AD506" s="199" t="str"/>
    </x:row>
    <x:row r="507">
      <x:c r="A507" s="137" t="str"/>
      <x:c r="B507" s="138" t="str"/>
      <x:c r="C507" s="137" t="str"/>
      <x:c r="D507" s="137" t="str"/>
      <x:c r="E507" s="137" t="str"/>
      <x:c r="F507" s="137" t="str"/>
      <x:c r="G507" s="137" t="str"/>
      <x:c r="H507" s="137" t="str"/>
      <x:c r="I507" s="137" t="str"/>
      <x:c r="J507" s="137" t="str"/>
      <x:c r="K507" s="137" t="str"/>
      <x:c r="L507" s="160" t="str"/>
      <x:c r="M507" s="160" t="str"/>
      <x:c r="N507" s="151" t="str"/>
      <x:c r="O507" s="151" t="str"/>
      <x:c r="P507" s="151" t="str"/>
      <x:c r="Q507" s="151" t="str"/>
      <x:c r="R507" s="151" t="str"/>
      <x:c r="S507" s="151" t="str"/>
      <x:c r="T507" s="152" t="n">
        <x:f>IF(COUNTA(O507:S507)=0,"",MAX(0,IF(O507="",0,O507)+IF(P507="",0,P507)-IF(Q507="",0,Q507)-IF(R507="",0,R507)))</x:f>
        <x:v>0</x:v>
      </x:c>
      <x:c r="U507" s="152" t="str">
        <x:f>IF(OR(N507="",Q507=""),"",Q507-N507)</x:f>
      </x:c>
      <x:c r="V507" s="202" t="str">
        <x:f>IFERROR(Q507/N507,"")</x:f>
      </x:c>
      <x:c r="W507" s="137" t="str"/>
      <x:c r="X507" s="137" t="str"/>
      <x:c r="Y507" s="137" t="str"/>
      <x:c r="Z507" s="137" t="str"/>
      <x:c r="AA507" s="137" t="str"/>
      <x:c r="AB507" s="137" t="str"/>
      <x:c r="AC507" s="137" t="str"/>
      <x:c r="AD507" s="199" t="str"/>
    </x:row>
    <x:row r="508">
      <x:c r="A508" s="137" t="str"/>
      <x:c r="B508" s="138" t="str"/>
      <x:c r="C508" s="137" t="str"/>
      <x:c r="D508" s="137" t="str"/>
      <x:c r="E508" s="137" t="str"/>
      <x:c r="F508" s="137" t="str"/>
      <x:c r="G508" s="137" t="str"/>
      <x:c r="H508" s="137" t="str"/>
      <x:c r="I508" s="137" t="str"/>
      <x:c r="J508" s="137" t="str"/>
      <x:c r="K508" s="137" t="str"/>
      <x:c r="L508" s="160" t="str"/>
      <x:c r="M508" s="160" t="str"/>
      <x:c r="N508" s="151" t="str"/>
      <x:c r="O508" s="151" t="str"/>
      <x:c r="P508" s="151" t="str"/>
      <x:c r="Q508" s="151" t="str"/>
      <x:c r="R508" s="151" t="str"/>
      <x:c r="S508" s="151" t="str"/>
      <x:c r="T508" s="152" t="n">
        <x:f>IF(COUNTA(O508:S508)=0,"",MAX(0,IF(O508="",0,O508)+IF(P508="",0,P508)-IF(Q508="",0,Q508)-IF(R508="",0,R508)))</x:f>
        <x:v>0</x:v>
      </x:c>
      <x:c r="U508" s="152" t="str">
        <x:f>IF(OR(N508="",Q508=""),"",Q508-N508)</x:f>
      </x:c>
      <x:c r="V508" s="202" t="str">
        <x:f>IFERROR(Q508/N508,"")</x:f>
      </x:c>
      <x:c r="W508" s="137" t="str"/>
      <x:c r="X508" s="137" t="str"/>
      <x:c r="Y508" s="137" t="str"/>
      <x:c r="Z508" s="137" t="str"/>
      <x:c r="AA508" s="137" t="str"/>
      <x:c r="AB508" s="137" t="str"/>
      <x:c r="AC508" s="137" t="str"/>
      <x:c r="AD508" s="199" t="str"/>
    </x:row>
    <x:row r="509">
      <x:c r="A509" s="137" t="str"/>
      <x:c r="B509" s="138" t="str"/>
      <x:c r="C509" s="137" t="str"/>
      <x:c r="D509" s="137" t="str"/>
      <x:c r="E509" s="137" t="str"/>
      <x:c r="F509" s="137" t="str"/>
      <x:c r="G509" s="137" t="str"/>
      <x:c r="H509" s="137" t="str"/>
      <x:c r="I509" s="137" t="str"/>
      <x:c r="J509" s="137" t="str"/>
      <x:c r="K509" s="137" t="str"/>
      <x:c r="L509" s="160" t="str"/>
      <x:c r="M509" s="160" t="str"/>
      <x:c r="N509" s="151" t="str"/>
      <x:c r="O509" s="151" t="str"/>
      <x:c r="P509" s="151" t="str"/>
      <x:c r="Q509" s="151" t="str"/>
      <x:c r="R509" s="151" t="str"/>
      <x:c r="S509" s="151" t="str"/>
      <x:c r="T509" s="152" t="n">
        <x:f>IF(COUNTA(O509:S509)=0,"",MAX(0,IF(O509="",0,O509)+IF(P509="",0,P509)-IF(Q509="",0,Q509)-IF(R509="",0,R509)))</x:f>
        <x:v>0</x:v>
      </x:c>
      <x:c r="U509" s="152" t="str">
        <x:f>IF(OR(N509="",Q509=""),"",Q509-N509)</x:f>
      </x:c>
      <x:c r="V509" s="202" t="str">
        <x:f>IFERROR(Q509/N509,"")</x:f>
      </x:c>
      <x:c r="W509" s="137" t="str"/>
      <x:c r="X509" s="137" t="str"/>
      <x:c r="Y509" s="137" t="str"/>
      <x:c r="Z509" s="137" t="str"/>
      <x:c r="AA509" s="137" t="str"/>
      <x:c r="AB509" s="137" t="str"/>
      <x:c r="AC509" s="137" t="str"/>
      <x:c r="AD509" s="199" t="str"/>
    </x:row>
    <x:row r="510">
      <x:c r="A510" s="137" t="str"/>
      <x:c r="B510" s="138" t="str"/>
      <x:c r="C510" s="137" t="str"/>
      <x:c r="D510" s="137" t="str"/>
      <x:c r="E510" s="137" t="str"/>
      <x:c r="F510" s="137" t="str"/>
      <x:c r="G510" s="137" t="str"/>
      <x:c r="H510" s="137" t="str"/>
      <x:c r="I510" s="137" t="str"/>
      <x:c r="J510" s="137" t="str"/>
      <x:c r="K510" s="137" t="str"/>
      <x:c r="L510" s="160" t="str"/>
      <x:c r="M510" s="160" t="str"/>
      <x:c r="N510" s="151" t="str"/>
      <x:c r="O510" s="151" t="str"/>
      <x:c r="P510" s="151" t="str"/>
      <x:c r="Q510" s="151" t="str"/>
      <x:c r="R510" s="151" t="str"/>
      <x:c r="S510" s="151" t="str"/>
      <x:c r="T510" s="152" t="n">
        <x:f>IF(COUNTA(O510:S510)=0,"",MAX(0,IF(O510="",0,O510)+IF(P510="",0,P510)-IF(Q510="",0,Q510)-IF(R510="",0,R510)))</x:f>
        <x:v>0</x:v>
      </x:c>
      <x:c r="U510" s="152" t="str">
        <x:f>IF(OR(N510="",Q510=""),"",Q510-N510)</x:f>
      </x:c>
      <x:c r="V510" s="202" t="str">
        <x:f>IFERROR(Q510/N510,"")</x:f>
      </x:c>
      <x:c r="W510" s="137" t="str"/>
      <x:c r="X510" s="137" t="str"/>
      <x:c r="Y510" s="137" t="str"/>
      <x:c r="Z510" s="137" t="str"/>
      <x:c r="AA510" s="137" t="str"/>
      <x:c r="AB510" s="137" t="str"/>
      <x:c r="AC510" s="137" t="str"/>
      <x:c r="AD510" s="199" t="str"/>
    </x:row>
    <x:row r="511">
      <x:c r="A511" s="137" t="str"/>
      <x:c r="B511" s="138" t="str"/>
      <x:c r="C511" s="137" t="str"/>
      <x:c r="D511" s="137" t="str"/>
      <x:c r="E511" s="137" t="str"/>
      <x:c r="F511" s="137" t="str"/>
      <x:c r="G511" s="137" t="str"/>
      <x:c r="H511" s="137" t="str"/>
      <x:c r="I511" s="137" t="str"/>
      <x:c r="J511" s="137" t="str"/>
      <x:c r="K511" s="137" t="str"/>
      <x:c r="L511" s="160" t="str"/>
      <x:c r="M511" s="160" t="str"/>
      <x:c r="N511" s="151" t="str"/>
      <x:c r="O511" s="151" t="str"/>
      <x:c r="P511" s="151" t="str"/>
      <x:c r="Q511" s="151" t="str"/>
      <x:c r="R511" s="151" t="str"/>
      <x:c r="S511" s="151" t="str"/>
      <x:c r="T511" s="152" t="n">
        <x:f>IF(COUNTA(O511:S511)=0,"",MAX(0,IF(O511="",0,O511)+IF(P511="",0,P511)-IF(Q511="",0,Q511)-IF(R511="",0,R511)))</x:f>
        <x:v>0</x:v>
      </x:c>
      <x:c r="U511" s="152" t="str">
        <x:f>IF(OR(N511="",Q511=""),"",Q511-N511)</x:f>
      </x:c>
      <x:c r="V511" s="202" t="str">
        <x:f>IFERROR(Q511/N511,"")</x:f>
      </x:c>
      <x:c r="W511" s="137" t="str"/>
      <x:c r="X511" s="137" t="str"/>
      <x:c r="Y511" s="137" t="str"/>
      <x:c r="Z511" s="137" t="str"/>
      <x:c r="AA511" s="137" t="str"/>
      <x:c r="AB511" s="137" t="str"/>
      <x:c r="AC511" s="137" t="str"/>
      <x:c r="AD511" s="199" t="str"/>
    </x:row>
    <x:row r="512">
      <x:c r="A512" s="137" t="str"/>
      <x:c r="B512" s="138" t="str"/>
      <x:c r="C512" s="137" t="str"/>
      <x:c r="D512" s="137" t="str"/>
      <x:c r="E512" s="137" t="str"/>
      <x:c r="F512" s="137" t="str"/>
      <x:c r="G512" s="137" t="str"/>
      <x:c r="H512" s="137" t="str"/>
      <x:c r="I512" s="137" t="str"/>
      <x:c r="J512" s="137" t="str"/>
      <x:c r="K512" s="137" t="str"/>
      <x:c r="L512" s="160" t="str"/>
      <x:c r="M512" s="160" t="str"/>
      <x:c r="N512" s="151" t="str"/>
      <x:c r="O512" s="151" t="str"/>
      <x:c r="P512" s="151" t="str"/>
      <x:c r="Q512" s="151" t="str"/>
      <x:c r="R512" s="151" t="str"/>
      <x:c r="S512" s="151" t="str"/>
      <x:c r="T512" s="152" t="n">
        <x:f>IF(COUNTA(O512:S512)=0,"",MAX(0,IF(O512="",0,O512)+IF(P512="",0,P512)-IF(Q512="",0,Q512)-IF(R512="",0,R512)))</x:f>
        <x:v>0</x:v>
      </x:c>
      <x:c r="U512" s="152" t="str">
        <x:f>IF(OR(N512="",Q512=""),"",Q512-N512)</x:f>
      </x:c>
      <x:c r="V512" s="202" t="str">
        <x:f>IFERROR(Q512/N512,"")</x:f>
      </x:c>
      <x:c r="W512" s="137" t="str"/>
      <x:c r="X512" s="137" t="str"/>
      <x:c r="Y512" s="137" t="str"/>
      <x:c r="Z512" s="137" t="str"/>
      <x:c r="AA512" s="137" t="str"/>
      <x:c r="AB512" s="137" t="str"/>
      <x:c r="AC512" s="137" t="str"/>
      <x:c r="AD512" s="199" t="str"/>
    </x:row>
    <x:row r="513">
      <x:c r="A513" s="137" t="str"/>
      <x:c r="B513" s="138" t="str"/>
      <x:c r="C513" s="137" t="str"/>
      <x:c r="D513" s="137" t="str"/>
      <x:c r="E513" s="137" t="str"/>
      <x:c r="F513" s="137" t="str"/>
      <x:c r="G513" s="137" t="str"/>
      <x:c r="H513" s="137" t="str"/>
      <x:c r="I513" s="137" t="str"/>
      <x:c r="J513" s="137" t="str"/>
      <x:c r="K513" s="137" t="str"/>
      <x:c r="L513" s="160" t="str"/>
      <x:c r="M513" s="160" t="str"/>
      <x:c r="N513" s="151" t="str"/>
      <x:c r="O513" s="151" t="str"/>
      <x:c r="P513" s="151" t="str"/>
      <x:c r="Q513" s="151" t="str"/>
      <x:c r="R513" s="151" t="str"/>
      <x:c r="S513" s="151" t="str"/>
      <x:c r="T513" s="152" t="n">
        <x:f>IF(COUNTA(O513:S513)=0,"",MAX(0,IF(O513="",0,O513)+IF(P513="",0,P513)-IF(Q513="",0,Q513)-IF(R513="",0,R513)))</x:f>
        <x:v>0</x:v>
      </x:c>
      <x:c r="U513" s="152" t="str">
        <x:f>IF(OR(N513="",Q513=""),"",Q513-N513)</x:f>
      </x:c>
      <x:c r="V513" s="202" t="str">
        <x:f>IFERROR(Q513/N513,"")</x:f>
      </x:c>
      <x:c r="W513" s="137" t="str"/>
      <x:c r="X513" s="137" t="str"/>
      <x:c r="Y513" s="137" t="str"/>
      <x:c r="Z513" s="137" t="str"/>
      <x:c r="AA513" s="137" t="str"/>
      <x:c r="AB513" s="137" t="str"/>
      <x:c r="AC513" s="137" t="str"/>
      <x:c r="AD513" s="199" t="str"/>
    </x:row>
    <x:row r="514">
      <x:c r="A514" s="137" t="str"/>
      <x:c r="B514" s="138" t="str"/>
      <x:c r="C514" s="137" t="str"/>
      <x:c r="D514" s="137" t="str"/>
      <x:c r="E514" s="137" t="str"/>
      <x:c r="F514" s="137" t="str"/>
      <x:c r="G514" s="137" t="str"/>
      <x:c r="H514" s="137" t="str"/>
      <x:c r="I514" s="137" t="str"/>
      <x:c r="J514" s="137" t="str"/>
      <x:c r="K514" s="137" t="str"/>
      <x:c r="L514" s="160" t="str"/>
      <x:c r="M514" s="160" t="str"/>
      <x:c r="N514" s="151" t="str"/>
      <x:c r="O514" s="151" t="str"/>
      <x:c r="P514" s="151" t="str"/>
      <x:c r="Q514" s="151" t="str"/>
      <x:c r="R514" s="151" t="str"/>
      <x:c r="S514" s="151" t="str"/>
      <x:c r="T514" s="152" t="n">
        <x:f>IF(COUNTA(O514:S514)=0,"",MAX(0,IF(O514="",0,O514)+IF(P514="",0,P514)-IF(Q514="",0,Q514)-IF(R514="",0,R514)))</x:f>
        <x:v>0</x:v>
      </x:c>
      <x:c r="U514" s="152" t="str">
        <x:f>IF(OR(N514="",Q514=""),"",Q514-N514)</x:f>
      </x:c>
      <x:c r="V514" s="202" t="str">
        <x:f>IFERROR(Q514/N514,"")</x:f>
      </x:c>
      <x:c r="W514" s="137" t="str"/>
      <x:c r="X514" s="137" t="str"/>
      <x:c r="Y514" s="137" t="str"/>
      <x:c r="Z514" s="137" t="str"/>
      <x:c r="AA514" s="137" t="str"/>
      <x:c r="AB514" s="137" t="str"/>
      <x:c r="AC514" s="137" t="str"/>
      <x:c r="AD514" s="199" t="str"/>
    </x:row>
    <x:row r="515">
      <x:c r="A515" s="137" t="str"/>
      <x:c r="B515" s="138" t="str"/>
      <x:c r="C515" s="137" t="str"/>
      <x:c r="D515" s="137" t="str"/>
      <x:c r="E515" s="137" t="str"/>
      <x:c r="F515" s="137" t="str"/>
      <x:c r="G515" s="137" t="str"/>
      <x:c r="H515" s="137" t="str"/>
      <x:c r="I515" s="137" t="str"/>
      <x:c r="J515" s="137" t="str"/>
      <x:c r="K515" s="137" t="str"/>
      <x:c r="L515" s="160" t="str"/>
      <x:c r="M515" s="160" t="str"/>
      <x:c r="N515" s="151" t="str"/>
      <x:c r="O515" s="151" t="str"/>
      <x:c r="P515" s="151" t="str"/>
      <x:c r="Q515" s="151" t="str"/>
      <x:c r="R515" s="151" t="str"/>
      <x:c r="S515" s="151" t="str"/>
      <x:c r="T515" s="152" t="n">
        <x:f>IF(COUNTA(O515:S515)=0,"",MAX(0,IF(O515="",0,O515)+IF(P515="",0,P515)-IF(Q515="",0,Q515)-IF(R515="",0,R515)))</x:f>
        <x:v>0</x:v>
      </x:c>
      <x:c r="U515" s="152" t="str">
        <x:f>IF(OR(N515="",Q515=""),"",Q515-N515)</x:f>
      </x:c>
      <x:c r="V515" s="202" t="str">
        <x:f>IFERROR(Q515/N515,"")</x:f>
      </x:c>
      <x:c r="W515" s="137" t="str"/>
      <x:c r="X515" s="137" t="str"/>
      <x:c r="Y515" s="137" t="str"/>
      <x:c r="Z515" s="137" t="str"/>
      <x:c r="AA515" s="137" t="str"/>
      <x:c r="AB515" s="137" t="str"/>
      <x:c r="AC515" s="137" t="str"/>
      <x:c r="AD515" s="199" t="str"/>
    </x:row>
    <x:row r="516">
      <x:c r="A516" s="137" t="str"/>
      <x:c r="B516" s="138" t="str"/>
      <x:c r="C516" s="137" t="str"/>
      <x:c r="D516" s="137" t="str"/>
      <x:c r="E516" s="137" t="str"/>
      <x:c r="F516" s="137" t="str"/>
      <x:c r="G516" s="137" t="str"/>
      <x:c r="H516" s="137" t="str"/>
      <x:c r="I516" s="137" t="str"/>
      <x:c r="J516" s="137" t="str"/>
      <x:c r="K516" s="137" t="str"/>
      <x:c r="L516" s="160" t="str"/>
      <x:c r="M516" s="160" t="str"/>
      <x:c r="N516" s="151" t="str"/>
      <x:c r="O516" s="151" t="str"/>
      <x:c r="P516" s="151" t="str"/>
      <x:c r="Q516" s="151" t="str"/>
      <x:c r="R516" s="151" t="str"/>
      <x:c r="S516" s="151" t="str"/>
      <x:c r="T516" s="152" t="n">
        <x:f>IF(COUNTA(O516:S516)=0,"",MAX(0,IF(O516="",0,O516)+IF(P516="",0,P516)-IF(Q516="",0,Q516)-IF(R516="",0,R516)))</x:f>
        <x:v>0</x:v>
      </x:c>
      <x:c r="U516" s="152" t="str">
        <x:f>IF(OR(N516="",Q516=""),"",Q516-N516)</x:f>
      </x:c>
      <x:c r="V516" s="202" t="str">
        <x:f>IFERROR(Q516/N516,"")</x:f>
      </x:c>
      <x:c r="W516" s="137" t="str"/>
      <x:c r="X516" s="137" t="str"/>
      <x:c r="Y516" s="137" t="str"/>
      <x:c r="Z516" s="137" t="str"/>
      <x:c r="AA516" s="137" t="str"/>
      <x:c r="AB516" s="137" t="str"/>
      <x:c r="AC516" s="137" t="str"/>
      <x:c r="AD516" s="199" t="str"/>
    </x:row>
    <x:row r="517">
      <x:c r="A517" s="137" t="str"/>
      <x:c r="B517" s="138" t="str"/>
      <x:c r="C517" s="137" t="str"/>
      <x:c r="D517" s="137" t="str"/>
      <x:c r="E517" s="137" t="str"/>
      <x:c r="F517" s="137" t="str"/>
      <x:c r="G517" s="137" t="str"/>
      <x:c r="H517" s="137" t="str"/>
      <x:c r="I517" s="137" t="str"/>
      <x:c r="J517" s="137" t="str"/>
      <x:c r="K517" s="137" t="str"/>
      <x:c r="L517" s="160" t="str"/>
      <x:c r="M517" s="160" t="str"/>
      <x:c r="N517" s="151" t="str"/>
      <x:c r="O517" s="151" t="str"/>
      <x:c r="P517" s="151" t="str"/>
      <x:c r="Q517" s="151" t="str"/>
      <x:c r="R517" s="151" t="str"/>
      <x:c r="S517" s="151" t="str"/>
      <x:c r="T517" s="152" t="n">
        <x:f>IF(COUNTA(O517:S517)=0,"",MAX(0,IF(O517="",0,O517)+IF(P517="",0,P517)-IF(Q517="",0,Q517)-IF(R517="",0,R517)))</x:f>
        <x:v>0</x:v>
      </x:c>
      <x:c r="U517" s="152" t="str">
        <x:f>IF(OR(N517="",Q517=""),"",Q517-N517)</x:f>
      </x:c>
      <x:c r="V517" s="202" t="str">
        <x:f>IFERROR(Q517/N517,"")</x:f>
      </x:c>
      <x:c r="W517" s="137" t="str"/>
      <x:c r="X517" s="137" t="str"/>
      <x:c r="Y517" s="137" t="str"/>
      <x:c r="Z517" s="137" t="str"/>
      <x:c r="AA517" s="137" t="str"/>
      <x:c r="AB517" s="137" t="str"/>
      <x:c r="AC517" s="137" t="str"/>
      <x:c r="AD517" s="199" t="str"/>
    </x:row>
    <x:row r="518">
      <x:c r="A518" s="137" t="str"/>
      <x:c r="B518" s="138" t="str"/>
      <x:c r="C518" s="137" t="str"/>
      <x:c r="D518" s="137" t="str"/>
      <x:c r="E518" s="137" t="str"/>
      <x:c r="F518" s="137" t="str"/>
      <x:c r="G518" s="137" t="str"/>
      <x:c r="H518" s="137" t="str"/>
      <x:c r="I518" s="137" t="str"/>
      <x:c r="J518" s="137" t="str"/>
      <x:c r="K518" s="137" t="str"/>
      <x:c r="L518" s="160" t="str"/>
      <x:c r="M518" s="160" t="str"/>
      <x:c r="N518" s="151" t="str"/>
      <x:c r="O518" s="151" t="str"/>
      <x:c r="P518" s="151" t="str"/>
      <x:c r="Q518" s="151" t="str"/>
      <x:c r="R518" s="151" t="str"/>
      <x:c r="S518" s="151" t="str"/>
      <x:c r="T518" s="152" t="n">
        <x:f>IF(COUNTA(O518:S518)=0,"",MAX(0,IF(O518="",0,O518)+IF(P518="",0,P518)-IF(Q518="",0,Q518)-IF(R518="",0,R518)))</x:f>
        <x:v>0</x:v>
      </x:c>
      <x:c r="U518" s="152" t="str">
        <x:f>IF(OR(N518="",Q518=""),"",Q518-N518)</x:f>
      </x:c>
      <x:c r="V518" s="202" t="str">
        <x:f>IFERROR(Q518/N518,"")</x:f>
      </x:c>
      <x:c r="W518" s="137" t="str"/>
      <x:c r="X518" s="137" t="str"/>
      <x:c r="Y518" s="137" t="str"/>
      <x:c r="Z518" s="137" t="str"/>
      <x:c r="AA518" s="137" t="str"/>
      <x:c r="AB518" s="137" t="str"/>
      <x:c r="AC518" s="137" t="str"/>
      <x:c r="AD518" s="199" t="str"/>
    </x:row>
    <x:row r="519">
      <x:c r="A519" s="137" t="str"/>
      <x:c r="B519" s="138" t="str"/>
      <x:c r="C519" s="137" t="str"/>
      <x:c r="D519" s="137" t="str"/>
      <x:c r="E519" s="137" t="str"/>
      <x:c r="F519" s="137" t="str"/>
      <x:c r="G519" s="137" t="str"/>
      <x:c r="H519" s="137" t="str"/>
      <x:c r="I519" s="137" t="str"/>
      <x:c r="J519" s="137" t="str"/>
      <x:c r="K519" s="137" t="str"/>
      <x:c r="L519" s="160" t="str"/>
      <x:c r="M519" s="160" t="str"/>
      <x:c r="N519" s="151" t="str"/>
      <x:c r="O519" s="151" t="str"/>
      <x:c r="P519" s="151" t="str"/>
      <x:c r="Q519" s="151" t="str"/>
      <x:c r="R519" s="151" t="str"/>
      <x:c r="S519" s="151" t="str"/>
      <x:c r="T519" s="152" t="n">
        <x:f>IF(COUNTA(O519:S519)=0,"",MAX(0,IF(O519="",0,O519)+IF(P519="",0,P519)-IF(Q519="",0,Q519)-IF(R519="",0,R519)))</x:f>
        <x:v>0</x:v>
      </x:c>
      <x:c r="U519" s="152" t="str">
        <x:f>IF(OR(N519="",Q519=""),"",Q519-N519)</x:f>
      </x:c>
      <x:c r="V519" s="202" t="str">
        <x:f>IFERROR(Q519/N519,"")</x:f>
      </x:c>
      <x:c r="W519" s="137" t="str"/>
      <x:c r="X519" s="137" t="str"/>
      <x:c r="Y519" s="137" t="str"/>
      <x:c r="Z519" s="137" t="str"/>
      <x:c r="AA519" s="137" t="str"/>
      <x:c r="AB519" s="137" t="str"/>
      <x:c r="AC519" s="137" t="str"/>
      <x:c r="AD519" s="199" t="str"/>
    </x:row>
    <x:row r="520">
      <x:c r="A520" s="137" t="str"/>
      <x:c r="B520" s="138" t="str"/>
      <x:c r="C520" s="137" t="str"/>
      <x:c r="D520" s="137" t="str"/>
      <x:c r="E520" s="137" t="str"/>
      <x:c r="F520" s="137" t="str"/>
      <x:c r="G520" s="137" t="str"/>
      <x:c r="H520" s="137" t="str"/>
      <x:c r="I520" s="137" t="str"/>
      <x:c r="J520" s="137" t="str"/>
      <x:c r="K520" s="137" t="str"/>
      <x:c r="L520" s="160" t="str"/>
      <x:c r="M520" s="160" t="str"/>
      <x:c r="N520" s="151" t="str"/>
      <x:c r="O520" s="151" t="str"/>
      <x:c r="P520" s="151" t="str"/>
      <x:c r="Q520" s="151" t="str"/>
      <x:c r="R520" s="151" t="str"/>
      <x:c r="S520" s="151" t="str"/>
      <x:c r="T520" s="152" t="n">
        <x:f>IF(COUNTA(O520:S520)=0,"",MAX(0,IF(O520="",0,O520)+IF(P520="",0,P520)-IF(Q520="",0,Q520)-IF(R520="",0,R520)))</x:f>
        <x:v>0</x:v>
      </x:c>
      <x:c r="U520" s="152" t="str">
        <x:f>IF(OR(N520="",Q520=""),"",Q520-N520)</x:f>
      </x:c>
      <x:c r="V520" s="202" t="str">
        <x:f>IFERROR(Q520/N520,"")</x:f>
      </x:c>
      <x:c r="W520" s="137" t="str"/>
      <x:c r="X520" s="137" t="str"/>
      <x:c r="Y520" s="137" t="str"/>
      <x:c r="Z520" s="137" t="str"/>
      <x:c r="AA520" s="137" t="str"/>
      <x:c r="AB520" s="137" t="str"/>
      <x:c r="AC520" s="137" t="str"/>
      <x:c r="AD520" s="199" t="str"/>
    </x:row>
    <x:row r="521">
      <x:c r="A521" s="137" t="str"/>
      <x:c r="B521" s="138" t="str"/>
      <x:c r="C521" s="137" t="str"/>
      <x:c r="D521" s="137" t="str"/>
      <x:c r="E521" s="137" t="str"/>
      <x:c r="F521" s="137" t="str"/>
      <x:c r="G521" s="137" t="str"/>
      <x:c r="H521" s="137" t="str"/>
      <x:c r="I521" s="137" t="str"/>
      <x:c r="J521" s="137" t="str"/>
      <x:c r="K521" s="137" t="str"/>
      <x:c r="L521" s="160" t="str"/>
      <x:c r="M521" s="160" t="str"/>
      <x:c r="N521" s="151" t="str"/>
      <x:c r="O521" s="151" t="str"/>
      <x:c r="P521" s="151" t="str"/>
      <x:c r="Q521" s="151" t="str"/>
      <x:c r="R521" s="151" t="str"/>
      <x:c r="S521" s="151" t="str"/>
      <x:c r="T521" s="152" t="n">
        <x:f>IF(COUNTA(O521:S521)=0,"",MAX(0,IF(O521="",0,O521)+IF(P521="",0,P521)-IF(Q521="",0,Q521)-IF(R521="",0,R521)))</x:f>
        <x:v>0</x:v>
      </x:c>
      <x:c r="U521" s="152" t="str">
        <x:f>IF(OR(N521="",Q521=""),"",Q521-N521)</x:f>
      </x:c>
      <x:c r="V521" s="202" t="str">
        <x:f>IFERROR(Q521/N521,"")</x:f>
      </x:c>
      <x:c r="W521" s="137" t="str"/>
      <x:c r="X521" s="137" t="str"/>
      <x:c r="Y521" s="137" t="str"/>
      <x:c r="Z521" s="137" t="str"/>
      <x:c r="AA521" s="137" t="str"/>
      <x:c r="AB521" s="137" t="str"/>
      <x:c r="AC521" s="137" t="str"/>
      <x:c r="AD521" s="199" t="str"/>
    </x:row>
    <x:row r="522">
      <x:c r="A522" s="137" t="str"/>
      <x:c r="B522" s="138" t="str"/>
      <x:c r="C522" s="137" t="str"/>
      <x:c r="D522" s="137" t="str"/>
      <x:c r="E522" s="137" t="str"/>
      <x:c r="F522" s="137" t="str"/>
      <x:c r="G522" s="137" t="str"/>
      <x:c r="H522" s="137" t="str"/>
      <x:c r="I522" s="137" t="str"/>
      <x:c r="J522" s="137" t="str"/>
      <x:c r="K522" s="137" t="str"/>
      <x:c r="L522" s="160" t="str"/>
      <x:c r="M522" s="160" t="str"/>
      <x:c r="N522" s="151" t="str"/>
      <x:c r="O522" s="151" t="str"/>
      <x:c r="P522" s="151" t="str"/>
      <x:c r="Q522" s="151" t="str"/>
      <x:c r="R522" s="151" t="str"/>
      <x:c r="S522" s="151" t="str"/>
      <x:c r="T522" s="152" t="n">
        <x:f>IF(COUNTA(O522:S522)=0,"",MAX(0,IF(O522="",0,O522)+IF(P522="",0,P522)-IF(Q522="",0,Q522)-IF(R522="",0,R522)))</x:f>
        <x:v>0</x:v>
      </x:c>
      <x:c r="U522" s="152" t="str">
        <x:f>IF(OR(N522="",Q522=""),"",Q522-N522)</x:f>
      </x:c>
      <x:c r="V522" s="202" t="str">
        <x:f>IFERROR(Q522/N522,"")</x:f>
      </x:c>
      <x:c r="W522" s="137" t="str"/>
      <x:c r="X522" s="137" t="str"/>
      <x:c r="Y522" s="137" t="str"/>
      <x:c r="Z522" s="137" t="str"/>
      <x:c r="AA522" s="137" t="str"/>
      <x:c r="AB522" s="137" t="str"/>
      <x:c r="AC522" s="137" t="str"/>
      <x:c r="AD522" s="199" t="str"/>
    </x:row>
    <x:row r="523">
      <x:c r="A523" s="137" t="str"/>
      <x:c r="B523" s="138" t="str"/>
      <x:c r="C523" s="137" t="str"/>
      <x:c r="D523" s="137" t="str"/>
      <x:c r="E523" s="137" t="str"/>
      <x:c r="F523" s="137" t="str"/>
      <x:c r="G523" s="137" t="str"/>
      <x:c r="H523" s="137" t="str"/>
      <x:c r="I523" s="137" t="str"/>
      <x:c r="J523" s="137" t="str"/>
      <x:c r="K523" s="137" t="str"/>
      <x:c r="L523" s="160" t="str"/>
      <x:c r="M523" s="160" t="str"/>
      <x:c r="N523" s="151" t="str"/>
      <x:c r="O523" s="151" t="str"/>
      <x:c r="P523" s="151" t="str"/>
      <x:c r="Q523" s="151" t="str"/>
      <x:c r="R523" s="151" t="str"/>
      <x:c r="S523" s="151" t="str"/>
      <x:c r="T523" s="152" t="n">
        <x:f>IF(COUNTA(O523:S523)=0,"",MAX(0,IF(O523="",0,O523)+IF(P523="",0,P523)-IF(Q523="",0,Q523)-IF(R523="",0,R523)))</x:f>
        <x:v>0</x:v>
      </x:c>
      <x:c r="U523" s="152" t="str">
        <x:f>IF(OR(N523="",Q523=""),"",Q523-N523)</x:f>
      </x:c>
      <x:c r="V523" s="202" t="str">
        <x:f>IFERROR(Q523/N523,"")</x:f>
      </x:c>
      <x:c r="W523" s="137" t="str"/>
      <x:c r="X523" s="137" t="str"/>
      <x:c r="Y523" s="137" t="str"/>
      <x:c r="Z523" s="137" t="str"/>
      <x:c r="AA523" s="137" t="str"/>
      <x:c r="AB523" s="137" t="str"/>
      <x:c r="AC523" s="137" t="str"/>
      <x:c r="AD523" s="199" t="str"/>
    </x:row>
    <x:row r="524">
      <x:c r="A524" s="137" t="str"/>
      <x:c r="B524" s="138" t="str"/>
      <x:c r="C524" s="137" t="str"/>
      <x:c r="D524" s="137" t="str"/>
      <x:c r="E524" s="137" t="str"/>
      <x:c r="F524" s="137" t="str"/>
      <x:c r="G524" s="137" t="str"/>
      <x:c r="H524" s="137" t="str"/>
      <x:c r="I524" s="137" t="str"/>
      <x:c r="J524" s="137" t="str"/>
      <x:c r="K524" s="137" t="str"/>
      <x:c r="L524" s="160" t="str"/>
      <x:c r="M524" s="160" t="str"/>
      <x:c r="N524" s="151" t="str"/>
      <x:c r="O524" s="151" t="str"/>
      <x:c r="P524" s="151" t="str"/>
      <x:c r="Q524" s="151" t="str"/>
      <x:c r="R524" s="151" t="str"/>
      <x:c r="S524" s="151" t="str"/>
      <x:c r="T524" s="152" t="n">
        <x:f>IF(COUNTA(O524:S524)=0,"",MAX(0,IF(O524="",0,O524)+IF(P524="",0,P524)-IF(Q524="",0,Q524)-IF(R524="",0,R524)))</x:f>
        <x:v>0</x:v>
      </x:c>
      <x:c r="U524" s="152" t="str">
        <x:f>IF(OR(N524="",Q524=""),"",Q524-N524)</x:f>
      </x:c>
      <x:c r="V524" s="202" t="str">
        <x:f>IFERROR(Q524/N524,"")</x:f>
      </x:c>
      <x:c r="W524" s="137" t="str"/>
      <x:c r="X524" s="137" t="str"/>
      <x:c r="Y524" s="137" t="str"/>
      <x:c r="Z524" s="137" t="str"/>
      <x:c r="AA524" s="137" t="str"/>
      <x:c r="AB524" s="137" t="str"/>
      <x:c r="AC524" s="137" t="str"/>
      <x:c r="AD524" s="199" t="str"/>
    </x:row>
    <x:row r="525">
      <x:c r="A525" s="137" t="str"/>
      <x:c r="B525" s="138" t="str"/>
      <x:c r="C525" s="137" t="str"/>
      <x:c r="D525" s="137" t="str"/>
      <x:c r="E525" s="137" t="str"/>
      <x:c r="F525" s="137" t="str"/>
      <x:c r="G525" s="137" t="str"/>
      <x:c r="H525" s="137" t="str"/>
      <x:c r="I525" s="137" t="str"/>
      <x:c r="J525" s="137" t="str"/>
      <x:c r="K525" s="137" t="str"/>
      <x:c r="L525" s="160" t="str"/>
      <x:c r="M525" s="160" t="str"/>
      <x:c r="N525" s="151" t="str"/>
      <x:c r="O525" s="151" t="str"/>
      <x:c r="P525" s="151" t="str"/>
      <x:c r="Q525" s="151" t="str"/>
      <x:c r="R525" s="151" t="str"/>
      <x:c r="S525" s="151" t="str"/>
      <x:c r="T525" s="152" t="n">
        <x:f>IF(COUNTA(O525:S525)=0,"",MAX(0,IF(O525="",0,O525)+IF(P525="",0,P525)-IF(Q525="",0,Q525)-IF(R525="",0,R525)))</x:f>
        <x:v>0</x:v>
      </x:c>
      <x:c r="U525" s="152" t="str">
        <x:f>IF(OR(N525="",Q525=""),"",Q525-N525)</x:f>
      </x:c>
      <x:c r="V525" s="202" t="str">
        <x:f>IFERROR(Q525/N525,"")</x:f>
      </x:c>
      <x:c r="W525" s="137" t="str"/>
      <x:c r="X525" s="137" t="str"/>
      <x:c r="Y525" s="137" t="str"/>
      <x:c r="Z525" s="137" t="str"/>
      <x:c r="AA525" s="137" t="str"/>
      <x:c r="AB525" s="137" t="str"/>
      <x:c r="AC525" s="137" t="str"/>
      <x:c r="AD525" s="199" t="str"/>
    </x:row>
    <x:row r="526">
      <x:c r="A526" s="137" t="str"/>
      <x:c r="B526" s="138" t="str"/>
      <x:c r="C526" s="137" t="str"/>
      <x:c r="D526" s="137" t="str"/>
      <x:c r="E526" s="137" t="str"/>
      <x:c r="F526" s="137" t="str"/>
      <x:c r="G526" s="137" t="str"/>
      <x:c r="H526" s="137" t="str"/>
      <x:c r="I526" s="137" t="str"/>
      <x:c r="J526" s="137" t="str"/>
      <x:c r="K526" s="137" t="str"/>
      <x:c r="L526" s="160" t="str"/>
      <x:c r="M526" s="160" t="str"/>
      <x:c r="N526" s="151" t="str"/>
      <x:c r="O526" s="151" t="str"/>
      <x:c r="P526" s="151" t="str"/>
      <x:c r="Q526" s="151" t="str"/>
      <x:c r="R526" s="151" t="str"/>
      <x:c r="S526" s="151" t="str"/>
      <x:c r="T526" s="152" t="n">
        <x:f>IF(COUNTA(O526:S526)=0,"",MAX(0,IF(O526="",0,O526)+IF(P526="",0,P526)-IF(Q526="",0,Q526)-IF(R526="",0,R526)))</x:f>
        <x:v>0</x:v>
      </x:c>
      <x:c r="U526" s="152" t="str">
        <x:f>IF(OR(N526="",Q526=""),"",Q526-N526)</x:f>
      </x:c>
      <x:c r="V526" s="202" t="str">
        <x:f>IFERROR(Q526/N526,"")</x:f>
      </x:c>
      <x:c r="W526" s="137" t="str"/>
      <x:c r="X526" s="137" t="str"/>
      <x:c r="Y526" s="137" t="str"/>
      <x:c r="Z526" s="137" t="str"/>
      <x:c r="AA526" s="137" t="str"/>
      <x:c r="AB526" s="137" t="str"/>
      <x:c r="AC526" s="137" t="str"/>
      <x:c r="AD526" s="199" t="str"/>
    </x:row>
    <x:row r="527">
      <x:c r="A527" s="137" t="str"/>
      <x:c r="B527" s="138" t="str"/>
      <x:c r="C527" s="137" t="str"/>
      <x:c r="D527" s="137" t="str"/>
      <x:c r="E527" s="137" t="str"/>
      <x:c r="F527" s="137" t="str"/>
      <x:c r="G527" s="137" t="str"/>
      <x:c r="H527" s="137" t="str"/>
      <x:c r="I527" s="137" t="str"/>
      <x:c r="J527" s="137" t="str"/>
      <x:c r="K527" s="137" t="str"/>
      <x:c r="L527" s="160" t="str"/>
      <x:c r="M527" s="160" t="str"/>
      <x:c r="N527" s="151" t="str"/>
      <x:c r="O527" s="151" t="str"/>
      <x:c r="P527" s="151" t="str"/>
      <x:c r="Q527" s="151" t="str"/>
      <x:c r="R527" s="151" t="str"/>
      <x:c r="S527" s="151" t="str"/>
      <x:c r="T527" s="152" t="n">
        <x:f>IF(COUNTA(O527:S527)=0,"",MAX(0,IF(O527="",0,O527)+IF(P527="",0,P527)-IF(Q527="",0,Q527)-IF(R527="",0,R527)))</x:f>
        <x:v>0</x:v>
      </x:c>
      <x:c r="U527" s="152" t="str">
        <x:f>IF(OR(N527="",Q527=""),"",Q527-N527)</x:f>
      </x:c>
      <x:c r="V527" s="202" t="str">
        <x:f>IFERROR(Q527/N527,"")</x:f>
      </x:c>
      <x:c r="W527" s="137" t="str"/>
      <x:c r="X527" s="137" t="str"/>
      <x:c r="Y527" s="137" t="str"/>
      <x:c r="Z527" s="137" t="str"/>
      <x:c r="AA527" s="137" t="str"/>
      <x:c r="AB527" s="137" t="str"/>
      <x:c r="AC527" s="137" t="str"/>
      <x:c r="AD527" s="199" t="str"/>
    </x:row>
    <x:row r="528">
      <x:c r="A528" s="137" t="str"/>
      <x:c r="B528" s="138" t="str"/>
      <x:c r="C528" s="137" t="str"/>
      <x:c r="D528" s="137" t="str"/>
      <x:c r="E528" s="137" t="str"/>
      <x:c r="F528" s="137" t="str"/>
      <x:c r="G528" s="137" t="str"/>
      <x:c r="H528" s="137" t="str"/>
      <x:c r="I528" s="137" t="str"/>
      <x:c r="J528" s="137" t="str"/>
      <x:c r="K528" s="137" t="str"/>
      <x:c r="L528" s="160" t="str"/>
      <x:c r="M528" s="160" t="str"/>
      <x:c r="N528" s="151" t="str"/>
      <x:c r="O528" s="151" t="str"/>
      <x:c r="P528" s="151" t="str"/>
      <x:c r="Q528" s="151" t="str"/>
      <x:c r="R528" s="151" t="str"/>
      <x:c r="S528" s="151" t="str"/>
      <x:c r="T528" s="152" t="n">
        <x:f>IF(COUNTA(O528:S528)=0,"",MAX(0,IF(O528="",0,O528)+IF(P528="",0,P528)-IF(Q528="",0,Q528)-IF(R528="",0,R528)))</x:f>
        <x:v>0</x:v>
      </x:c>
      <x:c r="U528" s="152" t="str">
        <x:f>IF(OR(N528="",Q528=""),"",Q528-N528)</x:f>
      </x:c>
      <x:c r="V528" s="202" t="str">
        <x:f>IFERROR(Q528/N528,"")</x:f>
      </x:c>
      <x:c r="W528" s="137" t="str"/>
      <x:c r="X528" s="137" t="str"/>
      <x:c r="Y528" s="137" t="str"/>
      <x:c r="Z528" s="137" t="str"/>
      <x:c r="AA528" s="137" t="str"/>
      <x:c r="AB528" s="137" t="str"/>
      <x:c r="AC528" s="137" t="str"/>
      <x:c r="AD528" s="199" t="str"/>
    </x:row>
    <x:row r="529">
      <x:c r="A529" s="137" t="str"/>
      <x:c r="B529" s="138" t="str"/>
      <x:c r="C529" s="137" t="str"/>
      <x:c r="D529" s="137" t="str"/>
      <x:c r="E529" s="137" t="str"/>
      <x:c r="F529" s="137" t="str"/>
      <x:c r="G529" s="137" t="str"/>
      <x:c r="H529" s="137" t="str"/>
      <x:c r="I529" s="137" t="str"/>
      <x:c r="J529" s="137" t="str"/>
      <x:c r="K529" s="137" t="str"/>
      <x:c r="L529" s="160" t="str"/>
      <x:c r="M529" s="160" t="str"/>
      <x:c r="N529" s="151" t="str"/>
      <x:c r="O529" s="151" t="str"/>
      <x:c r="P529" s="151" t="str"/>
      <x:c r="Q529" s="151" t="str"/>
      <x:c r="R529" s="151" t="str"/>
      <x:c r="S529" s="151" t="str"/>
      <x:c r="T529" s="152" t="n">
        <x:f>IF(COUNTA(O529:S529)=0,"",MAX(0,IF(O529="",0,O529)+IF(P529="",0,P529)-IF(Q529="",0,Q529)-IF(R529="",0,R529)))</x:f>
        <x:v>0</x:v>
      </x:c>
      <x:c r="U529" s="152" t="str">
        <x:f>IF(OR(N529="",Q529=""),"",Q529-N529)</x:f>
      </x:c>
      <x:c r="V529" s="202" t="str">
        <x:f>IFERROR(Q529/N529,"")</x:f>
      </x:c>
      <x:c r="W529" s="137" t="str"/>
      <x:c r="X529" s="137" t="str"/>
      <x:c r="Y529" s="137" t="str"/>
      <x:c r="Z529" s="137" t="str"/>
      <x:c r="AA529" s="137" t="str"/>
      <x:c r="AB529" s="137" t="str"/>
      <x:c r="AC529" s="137" t="str"/>
      <x:c r="AD529" s="199" t="str"/>
    </x:row>
    <x:row r="530">
      <x:c r="A530" s="137" t="str"/>
      <x:c r="B530" s="138" t="str"/>
      <x:c r="C530" s="137" t="str"/>
      <x:c r="D530" s="137" t="str"/>
      <x:c r="E530" s="137" t="str"/>
      <x:c r="F530" s="137" t="str"/>
      <x:c r="G530" s="137" t="str"/>
      <x:c r="H530" s="137" t="str"/>
      <x:c r="I530" s="137" t="str"/>
      <x:c r="J530" s="137" t="str"/>
      <x:c r="K530" s="137" t="str"/>
      <x:c r="L530" s="160" t="str"/>
      <x:c r="M530" s="160" t="str"/>
      <x:c r="N530" s="151" t="str"/>
      <x:c r="O530" s="151" t="str"/>
      <x:c r="P530" s="151" t="str"/>
      <x:c r="Q530" s="151" t="str"/>
      <x:c r="R530" s="151" t="str"/>
      <x:c r="S530" s="151" t="str"/>
      <x:c r="T530" s="152" t="n">
        <x:f>IF(COUNTA(O530:S530)=0,"",MAX(0,IF(O530="",0,O530)+IF(P530="",0,P530)-IF(Q530="",0,Q530)-IF(R530="",0,R530)))</x:f>
        <x:v>0</x:v>
      </x:c>
      <x:c r="U530" s="152" t="str">
        <x:f>IF(OR(N530="",Q530=""),"",Q530-N530)</x:f>
      </x:c>
      <x:c r="V530" s="202" t="str">
        <x:f>IFERROR(Q530/N530,"")</x:f>
      </x:c>
      <x:c r="W530" s="137" t="str"/>
      <x:c r="X530" s="137" t="str"/>
      <x:c r="Y530" s="137" t="str"/>
      <x:c r="Z530" s="137" t="str"/>
      <x:c r="AA530" s="137" t="str"/>
      <x:c r="AB530" s="137" t="str"/>
      <x:c r="AC530" s="137" t="str"/>
      <x:c r="AD530" s="199" t="str"/>
    </x:row>
    <x:row r="531">
      <x:c r="A531" s="137" t="str"/>
      <x:c r="B531" s="138" t="str"/>
      <x:c r="C531" s="137" t="str"/>
      <x:c r="D531" s="137" t="str"/>
      <x:c r="E531" s="137" t="str"/>
      <x:c r="F531" s="137" t="str"/>
      <x:c r="G531" s="137" t="str"/>
      <x:c r="H531" s="137" t="str"/>
      <x:c r="I531" s="137" t="str"/>
      <x:c r="J531" s="137" t="str"/>
      <x:c r="K531" s="137" t="str"/>
      <x:c r="L531" s="160" t="str"/>
      <x:c r="M531" s="160" t="str"/>
      <x:c r="N531" s="151" t="str"/>
      <x:c r="O531" s="151" t="str"/>
      <x:c r="P531" s="151" t="str"/>
      <x:c r="Q531" s="151" t="str"/>
      <x:c r="R531" s="151" t="str"/>
      <x:c r="S531" s="151" t="str"/>
      <x:c r="T531" s="152" t="n">
        <x:f>IF(COUNTA(O531:S531)=0,"",MAX(0,IF(O531="",0,O531)+IF(P531="",0,P531)-IF(Q531="",0,Q531)-IF(R531="",0,R531)))</x:f>
        <x:v>0</x:v>
      </x:c>
      <x:c r="U531" s="152" t="str">
        <x:f>IF(OR(N531="",Q531=""),"",Q531-N531)</x:f>
      </x:c>
      <x:c r="V531" s="202" t="str">
        <x:f>IFERROR(Q531/N531,"")</x:f>
      </x:c>
      <x:c r="W531" s="137" t="str"/>
      <x:c r="X531" s="137" t="str"/>
      <x:c r="Y531" s="137" t="str"/>
      <x:c r="Z531" s="137" t="str"/>
      <x:c r="AA531" s="137" t="str"/>
      <x:c r="AB531" s="137" t="str"/>
      <x:c r="AC531" s="137" t="str"/>
      <x:c r="AD531" s="199" t="str"/>
    </x:row>
    <x:row r="532">
      <x:c r="A532" s="137" t="str"/>
      <x:c r="B532" s="138" t="str"/>
      <x:c r="C532" s="137" t="str"/>
      <x:c r="D532" s="137" t="str"/>
      <x:c r="E532" s="137" t="str"/>
      <x:c r="F532" s="137" t="str"/>
      <x:c r="G532" s="137" t="str"/>
      <x:c r="H532" s="137" t="str"/>
      <x:c r="I532" s="137" t="str"/>
      <x:c r="J532" s="137" t="str"/>
      <x:c r="K532" s="137" t="str"/>
      <x:c r="L532" s="160" t="str"/>
      <x:c r="M532" s="160" t="str"/>
      <x:c r="N532" s="151" t="str"/>
      <x:c r="O532" s="151" t="str"/>
      <x:c r="P532" s="151" t="str"/>
      <x:c r="Q532" s="151" t="str"/>
      <x:c r="R532" s="151" t="str"/>
      <x:c r="S532" s="151" t="str"/>
      <x:c r="T532" s="152" t="n">
        <x:f>IF(COUNTA(O532:S532)=0,"",MAX(0,IF(O532="",0,O532)+IF(P532="",0,P532)-IF(Q532="",0,Q532)-IF(R532="",0,R532)))</x:f>
        <x:v>0</x:v>
      </x:c>
      <x:c r="U532" s="152" t="str">
        <x:f>IF(OR(N532="",Q532=""),"",Q532-N532)</x:f>
      </x:c>
      <x:c r="V532" s="202" t="str">
        <x:f>IFERROR(Q532/N532,"")</x:f>
      </x:c>
      <x:c r="W532" s="137" t="str"/>
      <x:c r="X532" s="137" t="str"/>
      <x:c r="Y532" s="137" t="str"/>
      <x:c r="Z532" s="137" t="str"/>
      <x:c r="AA532" s="137" t="str"/>
      <x:c r="AB532" s="137" t="str"/>
      <x:c r="AC532" s="137" t="str"/>
      <x:c r="AD532" s="199" t="str"/>
    </x:row>
    <x:row r="533">
      <x:c r="A533" s="137" t="str"/>
      <x:c r="B533" s="138" t="str"/>
      <x:c r="C533" s="137" t="str"/>
      <x:c r="D533" s="137" t="str"/>
      <x:c r="E533" s="137" t="str"/>
      <x:c r="F533" s="137" t="str"/>
      <x:c r="G533" s="137" t="str"/>
      <x:c r="H533" s="137" t="str"/>
      <x:c r="I533" s="137" t="str"/>
      <x:c r="J533" s="137" t="str"/>
      <x:c r="K533" s="137" t="str"/>
      <x:c r="L533" s="160" t="str"/>
      <x:c r="M533" s="160" t="str"/>
      <x:c r="N533" s="151" t="str"/>
      <x:c r="O533" s="151" t="str"/>
      <x:c r="P533" s="151" t="str"/>
      <x:c r="Q533" s="151" t="str"/>
      <x:c r="R533" s="151" t="str"/>
      <x:c r="S533" s="151" t="str"/>
      <x:c r="T533" s="152" t="n">
        <x:f>IF(COUNTA(O533:S533)=0,"",MAX(0,IF(O533="",0,O533)+IF(P533="",0,P533)-IF(Q533="",0,Q533)-IF(R533="",0,R533)))</x:f>
        <x:v>0</x:v>
      </x:c>
      <x:c r="U533" s="152" t="str">
        <x:f>IF(OR(N533="",Q533=""),"",Q533-N533)</x:f>
      </x:c>
      <x:c r="V533" s="202" t="str">
        <x:f>IFERROR(Q533/N533,"")</x:f>
      </x:c>
      <x:c r="W533" s="137" t="str"/>
      <x:c r="X533" s="137" t="str"/>
      <x:c r="Y533" s="137" t="str"/>
      <x:c r="Z533" s="137" t="str"/>
      <x:c r="AA533" s="137" t="str"/>
      <x:c r="AB533" s="137" t="str"/>
      <x:c r="AC533" s="137" t="str"/>
      <x:c r="AD533" s="199" t="str"/>
    </x:row>
    <x:row r="534">
      <x:c r="A534" s="137" t="str"/>
      <x:c r="B534" s="138" t="str"/>
      <x:c r="C534" s="137" t="str"/>
      <x:c r="D534" s="137" t="str"/>
      <x:c r="E534" s="137" t="str"/>
      <x:c r="F534" s="137" t="str"/>
      <x:c r="G534" s="137" t="str"/>
      <x:c r="H534" s="137" t="str"/>
      <x:c r="I534" s="137" t="str"/>
      <x:c r="J534" s="137" t="str"/>
      <x:c r="K534" s="137" t="str"/>
      <x:c r="L534" s="160" t="str"/>
      <x:c r="M534" s="160" t="str"/>
      <x:c r="N534" s="151" t="str"/>
      <x:c r="O534" s="151" t="str"/>
      <x:c r="P534" s="151" t="str"/>
      <x:c r="Q534" s="151" t="str"/>
      <x:c r="R534" s="151" t="str"/>
      <x:c r="S534" s="151" t="str"/>
      <x:c r="T534" s="152" t="n">
        <x:f>IF(COUNTA(O534:S534)=0,"",MAX(0,IF(O534="",0,O534)+IF(P534="",0,P534)-IF(Q534="",0,Q534)-IF(R534="",0,R534)))</x:f>
        <x:v>0</x:v>
      </x:c>
      <x:c r="U534" s="152" t="str">
        <x:f>IF(OR(N534="",Q534=""),"",Q534-N534)</x:f>
      </x:c>
      <x:c r="V534" s="202" t="str">
        <x:f>IFERROR(Q534/N534,"")</x:f>
      </x:c>
      <x:c r="W534" s="137" t="str"/>
      <x:c r="X534" s="137" t="str"/>
      <x:c r="Y534" s="137" t="str"/>
      <x:c r="Z534" s="137" t="str"/>
      <x:c r="AA534" s="137" t="str"/>
      <x:c r="AB534" s="137" t="str"/>
      <x:c r="AC534" s="137" t="str"/>
      <x:c r="AD534" s="199" t="str"/>
    </x:row>
    <x:row r="535">
      <x:c r="A535" s="137" t="str"/>
      <x:c r="B535" s="138" t="str"/>
      <x:c r="C535" s="137" t="str"/>
      <x:c r="D535" s="137" t="str"/>
      <x:c r="E535" s="137" t="str"/>
      <x:c r="F535" s="137" t="str"/>
      <x:c r="G535" s="137" t="str"/>
      <x:c r="H535" s="137" t="str"/>
      <x:c r="I535" s="137" t="str"/>
      <x:c r="J535" s="137" t="str"/>
      <x:c r="K535" s="137" t="str"/>
      <x:c r="L535" s="160" t="str"/>
      <x:c r="M535" s="160" t="str"/>
      <x:c r="N535" s="151" t="str"/>
      <x:c r="O535" s="151" t="str"/>
      <x:c r="P535" s="151" t="str"/>
      <x:c r="Q535" s="151" t="str"/>
      <x:c r="R535" s="151" t="str"/>
      <x:c r="S535" s="151" t="str"/>
      <x:c r="T535" s="152" t="n">
        <x:f>IF(COUNTA(O535:S535)=0,"",MAX(0,IF(O535="",0,O535)+IF(P535="",0,P535)-IF(Q535="",0,Q535)-IF(R535="",0,R535)))</x:f>
        <x:v>0</x:v>
      </x:c>
      <x:c r="U535" s="152" t="str">
        <x:f>IF(OR(N535="",Q535=""),"",Q535-N535)</x:f>
      </x:c>
      <x:c r="V535" s="202" t="str">
        <x:f>IFERROR(Q535/N535,"")</x:f>
      </x:c>
      <x:c r="W535" s="137" t="str"/>
      <x:c r="X535" s="137" t="str"/>
      <x:c r="Y535" s="137" t="str"/>
      <x:c r="Z535" s="137" t="str"/>
      <x:c r="AA535" s="137" t="str"/>
      <x:c r="AB535" s="137" t="str"/>
      <x:c r="AC535" s="137" t="str"/>
      <x:c r="AD535" s="199" t="str"/>
    </x:row>
    <x:row r="536">
      <x:c r="A536" s="137" t="str"/>
      <x:c r="B536" s="138" t="str"/>
      <x:c r="C536" s="137" t="str"/>
      <x:c r="D536" s="137" t="str"/>
      <x:c r="E536" s="137" t="str"/>
      <x:c r="F536" s="137" t="str"/>
      <x:c r="G536" s="137" t="str"/>
      <x:c r="H536" s="137" t="str"/>
      <x:c r="I536" s="137" t="str"/>
      <x:c r="J536" s="137" t="str"/>
      <x:c r="K536" s="137" t="str"/>
      <x:c r="L536" s="160" t="str"/>
      <x:c r="M536" s="160" t="str"/>
      <x:c r="N536" s="151" t="str"/>
      <x:c r="O536" s="151" t="str"/>
      <x:c r="P536" s="151" t="str"/>
      <x:c r="Q536" s="151" t="str"/>
      <x:c r="R536" s="151" t="str"/>
      <x:c r="S536" s="151" t="str"/>
      <x:c r="T536" s="152" t="n">
        <x:f>IF(COUNTA(O536:S536)=0,"",MAX(0,IF(O536="",0,O536)+IF(P536="",0,P536)-IF(Q536="",0,Q536)-IF(R536="",0,R536)))</x:f>
        <x:v>0</x:v>
      </x:c>
      <x:c r="U536" s="152" t="str">
        <x:f>IF(OR(N536="",Q536=""),"",Q536-N536)</x:f>
      </x:c>
      <x:c r="V536" s="202" t="str">
        <x:f>IFERROR(Q536/N536,"")</x:f>
      </x:c>
      <x:c r="W536" s="137" t="str"/>
      <x:c r="X536" s="137" t="str"/>
      <x:c r="Y536" s="137" t="str"/>
      <x:c r="Z536" s="137" t="str"/>
      <x:c r="AA536" s="137" t="str"/>
      <x:c r="AB536" s="137" t="str"/>
      <x:c r="AC536" s="137" t="str"/>
      <x:c r="AD536" s="199" t="str"/>
    </x:row>
    <x:row r="537">
      <x:c r="A537" s="137" t="str"/>
      <x:c r="B537" s="138" t="str"/>
      <x:c r="C537" s="137" t="str"/>
      <x:c r="D537" s="137" t="str"/>
      <x:c r="E537" s="137" t="str"/>
      <x:c r="F537" s="137" t="str"/>
      <x:c r="G537" s="137" t="str"/>
      <x:c r="H537" s="137" t="str"/>
      <x:c r="I537" s="137" t="str"/>
      <x:c r="J537" s="137" t="str"/>
      <x:c r="K537" s="137" t="str"/>
      <x:c r="L537" s="160" t="str"/>
      <x:c r="M537" s="160" t="str"/>
      <x:c r="N537" s="151" t="str"/>
      <x:c r="O537" s="151" t="str"/>
      <x:c r="P537" s="151" t="str"/>
      <x:c r="Q537" s="151" t="str"/>
      <x:c r="R537" s="151" t="str"/>
      <x:c r="S537" s="151" t="str"/>
      <x:c r="T537" s="152" t="n">
        <x:f>IF(COUNTA(O537:S537)=0,"",MAX(0,IF(O537="",0,O537)+IF(P537="",0,P537)-IF(Q537="",0,Q537)-IF(R537="",0,R537)))</x:f>
        <x:v>0</x:v>
      </x:c>
      <x:c r="U537" s="152" t="str">
        <x:f>IF(OR(N537="",Q537=""),"",Q537-N537)</x:f>
      </x:c>
      <x:c r="V537" s="202" t="str">
        <x:f>IFERROR(Q537/N537,"")</x:f>
      </x:c>
      <x:c r="W537" s="137" t="str"/>
      <x:c r="X537" s="137" t="str"/>
      <x:c r="Y537" s="137" t="str"/>
      <x:c r="Z537" s="137" t="str"/>
      <x:c r="AA537" s="137" t="str"/>
      <x:c r="AB537" s="137" t="str"/>
      <x:c r="AC537" s="137" t="str"/>
      <x:c r="AD537" s="199" t="str"/>
    </x:row>
    <x:row r="538">
      <x:c r="A538" s="137" t="str"/>
      <x:c r="B538" s="138" t="str"/>
      <x:c r="C538" s="137" t="str"/>
      <x:c r="D538" s="137" t="str"/>
      <x:c r="E538" s="137" t="str"/>
      <x:c r="F538" s="137" t="str"/>
      <x:c r="G538" s="137" t="str"/>
      <x:c r="H538" s="137" t="str"/>
      <x:c r="I538" s="137" t="str"/>
      <x:c r="J538" s="137" t="str"/>
      <x:c r="K538" s="137" t="str"/>
      <x:c r="L538" s="160" t="str"/>
      <x:c r="M538" s="160" t="str"/>
      <x:c r="N538" s="151" t="str"/>
      <x:c r="O538" s="151" t="str"/>
      <x:c r="P538" s="151" t="str"/>
      <x:c r="Q538" s="151" t="str"/>
      <x:c r="R538" s="151" t="str"/>
      <x:c r="S538" s="151" t="str"/>
      <x:c r="T538" s="152" t="n">
        <x:f>IF(COUNTA(O538:S538)=0,"",MAX(0,IF(O538="",0,O538)+IF(P538="",0,P538)-IF(Q538="",0,Q538)-IF(R538="",0,R538)))</x:f>
        <x:v>0</x:v>
      </x:c>
      <x:c r="U538" s="152" t="str">
        <x:f>IF(OR(N538="",Q538=""),"",Q538-N538)</x:f>
      </x:c>
      <x:c r="V538" s="202" t="str">
        <x:f>IFERROR(Q538/N538,"")</x:f>
      </x:c>
      <x:c r="W538" s="137" t="str"/>
      <x:c r="X538" s="137" t="str"/>
      <x:c r="Y538" s="137" t="str"/>
      <x:c r="Z538" s="137" t="str"/>
      <x:c r="AA538" s="137" t="str"/>
      <x:c r="AB538" s="137" t="str"/>
      <x:c r="AC538" s="137" t="str"/>
      <x:c r="AD538" s="199" t="str"/>
    </x:row>
    <x:row r="539">
      <x:c r="A539" s="137" t="str"/>
      <x:c r="B539" s="138" t="str"/>
      <x:c r="C539" s="137" t="str"/>
      <x:c r="D539" s="137" t="str"/>
      <x:c r="E539" s="137" t="str"/>
      <x:c r="F539" s="137" t="str"/>
      <x:c r="G539" s="137" t="str"/>
      <x:c r="H539" s="137" t="str"/>
      <x:c r="I539" s="137" t="str"/>
      <x:c r="J539" s="137" t="str"/>
      <x:c r="K539" s="137" t="str"/>
      <x:c r="L539" s="160" t="str"/>
      <x:c r="M539" s="160" t="str"/>
      <x:c r="N539" s="151" t="str"/>
      <x:c r="O539" s="151" t="str"/>
      <x:c r="P539" s="151" t="str"/>
      <x:c r="Q539" s="151" t="str"/>
      <x:c r="R539" s="151" t="str"/>
      <x:c r="S539" s="151" t="str"/>
      <x:c r="T539" s="152" t="n">
        <x:f>IF(COUNTA(O539:S539)=0,"",MAX(0,IF(O539="",0,O539)+IF(P539="",0,P539)-IF(Q539="",0,Q539)-IF(R539="",0,R539)))</x:f>
        <x:v>0</x:v>
      </x:c>
      <x:c r="U539" s="152" t="str">
        <x:f>IF(OR(N539="",Q539=""),"",Q539-N539)</x:f>
      </x:c>
      <x:c r="V539" s="202" t="str">
        <x:f>IFERROR(Q539/N539,"")</x:f>
      </x:c>
      <x:c r="W539" s="137" t="str"/>
      <x:c r="X539" s="137" t="str"/>
      <x:c r="Y539" s="137" t="str"/>
      <x:c r="Z539" s="137" t="str"/>
      <x:c r="AA539" s="137" t="str"/>
      <x:c r="AB539" s="137" t="str"/>
      <x:c r="AC539" s="137" t="str"/>
      <x:c r="AD539" s="199" t="str"/>
    </x:row>
    <x:row r="540">
      <x:c r="A540" s="137" t="str"/>
      <x:c r="B540" s="138" t="str"/>
      <x:c r="C540" s="137" t="str"/>
      <x:c r="D540" s="137" t="str"/>
      <x:c r="E540" s="137" t="str"/>
      <x:c r="F540" s="137" t="str"/>
      <x:c r="G540" s="137" t="str"/>
      <x:c r="H540" s="137" t="str"/>
      <x:c r="I540" s="137" t="str"/>
      <x:c r="J540" s="137" t="str"/>
      <x:c r="K540" s="137" t="str"/>
      <x:c r="L540" s="160" t="str"/>
      <x:c r="M540" s="160" t="str"/>
      <x:c r="N540" s="151" t="str"/>
      <x:c r="O540" s="151" t="str"/>
      <x:c r="P540" s="151" t="str"/>
      <x:c r="Q540" s="151" t="str"/>
      <x:c r="R540" s="151" t="str"/>
      <x:c r="S540" s="151" t="str"/>
      <x:c r="T540" s="152" t="n">
        <x:f>IF(COUNTA(O540:S540)=0,"",MAX(0,IF(O540="",0,O540)+IF(P540="",0,P540)-IF(Q540="",0,Q540)-IF(R540="",0,R540)))</x:f>
        <x:v>0</x:v>
      </x:c>
      <x:c r="U540" s="152" t="str">
        <x:f>IF(OR(N540="",Q540=""),"",Q540-N540)</x:f>
      </x:c>
      <x:c r="V540" s="202" t="str">
        <x:f>IFERROR(Q540/N540,"")</x:f>
      </x:c>
      <x:c r="W540" s="137" t="str"/>
      <x:c r="X540" s="137" t="str"/>
      <x:c r="Y540" s="137" t="str"/>
      <x:c r="Z540" s="137" t="str"/>
      <x:c r="AA540" s="137" t="str"/>
      <x:c r="AB540" s="137" t="str"/>
      <x:c r="AC540" s="137" t="str"/>
      <x:c r="AD540" s="199" t="str"/>
    </x:row>
    <x:row r="541">
      <x:c r="A541" s="137" t="str"/>
      <x:c r="B541" s="138" t="str"/>
      <x:c r="C541" s="137" t="str"/>
      <x:c r="D541" s="137" t="str"/>
      <x:c r="E541" s="137" t="str"/>
      <x:c r="F541" s="137" t="str"/>
      <x:c r="G541" s="137" t="str"/>
      <x:c r="H541" s="137" t="str"/>
      <x:c r="I541" s="137" t="str"/>
      <x:c r="J541" s="137" t="str"/>
      <x:c r="K541" s="137" t="str"/>
      <x:c r="L541" s="160" t="str"/>
      <x:c r="M541" s="160" t="str"/>
      <x:c r="N541" s="151" t="str"/>
      <x:c r="O541" s="151" t="str"/>
      <x:c r="P541" s="151" t="str"/>
      <x:c r="Q541" s="151" t="str"/>
      <x:c r="R541" s="151" t="str"/>
      <x:c r="S541" s="151" t="str"/>
      <x:c r="T541" s="152" t="n">
        <x:f>IF(COUNTA(O541:S541)=0,"",MAX(0,IF(O541="",0,O541)+IF(P541="",0,P541)-IF(Q541="",0,Q541)-IF(R541="",0,R541)))</x:f>
        <x:v>0</x:v>
      </x:c>
      <x:c r="U541" s="152" t="str">
        <x:f>IF(OR(N541="",Q541=""),"",Q541-N541)</x:f>
      </x:c>
      <x:c r="V541" s="202" t="str">
        <x:f>IFERROR(Q541/N541,"")</x:f>
      </x:c>
      <x:c r="W541" s="137" t="str"/>
      <x:c r="X541" s="137" t="str"/>
      <x:c r="Y541" s="137" t="str"/>
      <x:c r="Z541" s="137" t="str"/>
      <x:c r="AA541" s="137" t="str"/>
      <x:c r="AB541" s="137" t="str"/>
      <x:c r="AC541" s="137" t="str"/>
      <x:c r="AD541" s="199" t="str"/>
    </x:row>
    <x:row r="542">
      <x:c r="A542" s="137" t="str"/>
      <x:c r="B542" s="138" t="str"/>
      <x:c r="C542" s="137" t="str"/>
      <x:c r="D542" s="137" t="str"/>
      <x:c r="E542" s="137" t="str"/>
      <x:c r="F542" s="137" t="str"/>
      <x:c r="G542" s="137" t="str"/>
      <x:c r="H542" s="137" t="str"/>
      <x:c r="I542" s="137" t="str"/>
      <x:c r="J542" s="137" t="str"/>
      <x:c r="K542" s="137" t="str"/>
      <x:c r="L542" s="160" t="str"/>
      <x:c r="M542" s="160" t="str"/>
      <x:c r="N542" s="151" t="str"/>
      <x:c r="O542" s="151" t="str"/>
      <x:c r="P542" s="151" t="str"/>
      <x:c r="Q542" s="151" t="str"/>
      <x:c r="R542" s="151" t="str"/>
      <x:c r="S542" s="151" t="str"/>
      <x:c r="T542" s="152" t="n">
        <x:f>IF(COUNTA(O542:S542)=0,"",MAX(0,IF(O542="",0,O542)+IF(P542="",0,P542)-IF(Q542="",0,Q542)-IF(R542="",0,R542)))</x:f>
        <x:v>0</x:v>
      </x:c>
      <x:c r="U542" s="152" t="str">
        <x:f>IF(OR(N542="",Q542=""),"",Q542-N542)</x:f>
      </x:c>
      <x:c r="V542" s="202" t="str">
        <x:f>IFERROR(Q542/N542,"")</x:f>
      </x:c>
      <x:c r="W542" s="137" t="str"/>
      <x:c r="X542" s="137" t="str"/>
      <x:c r="Y542" s="137" t="str"/>
      <x:c r="Z542" s="137" t="str"/>
      <x:c r="AA542" s="137" t="str"/>
      <x:c r="AB542" s="137" t="str"/>
      <x:c r="AC542" s="137" t="str"/>
      <x:c r="AD542" s="199" t="str"/>
    </x:row>
    <x:row r="543">
      <x:c r="A543" s="137" t="str"/>
      <x:c r="B543" s="138" t="str"/>
      <x:c r="C543" s="137" t="str"/>
      <x:c r="D543" s="137" t="str"/>
      <x:c r="E543" s="137" t="str"/>
      <x:c r="F543" s="137" t="str"/>
      <x:c r="G543" s="137" t="str"/>
      <x:c r="H543" s="137" t="str"/>
      <x:c r="I543" s="137" t="str"/>
      <x:c r="J543" s="137" t="str"/>
      <x:c r="K543" s="137" t="str"/>
      <x:c r="L543" s="160" t="str"/>
      <x:c r="M543" s="160" t="str"/>
      <x:c r="N543" s="151" t="str"/>
      <x:c r="O543" s="151" t="str"/>
      <x:c r="P543" s="151" t="str"/>
      <x:c r="Q543" s="151" t="str"/>
      <x:c r="R543" s="151" t="str"/>
      <x:c r="S543" s="151" t="str"/>
      <x:c r="T543" s="152" t="n">
        <x:f>IF(COUNTA(O543:S543)=0,"",MAX(0,IF(O543="",0,O543)+IF(P543="",0,P543)-IF(Q543="",0,Q543)-IF(R543="",0,R543)))</x:f>
        <x:v>0</x:v>
      </x:c>
      <x:c r="U543" s="152" t="str">
        <x:f>IF(OR(N543="",Q543=""),"",Q543-N543)</x:f>
      </x:c>
      <x:c r="V543" s="202" t="str">
        <x:f>IFERROR(Q543/N543,"")</x:f>
      </x:c>
      <x:c r="W543" s="137" t="str"/>
      <x:c r="X543" s="137" t="str"/>
      <x:c r="Y543" s="137" t="str"/>
      <x:c r="Z543" s="137" t="str"/>
      <x:c r="AA543" s="137" t="str"/>
      <x:c r="AB543" s="137" t="str"/>
      <x:c r="AC543" s="137" t="str"/>
      <x:c r="AD543" s="199" t="str"/>
    </x:row>
    <x:row r="544">
      <x:c r="A544" s="137" t="str"/>
      <x:c r="B544" s="138" t="str"/>
      <x:c r="C544" s="137" t="str"/>
      <x:c r="D544" s="137" t="str"/>
      <x:c r="E544" s="137" t="str"/>
      <x:c r="F544" s="137" t="str"/>
      <x:c r="G544" s="137" t="str"/>
      <x:c r="H544" s="137" t="str"/>
      <x:c r="I544" s="137" t="str"/>
      <x:c r="J544" s="137" t="str"/>
      <x:c r="K544" s="137" t="str"/>
      <x:c r="L544" s="160" t="str"/>
      <x:c r="M544" s="160" t="str"/>
      <x:c r="N544" s="151" t="str"/>
      <x:c r="O544" s="151" t="str"/>
      <x:c r="P544" s="151" t="str"/>
      <x:c r="Q544" s="151" t="str"/>
      <x:c r="R544" s="151" t="str"/>
      <x:c r="S544" s="151" t="str"/>
      <x:c r="T544" s="152" t="n">
        <x:f>IF(COUNTA(O544:S544)=0,"",MAX(0,IF(O544="",0,O544)+IF(P544="",0,P544)-IF(Q544="",0,Q544)-IF(R544="",0,R544)))</x:f>
        <x:v>0</x:v>
      </x:c>
      <x:c r="U544" s="152" t="str">
        <x:f>IF(OR(N544="",Q544=""),"",Q544-N544)</x:f>
      </x:c>
      <x:c r="V544" s="202" t="str">
        <x:f>IFERROR(Q544/N544,"")</x:f>
      </x:c>
      <x:c r="W544" s="137" t="str"/>
      <x:c r="X544" s="137" t="str"/>
      <x:c r="Y544" s="137" t="str"/>
      <x:c r="Z544" s="137" t="str"/>
      <x:c r="AA544" s="137" t="str"/>
      <x:c r="AB544" s="137" t="str"/>
      <x:c r="AC544" s="137" t="str"/>
      <x:c r="AD544" s="199" t="str"/>
    </x:row>
    <x:row r="545">
      <x:c r="A545" s="137" t="str"/>
      <x:c r="B545" s="138" t="str"/>
      <x:c r="C545" s="137" t="str"/>
      <x:c r="D545" s="137" t="str"/>
      <x:c r="E545" s="137" t="str"/>
      <x:c r="F545" s="137" t="str"/>
      <x:c r="G545" s="137" t="str"/>
      <x:c r="H545" s="137" t="str"/>
      <x:c r="I545" s="137" t="str"/>
      <x:c r="J545" s="137" t="str"/>
      <x:c r="K545" s="137" t="str"/>
      <x:c r="L545" s="160" t="str"/>
      <x:c r="M545" s="160" t="str"/>
      <x:c r="N545" s="151" t="str"/>
      <x:c r="O545" s="151" t="str"/>
      <x:c r="P545" s="151" t="str"/>
      <x:c r="Q545" s="151" t="str"/>
      <x:c r="R545" s="151" t="str"/>
      <x:c r="S545" s="151" t="str"/>
      <x:c r="T545" s="152" t="n">
        <x:f>IF(COUNTA(O545:S545)=0,"",MAX(0,IF(O545="",0,O545)+IF(P545="",0,P545)-IF(Q545="",0,Q545)-IF(R545="",0,R545)))</x:f>
        <x:v>0</x:v>
      </x:c>
      <x:c r="U545" s="152" t="str">
        <x:f>IF(OR(N545="",Q545=""),"",Q545-N545)</x:f>
      </x:c>
      <x:c r="V545" s="202" t="str">
        <x:f>IFERROR(Q545/N545,"")</x:f>
      </x:c>
      <x:c r="W545" s="137" t="str"/>
      <x:c r="X545" s="137" t="str"/>
      <x:c r="Y545" s="137" t="str"/>
      <x:c r="Z545" s="137" t="str"/>
      <x:c r="AA545" s="137" t="str"/>
      <x:c r="AB545" s="137" t="str"/>
      <x:c r="AC545" s="137" t="str"/>
      <x:c r="AD545" s="199" t="str"/>
    </x:row>
    <x:row r="546">
      <x:c r="A546" s="137" t="str"/>
      <x:c r="B546" s="138" t="str"/>
      <x:c r="C546" s="137" t="str"/>
      <x:c r="D546" s="137" t="str"/>
      <x:c r="E546" s="137" t="str"/>
      <x:c r="F546" s="137" t="str"/>
      <x:c r="G546" s="137" t="str"/>
      <x:c r="H546" s="137" t="str"/>
      <x:c r="I546" s="137" t="str"/>
      <x:c r="J546" s="137" t="str"/>
      <x:c r="K546" s="137" t="str"/>
      <x:c r="L546" s="160" t="str"/>
      <x:c r="M546" s="160" t="str"/>
      <x:c r="N546" s="151" t="str"/>
      <x:c r="O546" s="151" t="str"/>
      <x:c r="P546" s="151" t="str"/>
      <x:c r="Q546" s="151" t="str"/>
      <x:c r="R546" s="151" t="str"/>
      <x:c r="S546" s="151" t="str"/>
      <x:c r="T546" s="152" t="n">
        <x:f>IF(COUNTA(O546:S546)=0,"",MAX(0,IF(O546="",0,O546)+IF(P546="",0,P546)-IF(Q546="",0,Q546)-IF(R546="",0,R546)))</x:f>
        <x:v>0</x:v>
      </x:c>
      <x:c r="U546" s="152" t="str">
        <x:f>IF(OR(N546="",Q546=""),"",Q546-N546)</x:f>
      </x:c>
      <x:c r="V546" s="202" t="str">
        <x:f>IFERROR(Q546/N546,"")</x:f>
      </x:c>
      <x:c r="W546" s="137" t="str"/>
      <x:c r="X546" s="137" t="str"/>
      <x:c r="Y546" s="137" t="str"/>
      <x:c r="Z546" s="137" t="str"/>
      <x:c r="AA546" s="137" t="str"/>
      <x:c r="AB546" s="137" t="str"/>
      <x:c r="AC546" s="137" t="str"/>
      <x:c r="AD546" s="199" t="str"/>
    </x:row>
    <x:row r="547">
      <x:c r="A547" s="137" t="str"/>
      <x:c r="B547" s="138" t="str"/>
      <x:c r="C547" s="137" t="str"/>
      <x:c r="D547" s="137" t="str"/>
      <x:c r="E547" s="137" t="str"/>
      <x:c r="F547" s="137" t="str"/>
      <x:c r="G547" s="137" t="str"/>
      <x:c r="H547" s="137" t="str"/>
      <x:c r="I547" s="137" t="str"/>
      <x:c r="J547" s="137" t="str"/>
      <x:c r="K547" s="137" t="str"/>
      <x:c r="L547" s="160" t="str"/>
      <x:c r="M547" s="160" t="str"/>
      <x:c r="N547" s="151" t="str"/>
      <x:c r="O547" s="151" t="str"/>
      <x:c r="P547" s="151" t="str"/>
      <x:c r="Q547" s="151" t="str"/>
      <x:c r="R547" s="151" t="str"/>
      <x:c r="S547" s="151" t="str"/>
      <x:c r="T547" s="152" t="n">
        <x:f>IF(COUNTA(O547:S547)=0,"",MAX(0,IF(O547="",0,O547)+IF(P547="",0,P547)-IF(Q547="",0,Q547)-IF(R547="",0,R547)))</x:f>
        <x:v>0</x:v>
      </x:c>
      <x:c r="U547" s="152" t="str">
        <x:f>IF(OR(N547="",Q547=""),"",Q547-N547)</x:f>
      </x:c>
      <x:c r="V547" s="202" t="str">
        <x:f>IFERROR(Q547/N547,"")</x:f>
      </x:c>
      <x:c r="W547" s="137" t="str"/>
      <x:c r="X547" s="137" t="str"/>
      <x:c r="Y547" s="137" t="str"/>
      <x:c r="Z547" s="137" t="str"/>
      <x:c r="AA547" s="137" t="str"/>
      <x:c r="AB547" s="137" t="str"/>
      <x:c r="AC547" s="137" t="str"/>
      <x:c r="AD547" s="199" t="str"/>
    </x:row>
    <x:row r="548">
      <x:c r="A548" s="137" t="str"/>
      <x:c r="B548" s="138" t="str"/>
      <x:c r="C548" s="137" t="str"/>
      <x:c r="D548" s="137" t="str"/>
      <x:c r="E548" s="137" t="str"/>
      <x:c r="F548" s="137" t="str"/>
      <x:c r="G548" s="137" t="str"/>
      <x:c r="H548" s="137" t="str"/>
      <x:c r="I548" s="137" t="str"/>
      <x:c r="J548" s="137" t="str"/>
      <x:c r="K548" s="137" t="str"/>
      <x:c r="L548" s="160" t="str"/>
      <x:c r="M548" s="160" t="str"/>
      <x:c r="N548" s="151" t="str"/>
      <x:c r="O548" s="151" t="str"/>
      <x:c r="P548" s="151" t="str"/>
      <x:c r="Q548" s="151" t="str"/>
      <x:c r="R548" s="151" t="str"/>
      <x:c r="S548" s="151" t="str"/>
      <x:c r="T548" s="152" t="n">
        <x:f>IF(COUNTA(O548:S548)=0,"",MAX(0,IF(O548="",0,O548)+IF(P548="",0,P548)-IF(Q548="",0,Q548)-IF(R548="",0,R548)))</x:f>
        <x:v>0</x:v>
      </x:c>
      <x:c r="U548" s="152" t="str">
        <x:f>IF(OR(N548="",Q548=""),"",Q548-N548)</x:f>
      </x:c>
      <x:c r="V548" s="202" t="str">
        <x:f>IFERROR(Q548/N548,"")</x:f>
      </x:c>
      <x:c r="W548" s="137" t="str"/>
      <x:c r="X548" s="137" t="str"/>
      <x:c r="Y548" s="137" t="str"/>
      <x:c r="Z548" s="137" t="str"/>
      <x:c r="AA548" s="137" t="str"/>
      <x:c r="AB548" s="137" t="str"/>
      <x:c r="AC548" s="137" t="str"/>
      <x:c r="AD548" s="199" t="str"/>
    </x:row>
    <x:row r="549">
      <x:c r="A549" s="137" t="str"/>
      <x:c r="B549" s="138" t="str"/>
      <x:c r="C549" s="137" t="str"/>
      <x:c r="D549" s="137" t="str"/>
      <x:c r="E549" s="137" t="str"/>
      <x:c r="F549" s="137" t="str"/>
      <x:c r="G549" s="137" t="str"/>
      <x:c r="H549" s="137" t="str"/>
      <x:c r="I549" s="137" t="str"/>
      <x:c r="J549" s="137" t="str"/>
      <x:c r="K549" s="137" t="str"/>
      <x:c r="L549" s="160" t="str"/>
      <x:c r="M549" s="160" t="str"/>
      <x:c r="N549" s="151" t="str"/>
      <x:c r="O549" s="151" t="str"/>
      <x:c r="P549" s="151" t="str"/>
      <x:c r="Q549" s="151" t="str"/>
      <x:c r="R549" s="151" t="str"/>
      <x:c r="S549" s="151" t="str"/>
      <x:c r="T549" s="152" t="n">
        <x:f>IF(COUNTA(O549:S549)=0,"",MAX(0,IF(O549="",0,O549)+IF(P549="",0,P549)-IF(Q549="",0,Q549)-IF(R549="",0,R549)))</x:f>
        <x:v>0</x:v>
      </x:c>
      <x:c r="U549" s="152" t="str">
        <x:f>IF(OR(N549="",Q549=""),"",Q549-N549)</x:f>
      </x:c>
      <x:c r="V549" s="202" t="str">
        <x:f>IFERROR(Q549/N549,"")</x:f>
      </x:c>
      <x:c r="W549" s="137" t="str"/>
      <x:c r="X549" s="137" t="str"/>
      <x:c r="Y549" s="137" t="str"/>
      <x:c r="Z549" s="137" t="str"/>
      <x:c r="AA549" s="137" t="str"/>
      <x:c r="AB549" s="137" t="str"/>
      <x:c r="AC549" s="137" t="str"/>
      <x:c r="AD549" s="199" t="str"/>
    </x:row>
    <x:row r="550">
      <x:c r="A550" s="137" t="str"/>
      <x:c r="B550" s="138" t="str"/>
      <x:c r="C550" s="137" t="str"/>
      <x:c r="D550" s="137" t="str"/>
      <x:c r="E550" s="137" t="str"/>
      <x:c r="F550" s="137" t="str"/>
      <x:c r="G550" s="137" t="str"/>
      <x:c r="H550" s="137" t="str"/>
      <x:c r="I550" s="137" t="str"/>
      <x:c r="J550" s="137" t="str"/>
      <x:c r="K550" s="137" t="str"/>
      <x:c r="L550" s="160" t="str"/>
      <x:c r="M550" s="160" t="str"/>
      <x:c r="N550" s="151" t="str"/>
      <x:c r="O550" s="151" t="str"/>
      <x:c r="P550" s="151" t="str"/>
      <x:c r="Q550" s="151" t="str"/>
      <x:c r="R550" s="151" t="str"/>
      <x:c r="S550" s="151" t="str"/>
      <x:c r="T550" s="152" t="n">
        <x:f>IF(COUNTA(O550:S550)=0,"",MAX(0,IF(O550="",0,O550)+IF(P550="",0,P550)-IF(Q550="",0,Q550)-IF(R550="",0,R550)))</x:f>
        <x:v>0</x:v>
      </x:c>
      <x:c r="U550" s="152" t="str">
        <x:f>IF(OR(N550="",Q550=""),"",Q550-N550)</x:f>
      </x:c>
      <x:c r="V550" s="202" t="str">
        <x:f>IFERROR(Q550/N550,"")</x:f>
      </x:c>
      <x:c r="W550" s="137" t="str"/>
      <x:c r="X550" s="137" t="str"/>
      <x:c r="Y550" s="137" t="str"/>
      <x:c r="Z550" s="137" t="str"/>
      <x:c r="AA550" s="137" t="str"/>
      <x:c r="AB550" s="137" t="str"/>
      <x:c r="AC550" s="137" t="str"/>
      <x:c r="AD550" s="199" t="str"/>
    </x:row>
    <x:row r="551">
      <x:c r="A551" s="137" t="str"/>
      <x:c r="B551" s="138" t="str"/>
      <x:c r="C551" s="137" t="str"/>
      <x:c r="D551" s="137" t="str"/>
      <x:c r="E551" s="137" t="str"/>
      <x:c r="F551" s="137" t="str"/>
      <x:c r="G551" s="137" t="str"/>
      <x:c r="H551" s="137" t="str"/>
      <x:c r="I551" s="137" t="str"/>
      <x:c r="J551" s="137" t="str"/>
      <x:c r="K551" s="137" t="str"/>
      <x:c r="L551" s="160" t="str"/>
      <x:c r="M551" s="160" t="str"/>
      <x:c r="N551" s="151" t="str"/>
      <x:c r="O551" s="151" t="str"/>
      <x:c r="P551" s="151" t="str"/>
      <x:c r="Q551" s="151" t="str"/>
      <x:c r="R551" s="151" t="str"/>
      <x:c r="S551" s="151" t="str"/>
      <x:c r="T551" s="152" t="n">
        <x:f>IF(COUNTA(O551:S551)=0,"",MAX(0,IF(O551="",0,O551)+IF(P551="",0,P551)-IF(Q551="",0,Q551)-IF(R551="",0,R551)))</x:f>
        <x:v>0</x:v>
      </x:c>
      <x:c r="U551" s="152" t="str">
        <x:f>IF(OR(N551="",Q551=""),"",Q551-N551)</x:f>
      </x:c>
      <x:c r="V551" s="202" t="str">
        <x:f>IFERROR(Q551/N551,"")</x:f>
      </x:c>
      <x:c r="W551" s="137" t="str"/>
      <x:c r="X551" s="137" t="str"/>
      <x:c r="Y551" s="137" t="str"/>
      <x:c r="Z551" s="137" t="str"/>
      <x:c r="AA551" s="137" t="str"/>
      <x:c r="AB551" s="137" t="str"/>
      <x:c r="AC551" s="137" t="str"/>
      <x:c r="AD551" s="199" t="str"/>
    </x:row>
    <x:row r="552">
      <x:c r="A552" s="137" t="str"/>
      <x:c r="B552" s="138" t="str"/>
      <x:c r="C552" s="137" t="str"/>
      <x:c r="D552" s="137" t="str"/>
      <x:c r="E552" s="137" t="str"/>
      <x:c r="F552" s="137" t="str"/>
      <x:c r="G552" s="137" t="str"/>
      <x:c r="H552" s="137" t="str"/>
      <x:c r="I552" s="137" t="str"/>
      <x:c r="J552" s="137" t="str"/>
      <x:c r="K552" s="137" t="str"/>
      <x:c r="L552" s="160" t="str"/>
      <x:c r="M552" s="160" t="str"/>
      <x:c r="N552" s="151" t="str"/>
      <x:c r="O552" s="151" t="str"/>
      <x:c r="P552" s="151" t="str"/>
      <x:c r="Q552" s="151" t="str"/>
      <x:c r="R552" s="151" t="str"/>
      <x:c r="S552" s="151" t="str"/>
      <x:c r="T552" s="152" t="n">
        <x:f>IF(COUNTA(O552:S552)=0,"",MAX(0,IF(O552="",0,O552)+IF(P552="",0,P552)-IF(Q552="",0,Q552)-IF(R552="",0,R552)))</x:f>
        <x:v>0</x:v>
      </x:c>
      <x:c r="U552" s="152" t="str">
        <x:f>IF(OR(N552="",Q552=""),"",Q552-N552)</x:f>
      </x:c>
      <x:c r="V552" s="202" t="str">
        <x:f>IFERROR(Q552/N552,"")</x:f>
      </x:c>
      <x:c r="W552" s="137" t="str"/>
      <x:c r="X552" s="137" t="str"/>
      <x:c r="Y552" s="137" t="str"/>
      <x:c r="Z552" s="137" t="str"/>
      <x:c r="AA552" s="137" t="str"/>
      <x:c r="AB552" s="137" t="str"/>
      <x:c r="AC552" s="137" t="str"/>
      <x:c r="AD552" s="199" t="str"/>
    </x:row>
    <x:row r="553">
      <x:c r="A553" s="137" t="str"/>
      <x:c r="B553" s="138" t="str"/>
      <x:c r="C553" s="137" t="str"/>
      <x:c r="D553" s="137" t="str"/>
      <x:c r="E553" s="137" t="str"/>
      <x:c r="F553" s="137" t="str"/>
      <x:c r="G553" s="137" t="str"/>
      <x:c r="H553" s="137" t="str"/>
      <x:c r="I553" s="137" t="str"/>
      <x:c r="J553" s="137" t="str"/>
      <x:c r="K553" s="137" t="str"/>
      <x:c r="L553" s="160" t="str"/>
      <x:c r="M553" s="160" t="str"/>
      <x:c r="N553" s="151" t="str"/>
      <x:c r="O553" s="151" t="str"/>
      <x:c r="P553" s="151" t="str"/>
      <x:c r="Q553" s="151" t="str"/>
      <x:c r="R553" s="151" t="str"/>
      <x:c r="S553" s="151" t="str"/>
      <x:c r="T553" s="152" t="n">
        <x:f>IF(COUNTA(O553:S553)=0,"",MAX(0,IF(O553="",0,O553)+IF(P553="",0,P553)-IF(Q553="",0,Q553)-IF(R553="",0,R553)))</x:f>
        <x:v>0</x:v>
      </x:c>
      <x:c r="U553" s="152" t="str">
        <x:f>IF(OR(N553="",Q553=""),"",Q553-N553)</x:f>
      </x:c>
      <x:c r="V553" s="202" t="str">
        <x:f>IFERROR(Q553/N553,"")</x:f>
      </x:c>
      <x:c r="W553" s="137" t="str"/>
      <x:c r="X553" s="137" t="str"/>
      <x:c r="Y553" s="137" t="str"/>
      <x:c r="Z553" s="137" t="str"/>
      <x:c r="AA553" s="137" t="str"/>
      <x:c r="AB553" s="137" t="str"/>
      <x:c r="AC553" s="137" t="str"/>
      <x:c r="AD553" s="199" t="str"/>
    </x:row>
    <x:row r="554">
      <x:c r="A554" s="137" t="str"/>
      <x:c r="B554" s="138" t="str"/>
      <x:c r="C554" s="137" t="str"/>
      <x:c r="D554" s="137" t="str"/>
      <x:c r="E554" s="137" t="str"/>
      <x:c r="F554" s="137" t="str"/>
      <x:c r="G554" s="137" t="str"/>
      <x:c r="H554" s="137" t="str"/>
      <x:c r="I554" s="137" t="str"/>
      <x:c r="J554" s="137" t="str"/>
      <x:c r="K554" s="137" t="str"/>
      <x:c r="L554" s="160" t="str"/>
      <x:c r="M554" s="160" t="str"/>
      <x:c r="N554" s="151" t="str"/>
      <x:c r="O554" s="151" t="str"/>
      <x:c r="P554" s="151" t="str"/>
      <x:c r="Q554" s="151" t="str"/>
      <x:c r="R554" s="151" t="str"/>
      <x:c r="S554" s="151" t="str"/>
      <x:c r="T554" s="152" t="n">
        <x:f>IF(COUNTA(O554:S554)=0,"",MAX(0,IF(O554="",0,O554)+IF(P554="",0,P554)-IF(Q554="",0,Q554)-IF(R554="",0,R554)))</x:f>
        <x:v>0</x:v>
      </x:c>
      <x:c r="U554" s="152" t="str">
        <x:f>IF(OR(N554="",Q554=""),"",Q554-N554)</x:f>
      </x:c>
      <x:c r="V554" s="202" t="str">
        <x:f>IFERROR(Q554/N554,"")</x:f>
      </x:c>
      <x:c r="W554" s="137" t="str"/>
      <x:c r="X554" s="137" t="str"/>
      <x:c r="Y554" s="137" t="str"/>
      <x:c r="Z554" s="137" t="str"/>
      <x:c r="AA554" s="137" t="str"/>
      <x:c r="AB554" s="137" t="str"/>
      <x:c r="AC554" s="137" t="str"/>
      <x:c r="AD554" s="199" t="str"/>
    </x:row>
    <x:row r="555">
      <x:c r="A555" s="137" t="str"/>
      <x:c r="B555" s="138" t="str"/>
      <x:c r="C555" s="137" t="str"/>
      <x:c r="D555" s="137" t="str"/>
      <x:c r="E555" s="137" t="str"/>
      <x:c r="F555" s="137" t="str"/>
      <x:c r="G555" s="137" t="str"/>
      <x:c r="H555" s="137" t="str"/>
      <x:c r="I555" s="137" t="str"/>
      <x:c r="J555" s="137" t="str"/>
      <x:c r="K555" s="137" t="str"/>
      <x:c r="L555" s="160" t="str"/>
      <x:c r="M555" s="160" t="str"/>
      <x:c r="N555" s="151" t="str"/>
      <x:c r="O555" s="151" t="str"/>
      <x:c r="P555" s="151" t="str"/>
      <x:c r="Q555" s="151" t="str"/>
      <x:c r="R555" s="151" t="str"/>
      <x:c r="S555" s="151" t="str"/>
      <x:c r="T555" s="152" t="n">
        <x:f>IF(COUNTA(O555:S555)=0,"",MAX(0,IF(O555="",0,O555)+IF(P555="",0,P555)-IF(Q555="",0,Q555)-IF(R555="",0,R555)))</x:f>
        <x:v>0</x:v>
      </x:c>
      <x:c r="U555" s="152" t="str">
        <x:f>IF(OR(N555="",Q555=""),"",Q555-N555)</x:f>
      </x:c>
      <x:c r="V555" s="202" t="str">
        <x:f>IFERROR(Q555/N555,"")</x:f>
      </x:c>
      <x:c r="W555" s="137" t="str"/>
      <x:c r="X555" s="137" t="str"/>
      <x:c r="Y555" s="137" t="str"/>
      <x:c r="Z555" s="137" t="str"/>
      <x:c r="AA555" s="137" t="str"/>
      <x:c r="AB555" s="137" t="str"/>
      <x:c r="AC555" s="137" t="str"/>
      <x:c r="AD555" s="199" t="str"/>
    </x:row>
    <x:row r="556">
      <x:c r="A556" s="137" t="str"/>
      <x:c r="B556" s="138" t="str"/>
      <x:c r="C556" s="137" t="str"/>
      <x:c r="D556" s="137" t="str"/>
      <x:c r="E556" s="137" t="str"/>
      <x:c r="F556" s="137" t="str"/>
      <x:c r="G556" s="137" t="str"/>
      <x:c r="H556" s="137" t="str"/>
      <x:c r="I556" s="137" t="str"/>
      <x:c r="J556" s="137" t="str"/>
      <x:c r="K556" s="137" t="str"/>
      <x:c r="L556" s="160" t="str"/>
      <x:c r="M556" s="160" t="str"/>
      <x:c r="N556" s="151" t="str"/>
      <x:c r="O556" s="151" t="str"/>
      <x:c r="P556" s="151" t="str"/>
      <x:c r="Q556" s="151" t="str"/>
      <x:c r="R556" s="151" t="str"/>
      <x:c r="S556" s="151" t="str"/>
      <x:c r="T556" s="152" t="n">
        <x:f>IF(COUNTA(O556:S556)=0,"",MAX(0,IF(O556="",0,O556)+IF(P556="",0,P556)-IF(Q556="",0,Q556)-IF(R556="",0,R556)))</x:f>
        <x:v>0</x:v>
      </x:c>
      <x:c r="U556" s="152" t="str">
        <x:f>IF(OR(N556="",Q556=""),"",Q556-N556)</x:f>
      </x:c>
      <x:c r="V556" s="202" t="str">
        <x:f>IFERROR(Q556/N556,"")</x:f>
      </x:c>
      <x:c r="W556" s="137" t="str"/>
      <x:c r="X556" s="137" t="str"/>
      <x:c r="Y556" s="137" t="str"/>
      <x:c r="Z556" s="137" t="str"/>
      <x:c r="AA556" s="137" t="str"/>
      <x:c r="AB556" s="137" t="str"/>
      <x:c r="AC556" s="137" t="str"/>
      <x:c r="AD556" s="199" t="str"/>
    </x:row>
    <x:row r="557">
      <x:c r="A557" s="137" t="str"/>
      <x:c r="B557" s="138" t="str"/>
      <x:c r="C557" s="137" t="str"/>
      <x:c r="D557" s="137" t="str"/>
      <x:c r="E557" s="137" t="str"/>
      <x:c r="F557" s="137" t="str"/>
      <x:c r="G557" s="137" t="str"/>
      <x:c r="H557" s="137" t="str"/>
      <x:c r="I557" s="137" t="str"/>
      <x:c r="J557" s="137" t="str"/>
      <x:c r="K557" s="137" t="str"/>
      <x:c r="L557" s="160" t="str"/>
      <x:c r="M557" s="160" t="str"/>
      <x:c r="N557" s="151" t="str"/>
      <x:c r="O557" s="151" t="str"/>
      <x:c r="P557" s="151" t="str"/>
      <x:c r="Q557" s="151" t="str"/>
      <x:c r="R557" s="151" t="str"/>
      <x:c r="S557" s="151" t="str"/>
      <x:c r="T557" s="152" t="n">
        <x:f>IF(COUNTA(O557:S557)=0,"",MAX(0,IF(O557="",0,O557)+IF(P557="",0,P557)-IF(Q557="",0,Q557)-IF(R557="",0,R557)))</x:f>
        <x:v>0</x:v>
      </x:c>
      <x:c r="U557" s="152" t="str">
        <x:f>IF(OR(N557="",Q557=""),"",Q557-N557)</x:f>
      </x:c>
      <x:c r="V557" s="202" t="str">
        <x:f>IFERROR(Q557/N557,"")</x:f>
      </x:c>
      <x:c r="W557" s="137" t="str"/>
      <x:c r="X557" s="137" t="str"/>
      <x:c r="Y557" s="137" t="str"/>
      <x:c r="Z557" s="137" t="str"/>
      <x:c r="AA557" s="137" t="str"/>
      <x:c r="AB557" s="137" t="str"/>
      <x:c r="AC557" s="137" t="str"/>
      <x:c r="AD557" s="199" t="str"/>
    </x:row>
    <x:row r="558">
      <x:c r="A558" s="137" t="str"/>
      <x:c r="B558" s="138" t="str"/>
      <x:c r="C558" s="137" t="str"/>
      <x:c r="D558" s="137" t="str"/>
      <x:c r="E558" s="137" t="str"/>
      <x:c r="F558" s="137" t="str"/>
      <x:c r="G558" s="137" t="str"/>
      <x:c r="H558" s="137" t="str"/>
      <x:c r="I558" s="137" t="str"/>
      <x:c r="J558" s="137" t="str"/>
      <x:c r="K558" s="137" t="str"/>
      <x:c r="L558" s="160" t="str"/>
      <x:c r="M558" s="160" t="str"/>
      <x:c r="N558" s="151" t="str"/>
      <x:c r="O558" s="151" t="str"/>
      <x:c r="P558" s="151" t="str"/>
      <x:c r="Q558" s="151" t="str"/>
      <x:c r="R558" s="151" t="str"/>
      <x:c r="S558" s="151" t="str"/>
      <x:c r="T558" s="152" t="n">
        <x:f>IF(COUNTA(O558:S558)=0,"",MAX(0,IF(O558="",0,O558)+IF(P558="",0,P558)-IF(Q558="",0,Q558)-IF(R558="",0,R558)))</x:f>
        <x:v>0</x:v>
      </x:c>
      <x:c r="U558" s="152" t="str">
        <x:f>IF(OR(N558="",Q558=""),"",Q558-N558)</x:f>
      </x:c>
      <x:c r="V558" s="202" t="str">
        <x:f>IFERROR(Q558/N558,"")</x:f>
      </x:c>
      <x:c r="W558" s="137" t="str"/>
      <x:c r="X558" s="137" t="str"/>
      <x:c r="Y558" s="137" t="str"/>
      <x:c r="Z558" s="137" t="str"/>
      <x:c r="AA558" s="137" t="str"/>
      <x:c r="AB558" s="137" t="str"/>
      <x:c r="AC558" s="137" t="str"/>
      <x:c r="AD558" s="199" t="str"/>
    </x:row>
    <x:row r="559">
      <x:c r="A559" s="137" t="str"/>
      <x:c r="B559" s="138" t="str"/>
      <x:c r="C559" s="137" t="str"/>
      <x:c r="D559" s="137" t="str"/>
      <x:c r="E559" s="137" t="str"/>
      <x:c r="F559" s="137" t="str"/>
      <x:c r="G559" s="137" t="str"/>
      <x:c r="H559" s="137" t="str"/>
      <x:c r="I559" s="137" t="str"/>
      <x:c r="J559" s="137" t="str"/>
      <x:c r="K559" s="137" t="str"/>
      <x:c r="L559" s="160" t="str"/>
      <x:c r="M559" s="160" t="str"/>
      <x:c r="N559" s="151" t="str"/>
      <x:c r="O559" s="151" t="str"/>
      <x:c r="P559" s="151" t="str"/>
      <x:c r="Q559" s="151" t="str"/>
      <x:c r="R559" s="151" t="str"/>
      <x:c r="S559" s="151" t="str"/>
      <x:c r="T559" s="152" t="n">
        <x:f>IF(COUNTA(O559:S559)=0,"",MAX(0,IF(O559="",0,O559)+IF(P559="",0,P559)-IF(Q559="",0,Q559)-IF(R559="",0,R559)))</x:f>
        <x:v>0</x:v>
      </x:c>
      <x:c r="U559" s="152" t="str">
        <x:f>IF(OR(N559="",Q559=""),"",Q559-N559)</x:f>
      </x:c>
      <x:c r="V559" s="202" t="str">
        <x:f>IFERROR(Q559/N559,"")</x:f>
      </x:c>
      <x:c r="W559" s="137" t="str"/>
      <x:c r="X559" s="137" t="str"/>
      <x:c r="Y559" s="137" t="str"/>
      <x:c r="Z559" s="137" t="str"/>
      <x:c r="AA559" s="137" t="str"/>
      <x:c r="AB559" s="137" t="str"/>
      <x:c r="AC559" s="137" t="str"/>
      <x:c r="AD559" s="199" t="str"/>
    </x:row>
    <x:row r="560">
      <x:c r="A560" s="137" t="str"/>
      <x:c r="B560" s="138" t="str"/>
      <x:c r="C560" s="137" t="str"/>
      <x:c r="D560" s="137" t="str"/>
      <x:c r="E560" s="137" t="str"/>
      <x:c r="F560" s="137" t="str"/>
      <x:c r="G560" s="137" t="str"/>
      <x:c r="H560" s="137" t="str"/>
      <x:c r="I560" s="137" t="str"/>
      <x:c r="J560" s="137" t="str"/>
      <x:c r="K560" s="137" t="str"/>
      <x:c r="L560" s="160" t="str"/>
      <x:c r="M560" s="160" t="str"/>
      <x:c r="N560" s="151" t="str"/>
      <x:c r="O560" s="151" t="str"/>
      <x:c r="P560" s="151" t="str"/>
      <x:c r="Q560" s="151" t="str"/>
      <x:c r="R560" s="151" t="str"/>
      <x:c r="S560" s="151" t="str"/>
      <x:c r="T560" s="152" t="n">
        <x:f>IF(COUNTA(O560:S560)=0,"",MAX(0,IF(O560="",0,O560)+IF(P560="",0,P560)-IF(Q560="",0,Q560)-IF(R560="",0,R560)))</x:f>
        <x:v>0</x:v>
      </x:c>
      <x:c r="U560" s="152" t="str">
        <x:f>IF(OR(N560="",Q560=""),"",Q560-N560)</x:f>
      </x:c>
      <x:c r="V560" s="202" t="str">
        <x:f>IFERROR(Q560/N560,"")</x:f>
      </x:c>
      <x:c r="W560" s="137" t="str"/>
      <x:c r="X560" s="137" t="str"/>
      <x:c r="Y560" s="137" t="str"/>
      <x:c r="Z560" s="137" t="str"/>
      <x:c r="AA560" s="137" t="str"/>
      <x:c r="AB560" s="137" t="str"/>
      <x:c r="AC560" s="137" t="str"/>
      <x:c r="AD560" s="199" t="str"/>
    </x:row>
    <x:row r="561">
      <x:c r="A561" s="137" t="str"/>
      <x:c r="B561" s="138" t="str"/>
      <x:c r="C561" s="137" t="str"/>
      <x:c r="D561" s="137" t="str"/>
      <x:c r="E561" s="137" t="str"/>
      <x:c r="F561" s="137" t="str"/>
      <x:c r="G561" s="137" t="str"/>
      <x:c r="H561" s="137" t="str"/>
      <x:c r="I561" s="137" t="str"/>
      <x:c r="J561" s="137" t="str"/>
      <x:c r="K561" s="137" t="str"/>
      <x:c r="L561" s="160" t="str"/>
      <x:c r="M561" s="160" t="str"/>
      <x:c r="N561" s="151" t="str"/>
      <x:c r="O561" s="151" t="str"/>
      <x:c r="P561" s="151" t="str"/>
      <x:c r="Q561" s="151" t="str"/>
      <x:c r="R561" s="151" t="str"/>
      <x:c r="S561" s="151" t="str"/>
      <x:c r="T561" s="152" t="n">
        <x:f>IF(COUNTA(O561:S561)=0,"",MAX(0,IF(O561="",0,O561)+IF(P561="",0,P561)-IF(Q561="",0,Q561)-IF(R561="",0,R561)))</x:f>
        <x:v>0</x:v>
      </x:c>
      <x:c r="U561" s="152" t="str">
        <x:f>IF(OR(N561="",Q561=""),"",Q561-N561)</x:f>
      </x:c>
      <x:c r="V561" s="202" t="str">
        <x:f>IFERROR(Q561/N561,"")</x:f>
      </x:c>
      <x:c r="W561" s="137" t="str"/>
      <x:c r="X561" s="137" t="str"/>
      <x:c r="Y561" s="137" t="str"/>
      <x:c r="Z561" s="137" t="str"/>
      <x:c r="AA561" s="137" t="str"/>
      <x:c r="AB561" s="137" t="str"/>
      <x:c r="AC561" s="137" t="str"/>
      <x:c r="AD561" s="199" t="str"/>
    </x:row>
    <x:row r="562">
      <x:c r="A562" s="137" t="str"/>
      <x:c r="B562" s="138" t="str"/>
      <x:c r="C562" s="137" t="str"/>
      <x:c r="D562" s="137" t="str"/>
      <x:c r="E562" s="137" t="str"/>
      <x:c r="F562" s="137" t="str"/>
      <x:c r="G562" s="137" t="str"/>
      <x:c r="H562" s="137" t="str"/>
      <x:c r="I562" s="137" t="str"/>
      <x:c r="J562" s="137" t="str"/>
      <x:c r="K562" s="137" t="str"/>
      <x:c r="L562" s="160" t="str"/>
      <x:c r="M562" s="160" t="str"/>
      <x:c r="N562" s="151" t="str"/>
      <x:c r="O562" s="151" t="str"/>
      <x:c r="P562" s="151" t="str"/>
      <x:c r="Q562" s="151" t="str"/>
      <x:c r="R562" s="151" t="str"/>
      <x:c r="S562" s="151" t="str"/>
      <x:c r="T562" s="152" t="n">
        <x:f>IF(COUNTA(O562:S562)=0,"",MAX(0,IF(O562="",0,O562)+IF(P562="",0,P562)-IF(Q562="",0,Q562)-IF(R562="",0,R562)))</x:f>
        <x:v>0</x:v>
      </x:c>
      <x:c r="U562" s="152" t="str">
        <x:f>IF(OR(N562="",Q562=""),"",Q562-N562)</x:f>
      </x:c>
      <x:c r="V562" s="202" t="str">
        <x:f>IFERROR(Q562/N562,"")</x:f>
      </x:c>
      <x:c r="W562" s="137" t="str"/>
      <x:c r="X562" s="137" t="str"/>
      <x:c r="Y562" s="137" t="str"/>
      <x:c r="Z562" s="137" t="str"/>
      <x:c r="AA562" s="137" t="str"/>
      <x:c r="AB562" s="137" t="str"/>
      <x:c r="AC562" s="137" t="str"/>
      <x:c r="AD562" s="199" t="str"/>
    </x:row>
    <x:row r="563">
      <x:c r="A563" s="137" t="str"/>
      <x:c r="B563" s="138" t="str"/>
      <x:c r="C563" s="137" t="str"/>
      <x:c r="D563" s="137" t="str"/>
      <x:c r="E563" s="137" t="str"/>
      <x:c r="F563" s="137" t="str"/>
      <x:c r="G563" s="137" t="str"/>
      <x:c r="H563" s="137" t="str"/>
      <x:c r="I563" s="137" t="str"/>
      <x:c r="J563" s="137" t="str"/>
      <x:c r="K563" s="137" t="str"/>
      <x:c r="L563" s="160" t="str"/>
      <x:c r="M563" s="160" t="str"/>
      <x:c r="N563" s="151" t="str"/>
      <x:c r="O563" s="151" t="str"/>
      <x:c r="P563" s="151" t="str"/>
      <x:c r="Q563" s="151" t="str"/>
      <x:c r="R563" s="151" t="str"/>
      <x:c r="S563" s="151" t="str"/>
      <x:c r="T563" s="152" t="n">
        <x:f>IF(COUNTA(O563:S563)=0,"",MAX(0,IF(O563="",0,O563)+IF(P563="",0,P563)-IF(Q563="",0,Q563)-IF(R563="",0,R563)))</x:f>
        <x:v>0</x:v>
      </x:c>
      <x:c r="U563" s="152" t="str">
        <x:f>IF(OR(N563="",Q563=""),"",Q563-N563)</x:f>
      </x:c>
      <x:c r="V563" s="202" t="str">
        <x:f>IFERROR(Q563/N563,"")</x:f>
      </x:c>
      <x:c r="W563" s="137" t="str"/>
      <x:c r="X563" s="137" t="str"/>
      <x:c r="Y563" s="137" t="str"/>
      <x:c r="Z563" s="137" t="str"/>
      <x:c r="AA563" s="137" t="str"/>
      <x:c r="AB563" s="137" t="str"/>
      <x:c r="AC563" s="137" t="str"/>
      <x:c r="AD563" s="199" t="str"/>
    </x:row>
    <x:row r="564">
      <x:c r="A564" s="137" t="str"/>
      <x:c r="B564" s="138" t="str"/>
      <x:c r="C564" s="137" t="str"/>
      <x:c r="D564" s="137" t="str"/>
      <x:c r="E564" s="137" t="str"/>
      <x:c r="F564" s="137" t="str"/>
      <x:c r="G564" s="137" t="str"/>
      <x:c r="H564" s="137" t="str"/>
      <x:c r="I564" s="137" t="str"/>
      <x:c r="J564" s="137" t="str"/>
      <x:c r="K564" s="137" t="str"/>
      <x:c r="L564" s="160" t="str"/>
      <x:c r="M564" s="160" t="str"/>
      <x:c r="N564" s="151" t="str"/>
      <x:c r="O564" s="151" t="str"/>
      <x:c r="P564" s="151" t="str"/>
      <x:c r="Q564" s="151" t="str"/>
      <x:c r="R564" s="151" t="str"/>
      <x:c r="S564" s="151" t="str"/>
      <x:c r="T564" s="152" t="n">
        <x:f>IF(COUNTA(O564:S564)=0,"",MAX(0,IF(O564="",0,O564)+IF(P564="",0,P564)-IF(Q564="",0,Q564)-IF(R564="",0,R564)))</x:f>
        <x:v>0</x:v>
      </x:c>
      <x:c r="U564" s="152" t="str">
        <x:f>IF(OR(N564="",Q564=""),"",Q564-N564)</x:f>
      </x:c>
      <x:c r="V564" s="202" t="str">
        <x:f>IFERROR(Q564/N564,"")</x:f>
      </x:c>
      <x:c r="W564" s="137" t="str"/>
      <x:c r="X564" s="137" t="str"/>
      <x:c r="Y564" s="137" t="str"/>
      <x:c r="Z564" s="137" t="str"/>
      <x:c r="AA564" s="137" t="str"/>
      <x:c r="AB564" s="137" t="str"/>
      <x:c r="AC564" s="137" t="str"/>
      <x:c r="AD564" s="199" t="str"/>
    </x:row>
    <x:row r="565">
      <x:c r="A565" s="137" t="str"/>
      <x:c r="B565" s="138" t="str"/>
      <x:c r="C565" s="137" t="str"/>
      <x:c r="D565" s="137" t="str"/>
      <x:c r="E565" s="137" t="str"/>
      <x:c r="F565" s="137" t="str"/>
      <x:c r="G565" s="137" t="str"/>
      <x:c r="H565" s="137" t="str"/>
      <x:c r="I565" s="137" t="str"/>
      <x:c r="J565" s="137" t="str"/>
      <x:c r="K565" s="137" t="str"/>
      <x:c r="L565" s="160" t="str"/>
      <x:c r="M565" s="160" t="str"/>
      <x:c r="N565" s="151" t="str"/>
      <x:c r="O565" s="151" t="str"/>
      <x:c r="P565" s="151" t="str"/>
      <x:c r="Q565" s="151" t="str"/>
      <x:c r="R565" s="151" t="str"/>
      <x:c r="S565" s="151" t="str"/>
      <x:c r="T565" s="152" t="n">
        <x:f>IF(COUNTA(O565:S565)=0,"",MAX(0,IF(O565="",0,O565)+IF(P565="",0,P565)-IF(Q565="",0,Q565)-IF(R565="",0,R565)))</x:f>
        <x:v>0</x:v>
      </x:c>
      <x:c r="U565" s="152" t="str">
        <x:f>IF(OR(N565="",Q565=""),"",Q565-N565)</x:f>
      </x:c>
      <x:c r="V565" s="202" t="str">
        <x:f>IFERROR(Q565/N565,"")</x:f>
      </x:c>
      <x:c r="W565" s="137" t="str"/>
      <x:c r="X565" s="137" t="str"/>
      <x:c r="Y565" s="137" t="str"/>
      <x:c r="Z565" s="137" t="str"/>
      <x:c r="AA565" s="137" t="str"/>
      <x:c r="AB565" s="137" t="str"/>
      <x:c r="AC565" s="137" t="str"/>
      <x:c r="AD565" s="199" t="str"/>
    </x:row>
    <x:row r="566">
      <x:c r="A566" s="137" t="str"/>
      <x:c r="B566" s="138" t="str"/>
      <x:c r="C566" s="137" t="str"/>
      <x:c r="D566" s="137" t="str"/>
      <x:c r="E566" s="137" t="str"/>
      <x:c r="F566" s="137" t="str"/>
      <x:c r="G566" s="137" t="str"/>
      <x:c r="H566" s="137" t="str"/>
      <x:c r="I566" s="137" t="str"/>
      <x:c r="J566" s="137" t="str"/>
      <x:c r="K566" s="137" t="str"/>
      <x:c r="L566" s="160" t="str"/>
      <x:c r="M566" s="160" t="str"/>
      <x:c r="N566" s="151" t="str"/>
      <x:c r="O566" s="151" t="str"/>
      <x:c r="P566" s="151" t="str"/>
      <x:c r="Q566" s="151" t="str"/>
      <x:c r="R566" s="151" t="str"/>
      <x:c r="S566" s="151" t="str"/>
      <x:c r="T566" s="152" t="n">
        <x:f>IF(COUNTA(O566:S566)=0,"",MAX(0,IF(O566="",0,O566)+IF(P566="",0,P566)-IF(Q566="",0,Q566)-IF(R566="",0,R566)))</x:f>
        <x:v>0</x:v>
      </x:c>
      <x:c r="U566" s="152" t="str">
        <x:f>IF(OR(N566="",Q566=""),"",Q566-N566)</x:f>
      </x:c>
      <x:c r="V566" s="202" t="str">
        <x:f>IFERROR(Q566/N566,"")</x:f>
      </x:c>
      <x:c r="W566" s="137" t="str"/>
      <x:c r="X566" s="137" t="str"/>
      <x:c r="Y566" s="137" t="str"/>
      <x:c r="Z566" s="137" t="str"/>
      <x:c r="AA566" s="137" t="str"/>
      <x:c r="AB566" s="137" t="str"/>
      <x:c r="AC566" s="137" t="str"/>
      <x:c r="AD566" s="199" t="str"/>
    </x:row>
    <x:row r="567">
      <x:c r="A567" s="137" t="str"/>
      <x:c r="B567" s="138" t="str"/>
      <x:c r="C567" s="137" t="str"/>
      <x:c r="D567" s="137" t="str"/>
      <x:c r="E567" s="137" t="str"/>
      <x:c r="F567" s="137" t="str"/>
      <x:c r="G567" s="137" t="str"/>
      <x:c r="H567" s="137" t="str"/>
      <x:c r="I567" s="137" t="str"/>
      <x:c r="J567" s="137" t="str"/>
      <x:c r="K567" s="137" t="str"/>
      <x:c r="L567" s="160" t="str"/>
      <x:c r="M567" s="160" t="str"/>
      <x:c r="N567" s="151" t="str"/>
      <x:c r="O567" s="151" t="str"/>
      <x:c r="P567" s="151" t="str"/>
      <x:c r="Q567" s="151" t="str"/>
      <x:c r="R567" s="151" t="str"/>
      <x:c r="S567" s="151" t="str"/>
      <x:c r="T567" s="152" t="n">
        <x:f>IF(COUNTA(O567:S567)=0,"",MAX(0,IF(O567="",0,O567)+IF(P567="",0,P567)-IF(Q567="",0,Q567)-IF(R567="",0,R567)))</x:f>
        <x:v>0</x:v>
      </x:c>
      <x:c r="U567" s="152" t="str">
        <x:f>IF(OR(N567="",Q567=""),"",Q567-N567)</x:f>
      </x:c>
      <x:c r="V567" s="202" t="str">
        <x:f>IFERROR(Q567/N567,"")</x:f>
      </x:c>
      <x:c r="W567" s="137" t="str"/>
      <x:c r="X567" s="137" t="str"/>
      <x:c r="Y567" s="137" t="str"/>
      <x:c r="Z567" s="137" t="str"/>
      <x:c r="AA567" s="137" t="str"/>
      <x:c r="AB567" s="137" t="str"/>
      <x:c r="AC567" s="137" t="str"/>
      <x:c r="AD567" s="199" t="str"/>
    </x:row>
    <x:row r="568">
      <x:c r="A568" s="137" t="str"/>
      <x:c r="B568" s="138" t="str"/>
      <x:c r="C568" s="137" t="str"/>
      <x:c r="D568" s="137" t="str"/>
      <x:c r="E568" s="137" t="str"/>
      <x:c r="F568" s="137" t="str"/>
      <x:c r="G568" s="137" t="str"/>
      <x:c r="H568" s="137" t="str"/>
      <x:c r="I568" s="137" t="str"/>
      <x:c r="J568" s="137" t="str"/>
      <x:c r="K568" s="137" t="str"/>
      <x:c r="L568" s="160" t="str"/>
      <x:c r="M568" s="160" t="str"/>
      <x:c r="N568" s="151" t="str"/>
      <x:c r="O568" s="151" t="str"/>
      <x:c r="P568" s="151" t="str"/>
      <x:c r="Q568" s="151" t="str"/>
      <x:c r="R568" s="151" t="str"/>
      <x:c r="S568" s="151" t="str"/>
      <x:c r="T568" s="152" t="n">
        <x:f>IF(COUNTA(O568:S568)=0,"",MAX(0,IF(O568="",0,O568)+IF(P568="",0,P568)-IF(Q568="",0,Q568)-IF(R568="",0,R568)))</x:f>
        <x:v>0</x:v>
      </x:c>
      <x:c r="U568" s="152" t="str">
        <x:f>IF(OR(N568="",Q568=""),"",Q568-N568)</x:f>
      </x:c>
      <x:c r="V568" s="202" t="str">
        <x:f>IFERROR(Q568/N568,"")</x:f>
      </x:c>
      <x:c r="W568" s="137" t="str"/>
      <x:c r="X568" s="137" t="str"/>
      <x:c r="Y568" s="137" t="str"/>
      <x:c r="Z568" s="137" t="str"/>
      <x:c r="AA568" s="137" t="str"/>
      <x:c r="AB568" s="137" t="str"/>
      <x:c r="AC568" s="137" t="str"/>
      <x:c r="AD568" s="199" t="str"/>
    </x:row>
    <x:row r="569">
      <x:c r="A569" s="137" t="str"/>
      <x:c r="B569" s="138" t="str"/>
      <x:c r="C569" s="137" t="str"/>
      <x:c r="D569" s="137" t="str"/>
      <x:c r="E569" s="137" t="str"/>
      <x:c r="F569" s="137" t="str"/>
      <x:c r="G569" s="137" t="str"/>
      <x:c r="H569" s="137" t="str"/>
      <x:c r="I569" s="137" t="str"/>
      <x:c r="J569" s="137" t="str"/>
      <x:c r="K569" s="137" t="str"/>
      <x:c r="L569" s="160" t="str"/>
      <x:c r="M569" s="160" t="str"/>
      <x:c r="N569" s="151" t="str"/>
      <x:c r="O569" s="151" t="str"/>
      <x:c r="P569" s="151" t="str"/>
      <x:c r="Q569" s="151" t="str"/>
      <x:c r="R569" s="151" t="str"/>
      <x:c r="S569" s="151" t="str"/>
      <x:c r="T569" s="152" t="n">
        <x:f>IF(COUNTA(O569:S569)=0,"",MAX(0,IF(O569="",0,O569)+IF(P569="",0,P569)-IF(Q569="",0,Q569)-IF(R569="",0,R569)))</x:f>
        <x:v>0</x:v>
      </x:c>
      <x:c r="U569" s="152" t="str">
        <x:f>IF(OR(N569="",Q569=""),"",Q569-N569)</x:f>
      </x:c>
      <x:c r="V569" s="202" t="str">
        <x:f>IFERROR(Q569/N569,"")</x:f>
      </x:c>
      <x:c r="W569" s="137" t="str"/>
      <x:c r="X569" s="137" t="str"/>
      <x:c r="Y569" s="137" t="str"/>
      <x:c r="Z569" s="137" t="str"/>
      <x:c r="AA569" s="137" t="str"/>
      <x:c r="AB569" s="137" t="str"/>
      <x:c r="AC569" s="137" t="str"/>
      <x:c r="AD569" s="199" t="str"/>
    </x:row>
    <x:row r="570">
      <x:c r="A570" s="137" t="str"/>
      <x:c r="B570" s="138" t="str"/>
      <x:c r="C570" s="137" t="str"/>
      <x:c r="D570" s="137" t="str"/>
      <x:c r="E570" s="137" t="str"/>
      <x:c r="F570" s="137" t="str"/>
      <x:c r="G570" s="137" t="str"/>
      <x:c r="H570" s="137" t="str"/>
      <x:c r="I570" s="137" t="str"/>
      <x:c r="J570" s="137" t="str"/>
      <x:c r="K570" s="137" t="str"/>
      <x:c r="L570" s="160" t="str"/>
      <x:c r="M570" s="160" t="str"/>
      <x:c r="N570" s="151" t="str"/>
      <x:c r="O570" s="151" t="str"/>
      <x:c r="P570" s="151" t="str"/>
      <x:c r="Q570" s="151" t="str"/>
      <x:c r="R570" s="151" t="str"/>
      <x:c r="S570" s="151" t="str"/>
      <x:c r="T570" s="152" t="n">
        <x:f>IF(COUNTA(O570:S570)=0,"",MAX(0,IF(O570="",0,O570)+IF(P570="",0,P570)-IF(Q570="",0,Q570)-IF(R570="",0,R570)))</x:f>
        <x:v>0</x:v>
      </x:c>
      <x:c r="U570" s="152" t="str">
        <x:f>IF(OR(N570="",Q570=""),"",Q570-N570)</x:f>
      </x:c>
      <x:c r="V570" s="202" t="str">
        <x:f>IFERROR(Q570/N570,"")</x:f>
      </x:c>
      <x:c r="W570" s="137" t="str"/>
      <x:c r="X570" s="137" t="str"/>
      <x:c r="Y570" s="137" t="str"/>
      <x:c r="Z570" s="137" t="str"/>
      <x:c r="AA570" s="137" t="str"/>
      <x:c r="AB570" s="137" t="str"/>
      <x:c r="AC570" s="137" t="str"/>
      <x:c r="AD570" s="199" t="str"/>
    </x:row>
    <x:row r="571">
      <x:c r="A571" s="137" t="str"/>
      <x:c r="B571" s="138" t="str"/>
      <x:c r="C571" s="137" t="str"/>
      <x:c r="D571" s="137" t="str"/>
      <x:c r="E571" s="137" t="str"/>
      <x:c r="F571" s="137" t="str"/>
      <x:c r="G571" s="137" t="str"/>
      <x:c r="H571" s="137" t="str"/>
      <x:c r="I571" s="137" t="str"/>
      <x:c r="J571" s="137" t="str"/>
      <x:c r="K571" s="137" t="str"/>
      <x:c r="L571" s="160" t="str"/>
      <x:c r="M571" s="160" t="str"/>
      <x:c r="N571" s="151" t="str"/>
      <x:c r="O571" s="151" t="str"/>
      <x:c r="P571" s="151" t="str"/>
      <x:c r="Q571" s="151" t="str"/>
      <x:c r="R571" s="151" t="str"/>
      <x:c r="S571" s="151" t="str"/>
      <x:c r="T571" s="152" t="n">
        <x:f>IF(COUNTA(O571:S571)=0,"",MAX(0,IF(O571="",0,O571)+IF(P571="",0,P571)-IF(Q571="",0,Q571)-IF(R571="",0,R571)))</x:f>
        <x:v>0</x:v>
      </x:c>
      <x:c r="U571" s="152" t="str">
        <x:f>IF(OR(N571="",Q571=""),"",Q571-N571)</x:f>
      </x:c>
      <x:c r="V571" s="202" t="str">
        <x:f>IFERROR(Q571/N571,"")</x:f>
      </x:c>
      <x:c r="W571" s="137" t="str"/>
      <x:c r="X571" s="137" t="str"/>
      <x:c r="Y571" s="137" t="str"/>
      <x:c r="Z571" s="137" t="str"/>
      <x:c r="AA571" s="137" t="str"/>
      <x:c r="AB571" s="137" t="str"/>
      <x:c r="AC571" s="137" t="str"/>
      <x:c r="AD571" s="199" t="str"/>
    </x:row>
    <x:row r="572">
      <x:c r="A572" s="137" t="str"/>
      <x:c r="B572" s="138" t="str"/>
      <x:c r="C572" s="137" t="str"/>
      <x:c r="D572" s="137" t="str"/>
      <x:c r="E572" s="137" t="str"/>
      <x:c r="F572" s="137" t="str"/>
      <x:c r="G572" s="137" t="str"/>
      <x:c r="H572" s="137" t="str"/>
      <x:c r="I572" s="137" t="str"/>
      <x:c r="J572" s="137" t="str"/>
      <x:c r="K572" s="137" t="str"/>
      <x:c r="L572" s="160" t="str"/>
      <x:c r="M572" s="160" t="str"/>
      <x:c r="N572" s="151" t="str"/>
      <x:c r="O572" s="151" t="str"/>
      <x:c r="P572" s="151" t="str"/>
      <x:c r="Q572" s="151" t="str"/>
      <x:c r="R572" s="151" t="str"/>
      <x:c r="S572" s="151" t="str"/>
      <x:c r="T572" s="152" t="n">
        <x:f>IF(COUNTA(O572:S572)=0,"",MAX(0,IF(O572="",0,O572)+IF(P572="",0,P572)-IF(Q572="",0,Q572)-IF(R572="",0,R572)))</x:f>
        <x:v>0</x:v>
      </x:c>
      <x:c r="U572" s="152" t="str">
        <x:f>IF(OR(N572="",Q572=""),"",Q572-N572)</x:f>
      </x:c>
      <x:c r="V572" s="202" t="str">
        <x:f>IFERROR(Q572/N572,"")</x:f>
      </x:c>
      <x:c r="W572" s="137" t="str"/>
      <x:c r="X572" s="137" t="str"/>
      <x:c r="Y572" s="137" t="str"/>
      <x:c r="Z572" s="137" t="str"/>
      <x:c r="AA572" s="137" t="str"/>
      <x:c r="AB572" s="137" t="str"/>
      <x:c r="AC572" s="137" t="str"/>
      <x:c r="AD572" s="199" t="str"/>
    </x:row>
    <x:row r="573">
      <x:c r="A573" s="137" t="str"/>
      <x:c r="B573" s="138" t="str"/>
      <x:c r="C573" s="137" t="str"/>
      <x:c r="D573" s="137" t="str"/>
      <x:c r="E573" s="137" t="str"/>
      <x:c r="F573" s="137" t="str"/>
      <x:c r="G573" s="137" t="str"/>
      <x:c r="H573" s="137" t="str"/>
      <x:c r="I573" s="137" t="str"/>
      <x:c r="J573" s="137" t="str"/>
      <x:c r="K573" s="137" t="str"/>
      <x:c r="L573" s="160" t="str"/>
      <x:c r="M573" s="160" t="str"/>
      <x:c r="N573" s="151" t="str"/>
      <x:c r="O573" s="151" t="str"/>
      <x:c r="P573" s="151" t="str"/>
      <x:c r="Q573" s="151" t="str"/>
      <x:c r="R573" s="151" t="str"/>
      <x:c r="S573" s="151" t="str"/>
      <x:c r="T573" s="152" t="n">
        <x:f>IF(COUNTA(O573:S573)=0,"",MAX(0,IF(O573="",0,O573)+IF(P573="",0,P573)-IF(Q573="",0,Q573)-IF(R573="",0,R573)))</x:f>
        <x:v>0</x:v>
      </x:c>
      <x:c r="U573" s="152" t="str">
        <x:f>IF(OR(N573="",Q573=""),"",Q573-N573)</x:f>
      </x:c>
      <x:c r="V573" s="202" t="str">
        <x:f>IFERROR(Q573/N573,"")</x:f>
      </x:c>
      <x:c r="W573" s="137" t="str"/>
      <x:c r="X573" s="137" t="str"/>
      <x:c r="Y573" s="137" t="str"/>
      <x:c r="Z573" s="137" t="str"/>
      <x:c r="AA573" s="137" t="str"/>
      <x:c r="AB573" s="137" t="str"/>
      <x:c r="AC573" s="137" t="str"/>
      <x:c r="AD573" s="199" t="str"/>
    </x:row>
    <x:row r="574">
      <x:c r="A574" s="137" t="str"/>
      <x:c r="B574" s="138" t="str"/>
      <x:c r="C574" s="137" t="str"/>
      <x:c r="D574" s="137" t="str"/>
      <x:c r="E574" s="137" t="str"/>
      <x:c r="F574" s="137" t="str"/>
      <x:c r="G574" s="137" t="str"/>
      <x:c r="H574" s="137" t="str"/>
      <x:c r="I574" s="137" t="str"/>
      <x:c r="J574" s="137" t="str"/>
      <x:c r="K574" s="137" t="str"/>
      <x:c r="L574" s="160" t="str"/>
      <x:c r="M574" s="160" t="str"/>
      <x:c r="N574" s="151" t="str"/>
      <x:c r="O574" s="151" t="str"/>
      <x:c r="P574" s="151" t="str"/>
      <x:c r="Q574" s="151" t="str"/>
      <x:c r="R574" s="151" t="str"/>
      <x:c r="S574" s="151" t="str"/>
      <x:c r="T574" s="152" t="n">
        <x:f>IF(COUNTA(O574:S574)=0,"",MAX(0,IF(O574="",0,O574)+IF(P574="",0,P574)-IF(Q574="",0,Q574)-IF(R574="",0,R574)))</x:f>
        <x:v>0</x:v>
      </x:c>
      <x:c r="U574" s="152" t="str">
        <x:f>IF(OR(N574="",Q574=""),"",Q574-N574)</x:f>
      </x:c>
      <x:c r="V574" s="202" t="str">
        <x:f>IFERROR(Q574/N574,"")</x:f>
      </x:c>
      <x:c r="W574" s="137" t="str"/>
      <x:c r="X574" s="137" t="str"/>
      <x:c r="Y574" s="137" t="str"/>
      <x:c r="Z574" s="137" t="str"/>
      <x:c r="AA574" s="137" t="str"/>
      <x:c r="AB574" s="137" t="str"/>
      <x:c r="AC574" s="137" t="str"/>
      <x:c r="AD574" s="199" t="str"/>
    </x:row>
    <x:row r="575">
      <x:c r="A575" s="137" t="str"/>
      <x:c r="B575" s="138" t="str"/>
      <x:c r="C575" s="137" t="str"/>
      <x:c r="D575" s="137" t="str"/>
      <x:c r="E575" s="137" t="str"/>
      <x:c r="F575" s="137" t="str"/>
      <x:c r="G575" s="137" t="str"/>
      <x:c r="H575" s="137" t="str"/>
      <x:c r="I575" s="137" t="str"/>
      <x:c r="J575" s="137" t="str"/>
      <x:c r="K575" s="137" t="str"/>
      <x:c r="L575" s="160" t="str"/>
      <x:c r="M575" s="160" t="str"/>
      <x:c r="N575" s="151" t="str"/>
      <x:c r="O575" s="151" t="str"/>
      <x:c r="P575" s="151" t="str"/>
      <x:c r="Q575" s="151" t="str"/>
      <x:c r="R575" s="151" t="str"/>
      <x:c r="S575" s="151" t="str"/>
      <x:c r="T575" s="152" t="n">
        <x:f>IF(COUNTA(O575:S575)=0,"",MAX(0,IF(O575="",0,O575)+IF(P575="",0,P575)-IF(Q575="",0,Q575)-IF(R575="",0,R575)))</x:f>
        <x:v>0</x:v>
      </x:c>
      <x:c r="U575" s="152" t="str">
        <x:f>IF(OR(N575="",Q575=""),"",Q575-N575)</x:f>
      </x:c>
      <x:c r="V575" s="202" t="str">
        <x:f>IFERROR(Q575/N575,"")</x:f>
      </x:c>
      <x:c r="W575" s="137" t="str"/>
      <x:c r="X575" s="137" t="str"/>
      <x:c r="Y575" s="137" t="str"/>
      <x:c r="Z575" s="137" t="str"/>
      <x:c r="AA575" s="137" t="str"/>
      <x:c r="AB575" s="137" t="str"/>
      <x:c r="AC575" s="137" t="str"/>
      <x:c r="AD575" s="199" t="str"/>
    </x:row>
    <x:row r="576">
      <x:c r="A576" s="137" t="str"/>
      <x:c r="B576" s="138" t="str"/>
      <x:c r="C576" s="137" t="str"/>
      <x:c r="D576" s="137" t="str"/>
      <x:c r="E576" s="137" t="str"/>
      <x:c r="F576" s="137" t="str"/>
      <x:c r="G576" s="137" t="str"/>
      <x:c r="H576" s="137" t="str"/>
      <x:c r="I576" s="137" t="str"/>
      <x:c r="J576" s="137" t="str"/>
      <x:c r="K576" s="137" t="str"/>
      <x:c r="L576" s="160" t="str"/>
      <x:c r="M576" s="160" t="str"/>
      <x:c r="N576" s="151" t="str"/>
      <x:c r="O576" s="151" t="str"/>
      <x:c r="P576" s="151" t="str"/>
      <x:c r="Q576" s="151" t="str"/>
      <x:c r="R576" s="151" t="str"/>
      <x:c r="S576" s="151" t="str"/>
      <x:c r="T576" s="152" t="n">
        <x:f>IF(COUNTA(O576:S576)=0,"",MAX(0,IF(O576="",0,O576)+IF(P576="",0,P576)-IF(Q576="",0,Q576)-IF(R576="",0,R576)))</x:f>
        <x:v>0</x:v>
      </x:c>
      <x:c r="U576" s="152" t="str">
        <x:f>IF(OR(N576="",Q576=""),"",Q576-N576)</x:f>
      </x:c>
      <x:c r="V576" s="202" t="str">
        <x:f>IFERROR(Q576/N576,"")</x:f>
      </x:c>
      <x:c r="W576" s="137" t="str"/>
      <x:c r="X576" s="137" t="str"/>
      <x:c r="Y576" s="137" t="str"/>
      <x:c r="Z576" s="137" t="str"/>
      <x:c r="AA576" s="137" t="str"/>
      <x:c r="AB576" s="137" t="str"/>
      <x:c r="AC576" s="137" t="str"/>
      <x:c r="AD576" s="199" t="str"/>
    </x:row>
    <x:row r="577">
      <x:c r="A577" s="137" t="str"/>
      <x:c r="B577" s="138" t="str"/>
      <x:c r="C577" s="137" t="str"/>
      <x:c r="D577" s="137" t="str"/>
      <x:c r="E577" s="137" t="str"/>
      <x:c r="F577" s="137" t="str"/>
      <x:c r="G577" s="137" t="str"/>
      <x:c r="H577" s="137" t="str"/>
      <x:c r="I577" s="137" t="str"/>
      <x:c r="J577" s="137" t="str"/>
      <x:c r="K577" s="137" t="str"/>
      <x:c r="L577" s="160" t="str"/>
      <x:c r="M577" s="160" t="str"/>
      <x:c r="N577" s="151" t="str"/>
      <x:c r="O577" s="151" t="str"/>
      <x:c r="P577" s="151" t="str"/>
      <x:c r="Q577" s="151" t="str"/>
      <x:c r="R577" s="151" t="str"/>
      <x:c r="S577" s="151" t="str"/>
      <x:c r="T577" s="152" t="n">
        <x:f>IF(COUNTA(O577:S577)=0,"",MAX(0,IF(O577="",0,O577)+IF(P577="",0,P577)-IF(Q577="",0,Q577)-IF(R577="",0,R577)))</x:f>
        <x:v>0</x:v>
      </x:c>
      <x:c r="U577" s="152" t="str">
        <x:f>IF(OR(N577="",Q577=""),"",Q577-N577)</x:f>
      </x:c>
      <x:c r="V577" s="202" t="str">
        <x:f>IFERROR(Q577/N577,"")</x:f>
      </x:c>
      <x:c r="W577" s="137" t="str"/>
      <x:c r="X577" s="137" t="str"/>
      <x:c r="Y577" s="137" t="str"/>
      <x:c r="Z577" s="137" t="str"/>
      <x:c r="AA577" s="137" t="str"/>
      <x:c r="AB577" s="137" t="str"/>
      <x:c r="AC577" s="137" t="str"/>
      <x:c r="AD577" s="199" t="str"/>
    </x:row>
    <x:row r="578">
      <x:c r="A578" s="137" t="str"/>
      <x:c r="B578" s="138" t="str"/>
      <x:c r="C578" s="137" t="str"/>
      <x:c r="D578" s="137" t="str"/>
      <x:c r="E578" s="137" t="str"/>
      <x:c r="F578" s="137" t="str"/>
      <x:c r="G578" s="137" t="str"/>
      <x:c r="H578" s="137" t="str"/>
      <x:c r="I578" s="137" t="str"/>
      <x:c r="J578" s="137" t="str"/>
      <x:c r="K578" s="137" t="str"/>
      <x:c r="L578" s="160" t="str"/>
      <x:c r="M578" s="160" t="str"/>
      <x:c r="N578" s="151" t="str"/>
      <x:c r="O578" s="151" t="str"/>
      <x:c r="P578" s="151" t="str"/>
      <x:c r="Q578" s="151" t="str"/>
      <x:c r="R578" s="151" t="str"/>
      <x:c r="S578" s="151" t="str"/>
      <x:c r="T578" s="152" t="n">
        <x:f>IF(COUNTA(O578:S578)=0,"",MAX(0,IF(O578="",0,O578)+IF(P578="",0,P578)-IF(Q578="",0,Q578)-IF(R578="",0,R578)))</x:f>
        <x:v>0</x:v>
      </x:c>
      <x:c r="U578" s="152" t="str">
        <x:f>IF(OR(N578="",Q578=""),"",Q578-N578)</x:f>
      </x:c>
      <x:c r="V578" s="202" t="str">
        <x:f>IFERROR(Q578/N578,"")</x:f>
      </x:c>
      <x:c r="W578" s="137" t="str"/>
      <x:c r="X578" s="137" t="str"/>
      <x:c r="Y578" s="137" t="str"/>
      <x:c r="Z578" s="137" t="str"/>
      <x:c r="AA578" s="137" t="str"/>
      <x:c r="AB578" s="137" t="str"/>
      <x:c r="AC578" s="137" t="str"/>
      <x:c r="AD578" s="199" t="str"/>
    </x:row>
    <x:row r="579">
      <x:c r="A579" s="137" t="str"/>
      <x:c r="B579" s="138" t="str"/>
      <x:c r="C579" s="137" t="str"/>
      <x:c r="D579" s="137" t="str"/>
      <x:c r="E579" s="137" t="str"/>
      <x:c r="F579" s="137" t="str"/>
      <x:c r="G579" s="137" t="str"/>
      <x:c r="H579" s="137" t="str"/>
      <x:c r="I579" s="137" t="str"/>
      <x:c r="J579" s="137" t="str"/>
      <x:c r="K579" s="137" t="str"/>
      <x:c r="L579" s="160" t="str"/>
      <x:c r="M579" s="160" t="str"/>
      <x:c r="N579" s="151" t="str"/>
      <x:c r="O579" s="151" t="str"/>
      <x:c r="P579" s="151" t="str"/>
      <x:c r="Q579" s="151" t="str"/>
      <x:c r="R579" s="151" t="str"/>
      <x:c r="S579" s="151" t="str"/>
      <x:c r="T579" s="152" t="n">
        <x:f>IF(COUNTA(O579:S579)=0,"",MAX(0,IF(O579="",0,O579)+IF(P579="",0,P579)-IF(Q579="",0,Q579)-IF(R579="",0,R579)))</x:f>
        <x:v>0</x:v>
      </x:c>
      <x:c r="U579" s="152" t="str">
        <x:f>IF(OR(N579="",Q579=""),"",Q579-N579)</x:f>
      </x:c>
      <x:c r="V579" s="202" t="str">
        <x:f>IFERROR(Q579/N579,"")</x:f>
      </x:c>
      <x:c r="W579" s="137" t="str"/>
      <x:c r="X579" s="137" t="str"/>
      <x:c r="Y579" s="137" t="str"/>
      <x:c r="Z579" s="137" t="str"/>
      <x:c r="AA579" s="137" t="str"/>
      <x:c r="AB579" s="137" t="str"/>
      <x:c r="AC579" s="137" t="str"/>
      <x:c r="AD579" s="199" t="str"/>
    </x:row>
    <x:row r="580">
      <x:c r="A580" s="137" t="str"/>
      <x:c r="B580" s="138" t="str"/>
      <x:c r="C580" s="137" t="str"/>
      <x:c r="D580" s="137" t="str"/>
      <x:c r="E580" s="137" t="str"/>
      <x:c r="F580" s="137" t="str"/>
      <x:c r="G580" s="137" t="str"/>
      <x:c r="H580" s="137" t="str"/>
      <x:c r="I580" s="137" t="str"/>
      <x:c r="J580" s="137" t="str"/>
      <x:c r="K580" s="137" t="str"/>
      <x:c r="L580" s="160" t="str"/>
      <x:c r="M580" s="160" t="str"/>
      <x:c r="N580" s="151" t="str"/>
      <x:c r="O580" s="151" t="str"/>
      <x:c r="P580" s="151" t="str"/>
      <x:c r="Q580" s="151" t="str"/>
      <x:c r="R580" s="151" t="str"/>
      <x:c r="S580" s="151" t="str"/>
      <x:c r="T580" s="152" t="n">
        <x:f>IF(COUNTA(O580:S580)=0,"",MAX(0,IF(O580="",0,O580)+IF(P580="",0,P580)-IF(Q580="",0,Q580)-IF(R580="",0,R580)))</x:f>
        <x:v>0</x:v>
      </x:c>
      <x:c r="U580" s="152" t="str">
        <x:f>IF(OR(N580="",Q580=""),"",Q580-N580)</x:f>
      </x:c>
      <x:c r="V580" s="202" t="str">
        <x:f>IFERROR(Q580/N580,"")</x:f>
      </x:c>
      <x:c r="W580" s="137" t="str"/>
      <x:c r="X580" s="137" t="str"/>
      <x:c r="Y580" s="137" t="str"/>
      <x:c r="Z580" s="137" t="str"/>
      <x:c r="AA580" s="137" t="str"/>
      <x:c r="AB580" s="137" t="str"/>
      <x:c r="AC580" s="137" t="str"/>
      <x:c r="AD580" s="199" t="str"/>
    </x:row>
    <x:row r="581">
      <x:c r="A581" s="137" t="str"/>
      <x:c r="B581" s="138" t="str"/>
      <x:c r="C581" s="137" t="str"/>
      <x:c r="D581" s="137" t="str"/>
      <x:c r="E581" s="137" t="str"/>
      <x:c r="F581" s="137" t="str"/>
      <x:c r="G581" s="137" t="str"/>
      <x:c r="H581" s="137" t="str"/>
      <x:c r="I581" s="137" t="str"/>
      <x:c r="J581" s="137" t="str"/>
      <x:c r="K581" s="137" t="str"/>
      <x:c r="L581" s="160" t="str"/>
      <x:c r="M581" s="160" t="str"/>
      <x:c r="N581" s="151" t="str"/>
      <x:c r="O581" s="151" t="str"/>
      <x:c r="P581" s="151" t="str"/>
      <x:c r="Q581" s="151" t="str"/>
      <x:c r="R581" s="151" t="str"/>
      <x:c r="S581" s="151" t="str"/>
      <x:c r="T581" s="152" t="n">
        <x:f>IF(COUNTA(O581:S581)=0,"",MAX(0,IF(O581="",0,O581)+IF(P581="",0,P581)-IF(Q581="",0,Q581)-IF(R581="",0,R581)))</x:f>
        <x:v>0</x:v>
      </x:c>
      <x:c r="U581" s="152" t="str">
        <x:f>IF(OR(N581="",Q581=""),"",Q581-N581)</x:f>
      </x:c>
      <x:c r="V581" s="202" t="str">
        <x:f>IFERROR(Q581/N581,"")</x:f>
      </x:c>
      <x:c r="W581" s="137" t="str"/>
      <x:c r="X581" s="137" t="str"/>
      <x:c r="Y581" s="137" t="str"/>
      <x:c r="Z581" s="137" t="str"/>
      <x:c r="AA581" s="137" t="str"/>
      <x:c r="AB581" s="137" t="str"/>
      <x:c r="AC581" s="137" t="str"/>
      <x:c r="AD581" s="199" t="str"/>
    </x:row>
    <x:row r="582">
      <x:c r="A582" s="137" t="str"/>
      <x:c r="B582" s="138" t="str"/>
      <x:c r="C582" s="137" t="str"/>
      <x:c r="D582" s="137" t="str"/>
      <x:c r="E582" s="137" t="str"/>
      <x:c r="F582" s="137" t="str"/>
      <x:c r="G582" s="137" t="str"/>
      <x:c r="H582" s="137" t="str"/>
      <x:c r="I582" s="137" t="str"/>
      <x:c r="J582" s="137" t="str"/>
      <x:c r="K582" s="137" t="str"/>
      <x:c r="L582" s="160" t="str"/>
      <x:c r="M582" s="160" t="str"/>
      <x:c r="N582" s="151" t="str"/>
      <x:c r="O582" s="151" t="str"/>
      <x:c r="P582" s="151" t="str"/>
      <x:c r="Q582" s="151" t="str"/>
      <x:c r="R582" s="151" t="str"/>
      <x:c r="S582" s="151" t="str"/>
      <x:c r="T582" s="152" t="n">
        <x:f>IF(COUNTA(O582:S582)=0,"",MAX(0,IF(O582="",0,O582)+IF(P582="",0,P582)-IF(Q582="",0,Q582)-IF(R582="",0,R582)))</x:f>
        <x:v>0</x:v>
      </x:c>
      <x:c r="U582" s="152" t="str">
        <x:f>IF(OR(N582="",Q582=""),"",Q582-N582)</x:f>
      </x:c>
      <x:c r="V582" s="202" t="str">
        <x:f>IFERROR(Q582/N582,"")</x:f>
      </x:c>
      <x:c r="W582" s="137" t="str"/>
      <x:c r="X582" s="137" t="str"/>
      <x:c r="Y582" s="137" t="str"/>
      <x:c r="Z582" s="137" t="str"/>
      <x:c r="AA582" s="137" t="str"/>
      <x:c r="AB582" s="137" t="str"/>
      <x:c r="AC582" s="137" t="str"/>
      <x:c r="AD582" s="199" t="str"/>
    </x:row>
    <x:row r="583">
      <x:c r="A583" s="137" t="str"/>
      <x:c r="B583" s="138" t="str"/>
      <x:c r="C583" s="137" t="str"/>
      <x:c r="D583" s="137" t="str"/>
      <x:c r="E583" s="137" t="str"/>
      <x:c r="F583" s="137" t="str"/>
      <x:c r="G583" s="137" t="str"/>
      <x:c r="H583" s="137" t="str"/>
      <x:c r="I583" s="137" t="str"/>
      <x:c r="J583" s="137" t="str"/>
      <x:c r="K583" s="137" t="str"/>
      <x:c r="L583" s="160" t="str"/>
      <x:c r="M583" s="160" t="str"/>
      <x:c r="N583" s="151" t="str"/>
      <x:c r="O583" s="151" t="str"/>
      <x:c r="P583" s="151" t="str"/>
      <x:c r="Q583" s="151" t="str"/>
      <x:c r="R583" s="151" t="str"/>
      <x:c r="S583" s="151" t="str"/>
      <x:c r="T583" s="152" t="n">
        <x:f>IF(COUNTA(O583:S583)=0,"",MAX(0,IF(O583="",0,O583)+IF(P583="",0,P583)-IF(Q583="",0,Q583)-IF(R583="",0,R583)))</x:f>
        <x:v>0</x:v>
      </x:c>
      <x:c r="U583" s="152" t="str">
        <x:f>IF(OR(N583="",Q583=""),"",Q583-N583)</x:f>
      </x:c>
      <x:c r="V583" s="202" t="str">
        <x:f>IFERROR(Q583/N583,"")</x:f>
      </x:c>
      <x:c r="W583" s="137" t="str"/>
      <x:c r="X583" s="137" t="str"/>
      <x:c r="Y583" s="137" t="str"/>
      <x:c r="Z583" s="137" t="str"/>
      <x:c r="AA583" s="137" t="str"/>
      <x:c r="AB583" s="137" t="str"/>
      <x:c r="AC583" s="137" t="str"/>
      <x:c r="AD583" s="199" t="str"/>
    </x:row>
    <x:row r="584">
      <x:c r="A584" s="137" t="str"/>
      <x:c r="B584" s="138" t="str"/>
      <x:c r="C584" s="137" t="str"/>
      <x:c r="D584" s="137" t="str"/>
      <x:c r="E584" s="137" t="str"/>
      <x:c r="F584" s="137" t="str"/>
      <x:c r="G584" s="137" t="str"/>
      <x:c r="H584" s="137" t="str"/>
      <x:c r="I584" s="137" t="str"/>
      <x:c r="J584" s="137" t="str"/>
      <x:c r="K584" s="137" t="str"/>
      <x:c r="L584" s="160" t="str"/>
      <x:c r="M584" s="160" t="str"/>
      <x:c r="N584" s="151" t="str"/>
      <x:c r="O584" s="151" t="str"/>
      <x:c r="P584" s="151" t="str"/>
      <x:c r="Q584" s="151" t="str"/>
      <x:c r="R584" s="151" t="str"/>
      <x:c r="S584" s="151" t="str"/>
      <x:c r="T584" s="152" t="n">
        <x:f>IF(COUNTA(O584:S584)=0,"",MAX(0,IF(O584="",0,O584)+IF(P584="",0,P584)-IF(Q584="",0,Q584)-IF(R584="",0,R584)))</x:f>
        <x:v>0</x:v>
      </x:c>
      <x:c r="U584" s="152" t="str">
        <x:f>IF(OR(N584="",Q584=""),"",Q584-N584)</x:f>
      </x:c>
      <x:c r="V584" s="202" t="str">
        <x:f>IFERROR(Q584/N584,"")</x:f>
      </x:c>
      <x:c r="W584" s="137" t="str"/>
      <x:c r="X584" s="137" t="str"/>
      <x:c r="Y584" s="137" t="str"/>
      <x:c r="Z584" s="137" t="str"/>
      <x:c r="AA584" s="137" t="str"/>
      <x:c r="AB584" s="137" t="str"/>
      <x:c r="AC584" s="137" t="str"/>
      <x:c r="AD584" s="199" t="str"/>
    </x:row>
    <x:row r="585">
      <x:c r="A585" s="137" t="str"/>
      <x:c r="B585" s="138" t="str"/>
      <x:c r="C585" s="137" t="str"/>
      <x:c r="D585" s="137" t="str"/>
      <x:c r="E585" s="137" t="str"/>
      <x:c r="F585" s="137" t="str"/>
      <x:c r="G585" s="137" t="str"/>
      <x:c r="H585" s="137" t="str"/>
      <x:c r="I585" s="137" t="str"/>
      <x:c r="J585" s="137" t="str"/>
      <x:c r="K585" s="137" t="str"/>
      <x:c r="L585" s="160" t="str"/>
      <x:c r="M585" s="160" t="str"/>
      <x:c r="N585" s="151" t="str"/>
      <x:c r="O585" s="151" t="str"/>
      <x:c r="P585" s="151" t="str"/>
      <x:c r="Q585" s="151" t="str"/>
      <x:c r="R585" s="151" t="str"/>
      <x:c r="S585" s="151" t="str"/>
      <x:c r="T585" s="152" t="n">
        <x:f>IF(COUNTA(O585:S585)=0,"",MAX(0,IF(O585="",0,O585)+IF(P585="",0,P585)-IF(Q585="",0,Q585)-IF(R585="",0,R585)))</x:f>
        <x:v>0</x:v>
      </x:c>
      <x:c r="U585" s="152" t="str">
        <x:f>IF(OR(N585="",Q585=""),"",Q585-N585)</x:f>
      </x:c>
      <x:c r="V585" s="202" t="str">
        <x:f>IFERROR(Q585/N585,"")</x:f>
      </x:c>
      <x:c r="W585" s="137" t="str"/>
      <x:c r="X585" s="137" t="str"/>
      <x:c r="Y585" s="137" t="str"/>
      <x:c r="Z585" s="137" t="str"/>
      <x:c r="AA585" s="137" t="str"/>
      <x:c r="AB585" s="137" t="str"/>
      <x:c r="AC585" s="137" t="str"/>
      <x:c r="AD585" s="199" t="str"/>
    </x:row>
    <x:row r="586">
      <x:c r="A586" s="137" t="str"/>
      <x:c r="B586" s="138" t="str"/>
      <x:c r="C586" s="137" t="str"/>
      <x:c r="D586" s="137" t="str"/>
      <x:c r="E586" s="137" t="str"/>
      <x:c r="F586" s="137" t="str"/>
      <x:c r="G586" s="137" t="str"/>
      <x:c r="H586" s="137" t="str"/>
      <x:c r="I586" s="137" t="str"/>
      <x:c r="J586" s="137" t="str"/>
      <x:c r="K586" s="137" t="str"/>
      <x:c r="L586" s="160" t="str"/>
      <x:c r="M586" s="160" t="str"/>
      <x:c r="N586" s="151" t="str"/>
      <x:c r="O586" s="151" t="str"/>
      <x:c r="P586" s="151" t="str"/>
      <x:c r="Q586" s="151" t="str"/>
      <x:c r="R586" s="151" t="str"/>
      <x:c r="S586" s="151" t="str"/>
      <x:c r="T586" s="152" t="n">
        <x:f>IF(COUNTA(O586:S586)=0,"",MAX(0,IF(O586="",0,O586)+IF(P586="",0,P586)-IF(Q586="",0,Q586)-IF(R586="",0,R586)))</x:f>
        <x:v>0</x:v>
      </x:c>
      <x:c r="U586" s="152" t="str">
        <x:f>IF(OR(N586="",Q586=""),"",Q586-N586)</x:f>
      </x:c>
      <x:c r="V586" s="202" t="str">
        <x:f>IFERROR(Q586/N586,"")</x:f>
      </x:c>
      <x:c r="W586" s="137" t="str"/>
      <x:c r="X586" s="137" t="str"/>
      <x:c r="Y586" s="137" t="str"/>
      <x:c r="Z586" s="137" t="str"/>
      <x:c r="AA586" s="137" t="str"/>
      <x:c r="AB586" s="137" t="str"/>
      <x:c r="AC586" s="137" t="str"/>
      <x:c r="AD586" s="199" t="str"/>
    </x:row>
    <x:row r="587">
      <x:c r="A587" s="137" t="str"/>
      <x:c r="B587" s="138" t="str"/>
      <x:c r="C587" s="137" t="str"/>
      <x:c r="D587" s="137" t="str"/>
      <x:c r="E587" s="137" t="str"/>
      <x:c r="F587" s="137" t="str"/>
      <x:c r="G587" s="137" t="str"/>
      <x:c r="H587" s="137" t="str"/>
      <x:c r="I587" s="137" t="str"/>
      <x:c r="J587" s="137" t="str"/>
      <x:c r="K587" s="137" t="str"/>
      <x:c r="L587" s="160" t="str"/>
      <x:c r="M587" s="160" t="str"/>
      <x:c r="N587" s="151" t="str"/>
      <x:c r="O587" s="151" t="str"/>
      <x:c r="P587" s="151" t="str"/>
      <x:c r="Q587" s="151" t="str"/>
      <x:c r="R587" s="151" t="str"/>
      <x:c r="S587" s="151" t="str"/>
      <x:c r="T587" s="152" t="n">
        <x:f>IF(COUNTA(O587:S587)=0,"",MAX(0,IF(O587="",0,O587)+IF(P587="",0,P587)-IF(Q587="",0,Q587)-IF(R587="",0,R587)))</x:f>
        <x:v>0</x:v>
      </x:c>
      <x:c r="U587" s="152" t="str">
        <x:f>IF(OR(N587="",Q587=""),"",Q587-N587)</x:f>
      </x:c>
      <x:c r="V587" s="202" t="str">
        <x:f>IFERROR(Q587/N587,"")</x:f>
      </x:c>
      <x:c r="W587" s="137" t="str"/>
      <x:c r="X587" s="137" t="str"/>
      <x:c r="Y587" s="137" t="str"/>
      <x:c r="Z587" s="137" t="str"/>
      <x:c r="AA587" s="137" t="str"/>
      <x:c r="AB587" s="137" t="str"/>
      <x:c r="AC587" s="137" t="str"/>
      <x:c r="AD587" s="199" t="str"/>
    </x:row>
    <x:row r="588">
      <x:c r="A588" s="137" t="str"/>
      <x:c r="B588" s="138" t="str"/>
      <x:c r="C588" s="137" t="str"/>
      <x:c r="D588" s="137" t="str"/>
      <x:c r="E588" s="137" t="str"/>
      <x:c r="F588" s="137" t="str"/>
      <x:c r="G588" s="137" t="str"/>
      <x:c r="H588" s="137" t="str"/>
      <x:c r="I588" s="137" t="str"/>
      <x:c r="J588" s="137" t="str"/>
      <x:c r="K588" s="137" t="str"/>
      <x:c r="L588" s="160" t="str"/>
      <x:c r="M588" s="160" t="str"/>
      <x:c r="N588" s="151" t="str"/>
      <x:c r="O588" s="151" t="str"/>
      <x:c r="P588" s="151" t="str"/>
      <x:c r="Q588" s="151" t="str"/>
      <x:c r="R588" s="151" t="str"/>
      <x:c r="S588" s="151" t="str"/>
      <x:c r="T588" s="152" t="n">
        <x:f>IF(COUNTA(O588:S588)=0,"",MAX(0,IF(O588="",0,O588)+IF(P588="",0,P588)-IF(Q588="",0,Q588)-IF(R588="",0,R588)))</x:f>
        <x:v>0</x:v>
      </x:c>
      <x:c r="U588" s="152" t="str">
        <x:f>IF(OR(N588="",Q588=""),"",Q588-N588)</x:f>
      </x:c>
      <x:c r="V588" s="202" t="str">
        <x:f>IFERROR(Q588/N588,"")</x:f>
      </x:c>
      <x:c r="W588" s="137" t="str"/>
      <x:c r="X588" s="137" t="str"/>
      <x:c r="Y588" s="137" t="str"/>
      <x:c r="Z588" s="137" t="str"/>
      <x:c r="AA588" s="137" t="str"/>
      <x:c r="AB588" s="137" t="str"/>
      <x:c r="AC588" s="137" t="str"/>
      <x:c r="AD588" s="199" t="str"/>
    </x:row>
    <x:row r="589">
      <x:c r="A589" s="137" t="str"/>
      <x:c r="B589" s="138" t="str"/>
      <x:c r="C589" s="137" t="str"/>
      <x:c r="D589" s="137" t="str"/>
      <x:c r="E589" s="137" t="str"/>
      <x:c r="F589" s="137" t="str"/>
      <x:c r="G589" s="137" t="str"/>
      <x:c r="H589" s="137" t="str"/>
      <x:c r="I589" s="137" t="str"/>
      <x:c r="J589" s="137" t="str"/>
      <x:c r="K589" s="137" t="str"/>
      <x:c r="L589" s="160" t="str"/>
      <x:c r="M589" s="160" t="str"/>
      <x:c r="N589" s="151" t="str"/>
      <x:c r="O589" s="151" t="str"/>
      <x:c r="P589" s="151" t="str"/>
      <x:c r="Q589" s="151" t="str"/>
      <x:c r="R589" s="151" t="str"/>
      <x:c r="S589" s="151" t="str"/>
      <x:c r="T589" s="152" t="n">
        <x:f>IF(COUNTA(O589:S589)=0,"",MAX(0,IF(O589="",0,O589)+IF(P589="",0,P589)-IF(Q589="",0,Q589)-IF(R589="",0,R589)))</x:f>
        <x:v>0</x:v>
      </x:c>
      <x:c r="U589" s="152" t="str">
        <x:f>IF(OR(N589="",Q589=""),"",Q589-N589)</x:f>
      </x:c>
      <x:c r="V589" s="202" t="str">
        <x:f>IFERROR(Q589/N589,"")</x:f>
      </x:c>
      <x:c r="W589" s="137" t="str"/>
      <x:c r="X589" s="137" t="str"/>
      <x:c r="Y589" s="137" t="str"/>
      <x:c r="Z589" s="137" t="str"/>
      <x:c r="AA589" s="137" t="str"/>
      <x:c r="AB589" s="137" t="str"/>
      <x:c r="AC589" s="137" t="str"/>
      <x:c r="AD589" s="199" t="str"/>
    </x:row>
    <x:row r="590">
      <x:c r="A590" s="137" t="str"/>
      <x:c r="B590" s="138" t="str"/>
      <x:c r="C590" s="137" t="str"/>
      <x:c r="D590" s="137" t="str"/>
      <x:c r="E590" s="137" t="str"/>
      <x:c r="F590" s="137" t="str"/>
      <x:c r="G590" s="137" t="str"/>
      <x:c r="H590" s="137" t="str"/>
      <x:c r="I590" s="137" t="str"/>
      <x:c r="J590" s="137" t="str"/>
      <x:c r="K590" s="137" t="str"/>
      <x:c r="L590" s="160" t="str"/>
      <x:c r="M590" s="160" t="str"/>
      <x:c r="N590" s="151" t="str"/>
      <x:c r="O590" s="151" t="str"/>
      <x:c r="P590" s="151" t="str"/>
      <x:c r="Q590" s="151" t="str"/>
      <x:c r="R590" s="151" t="str"/>
      <x:c r="S590" s="151" t="str"/>
      <x:c r="T590" s="152" t="n">
        <x:f>IF(COUNTA(O590:S590)=0,"",MAX(0,IF(O590="",0,O590)+IF(P590="",0,P590)-IF(Q590="",0,Q590)-IF(R590="",0,R590)))</x:f>
        <x:v>0</x:v>
      </x:c>
      <x:c r="U590" s="152" t="str">
        <x:f>IF(OR(N590="",Q590=""),"",Q590-N590)</x:f>
      </x:c>
      <x:c r="V590" s="202" t="str">
        <x:f>IFERROR(Q590/N590,"")</x:f>
      </x:c>
      <x:c r="W590" s="137" t="str"/>
      <x:c r="X590" s="137" t="str"/>
      <x:c r="Y590" s="137" t="str"/>
      <x:c r="Z590" s="137" t="str"/>
      <x:c r="AA590" s="137" t="str"/>
      <x:c r="AB590" s="137" t="str"/>
      <x:c r="AC590" s="137" t="str"/>
      <x:c r="AD590" s="199" t="str"/>
    </x:row>
    <x:row r="591">
      <x:c r="A591" s="137" t="str"/>
      <x:c r="B591" s="138" t="str"/>
      <x:c r="C591" s="137" t="str"/>
      <x:c r="D591" s="137" t="str"/>
      <x:c r="E591" s="137" t="str"/>
      <x:c r="F591" s="137" t="str"/>
      <x:c r="G591" s="137" t="str"/>
      <x:c r="H591" s="137" t="str"/>
      <x:c r="I591" s="137" t="str"/>
      <x:c r="J591" s="137" t="str"/>
      <x:c r="K591" s="137" t="str"/>
      <x:c r="L591" s="160" t="str"/>
      <x:c r="M591" s="160" t="str"/>
      <x:c r="N591" s="151" t="str"/>
      <x:c r="O591" s="151" t="str"/>
      <x:c r="P591" s="151" t="str"/>
      <x:c r="Q591" s="151" t="str"/>
      <x:c r="R591" s="151" t="str"/>
      <x:c r="S591" s="151" t="str"/>
      <x:c r="T591" s="152" t="n">
        <x:f>IF(COUNTA(O591:S591)=0,"",MAX(0,IF(O591="",0,O591)+IF(P591="",0,P591)-IF(Q591="",0,Q591)-IF(R591="",0,R591)))</x:f>
        <x:v>0</x:v>
      </x:c>
      <x:c r="U591" s="152" t="str">
        <x:f>IF(OR(N591="",Q591=""),"",Q591-N591)</x:f>
      </x:c>
      <x:c r="V591" s="202" t="str">
        <x:f>IFERROR(Q591/N591,"")</x:f>
      </x:c>
      <x:c r="W591" s="137" t="str"/>
      <x:c r="X591" s="137" t="str"/>
      <x:c r="Y591" s="137" t="str"/>
      <x:c r="Z591" s="137" t="str"/>
      <x:c r="AA591" s="137" t="str"/>
      <x:c r="AB591" s="137" t="str"/>
      <x:c r="AC591" s="137" t="str"/>
      <x:c r="AD591" s="199" t="str"/>
    </x:row>
    <x:row r="592">
      <x:c r="A592" s="137" t="str"/>
      <x:c r="B592" s="138" t="str"/>
      <x:c r="C592" s="137" t="str"/>
      <x:c r="D592" s="137" t="str"/>
      <x:c r="E592" s="137" t="str"/>
      <x:c r="F592" s="137" t="str"/>
      <x:c r="G592" s="137" t="str"/>
      <x:c r="H592" s="137" t="str"/>
      <x:c r="I592" s="137" t="str"/>
      <x:c r="J592" s="137" t="str"/>
      <x:c r="K592" s="137" t="str"/>
      <x:c r="L592" s="160" t="str"/>
      <x:c r="M592" s="160" t="str"/>
      <x:c r="N592" s="151" t="str"/>
      <x:c r="O592" s="151" t="str"/>
      <x:c r="P592" s="151" t="str"/>
      <x:c r="Q592" s="151" t="str"/>
      <x:c r="R592" s="151" t="str"/>
      <x:c r="S592" s="151" t="str"/>
      <x:c r="T592" s="152" t="n">
        <x:f>IF(COUNTA(O592:S592)=0,"",MAX(0,IF(O592="",0,O592)+IF(P592="",0,P592)-IF(Q592="",0,Q592)-IF(R592="",0,R592)))</x:f>
        <x:v>0</x:v>
      </x:c>
      <x:c r="U592" s="152" t="str">
        <x:f>IF(OR(N592="",Q592=""),"",Q592-N592)</x:f>
      </x:c>
      <x:c r="V592" s="202" t="str">
        <x:f>IFERROR(Q592/N592,"")</x:f>
      </x:c>
      <x:c r="W592" s="137" t="str"/>
      <x:c r="X592" s="137" t="str"/>
      <x:c r="Y592" s="137" t="str"/>
      <x:c r="Z592" s="137" t="str"/>
      <x:c r="AA592" s="137" t="str"/>
      <x:c r="AB592" s="137" t="str"/>
      <x:c r="AC592" s="137" t="str"/>
      <x:c r="AD592" s="199" t="str"/>
    </x:row>
    <x:row r="593">
      <x:c r="A593" s="137" t="str"/>
      <x:c r="B593" s="138" t="str"/>
      <x:c r="C593" s="137" t="str"/>
      <x:c r="D593" s="137" t="str"/>
      <x:c r="E593" s="137" t="str"/>
      <x:c r="F593" s="137" t="str"/>
      <x:c r="G593" s="137" t="str"/>
      <x:c r="H593" s="137" t="str"/>
      <x:c r="I593" s="137" t="str"/>
      <x:c r="J593" s="137" t="str"/>
      <x:c r="K593" s="137" t="str"/>
      <x:c r="L593" s="160" t="str"/>
      <x:c r="M593" s="160" t="str"/>
      <x:c r="N593" s="151" t="str"/>
      <x:c r="O593" s="151" t="str"/>
      <x:c r="P593" s="151" t="str"/>
      <x:c r="Q593" s="151" t="str"/>
      <x:c r="R593" s="151" t="str"/>
      <x:c r="S593" s="151" t="str"/>
      <x:c r="T593" s="152" t="n">
        <x:f>IF(COUNTA(O593:S593)=0,"",MAX(0,IF(O593="",0,O593)+IF(P593="",0,P593)-IF(Q593="",0,Q593)-IF(R593="",0,R593)))</x:f>
        <x:v>0</x:v>
      </x:c>
      <x:c r="U593" s="152" t="str">
        <x:f>IF(OR(N593="",Q593=""),"",Q593-N593)</x:f>
      </x:c>
      <x:c r="V593" s="202" t="str">
        <x:f>IFERROR(Q593/N593,"")</x:f>
      </x:c>
      <x:c r="W593" s="137" t="str"/>
      <x:c r="X593" s="137" t="str"/>
      <x:c r="Y593" s="137" t="str"/>
      <x:c r="Z593" s="137" t="str"/>
      <x:c r="AA593" s="137" t="str"/>
      <x:c r="AB593" s="137" t="str"/>
      <x:c r="AC593" s="137" t="str"/>
      <x:c r="AD593" s="199" t="str"/>
    </x:row>
    <x:row r="594">
      <x:c r="A594" s="137" t="str"/>
      <x:c r="B594" s="138" t="str"/>
      <x:c r="C594" s="137" t="str"/>
      <x:c r="D594" s="137" t="str"/>
      <x:c r="E594" s="137" t="str"/>
      <x:c r="F594" s="137" t="str"/>
      <x:c r="G594" s="137" t="str"/>
      <x:c r="H594" s="137" t="str"/>
      <x:c r="I594" s="137" t="str"/>
      <x:c r="J594" s="137" t="str"/>
      <x:c r="K594" s="137" t="str"/>
      <x:c r="L594" s="160" t="str"/>
      <x:c r="M594" s="160" t="str"/>
      <x:c r="N594" s="151" t="str"/>
      <x:c r="O594" s="151" t="str"/>
      <x:c r="P594" s="151" t="str"/>
      <x:c r="Q594" s="151" t="str"/>
      <x:c r="R594" s="151" t="str"/>
      <x:c r="S594" s="151" t="str"/>
      <x:c r="T594" s="152" t="n">
        <x:f>IF(COUNTA(O594:S594)=0,"",MAX(0,IF(O594="",0,O594)+IF(P594="",0,P594)-IF(Q594="",0,Q594)-IF(R594="",0,R594)))</x:f>
        <x:v>0</x:v>
      </x:c>
      <x:c r="U594" s="152" t="str">
        <x:f>IF(OR(N594="",Q594=""),"",Q594-N594)</x:f>
      </x:c>
      <x:c r="V594" s="202" t="str">
        <x:f>IFERROR(Q594/N594,"")</x:f>
      </x:c>
      <x:c r="W594" s="137" t="str"/>
      <x:c r="X594" s="137" t="str"/>
      <x:c r="Y594" s="137" t="str"/>
      <x:c r="Z594" s="137" t="str"/>
      <x:c r="AA594" s="137" t="str"/>
      <x:c r="AB594" s="137" t="str"/>
      <x:c r="AC594" s="137" t="str"/>
      <x:c r="AD594" s="199" t="str"/>
    </x:row>
    <x:row r="595">
      <x:c r="A595" s="137" t="str"/>
      <x:c r="B595" s="138" t="str"/>
      <x:c r="C595" s="137" t="str"/>
      <x:c r="D595" s="137" t="str"/>
      <x:c r="E595" s="137" t="str"/>
      <x:c r="F595" s="137" t="str"/>
      <x:c r="G595" s="137" t="str"/>
      <x:c r="H595" s="137" t="str"/>
      <x:c r="I595" s="137" t="str"/>
      <x:c r="J595" s="137" t="str"/>
      <x:c r="K595" s="137" t="str"/>
      <x:c r="L595" s="160" t="str"/>
      <x:c r="M595" s="160" t="str"/>
      <x:c r="N595" s="151" t="str"/>
      <x:c r="O595" s="151" t="str"/>
      <x:c r="P595" s="151" t="str"/>
      <x:c r="Q595" s="151" t="str"/>
      <x:c r="R595" s="151" t="str"/>
      <x:c r="S595" s="151" t="str"/>
      <x:c r="T595" s="152" t="n">
        <x:f>IF(COUNTA(O595:S595)=0,"",MAX(0,IF(O595="",0,O595)+IF(P595="",0,P595)-IF(Q595="",0,Q595)-IF(R595="",0,R595)))</x:f>
        <x:v>0</x:v>
      </x:c>
      <x:c r="U595" s="152" t="str">
        <x:f>IF(OR(N595="",Q595=""),"",Q595-N595)</x:f>
      </x:c>
      <x:c r="V595" s="202" t="str">
        <x:f>IFERROR(Q595/N595,"")</x:f>
      </x:c>
      <x:c r="W595" s="137" t="str"/>
      <x:c r="X595" s="137" t="str"/>
      <x:c r="Y595" s="137" t="str"/>
      <x:c r="Z595" s="137" t="str"/>
      <x:c r="AA595" s="137" t="str"/>
      <x:c r="AB595" s="137" t="str"/>
      <x:c r="AC595" s="137" t="str"/>
      <x:c r="AD595" s="199" t="str"/>
    </x:row>
    <x:row r="596">
      <x:c r="A596" s="137" t="str"/>
      <x:c r="B596" s="138" t="str"/>
      <x:c r="C596" s="137" t="str"/>
      <x:c r="D596" s="137" t="str"/>
      <x:c r="E596" s="137" t="str"/>
      <x:c r="F596" s="137" t="str"/>
      <x:c r="G596" s="137" t="str"/>
      <x:c r="H596" s="137" t="str"/>
      <x:c r="I596" s="137" t="str"/>
      <x:c r="J596" s="137" t="str"/>
      <x:c r="K596" s="137" t="str"/>
      <x:c r="L596" s="160" t="str"/>
      <x:c r="M596" s="160" t="str"/>
      <x:c r="N596" s="151" t="str"/>
      <x:c r="O596" s="151" t="str"/>
      <x:c r="P596" s="151" t="str"/>
      <x:c r="Q596" s="151" t="str"/>
      <x:c r="R596" s="151" t="str"/>
      <x:c r="S596" s="151" t="str"/>
      <x:c r="T596" s="152" t="n">
        <x:f>IF(COUNTA(O596:S596)=0,"",MAX(0,IF(O596="",0,O596)+IF(P596="",0,P596)-IF(Q596="",0,Q596)-IF(R596="",0,R596)))</x:f>
        <x:v>0</x:v>
      </x:c>
      <x:c r="U596" s="152" t="str">
        <x:f>IF(OR(N596="",Q596=""),"",Q596-N596)</x:f>
      </x:c>
      <x:c r="V596" s="202" t="str">
        <x:f>IFERROR(Q596/N596,"")</x:f>
      </x:c>
      <x:c r="W596" s="137" t="str"/>
      <x:c r="X596" s="137" t="str"/>
      <x:c r="Y596" s="137" t="str"/>
      <x:c r="Z596" s="137" t="str"/>
      <x:c r="AA596" s="137" t="str"/>
      <x:c r="AB596" s="137" t="str"/>
      <x:c r="AC596" s="137" t="str"/>
      <x:c r="AD596" s="199" t="str"/>
    </x:row>
    <x:row r="597">
      <x:c r="A597" s="137" t="str"/>
      <x:c r="B597" s="138" t="str"/>
      <x:c r="C597" s="137" t="str"/>
      <x:c r="D597" s="137" t="str"/>
      <x:c r="E597" s="137" t="str"/>
      <x:c r="F597" s="137" t="str"/>
      <x:c r="G597" s="137" t="str"/>
      <x:c r="H597" s="137" t="str"/>
      <x:c r="I597" s="137" t="str"/>
      <x:c r="J597" s="137" t="str"/>
      <x:c r="K597" s="137" t="str"/>
      <x:c r="L597" s="160" t="str"/>
      <x:c r="M597" s="160" t="str"/>
      <x:c r="N597" s="151" t="str"/>
      <x:c r="O597" s="151" t="str"/>
      <x:c r="P597" s="151" t="str"/>
      <x:c r="Q597" s="151" t="str"/>
      <x:c r="R597" s="151" t="str"/>
      <x:c r="S597" s="151" t="str"/>
      <x:c r="T597" s="152" t="n">
        <x:f>IF(COUNTA(O597:S597)=0,"",MAX(0,IF(O597="",0,O597)+IF(P597="",0,P597)-IF(Q597="",0,Q597)-IF(R597="",0,R597)))</x:f>
        <x:v>0</x:v>
      </x:c>
      <x:c r="U597" s="152" t="str">
        <x:f>IF(OR(N597="",Q597=""),"",Q597-N597)</x:f>
      </x:c>
      <x:c r="V597" s="202" t="str">
        <x:f>IFERROR(Q597/N597,"")</x:f>
      </x:c>
      <x:c r="W597" s="137" t="str"/>
      <x:c r="X597" s="137" t="str"/>
      <x:c r="Y597" s="137" t="str"/>
      <x:c r="Z597" s="137" t="str"/>
      <x:c r="AA597" s="137" t="str"/>
      <x:c r="AB597" s="137" t="str"/>
      <x:c r="AC597" s="137" t="str"/>
      <x:c r="AD597" s="199" t="str"/>
    </x:row>
    <x:row r="598">
      <x:c r="A598" s="137" t="str"/>
      <x:c r="B598" s="138" t="str"/>
      <x:c r="C598" s="137" t="str"/>
      <x:c r="D598" s="137" t="str"/>
      <x:c r="E598" s="137" t="str"/>
      <x:c r="F598" s="137" t="str"/>
      <x:c r="G598" s="137" t="str"/>
      <x:c r="H598" s="137" t="str"/>
      <x:c r="I598" s="137" t="str"/>
      <x:c r="J598" s="137" t="str"/>
      <x:c r="K598" s="137" t="str"/>
      <x:c r="L598" s="160" t="str"/>
      <x:c r="M598" s="160" t="str"/>
      <x:c r="N598" s="151" t="str"/>
      <x:c r="O598" s="151" t="str"/>
      <x:c r="P598" s="151" t="str"/>
      <x:c r="Q598" s="151" t="str"/>
      <x:c r="R598" s="151" t="str"/>
      <x:c r="S598" s="151" t="str"/>
      <x:c r="T598" s="152" t="n">
        <x:f>IF(COUNTA(O598:S598)=0,"",MAX(0,IF(O598="",0,O598)+IF(P598="",0,P598)-IF(Q598="",0,Q598)-IF(R598="",0,R598)))</x:f>
        <x:v>0</x:v>
      </x:c>
      <x:c r="U598" s="152" t="str">
        <x:f>IF(OR(N598="",Q598=""),"",Q598-N598)</x:f>
      </x:c>
      <x:c r="V598" s="202" t="str">
        <x:f>IFERROR(Q598/N598,"")</x:f>
      </x:c>
      <x:c r="W598" s="137" t="str"/>
      <x:c r="X598" s="137" t="str"/>
      <x:c r="Y598" s="137" t="str"/>
      <x:c r="Z598" s="137" t="str"/>
      <x:c r="AA598" s="137" t="str"/>
      <x:c r="AB598" s="137" t="str"/>
      <x:c r="AC598" s="137" t="str"/>
      <x:c r="AD598" s="199" t="str"/>
    </x:row>
    <x:row r="599">
      <x:c r="A599" s="137" t="str"/>
      <x:c r="B599" s="138" t="str"/>
      <x:c r="C599" s="137" t="str"/>
      <x:c r="D599" s="137" t="str"/>
      <x:c r="E599" s="137" t="str"/>
      <x:c r="F599" s="137" t="str"/>
      <x:c r="G599" s="137" t="str"/>
      <x:c r="H599" s="137" t="str"/>
      <x:c r="I599" s="137" t="str"/>
      <x:c r="J599" s="137" t="str"/>
      <x:c r="K599" s="137" t="str"/>
      <x:c r="L599" s="160" t="str"/>
      <x:c r="M599" s="160" t="str"/>
      <x:c r="N599" s="151" t="str"/>
      <x:c r="O599" s="151" t="str"/>
      <x:c r="P599" s="151" t="str"/>
      <x:c r="Q599" s="151" t="str"/>
      <x:c r="R599" s="151" t="str"/>
      <x:c r="S599" s="151" t="str"/>
      <x:c r="T599" s="152" t="n">
        <x:f>IF(COUNTA(O599:S599)=0,"",MAX(0,IF(O599="",0,O599)+IF(P599="",0,P599)-IF(Q599="",0,Q599)-IF(R599="",0,R599)))</x:f>
        <x:v>0</x:v>
      </x:c>
      <x:c r="U599" s="152" t="str">
        <x:f>IF(OR(N599="",Q599=""),"",Q599-N599)</x:f>
      </x:c>
      <x:c r="V599" s="202" t="str">
        <x:f>IFERROR(Q599/N599,"")</x:f>
      </x:c>
      <x:c r="W599" s="137" t="str"/>
      <x:c r="X599" s="137" t="str"/>
      <x:c r="Y599" s="137" t="str"/>
      <x:c r="Z599" s="137" t="str"/>
      <x:c r="AA599" s="137" t="str"/>
      <x:c r="AB599" s="137" t="str"/>
      <x:c r="AC599" s="137" t="str"/>
      <x:c r="AD599" s="199" t="str"/>
    </x:row>
    <x:row r="600">
      <x:c r="A600" s="137" t="str"/>
      <x:c r="B600" s="138" t="str"/>
      <x:c r="C600" s="137" t="str"/>
      <x:c r="D600" s="137" t="str"/>
      <x:c r="E600" s="137" t="str"/>
      <x:c r="F600" s="137" t="str"/>
      <x:c r="G600" s="137" t="str"/>
      <x:c r="H600" s="137" t="str"/>
      <x:c r="I600" s="137" t="str"/>
      <x:c r="J600" s="137" t="str"/>
      <x:c r="K600" s="137" t="str"/>
      <x:c r="L600" s="160" t="str"/>
      <x:c r="M600" s="160" t="str"/>
      <x:c r="N600" s="151" t="str"/>
      <x:c r="O600" s="151" t="str"/>
      <x:c r="P600" s="151" t="str"/>
      <x:c r="Q600" s="151" t="str"/>
      <x:c r="R600" s="151" t="str"/>
      <x:c r="S600" s="151" t="str"/>
      <x:c r="T600" s="152" t="n">
        <x:f>IF(COUNTA(O600:S600)=0,"",MAX(0,IF(O600="",0,O600)+IF(P600="",0,P600)-IF(Q600="",0,Q600)-IF(R600="",0,R600)))</x:f>
        <x:v>0</x:v>
      </x:c>
      <x:c r="U600" s="152" t="str">
        <x:f>IF(OR(N600="",Q600=""),"",Q600-N600)</x:f>
      </x:c>
      <x:c r="V600" s="202" t="str">
        <x:f>IFERROR(Q600/N600,"")</x:f>
      </x:c>
      <x:c r="W600" s="137" t="str"/>
      <x:c r="X600" s="137" t="str"/>
      <x:c r="Y600" s="137" t="str"/>
      <x:c r="Z600" s="137" t="str"/>
      <x:c r="AA600" s="137" t="str"/>
      <x:c r="AB600" s="137" t="str"/>
      <x:c r="AC600" s="137" t="str"/>
      <x:c r="AD600" s="199" t="str"/>
    </x:row>
    <x:row r="601">
      <x:c r="A601" s="137" t="str"/>
      <x:c r="B601" s="138" t="str"/>
      <x:c r="C601" s="137" t="str"/>
      <x:c r="D601" s="137" t="str"/>
      <x:c r="E601" s="137" t="str"/>
      <x:c r="F601" s="137" t="str"/>
      <x:c r="G601" s="137" t="str"/>
      <x:c r="H601" s="137" t="str"/>
      <x:c r="I601" s="137" t="str"/>
      <x:c r="J601" s="137" t="str"/>
      <x:c r="K601" s="137" t="str"/>
      <x:c r="L601" s="160" t="str"/>
      <x:c r="M601" s="160" t="str"/>
      <x:c r="N601" s="151" t="str"/>
      <x:c r="O601" s="151" t="str"/>
      <x:c r="P601" s="151" t="str"/>
      <x:c r="Q601" s="151" t="str"/>
      <x:c r="R601" s="151" t="str"/>
      <x:c r="S601" s="151" t="str"/>
      <x:c r="T601" s="152" t="n">
        <x:f>IF(COUNTA(O601:S601)=0,"",MAX(0,IF(O601="",0,O601)+IF(P601="",0,P601)-IF(Q601="",0,Q601)-IF(R601="",0,R601)))</x:f>
        <x:v>0</x:v>
      </x:c>
      <x:c r="U601" s="152" t="str">
        <x:f>IF(OR(N601="",Q601=""),"",Q601-N601)</x:f>
      </x:c>
      <x:c r="V601" s="202" t="str">
        <x:f>IFERROR(Q601/N601,"")</x:f>
      </x:c>
      <x:c r="W601" s="137" t="str"/>
      <x:c r="X601" s="137" t="str"/>
      <x:c r="Y601" s="137" t="str"/>
      <x:c r="Z601" s="137" t="str"/>
      <x:c r="AA601" s="137" t="str"/>
      <x:c r="AB601" s="137" t="str"/>
      <x:c r="AC601" s="137" t="str"/>
      <x:c r="AD601" s="199" t="str"/>
    </x:row>
    <x:row r="602">
      <x:c r="A602" s="137" t="str"/>
      <x:c r="B602" s="138" t="str"/>
      <x:c r="C602" s="137" t="str"/>
      <x:c r="D602" s="137" t="str"/>
      <x:c r="E602" s="137" t="str"/>
      <x:c r="F602" s="137" t="str"/>
      <x:c r="G602" s="137" t="str"/>
      <x:c r="H602" s="137" t="str"/>
      <x:c r="I602" s="137" t="str"/>
      <x:c r="J602" s="137" t="str"/>
      <x:c r="K602" s="137" t="str"/>
      <x:c r="L602" s="160" t="str"/>
      <x:c r="M602" s="160" t="str"/>
      <x:c r="N602" s="151" t="str"/>
      <x:c r="O602" s="151" t="str"/>
      <x:c r="P602" s="151" t="str"/>
      <x:c r="Q602" s="151" t="str"/>
      <x:c r="R602" s="151" t="str"/>
      <x:c r="S602" s="151" t="str"/>
      <x:c r="T602" s="152" t="n">
        <x:f>IF(COUNTA(O602:S602)=0,"",MAX(0,IF(O602="",0,O602)+IF(P602="",0,P602)-IF(Q602="",0,Q602)-IF(R602="",0,R602)))</x:f>
        <x:v>0</x:v>
      </x:c>
      <x:c r="U602" s="152" t="str">
        <x:f>IF(OR(N602="",Q602=""),"",Q602-N602)</x:f>
      </x:c>
      <x:c r="V602" s="202" t="str">
        <x:f>IFERROR(Q602/N602,"")</x:f>
      </x:c>
      <x:c r="W602" s="137" t="str"/>
      <x:c r="X602" s="137" t="str"/>
      <x:c r="Y602" s="137" t="str"/>
      <x:c r="Z602" s="137" t="str"/>
      <x:c r="AA602" s="137" t="str"/>
      <x:c r="AB602" s="137" t="str"/>
      <x:c r="AC602" s="137" t="str"/>
      <x:c r="AD602" s="199" t="str"/>
    </x:row>
    <x:row r="603">
      <x:c r="A603" s="137" t="str"/>
      <x:c r="B603" s="138" t="str"/>
      <x:c r="C603" s="137" t="str"/>
      <x:c r="D603" s="137" t="str"/>
      <x:c r="E603" s="137" t="str"/>
      <x:c r="F603" s="137" t="str"/>
      <x:c r="G603" s="137" t="str"/>
      <x:c r="H603" s="137" t="str"/>
      <x:c r="I603" s="137" t="str"/>
      <x:c r="J603" s="137" t="str"/>
      <x:c r="K603" s="137" t="str"/>
      <x:c r="L603" s="160" t="str"/>
      <x:c r="M603" s="160" t="str"/>
      <x:c r="N603" s="151" t="str"/>
      <x:c r="O603" s="151" t="str"/>
      <x:c r="P603" s="151" t="str"/>
      <x:c r="Q603" s="151" t="str"/>
      <x:c r="R603" s="151" t="str"/>
      <x:c r="S603" s="151" t="str"/>
      <x:c r="T603" s="152" t="n">
        <x:f>IF(COUNTA(O603:S603)=0,"",MAX(0,IF(O603="",0,O603)+IF(P603="",0,P603)-IF(Q603="",0,Q603)-IF(R603="",0,R603)))</x:f>
        <x:v>0</x:v>
      </x:c>
      <x:c r="U603" s="152" t="str">
        <x:f>IF(OR(N603="",Q603=""),"",Q603-N603)</x:f>
      </x:c>
      <x:c r="V603" s="202" t="str">
        <x:f>IFERROR(Q603/N603,"")</x:f>
      </x:c>
      <x:c r="W603" s="137" t="str"/>
      <x:c r="X603" s="137" t="str"/>
      <x:c r="Y603" s="137" t="str"/>
      <x:c r="Z603" s="137" t="str"/>
      <x:c r="AA603" s="137" t="str"/>
      <x:c r="AB603" s="137" t="str"/>
      <x:c r="AC603" s="137" t="str"/>
      <x:c r="AD603" s="199" t="str"/>
    </x:row>
    <x:row r="604">
      <x:c r="A604" s="137" t="str"/>
      <x:c r="B604" s="138" t="str"/>
      <x:c r="C604" s="137" t="str"/>
      <x:c r="D604" s="137" t="str"/>
      <x:c r="E604" s="137" t="str"/>
      <x:c r="F604" s="137" t="str"/>
      <x:c r="G604" s="137" t="str"/>
      <x:c r="H604" s="137" t="str"/>
      <x:c r="I604" s="137" t="str"/>
      <x:c r="J604" s="137" t="str"/>
      <x:c r="K604" s="137" t="str"/>
      <x:c r="L604" s="160" t="str"/>
      <x:c r="M604" s="160" t="str"/>
      <x:c r="N604" s="151" t="str"/>
      <x:c r="O604" s="151" t="str"/>
      <x:c r="P604" s="151" t="str"/>
      <x:c r="Q604" s="151" t="str"/>
      <x:c r="R604" s="151" t="str"/>
      <x:c r="S604" s="151" t="str"/>
      <x:c r="T604" s="152" t="n">
        <x:f>IF(COUNTA(O604:S604)=0,"",MAX(0,IF(O604="",0,O604)+IF(P604="",0,P604)-IF(Q604="",0,Q604)-IF(R604="",0,R604)))</x:f>
        <x:v>0</x:v>
      </x:c>
      <x:c r="U604" s="152" t="str">
        <x:f>IF(OR(N604="",Q604=""),"",Q604-N604)</x:f>
      </x:c>
      <x:c r="V604" s="202" t="str">
        <x:f>IFERROR(Q604/N604,"")</x:f>
      </x:c>
      <x:c r="W604" s="137" t="str"/>
      <x:c r="X604" s="137" t="str"/>
      <x:c r="Y604" s="137" t="str"/>
      <x:c r="Z604" s="137" t="str"/>
      <x:c r="AA604" s="137" t="str"/>
      <x:c r="AB604" s="137" t="str"/>
      <x:c r="AC604" s="137" t="str"/>
      <x:c r="AD604" s="199" t="str"/>
    </x:row>
    <x:row r="605">
      <x:c r="A605" s="137" t="str"/>
      <x:c r="B605" s="138" t="str"/>
      <x:c r="C605" s="137" t="str"/>
      <x:c r="D605" s="137" t="str"/>
      <x:c r="E605" s="137" t="str"/>
      <x:c r="F605" s="137" t="str"/>
      <x:c r="G605" s="137" t="str"/>
      <x:c r="H605" s="137" t="str"/>
      <x:c r="I605" s="137" t="str"/>
      <x:c r="J605" s="137" t="str"/>
      <x:c r="K605" s="137" t="str"/>
      <x:c r="L605" s="160" t="str"/>
      <x:c r="M605" s="160" t="str"/>
      <x:c r="N605" s="151" t="str"/>
      <x:c r="O605" s="151" t="str"/>
      <x:c r="P605" s="151" t="str"/>
      <x:c r="Q605" s="151" t="str"/>
      <x:c r="R605" s="151" t="str"/>
      <x:c r="S605" s="151" t="str"/>
      <x:c r="T605" s="152" t="n">
        <x:f>IF(COUNTA(O605:S605)=0,"",MAX(0,IF(O605="",0,O605)+IF(P605="",0,P605)-IF(Q605="",0,Q605)-IF(R605="",0,R605)))</x:f>
        <x:v>0</x:v>
      </x:c>
      <x:c r="U605" s="152" t="str">
        <x:f>IF(OR(N605="",Q605=""),"",Q605-N605)</x:f>
      </x:c>
      <x:c r="V605" s="202" t="str">
        <x:f>IFERROR(Q605/N605,"")</x:f>
      </x:c>
      <x:c r="W605" s="137" t="str"/>
      <x:c r="X605" s="137" t="str"/>
      <x:c r="Y605" s="137" t="str"/>
      <x:c r="Z605" s="137" t="str"/>
      <x:c r="AA605" s="137" t="str"/>
      <x:c r="AB605" s="137" t="str"/>
      <x:c r="AC605" s="137" t="str"/>
      <x:c r="AD605" s="199" t="str"/>
    </x:row>
    <x:row r="606">
      <x:c r="A606" s="137" t="str"/>
      <x:c r="B606" s="138" t="str"/>
      <x:c r="C606" s="137" t="str"/>
      <x:c r="D606" s="137" t="str"/>
      <x:c r="E606" s="137" t="str"/>
      <x:c r="F606" s="137" t="str"/>
      <x:c r="G606" s="137" t="str"/>
      <x:c r="H606" s="137" t="str"/>
      <x:c r="I606" s="137" t="str"/>
      <x:c r="J606" s="137" t="str"/>
      <x:c r="K606" s="137" t="str"/>
      <x:c r="L606" s="160" t="str"/>
      <x:c r="M606" s="160" t="str"/>
      <x:c r="N606" s="151" t="str"/>
      <x:c r="O606" s="151" t="str"/>
      <x:c r="P606" s="151" t="str"/>
      <x:c r="Q606" s="151" t="str"/>
      <x:c r="R606" s="151" t="str"/>
      <x:c r="S606" s="151" t="str"/>
      <x:c r="T606" s="152" t="n">
        <x:f>IF(COUNTA(O606:S606)=0,"",MAX(0,IF(O606="",0,O606)+IF(P606="",0,P606)-IF(Q606="",0,Q606)-IF(R606="",0,R606)))</x:f>
        <x:v>0</x:v>
      </x:c>
      <x:c r="U606" s="152" t="str">
        <x:f>IF(OR(N606="",Q606=""),"",Q606-N606)</x:f>
      </x:c>
      <x:c r="V606" s="202" t="str">
        <x:f>IFERROR(Q606/N606,"")</x:f>
      </x:c>
      <x:c r="W606" s="137" t="str"/>
      <x:c r="X606" s="137" t="str"/>
      <x:c r="Y606" s="137" t="str"/>
      <x:c r="Z606" s="137" t="str"/>
      <x:c r="AA606" s="137" t="str"/>
      <x:c r="AB606" s="137" t="str"/>
      <x:c r="AC606" s="137" t="str"/>
      <x:c r="AD606" s="199" t="str"/>
    </x:row>
    <x:row r="607">
      <x:c r="A607" s="137" t="str"/>
      <x:c r="B607" s="138" t="str"/>
      <x:c r="C607" s="137" t="str"/>
      <x:c r="D607" s="137" t="str"/>
      <x:c r="E607" s="137" t="str"/>
      <x:c r="F607" s="137" t="str"/>
      <x:c r="G607" s="137" t="str"/>
      <x:c r="H607" s="137" t="str"/>
      <x:c r="I607" s="137" t="str"/>
      <x:c r="J607" s="137" t="str"/>
      <x:c r="K607" s="137" t="str"/>
      <x:c r="L607" s="160" t="str"/>
      <x:c r="M607" s="160" t="str"/>
      <x:c r="N607" s="151" t="str"/>
      <x:c r="O607" s="151" t="str"/>
      <x:c r="P607" s="151" t="str"/>
      <x:c r="Q607" s="151" t="str"/>
      <x:c r="R607" s="151" t="str"/>
      <x:c r="S607" s="151" t="str"/>
      <x:c r="T607" s="152" t="n">
        <x:f>IF(COUNTA(O607:S607)=0,"",MAX(0,IF(O607="",0,O607)+IF(P607="",0,P607)-IF(Q607="",0,Q607)-IF(R607="",0,R607)))</x:f>
        <x:v>0</x:v>
      </x:c>
      <x:c r="U607" s="152" t="str">
        <x:f>IF(OR(N607="",Q607=""),"",Q607-N607)</x:f>
      </x:c>
      <x:c r="V607" s="202" t="str">
        <x:f>IFERROR(Q607/N607,"")</x:f>
      </x:c>
      <x:c r="W607" s="137" t="str"/>
      <x:c r="X607" s="137" t="str"/>
      <x:c r="Y607" s="137" t="str"/>
      <x:c r="Z607" s="137" t="str"/>
      <x:c r="AA607" s="137" t="str"/>
      <x:c r="AB607" s="137" t="str"/>
      <x:c r="AC607" s="137" t="str"/>
      <x:c r="AD607" s="199" t="str"/>
    </x:row>
    <x:row r="608">
      <x:c r="A608" s="137" t="str"/>
      <x:c r="B608" s="138" t="str"/>
      <x:c r="C608" s="137" t="str"/>
      <x:c r="D608" s="137" t="str"/>
      <x:c r="E608" s="137" t="str"/>
      <x:c r="F608" s="137" t="str"/>
      <x:c r="G608" s="137" t="str"/>
      <x:c r="H608" s="137" t="str"/>
      <x:c r="I608" s="137" t="str"/>
      <x:c r="J608" s="137" t="str"/>
      <x:c r="K608" s="137" t="str"/>
      <x:c r="L608" s="160" t="str"/>
      <x:c r="M608" s="160" t="str"/>
      <x:c r="N608" s="151" t="str"/>
      <x:c r="O608" s="151" t="str"/>
      <x:c r="P608" s="151" t="str"/>
      <x:c r="Q608" s="151" t="str"/>
      <x:c r="R608" s="151" t="str"/>
      <x:c r="S608" s="151" t="str"/>
      <x:c r="T608" s="152" t="n">
        <x:f>IF(COUNTA(O608:S608)=0,"",MAX(0,IF(O608="",0,O608)+IF(P608="",0,P608)-IF(Q608="",0,Q608)-IF(R608="",0,R608)))</x:f>
        <x:v>0</x:v>
      </x:c>
      <x:c r="U608" s="152" t="str">
        <x:f>IF(OR(N608="",Q608=""),"",Q608-N608)</x:f>
      </x:c>
      <x:c r="V608" s="202" t="str">
        <x:f>IFERROR(Q608/N608,"")</x:f>
      </x:c>
      <x:c r="W608" s="137" t="str"/>
      <x:c r="X608" s="137" t="str"/>
      <x:c r="Y608" s="137" t="str"/>
      <x:c r="Z608" s="137" t="str"/>
      <x:c r="AA608" s="137" t="str"/>
      <x:c r="AB608" s="137" t="str"/>
      <x:c r="AC608" s="137" t="str"/>
      <x:c r="AD608" s="199" t="str"/>
    </x:row>
    <x:row r="609">
      <x:c r="A609" s="137" t="str"/>
      <x:c r="B609" s="138" t="str"/>
      <x:c r="C609" s="137" t="str"/>
      <x:c r="D609" s="137" t="str"/>
      <x:c r="E609" s="137" t="str"/>
      <x:c r="F609" s="137" t="str"/>
      <x:c r="G609" s="137" t="str"/>
      <x:c r="H609" s="137" t="str"/>
      <x:c r="I609" s="137" t="str"/>
      <x:c r="J609" s="137" t="str"/>
      <x:c r="K609" s="137" t="str"/>
      <x:c r="L609" s="160" t="str"/>
      <x:c r="M609" s="160" t="str"/>
      <x:c r="N609" s="151" t="str"/>
      <x:c r="O609" s="151" t="str"/>
      <x:c r="P609" s="151" t="str"/>
      <x:c r="Q609" s="151" t="str"/>
      <x:c r="R609" s="151" t="str"/>
      <x:c r="S609" s="151" t="str"/>
      <x:c r="T609" s="152" t="n">
        <x:f>IF(COUNTA(O609:S609)=0,"",MAX(0,IF(O609="",0,O609)+IF(P609="",0,P609)-IF(Q609="",0,Q609)-IF(R609="",0,R609)))</x:f>
        <x:v>0</x:v>
      </x:c>
      <x:c r="U609" s="152" t="str">
        <x:f>IF(OR(N609="",Q609=""),"",Q609-N609)</x:f>
      </x:c>
      <x:c r="V609" s="202" t="str">
        <x:f>IFERROR(Q609/N609,"")</x:f>
      </x:c>
      <x:c r="W609" s="137" t="str"/>
      <x:c r="X609" s="137" t="str"/>
      <x:c r="Y609" s="137" t="str"/>
      <x:c r="Z609" s="137" t="str"/>
      <x:c r="AA609" s="137" t="str"/>
      <x:c r="AB609" s="137" t="str"/>
      <x:c r="AC609" s="137" t="str"/>
      <x:c r="AD609" s="199" t="str"/>
    </x:row>
    <x:row r="610">
      <x:c r="A610" s="137" t="str"/>
      <x:c r="B610" s="138" t="str"/>
      <x:c r="C610" s="137" t="str"/>
      <x:c r="D610" s="137" t="str"/>
      <x:c r="E610" s="137" t="str"/>
      <x:c r="F610" s="137" t="str"/>
      <x:c r="G610" s="137" t="str"/>
      <x:c r="H610" s="137" t="str"/>
      <x:c r="I610" s="137" t="str"/>
      <x:c r="J610" s="137" t="str"/>
      <x:c r="K610" s="137" t="str"/>
      <x:c r="L610" s="160" t="str"/>
      <x:c r="M610" s="160" t="str"/>
      <x:c r="N610" s="151" t="str"/>
      <x:c r="O610" s="151" t="str"/>
      <x:c r="P610" s="151" t="str"/>
      <x:c r="Q610" s="151" t="str"/>
      <x:c r="R610" s="151" t="str"/>
      <x:c r="S610" s="151" t="str"/>
      <x:c r="T610" s="152" t="n">
        <x:f>IF(COUNTA(O610:S610)=0,"",MAX(0,IF(O610="",0,O610)+IF(P610="",0,P610)-IF(Q610="",0,Q610)-IF(R610="",0,R610)))</x:f>
        <x:v>0</x:v>
      </x:c>
      <x:c r="U610" s="152" t="str">
        <x:f>IF(OR(N610="",Q610=""),"",Q610-N610)</x:f>
      </x:c>
      <x:c r="V610" s="202" t="str">
        <x:f>IFERROR(Q610/N610,"")</x:f>
      </x:c>
      <x:c r="W610" s="137" t="str"/>
      <x:c r="X610" s="137" t="str"/>
      <x:c r="Y610" s="137" t="str"/>
      <x:c r="Z610" s="137" t="str"/>
      <x:c r="AA610" s="137" t="str"/>
      <x:c r="AB610" s="137" t="str"/>
      <x:c r="AC610" s="137" t="str"/>
      <x:c r="AD610" s="199" t="str"/>
    </x:row>
    <x:row r="611">
      <x:c r="A611" s="137" t="str"/>
      <x:c r="B611" s="138" t="str"/>
      <x:c r="C611" s="137" t="str"/>
      <x:c r="D611" s="137" t="str"/>
      <x:c r="E611" s="137" t="str"/>
      <x:c r="F611" s="137" t="str"/>
      <x:c r="G611" s="137" t="str"/>
      <x:c r="H611" s="137" t="str"/>
      <x:c r="I611" s="137" t="str"/>
      <x:c r="J611" s="137" t="str"/>
      <x:c r="K611" s="137" t="str"/>
      <x:c r="L611" s="160" t="str"/>
      <x:c r="M611" s="160" t="str"/>
      <x:c r="N611" s="151" t="str"/>
      <x:c r="O611" s="151" t="str"/>
      <x:c r="P611" s="151" t="str"/>
      <x:c r="Q611" s="151" t="str"/>
      <x:c r="R611" s="151" t="str"/>
      <x:c r="S611" s="151" t="str"/>
      <x:c r="T611" s="152" t="n">
        <x:f>IF(COUNTA(O611:S611)=0,"",MAX(0,IF(O611="",0,O611)+IF(P611="",0,P611)-IF(Q611="",0,Q611)-IF(R611="",0,R611)))</x:f>
        <x:v>0</x:v>
      </x:c>
      <x:c r="U611" s="152" t="str">
        <x:f>IF(OR(N611="",Q611=""),"",Q611-N611)</x:f>
      </x:c>
      <x:c r="V611" s="202" t="str">
        <x:f>IFERROR(Q611/N611,"")</x:f>
      </x:c>
      <x:c r="W611" s="137" t="str"/>
      <x:c r="X611" s="137" t="str"/>
      <x:c r="Y611" s="137" t="str"/>
      <x:c r="Z611" s="137" t="str"/>
      <x:c r="AA611" s="137" t="str"/>
      <x:c r="AB611" s="137" t="str"/>
      <x:c r="AC611" s="137" t="str"/>
      <x:c r="AD611" s="199" t="str"/>
    </x:row>
    <x:row r="612">
      <x:c r="A612" s="137" t="str"/>
      <x:c r="B612" s="138" t="str"/>
      <x:c r="C612" s="137" t="str"/>
      <x:c r="D612" s="137" t="str"/>
      <x:c r="E612" s="137" t="str"/>
      <x:c r="F612" s="137" t="str"/>
      <x:c r="G612" s="137" t="str"/>
      <x:c r="H612" s="137" t="str"/>
      <x:c r="I612" s="137" t="str"/>
      <x:c r="J612" s="137" t="str"/>
      <x:c r="K612" s="137" t="str"/>
      <x:c r="L612" s="160" t="str"/>
      <x:c r="M612" s="160" t="str"/>
      <x:c r="N612" s="151" t="str"/>
      <x:c r="O612" s="151" t="str"/>
      <x:c r="P612" s="151" t="str"/>
      <x:c r="Q612" s="151" t="str"/>
      <x:c r="R612" s="151" t="str"/>
      <x:c r="S612" s="151" t="str"/>
      <x:c r="T612" s="152" t="n">
        <x:f>IF(COUNTA(O612:S612)=0,"",MAX(0,IF(O612="",0,O612)+IF(P612="",0,P612)-IF(Q612="",0,Q612)-IF(R612="",0,R612)))</x:f>
        <x:v>0</x:v>
      </x:c>
      <x:c r="U612" s="152" t="str">
        <x:f>IF(OR(N612="",Q612=""),"",Q612-N612)</x:f>
      </x:c>
      <x:c r="V612" s="202" t="str">
        <x:f>IFERROR(Q612/N612,"")</x:f>
      </x:c>
      <x:c r="W612" s="137" t="str"/>
      <x:c r="X612" s="137" t="str"/>
      <x:c r="Y612" s="137" t="str"/>
      <x:c r="Z612" s="137" t="str"/>
      <x:c r="AA612" s="137" t="str"/>
      <x:c r="AB612" s="137" t="str"/>
      <x:c r="AC612" s="137" t="str"/>
      <x:c r="AD612" s="199" t="str"/>
    </x:row>
    <x:row r="613">
      <x:c r="A613" s="137" t="str"/>
      <x:c r="B613" s="138" t="str"/>
      <x:c r="C613" s="137" t="str"/>
      <x:c r="D613" s="137" t="str"/>
      <x:c r="E613" s="137" t="str"/>
      <x:c r="F613" s="137" t="str"/>
      <x:c r="G613" s="137" t="str"/>
      <x:c r="H613" s="137" t="str"/>
      <x:c r="I613" s="137" t="str"/>
      <x:c r="J613" s="137" t="str"/>
      <x:c r="K613" s="137" t="str"/>
      <x:c r="L613" s="160" t="str"/>
      <x:c r="M613" s="160" t="str"/>
      <x:c r="N613" s="151" t="str"/>
      <x:c r="O613" s="151" t="str"/>
      <x:c r="P613" s="151" t="str"/>
      <x:c r="Q613" s="151" t="str"/>
      <x:c r="R613" s="151" t="str"/>
      <x:c r="S613" s="151" t="str"/>
      <x:c r="T613" s="152" t="n">
        <x:f>IF(COUNTA(O613:S613)=0,"",MAX(0,IF(O613="",0,O613)+IF(P613="",0,P613)-IF(Q613="",0,Q613)-IF(R613="",0,R613)))</x:f>
        <x:v>0</x:v>
      </x:c>
      <x:c r="U613" s="152" t="str">
        <x:f>IF(OR(N613="",Q613=""),"",Q613-N613)</x:f>
      </x:c>
      <x:c r="V613" s="202" t="str">
        <x:f>IFERROR(Q613/N613,"")</x:f>
      </x:c>
      <x:c r="W613" s="137" t="str"/>
      <x:c r="X613" s="137" t="str"/>
      <x:c r="Y613" s="137" t="str"/>
      <x:c r="Z613" s="137" t="str"/>
      <x:c r="AA613" s="137" t="str"/>
      <x:c r="AB613" s="137" t="str"/>
      <x:c r="AC613" s="137" t="str"/>
      <x:c r="AD613" s="199" t="str"/>
    </x:row>
    <x:row r="614">
      <x:c r="A614" s="137" t="str"/>
      <x:c r="B614" s="138" t="str"/>
      <x:c r="C614" s="137" t="str"/>
      <x:c r="D614" s="137" t="str"/>
      <x:c r="E614" s="137" t="str"/>
      <x:c r="F614" s="137" t="str"/>
      <x:c r="G614" s="137" t="str"/>
      <x:c r="H614" s="137" t="str"/>
      <x:c r="I614" s="137" t="str"/>
      <x:c r="J614" s="137" t="str"/>
      <x:c r="K614" s="137" t="str"/>
      <x:c r="L614" s="160" t="str"/>
      <x:c r="M614" s="160" t="str"/>
      <x:c r="N614" s="151" t="str"/>
      <x:c r="O614" s="151" t="str"/>
      <x:c r="P614" s="151" t="str"/>
      <x:c r="Q614" s="151" t="str"/>
      <x:c r="R614" s="151" t="str"/>
      <x:c r="S614" s="151" t="str"/>
      <x:c r="T614" s="152" t="n">
        <x:f>IF(COUNTA(O614:S614)=0,"",MAX(0,IF(O614="",0,O614)+IF(P614="",0,P614)-IF(Q614="",0,Q614)-IF(R614="",0,R614)))</x:f>
        <x:v>0</x:v>
      </x:c>
      <x:c r="U614" s="152" t="str">
        <x:f>IF(OR(N614="",Q614=""),"",Q614-N614)</x:f>
      </x:c>
      <x:c r="V614" s="202" t="str">
        <x:f>IFERROR(Q614/N614,"")</x:f>
      </x:c>
      <x:c r="W614" s="137" t="str"/>
      <x:c r="X614" s="137" t="str"/>
      <x:c r="Y614" s="137" t="str"/>
      <x:c r="Z614" s="137" t="str"/>
      <x:c r="AA614" s="137" t="str"/>
      <x:c r="AB614" s="137" t="str"/>
      <x:c r="AC614" s="137" t="str"/>
      <x:c r="AD614" s="199" t="str"/>
    </x:row>
    <x:row r="615">
      <x:c r="A615" s="137" t="str"/>
      <x:c r="B615" s="138" t="str"/>
      <x:c r="C615" s="137" t="str"/>
      <x:c r="D615" s="137" t="str"/>
      <x:c r="E615" s="137" t="str"/>
      <x:c r="F615" s="137" t="str"/>
      <x:c r="G615" s="137" t="str"/>
      <x:c r="H615" s="137" t="str"/>
      <x:c r="I615" s="137" t="str"/>
      <x:c r="J615" s="137" t="str"/>
      <x:c r="K615" s="137" t="str"/>
      <x:c r="L615" s="160" t="str"/>
      <x:c r="M615" s="160" t="str"/>
      <x:c r="N615" s="151" t="str"/>
      <x:c r="O615" s="151" t="str"/>
      <x:c r="P615" s="151" t="str"/>
      <x:c r="Q615" s="151" t="str"/>
      <x:c r="R615" s="151" t="str"/>
      <x:c r="S615" s="151" t="str"/>
      <x:c r="T615" s="152" t="n">
        <x:f>IF(COUNTA(O615:S615)=0,"",MAX(0,IF(O615="",0,O615)+IF(P615="",0,P615)-IF(Q615="",0,Q615)-IF(R615="",0,R615)))</x:f>
        <x:v>0</x:v>
      </x:c>
      <x:c r="U615" s="152" t="str">
        <x:f>IF(OR(N615="",Q615=""),"",Q615-N615)</x:f>
      </x:c>
      <x:c r="V615" s="202" t="str">
        <x:f>IFERROR(Q615/N615,"")</x:f>
      </x:c>
      <x:c r="W615" s="137" t="str"/>
      <x:c r="X615" s="137" t="str"/>
      <x:c r="Y615" s="137" t="str"/>
      <x:c r="Z615" s="137" t="str"/>
      <x:c r="AA615" s="137" t="str"/>
      <x:c r="AB615" s="137" t="str"/>
      <x:c r="AC615" s="137" t="str"/>
      <x:c r="AD615" s="199" t="str"/>
    </x:row>
    <x:row r="616">
      <x:c r="A616" s="137" t="str"/>
      <x:c r="B616" s="138" t="str"/>
      <x:c r="C616" s="137" t="str"/>
      <x:c r="D616" s="137" t="str"/>
      <x:c r="E616" s="137" t="str"/>
      <x:c r="F616" s="137" t="str"/>
      <x:c r="G616" s="137" t="str"/>
      <x:c r="H616" s="137" t="str"/>
      <x:c r="I616" s="137" t="str"/>
      <x:c r="J616" s="137" t="str"/>
      <x:c r="K616" s="137" t="str"/>
      <x:c r="L616" s="160" t="str"/>
      <x:c r="M616" s="160" t="str"/>
      <x:c r="N616" s="151" t="str"/>
      <x:c r="O616" s="151" t="str"/>
      <x:c r="P616" s="151" t="str"/>
      <x:c r="Q616" s="151" t="str"/>
      <x:c r="R616" s="151" t="str"/>
      <x:c r="S616" s="151" t="str"/>
      <x:c r="T616" s="152" t="n">
        <x:f>IF(COUNTA(O616:S616)=0,"",MAX(0,IF(O616="",0,O616)+IF(P616="",0,P616)-IF(Q616="",0,Q616)-IF(R616="",0,R616)))</x:f>
        <x:v>0</x:v>
      </x:c>
      <x:c r="U616" s="152" t="str">
        <x:f>IF(OR(N616="",Q616=""),"",Q616-N616)</x:f>
      </x:c>
      <x:c r="V616" s="202" t="str">
        <x:f>IFERROR(Q616/N616,"")</x:f>
      </x:c>
      <x:c r="W616" s="137" t="str"/>
      <x:c r="X616" s="137" t="str"/>
      <x:c r="Y616" s="137" t="str"/>
      <x:c r="Z616" s="137" t="str"/>
      <x:c r="AA616" s="137" t="str"/>
      <x:c r="AB616" s="137" t="str"/>
      <x:c r="AC616" s="137" t="str"/>
      <x:c r="AD616" s="199" t="str"/>
    </x:row>
    <x:row r="617">
      <x:c r="A617" s="137" t="str"/>
      <x:c r="B617" s="138" t="str"/>
      <x:c r="C617" s="137" t="str"/>
      <x:c r="D617" s="137" t="str"/>
      <x:c r="E617" s="137" t="str"/>
      <x:c r="F617" s="137" t="str"/>
      <x:c r="G617" s="137" t="str"/>
      <x:c r="H617" s="137" t="str"/>
      <x:c r="I617" s="137" t="str"/>
      <x:c r="J617" s="137" t="str"/>
      <x:c r="K617" s="137" t="str"/>
      <x:c r="L617" s="160" t="str"/>
      <x:c r="M617" s="160" t="str"/>
      <x:c r="N617" s="151" t="str"/>
      <x:c r="O617" s="151" t="str"/>
      <x:c r="P617" s="151" t="str"/>
      <x:c r="Q617" s="151" t="str"/>
      <x:c r="R617" s="151" t="str"/>
      <x:c r="S617" s="151" t="str"/>
      <x:c r="T617" s="152" t="n">
        <x:f>IF(COUNTA(O617:S617)=0,"",MAX(0,IF(O617="",0,O617)+IF(P617="",0,P617)-IF(Q617="",0,Q617)-IF(R617="",0,R617)))</x:f>
        <x:v>0</x:v>
      </x:c>
      <x:c r="U617" s="152" t="str">
        <x:f>IF(OR(N617="",Q617=""),"",Q617-N617)</x:f>
      </x:c>
      <x:c r="V617" s="202" t="str">
        <x:f>IFERROR(Q617/N617,"")</x:f>
      </x:c>
      <x:c r="W617" s="137" t="str"/>
      <x:c r="X617" s="137" t="str"/>
      <x:c r="Y617" s="137" t="str"/>
      <x:c r="Z617" s="137" t="str"/>
      <x:c r="AA617" s="137" t="str"/>
      <x:c r="AB617" s="137" t="str"/>
      <x:c r="AC617" s="137" t="str"/>
      <x:c r="AD617" s="199" t="str"/>
    </x:row>
    <x:row r="618">
      <x:c r="A618" s="137" t="str"/>
      <x:c r="B618" s="138" t="str"/>
      <x:c r="C618" s="137" t="str"/>
      <x:c r="D618" s="137" t="str"/>
      <x:c r="E618" s="137" t="str"/>
      <x:c r="F618" s="137" t="str"/>
      <x:c r="G618" s="137" t="str"/>
      <x:c r="H618" s="137" t="str"/>
      <x:c r="I618" s="137" t="str"/>
      <x:c r="J618" s="137" t="str"/>
      <x:c r="K618" s="137" t="str"/>
      <x:c r="L618" s="160" t="str"/>
      <x:c r="M618" s="160" t="str"/>
      <x:c r="N618" s="151" t="str"/>
      <x:c r="O618" s="151" t="str"/>
      <x:c r="P618" s="151" t="str"/>
      <x:c r="Q618" s="151" t="str"/>
      <x:c r="R618" s="151" t="str"/>
      <x:c r="S618" s="151" t="str"/>
      <x:c r="T618" s="152" t="n">
        <x:f>IF(COUNTA(O618:S618)=0,"",MAX(0,IF(O618="",0,O618)+IF(P618="",0,P618)-IF(Q618="",0,Q618)-IF(R618="",0,R618)))</x:f>
        <x:v>0</x:v>
      </x:c>
      <x:c r="U618" s="152" t="str">
        <x:f>IF(OR(N618="",Q618=""),"",Q618-N618)</x:f>
      </x:c>
      <x:c r="V618" s="202" t="str">
        <x:f>IFERROR(Q618/N618,"")</x:f>
      </x:c>
      <x:c r="W618" s="137" t="str"/>
      <x:c r="X618" s="137" t="str"/>
      <x:c r="Y618" s="137" t="str"/>
      <x:c r="Z618" s="137" t="str"/>
      <x:c r="AA618" s="137" t="str"/>
      <x:c r="AB618" s="137" t="str"/>
      <x:c r="AC618" s="137" t="str"/>
      <x:c r="AD618" s="199" t="str"/>
    </x:row>
    <x:row r="619">
      <x:c r="A619" s="137" t="str"/>
      <x:c r="B619" s="138" t="str"/>
      <x:c r="C619" s="137" t="str"/>
      <x:c r="D619" s="137" t="str"/>
      <x:c r="E619" s="137" t="str"/>
      <x:c r="F619" s="137" t="str"/>
      <x:c r="G619" s="137" t="str"/>
      <x:c r="H619" s="137" t="str"/>
      <x:c r="I619" s="137" t="str"/>
      <x:c r="J619" s="137" t="str"/>
      <x:c r="K619" s="137" t="str"/>
      <x:c r="L619" s="160" t="str"/>
      <x:c r="M619" s="160" t="str"/>
      <x:c r="N619" s="151" t="str"/>
      <x:c r="O619" s="151" t="str"/>
      <x:c r="P619" s="151" t="str"/>
      <x:c r="Q619" s="151" t="str"/>
      <x:c r="R619" s="151" t="str"/>
      <x:c r="S619" s="151" t="str"/>
      <x:c r="T619" s="152" t="n">
        <x:f>IF(COUNTA(O619:S619)=0,"",MAX(0,IF(O619="",0,O619)+IF(P619="",0,P619)-IF(Q619="",0,Q619)-IF(R619="",0,R619)))</x:f>
        <x:v>0</x:v>
      </x:c>
      <x:c r="U619" s="152" t="str">
        <x:f>IF(OR(N619="",Q619=""),"",Q619-N619)</x:f>
      </x:c>
      <x:c r="V619" s="202" t="str">
        <x:f>IFERROR(Q619/N619,"")</x:f>
      </x:c>
      <x:c r="W619" s="137" t="str"/>
      <x:c r="X619" s="137" t="str"/>
      <x:c r="Y619" s="137" t="str"/>
      <x:c r="Z619" s="137" t="str"/>
      <x:c r="AA619" s="137" t="str"/>
      <x:c r="AB619" s="137" t="str"/>
      <x:c r="AC619" s="137" t="str"/>
      <x:c r="AD619" s="199" t="str"/>
    </x:row>
    <x:row r="620">
      <x:c r="A620" s="137" t="str"/>
      <x:c r="B620" s="138" t="str"/>
      <x:c r="C620" s="137" t="str"/>
      <x:c r="D620" s="137" t="str"/>
      <x:c r="E620" s="137" t="str"/>
      <x:c r="F620" s="137" t="str"/>
      <x:c r="G620" s="137" t="str"/>
      <x:c r="H620" s="137" t="str"/>
      <x:c r="I620" s="137" t="str"/>
      <x:c r="J620" s="137" t="str"/>
      <x:c r="K620" s="137" t="str"/>
      <x:c r="L620" s="160" t="str"/>
      <x:c r="M620" s="160" t="str"/>
      <x:c r="N620" s="151" t="str"/>
      <x:c r="O620" s="151" t="str"/>
      <x:c r="P620" s="151" t="str"/>
      <x:c r="Q620" s="151" t="str"/>
      <x:c r="R620" s="151" t="str"/>
      <x:c r="S620" s="151" t="str"/>
      <x:c r="T620" s="152" t="n">
        <x:f>IF(COUNTA(O620:S620)=0,"",MAX(0,IF(O620="",0,O620)+IF(P620="",0,P620)-IF(Q620="",0,Q620)-IF(R620="",0,R620)))</x:f>
        <x:v>0</x:v>
      </x:c>
      <x:c r="U620" s="152" t="str">
        <x:f>IF(OR(N620="",Q620=""),"",Q620-N620)</x:f>
      </x:c>
      <x:c r="V620" s="202" t="str">
        <x:f>IFERROR(Q620/N620,"")</x:f>
      </x:c>
      <x:c r="W620" s="137" t="str"/>
      <x:c r="X620" s="137" t="str"/>
      <x:c r="Y620" s="137" t="str"/>
      <x:c r="Z620" s="137" t="str"/>
      <x:c r="AA620" s="137" t="str"/>
      <x:c r="AB620" s="137" t="str"/>
      <x:c r="AC620" s="137" t="str"/>
      <x:c r="AD620" s="199" t="str"/>
    </x:row>
    <x:row r="621">
      <x:c r="A621" s="137" t="str"/>
      <x:c r="B621" s="138" t="str"/>
      <x:c r="C621" s="137" t="str"/>
      <x:c r="D621" s="137" t="str"/>
      <x:c r="E621" s="137" t="str"/>
      <x:c r="F621" s="137" t="str"/>
      <x:c r="G621" s="137" t="str"/>
      <x:c r="H621" s="137" t="str"/>
      <x:c r="I621" s="137" t="str"/>
      <x:c r="J621" s="137" t="str"/>
      <x:c r="K621" s="137" t="str"/>
      <x:c r="L621" s="160" t="str"/>
      <x:c r="M621" s="160" t="str"/>
      <x:c r="N621" s="151" t="str"/>
      <x:c r="O621" s="151" t="str"/>
      <x:c r="P621" s="151" t="str"/>
      <x:c r="Q621" s="151" t="str"/>
      <x:c r="R621" s="151" t="str"/>
      <x:c r="S621" s="151" t="str"/>
      <x:c r="T621" s="152" t="n">
        <x:f>IF(COUNTA(O621:S621)=0,"",MAX(0,IF(O621="",0,O621)+IF(P621="",0,P621)-IF(Q621="",0,Q621)-IF(R621="",0,R621)))</x:f>
        <x:v>0</x:v>
      </x:c>
      <x:c r="U621" s="152" t="str">
        <x:f>IF(OR(N621="",Q621=""),"",Q621-N621)</x:f>
      </x:c>
      <x:c r="V621" s="202" t="str">
        <x:f>IFERROR(Q621/N621,"")</x:f>
      </x:c>
      <x:c r="W621" s="137" t="str"/>
      <x:c r="X621" s="137" t="str"/>
      <x:c r="Y621" s="137" t="str"/>
      <x:c r="Z621" s="137" t="str"/>
      <x:c r="AA621" s="137" t="str"/>
      <x:c r="AB621" s="137" t="str"/>
      <x:c r="AC621" s="137" t="str"/>
      <x:c r="AD621" s="199" t="str"/>
    </x:row>
    <x:row r="622">
      <x:c r="A622" s="137" t="str"/>
      <x:c r="B622" s="138" t="str"/>
      <x:c r="C622" s="137" t="str"/>
      <x:c r="D622" s="137" t="str"/>
      <x:c r="E622" s="137" t="str"/>
      <x:c r="F622" s="137" t="str"/>
      <x:c r="G622" s="137" t="str"/>
      <x:c r="H622" s="137" t="str"/>
      <x:c r="I622" s="137" t="str"/>
      <x:c r="J622" s="137" t="str"/>
      <x:c r="K622" s="137" t="str"/>
      <x:c r="L622" s="160" t="str"/>
      <x:c r="M622" s="160" t="str"/>
      <x:c r="N622" s="151" t="str"/>
      <x:c r="O622" s="151" t="str"/>
      <x:c r="P622" s="151" t="str"/>
      <x:c r="Q622" s="151" t="str"/>
      <x:c r="R622" s="151" t="str"/>
      <x:c r="S622" s="151" t="str"/>
      <x:c r="T622" s="152" t="n">
        <x:f>IF(COUNTA(O622:S622)=0,"",MAX(0,IF(O622="",0,O622)+IF(P622="",0,P622)-IF(Q622="",0,Q622)-IF(R622="",0,R622)))</x:f>
        <x:v>0</x:v>
      </x:c>
      <x:c r="U622" s="152" t="str">
        <x:f>IF(OR(N622="",Q622=""),"",Q622-N622)</x:f>
      </x:c>
      <x:c r="V622" s="202" t="str">
        <x:f>IFERROR(Q622/N622,"")</x:f>
      </x:c>
      <x:c r="W622" s="137" t="str"/>
      <x:c r="X622" s="137" t="str"/>
      <x:c r="Y622" s="137" t="str"/>
      <x:c r="Z622" s="137" t="str"/>
      <x:c r="AA622" s="137" t="str"/>
      <x:c r="AB622" s="137" t="str"/>
      <x:c r="AC622" s="137" t="str"/>
      <x:c r="AD622" s="199" t="str"/>
    </x:row>
    <x:row r="623">
      <x:c r="A623" s="137" t="str"/>
      <x:c r="B623" s="138" t="str"/>
      <x:c r="C623" s="137" t="str"/>
      <x:c r="D623" s="137" t="str"/>
      <x:c r="E623" s="137" t="str"/>
      <x:c r="F623" s="137" t="str"/>
      <x:c r="G623" s="137" t="str"/>
      <x:c r="H623" s="137" t="str"/>
      <x:c r="I623" s="137" t="str"/>
      <x:c r="J623" s="137" t="str"/>
      <x:c r="K623" s="137" t="str"/>
      <x:c r="L623" s="160" t="str"/>
      <x:c r="M623" s="160" t="str"/>
      <x:c r="N623" s="151" t="str"/>
      <x:c r="O623" s="151" t="str"/>
      <x:c r="P623" s="151" t="str"/>
      <x:c r="Q623" s="151" t="str"/>
      <x:c r="R623" s="151" t="str"/>
      <x:c r="S623" s="151" t="str"/>
      <x:c r="T623" s="152" t="n">
        <x:f>IF(COUNTA(O623:S623)=0,"",MAX(0,IF(O623="",0,O623)+IF(P623="",0,P623)-IF(Q623="",0,Q623)-IF(R623="",0,R623)))</x:f>
        <x:v>0</x:v>
      </x:c>
      <x:c r="U623" s="152" t="str">
        <x:f>IF(OR(N623="",Q623=""),"",Q623-N623)</x:f>
      </x:c>
      <x:c r="V623" s="202" t="str">
        <x:f>IFERROR(Q623/N623,"")</x:f>
      </x:c>
      <x:c r="W623" s="137" t="str"/>
      <x:c r="X623" s="137" t="str"/>
      <x:c r="Y623" s="137" t="str"/>
      <x:c r="Z623" s="137" t="str"/>
      <x:c r="AA623" s="137" t="str"/>
      <x:c r="AB623" s="137" t="str"/>
      <x:c r="AC623" s="137" t="str"/>
      <x:c r="AD623" s="199" t="str"/>
    </x:row>
    <x:row r="624">
      <x:c r="A624" s="137" t="str"/>
      <x:c r="B624" s="138" t="str"/>
      <x:c r="C624" s="137" t="str"/>
      <x:c r="D624" s="137" t="str"/>
      <x:c r="E624" s="137" t="str"/>
      <x:c r="F624" s="137" t="str"/>
      <x:c r="G624" s="137" t="str"/>
      <x:c r="H624" s="137" t="str"/>
      <x:c r="I624" s="137" t="str"/>
      <x:c r="J624" s="137" t="str"/>
      <x:c r="K624" s="137" t="str"/>
      <x:c r="L624" s="160" t="str"/>
      <x:c r="M624" s="160" t="str"/>
      <x:c r="N624" s="151" t="str"/>
      <x:c r="O624" s="151" t="str"/>
      <x:c r="P624" s="151" t="str"/>
      <x:c r="Q624" s="151" t="str"/>
      <x:c r="R624" s="151" t="str"/>
      <x:c r="S624" s="151" t="str"/>
      <x:c r="T624" s="152" t="n">
        <x:f>IF(COUNTA(O624:S624)=0,"",MAX(0,IF(O624="",0,O624)+IF(P624="",0,P624)-IF(Q624="",0,Q624)-IF(R624="",0,R624)))</x:f>
        <x:v>0</x:v>
      </x:c>
      <x:c r="U624" s="152" t="str">
        <x:f>IF(OR(N624="",Q624=""),"",Q624-N624)</x:f>
      </x:c>
      <x:c r="V624" s="202" t="str">
        <x:f>IFERROR(Q624/N624,"")</x:f>
      </x:c>
      <x:c r="W624" s="137" t="str"/>
      <x:c r="X624" s="137" t="str"/>
      <x:c r="Y624" s="137" t="str"/>
      <x:c r="Z624" s="137" t="str"/>
      <x:c r="AA624" s="137" t="str"/>
      <x:c r="AB624" s="137" t="str"/>
      <x:c r="AC624" s="137" t="str"/>
      <x:c r="AD624" s="199" t="str"/>
    </x:row>
    <x:row r="625">
      <x:c r="A625" s="137" t="str"/>
      <x:c r="B625" s="138" t="str"/>
      <x:c r="C625" s="137" t="str"/>
      <x:c r="D625" s="137" t="str"/>
      <x:c r="E625" s="137" t="str"/>
      <x:c r="F625" s="137" t="str"/>
      <x:c r="G625" s="137" t="str"/>
      <x:c r="H625" s="137" t="str"/>
      <x:c r="I625" s="137" t="str"/>
      <x:c r="J625" s="137" t="str"/>
      <x:c r="K625" s="137" t="str"/>
      <x:c r="L625" s="160" t="str"/>
      <x:c r="M625" s="160" t="str"/>
      <x:c r="N625" s="151" t="str"/>
      <x:c r="O625" s="151" t="str"/>
      <x:c r="P625" s="151" t="str"/>
      <x:c r="Q625" s="151" t="str"/>
      <x:c r="R625" s="151" t="str"/>
      <x:c r="S625" s="151" t="str"/>
      <x:c r="T625" s="152" t="n">
        <x:f>IF(COUNTA(O625:S625)=0,"",MAX(0,IF(O625="",0,O625)+IF(P625="",0,P625)-IF(Q625="",0,Q625)-IF(R625="",0,R625)))</x:f>
        <x:v>0</x:v>
      </x:c>
      <x:c r="U625" s="152" t="str">
        <x:f>IF(OR(N625="",Q625=""),"",Q625-N625)</x:f>
      </x:c>
      <x:c r="V625" s="202" t="str">
        <x:f>IFERROR(Q625/N625,"")</x:f>
      </x:c>
      <x:c r="W625" s="137" t="str"/>
      <x:c r="X625" s="137" t="str"/>
      <x:c r="Y625" s="137" t="str"/>
      <x:c r="Z625" s="137" t="str"/>
      <x:c r="AA625" s="137" t="str"/>
      <x:c r="AB625" s="137" t="str"/>
      <x:c r="AC625" s="137" t="str"/>
      <x:c r="AD625" s="199" t="str"/>
    </x:row>
    <x:row r="626">
      <x:c r="A626" s="137" t="str"/>
      <x:c r="B626" s="138" t="str"/>
      <x:c r="C626" s="137" t="str"/>
      <x:c r="D626" s="137" t="str"/>
      <x:c r="E626" s="137" t="str"/>
      <x:c r="F626" s="137" t="str"/>
      <x:c r="G626" s="137" t="str"/>
      <x:c r="H626" s="137" t="str"/>
      <x:c r="I626" s="137" t="str"/>
      <x:c r="J626" s="137" t="str"/>
      <x:c r="K626" s="137" t="str"/>
      <x:c r="L626" s="160" t="str"/>
      <x:c r="M626" s="160" t="str"/>
      <x:c r="N626" s="151" t="str"/>
      <x:c r="O626" s="151" t="str"/>
      <x:c r="P626" s="151" t="str"/>
      <x:c r="Q626" s="151" t="str"/>
      <x:c r="R626" s="151" t="str"/>
      <x:c r="S626" s="151" t="str"/>
      <x:c r="T626" s="152" t="n">
        <x:f>IF(COUNTA(O626:S626)=0,"",MAX(0,IF(O626="",0,O626)+IF(P626="",0,P626)-IF(Q626="",0,Q626)-IF(R626="",0,R626)))</x:f>
        <x:v>0</x:v>
      </x:c>
      <x:c r="U626" s="152" t="str">
        <x:f>IF(OR(N626="",Q626=""),"",Q626-N626)</x:f>
      </x:c>
      <x:c r="V626" s="202" t="str">
        <x:f>IFERROR(Q626/N626,"")</x:f>
      </x:c>
      <x:c r="W626" s="137" t="str"/>
      <x:c r="X626" s="137" t="str"/>
      <x:c r="Y626" s="137" t="str"/>
      <x:c r="Z626" s="137" t="str"/>
      <x:c r="AA626" s="137" t="str"/>
      <x:c r="AB626" s="137" t="str"/>
      <x:c r="AC626" s="137" t="str"/>
      <x:c r="AD626" s="199" t="str"/>
    </x:row>
    <x:row r="627">
      <x:c r="A627" s="137" t="str"/>
      <x:c r="B627" s="138" t="str"/>
      <x:c r="C627" s="137" t="str"/>
      <x:c r="D627" s="137" t="str"/>
      <x:c r="E627" s="137" t="str"/>
      <x:c r="F627" s="137" t="str"/>
      <x:c r="G627" s="137" t="str"/>
      <x:c r="H627" s="137" t="str"/>
      <x:c r="I627" s="137" t="str"/>
      <x:c r="J627" s="137" t="str"/>
      <x:c r="K627" s="137" t="str"/>
      <x:c r="L627" s="160" t="str"/>
      <x:c r="M627" s="160" t="str"/>
      <x:c r="N627" s="151" t="str"/>
      <x:c r="O627" s="151" t="str"/>
      <x:c r="P627" s="151" t="str"/>
      <x:c r="Q627" s="151" t="str"/>
      <x:c r="R627" s="151" t="str"/>
      <x:c r="S627" s="151" t="str"/>
      <x:c r="T627" s="152" t="n">
        <x:f>IF(COUNTA(O627:S627)=0,"",MAX(0,IF(O627="",0,O627)+IF(P627="",0,P627)-IF(Q627="",0,Q627)-IF(R627="",0,R627)))</x:f>
        <x:v>0</x:v>
      </x:c>
      <x:c r="U627" s="152" t="str">
        <x:f>IF(OR(N627="",Q627=""),"",Q627-N627)</x:f>
      </x:c>
      <x:c r="V627" s="202" t="str">
        <x:f>IFERROR(Q627/N627,"")</x:f>
      </x:c>
      <x:c r="W627" s="137" t="str"/>
      <x:c r="X627" s="137" t="str"/>
      <x:c r="Y627" s="137" t="str"/>
      <x:c r="Z627" s="137" t="str"/>
      <x:c r="AA627" s="137" t="str"/>
      <x:c r="AB627" s="137" t="str"/>
      <x:c r="AC627" s="137" t="str"/>
      <x:c r="AD627" s="199" t="str"/>
    </x:row>
    <x:row r="628">
      <x:c r="A628" s="137" t="str"/>
      <x:c r="B628" s="138" t="str"/>
      <x:c r="C628" s="137" t="str"/>
      <x:c r="D628" s="137" t="str"/>
      <x:c r="E628" s="137" t="str"/>
      <x:c r="F628" s="137" t="str"/>
      <x:c r="G628" s="137" t="str"/>
      <x:c r="H628" s="137" t="str"/>
      <x:c r="I628" s="137" t="str"/>
      <x:c r="J628" s="137" t="str"/>
      <x:c r="K628" s="137" t="str"/>
      <x:c r="L628" s="160" t="str"/>
      <x:c r="M628" s="160" t="str"/>
      <x:c r="N628" s="151" t="str"/>
      <x:c r="O628" s="151" t="str"/>
      <x:c r="P628" s="151" t="str"/>
      <x:c r="Q628" s="151" t="str"/>
      <x:c r="R628" s="151" t="str"/>
      <x:c r="S628" s="151" t="str"/>
      <x:c r="T628" s="152" t="n">
        <x:f>IF(COUNTA(O628:S628)=0,"",MAX(0,IF(O628="",0,O628)+IF(P628="",0,P628)-IF(Q628="",0,Q628)-IF(R628="",0,R628)))</x:f>
        <x:v>0</x:v>
      </x:c>
      <x:c r="U628" s="152" t="str">
        <x:f>IF(OR(N628="",Q628=""),"",Q628-N628)</x:f>
      </x:c>
      <x:c r="V628" s="202" t="str">
        <x:f>IFERROR(Q628/N628,"")</x:f>
      </x:c>
      <x:c r="W628" s="137" t="str"/>
      <x:c r="X628" s="137" t="str"/>
      <x:c r="Y628" s="137" t="str"/>
      <x:c r="Z628" s="137" t="str"/>
      <x:c r="AA628" s="137" t="str"/>
      <x:c r="AB628" s="137" t="str"/>
      <x:c r="AC628" s="137" t="str"/>
      <x:c r="AD628" s="199" t="str"/>
    </x:row>
    <x:row r="629">
      <x:c r="A629" s="137" t="str"/>
      <x:c r="B629" s="138" t="str"/>
      <x:c r="C629" s="137" t="str"/>
      <x:c r="D629" s="137" t="str"/>
      <x:c r="E629" s="137" t="str"/>
      <x:c r="F629" s="137" t="str"/>
      <x:c r="G629" s="137" t="str"/>
      <x:c r="H629" s="137" t="str"/>
      <x:c r="I629" s="137" t="str"/>
      <x:c r="J629" s="137" t="str"/>
      <x:c r="K629" s="137" t="str"/>
      <x:c r="L629" s="160" t="str"/>
      <x:c r="M629" s="160" t="str"/>
      <x:c r="N629" s="151" t="str"/>
      <x:c r="O629" s="151" t="str"/>
      <x:c r="P629" s="151" t="str"/>
      <x:c r="Q629" s="151" t="str"/>
      <x:c r="R629" s="151" t="str"/>
      <x:c r="S629" s="151" t="str"/>
      <x:c r="T629" s="152" t="n">
        <x:f>IF(COUNTA(O629:S629)=0,"",MAX(0,IF(O629="",0,O629)+IF(P629="",0,P629)-IF(Q629="",0,Q629)-IF(R629="",0,R629)))</x:f>
        <x:v>0</x:v>
      </x:c>
      <x:c r="U629" s="152" t="str">
        <x:f>IF(OR(N629="",Q629=""),"",Q629-N629)</x:f>
      </x:c>
      <x:c r="V629" s="202" t="str">
        <x:f>IFERROR(Q629/N629,"")</x:f>
      </x:c>
      <x:c r="W629" s="137" t="str"/>
      <x:c r="X629" s="137" t="str"/>
      <x:c r="Y629" s="137" t="str"/>
      <x:c r="Z629" s="137" t="str"/>
      <x:c r="AA629" s="137" t="str"/>
      <x:c r="AB629" s="137" t="str"/>
      <x:c r="AC629" s="137" t="str"/>
      <x:c r="AD629" s="199" t="str"/>
    </x:row>
    <x:row r="630">
      <x:c r="A630" s="137" t="str"/>
      <x:c r="B630" s="138" t="str"/>
      <x:c r="C630" s="137" t="str"/>
      <x:c r="D630" s="137" t="str"/>
      <x:c r="E630" s="137" t="str"/>
      <x:c r="F630" s="137" t="str"/>
      <x:c r="G630" s="137" t="str"/>
      <x:c r="H630" s="137" t="str"/>
      <x:c r="I630" s="137" t="str"/>
      <x:c r="J630" s="137" t="str"/>
      <x:c r="K630" s="137" t="str"/>
      <x:c r="L630" s="160" t="str"/>
      <x:c r="M630" s="160" t="str"/>
      <x:c r="N630" s="151" t="str"/>
      <x:c r="O630" s="151" t="str"/>
      <x:c r="P630" s="151" t="str"/>
      <x:c r="Q630" s="151" t="str"/>
      <x:c r="R630" s="151" t="str"/>
      <x:c r="S630" s="151" t="str"/>
      <x:c r="T630" s="152" t="n">
        <x:f>IF(COUNTA(O630:S630)=0,"",MAX(0,IF(O630="",0,O630)+IF(P630="",0,P630)-IF(Q630="",0,Q630)-IF(R630="",0,R630)))</x:f>
        <x:v>0</x:v>
      </x:c>
      <x:c r="U630" s="152" t="str">
        <x:f>IF(OR(N630="",Q630=""),"",Q630-N630)</x:f>
      </x:c>
      <x:c r="V630" s="202" t="str">
        <x:f>IFERROR(Q630/N630,"")</x:f>
      </x:c>
      <x:c r="W630" s="137" t="str"/>
      <x:c r="X630" s="137" t="str"/>
      <x:c r="Y630" s="137" t="str"/>
      <x:c r="Z630" s="137" t="str"/>
      <x:c r="AA630" s="137" t="str"/>
      <x:c r="AB630" s="137" t="str"/>
      <x:c r="AC630" s="137" t="str"/>
      <x:c r="AD630" s="199" t="str"/>
    </x:row>
    <x:row r="631">
      <x:c r="A631" s="137" t="str"/>
      <x:c r="B631" s="138" t="str"/>
      <x:c r="C631" s="137" t="str"/>
      <x:c r="D631" s="137" t="str"/>
      <x:c r="E631" s="137" t="str"/>
      <x:c r="F631" s="137" t="str"/>
      <x:c r="G631" s="137" t="str"/>
      <x:c r="H631" s="137" t="str"/>
      <x:c r="I631" s="137" t="str"/>
      <x:c r="J631" s="137" t="str"/>
      <x:c r="K631" s="137" t="str"/>
      <x:c r="L631" s="160" t="str"/>
      <x:c r="M631" s="160" t="str"/>
      <x:c r="N631" s="151" t="str"/>
      <x:c r="O631" s="151" t="str"/>
      <x:c r="P631" s="151" t="str"/>
      <x:c r="Q631" s="151" t="str"/>
      <x:c r="R631" s="151" t="str"/>
      <x:c r="S631" s="151" t="str"/>
      <x:c r="T631" s="152" t="n">
        <x:f>IF(COUNTA(O631:S631)=0,"",MAX(0,IF(O631="",0,O631)+IF(P631="",0,P631)-IF(Q631="",0,Q631)-IF(R631="",0,R631)))</x:f>
        <x:v>0</x:v>
      </x:c>
      <x:c r="U631" s="152" t="str">
        <x:f>IF(OR(N631="",Q631=""),"",Q631-N631)</x:f>
      </x:c>
      <x:c r="V631" s="202" t="str">
        <x:f>IFERROR(Q631/N631,"")</x:f>
      </x:c>
      <x:c r="W631" s="137" t="str"/>
      <x:c r="X631" s="137" t="str"/>
      <x:c r="Y631" s="137" t="str"/>
      <x:c r="Z631" s="137" t="str"/>
      <x:c r="AA631" s="137" t="str"/>
      <x:c r="AB631" s="137" t="str"/>
      <x:c r="AC631" s="137" t="str"/>
      <x:c r="AD631" s="199" t="str"/>
    </x:row>
    <x:row r="632">
      <x:c r="A632" s="137" t="str"/>
      <x:c r="B632" s="138" t="str"/>
      <x:c r="C632" s="137" t="str"/>
      <x:c r="D632" s="137" t="str"/>
      <x:c r="E632" s="137" t="str"/>
      <x:c r="F632" s="137" t="str"/>
      <x:c r="G632" s="137" t="str"/>
      <x:c r="H632" s="137" t="str"/>
      <x:c r="I632" s="137" t="str"/>
      <x:c r="J632" s="137" t="str"/>
      <x:c r="K632" s="137" t="str"/>
      <x:c r="L632" s="160" t="str"/>
      <x:c r="M632" s="160" t="str"/>
      <x:c r="N632" s="151" t="str"/>
      <x:c r="O632" s="151" t="str"/>
      <x:c r="P632" s="151" t="str"/>
      <x:c r="Q632" s="151" t="str"/>
      <x:c r="R632" s="151" t="str"/>
      <x:c r="S632" s="151" t="str"/>
      <x:c r="T632" s="152" t="n">
        <x:f>IF(COUNTA(O632:S632)=0,"",MAX(0,IF(O632="",0,O632)+IF(P632="",0,P632)-IF(Q632="",0,Q632)-IF(R632="",0,R632)))</x:f>
        <x:v>0</x:v>
      </x:c>
      <x:c r="U632" s="152" t="str">
        <x:f>IF(OR(N632="",Q632=""),"",Q632-N632)</x:f>
      </x:c>
      <x:c r="V632" s="202" t="str">
        <x:f>IFERROR(Q632/N632,"")</x:f>
      </x:c>
      <x:c r="W632" s="137" t="str"/>
      <x:c r="X632" s="137" t="str"/>
      <x:c r="Y632" s="137" t="str"/>
      <x:c r="Z632" s="137" t="str"/>
      <x:c r="AA632" s="137" t="str"/>
      <x:c r="AB632" s="137" t="str"/>
      <x:c r="AC632" s="137" t="str"/>
      <x:c r="AD632" s="199" t="str"/>
    </x:row>
    <x:row r="633">
      <x:c r="A633" s="137" t="str"/>
      <x:c r="B633" s="138" t="str"/>
      <x:c r="C633" s="137" t="str"/>
      <x:c r="D633" s="137" t="str"/>
      <x:c r="E633" s="137" t="str"/>
      <x:c r="F633" s="137" t="str"/>
      <x:c r="G633" s="137" t="str"/>
      <x:c r="H633" s="137" t="str"/>
      <x:c r="I633" s="137" t="str"/>
      <x:c r="J633" s="137" t="str"/>
      <x:c r="K633" s="137" t="str"/>
      <x:c r="L633" s="160" t="str"/>
      <x:c r="M633" s="160" t="str"/>
      <x:c r="N633" s="151" t="str"/>
      <x:c r="O633" s="151" t="str"/>
      <x:c r="P633" s="151" t="str"/>
      <x:c r="Q633" s="151" t="str"/>
      <x:c r="R633" s="151" t="str"/>
      <x:c r="S633" s="151" t="str"/>
      <x:c r="T633" s="152" t="n">
        <x:f>IF(COUNTA(O633:S633)=0,"",MAX(0,IF(O633="",0,O633)+IF(P633="",0,P633)-IF(Q633="",0,Q633)-IF(R633="",0,R633)))</x:f>
        <x:v>0</x:v>
      </x:c>
      <x:c r="U633" s="152" t="str">
        <x:f>IF(OR(N633="",Q633=""),"",Q633-N633)</x:f>
      </x:c>
      <x:c r="V633" s="202" t="str">
        <x:f>IFERROR(Q633/N633,"")</x:f>
      </x:c>
      <x:c r="W633" s="137" t="str"/>
      <x:c r="X633" s="137" t="str"/>
      <x:c r="Y633" s="137" t="str"/>
      <x:c r="Z633" s="137" t="str"/>
      <x:c r="AA633" s="137" t="str"/>
      <x:c r="AB633" s="137" t="str"/>
      <x:c r="AC633" s="137" t="str"/>
      <x:c r="AD633" s="199" t="str"/>
    </x:row>
    <x:row r="634">
      <x:c r="A634" s="137" t="str"/>
      <x:c r="B634" s="138" t="str"/>
      <x:c r="C634" s="137" t="str"/>
      <x:c r="D634" s="137" t="str"/>
      <x:c r="E634" s="137" t="str"/>
      <x:c r="F634" s="137" t="str"/>
      <x:c r="G634" s="137" t="str"/>
      <x:c r="H634" s="137" t="str"/>
      <x:c r="I634" s="137" t="str"/>
      <x:c r="J634" s="137" t="str"/>
      <x:c r="K634" s="137" t="str"/>
      <x:c r="L634" s="160" t="str"/>
      <x:c r="M634" s="160" t="str"/>
      <x:c r="N634" s="151" t="str"/>
      <x:c r="O634" s="151" t="str"/>
      <x:c r="P634" s="151" t="str"/>
      <x:c r="Q634" s="151" t="str"/>
      <x:c r="R634" s="151" t="str"/>
      <x:c r="S634" s="151" t="str"/>
      <x:c r="T634" s="152" t="n">
        <x:f>IF(COUNTA(O634:S634)=0,"",MAX(0,IF(O634="",0,O634)+IF(P634="",0,P634)-IF(Q634="",0,Q634)-IF(R634="",0,R634)))</x:f>
        <x:v>0</x:v>
      </x:c>
      <x:c r="U634" s="152" t="str">
        <x:f>IF(OR(N634="",Q634=""),"",Q634-N634)</x:f>
      </x:c>
      <x:c r="V634" s="202" t="str">
        <x:f>IFERROR(Q634/N634,"")</x:f>
      </x:c>
      <x:c r="W634" s="137" t="str"/>
      <x:c r="X634" s="137" t="str"/>
      <x:c r="Y634" s="137" t="str"/>
      <x:c r="Z634" s="137" t="str"/>
      <x:c r="AA634" s="137" t="str"/>
      <x:c r="AB634" s="137" t="str"/>
      <x:c r="AC634" s="137" t="str"/>
      <x:c r="AD634" s="199" t="str"/>
    </x:row>
    <x:row r="635">
      <x:c r="A635" s="137" t="str"/>
      <x:c r="B635" s="138" t="str"/>
      <x:c r="C635" s="137" t="str"/>
      <x:c r="D635" s="137" t="str"/>
      <x:c r="E635" s="137" t="str"/>
      <x:c r="F635" s="137" t="str"/>
      <x:c r="G635" s="137" t="str"/>
      <x:c r="H635" s="137" t="str"/>
      <x:c r="I635" s="137" t="str"/>
      <x:c r="J635" s="137" t="str"/>
      <x:c r="K635" s="137" t="str"/>
      <x:c r="L635" s="160" t="str"/>
      <x:c r="M635" s="160" t="str"/>
      <x:c r="N635" s="151" t="str"/>
      <x:c r="O635" s="151" t="str"/>
      <x:c r="P635" s="151" t="str"/>
      <x:c r="Q635" s="151" t="str"/>
      <x:c r="R635" s="151" t="str"/>
      <x:c r="S635" s="151" t="str"/>
      <x:c r="T635" s="152" t="n">
        <x:f>IF(COUNTA(O635:S635)=0,"",MAX(0,IF(O635="",0,O635)+IF(P635="",0,P635)-IF(Q635="",0,Q635)-IF(R635="",0,R635)))</x:f>
        <x:v>0</x:v>
      </x:c>
      <x:c r="U635" s="152" t="str">
        <x:f>IF(OR(N635="",Q635=""),"",Q635-N635)</x:f>
      </x:c>
      <x:c r="V635" s="202" t="str">
        <x:f>IFERROR(Q635/N635,"")</x:f>
      </x:c>
      <x:c r="W635" s="137" t="str"/>
      <x:c r="X635" s="137" t="str"/>
      <x:c r="Y635" s="137" t="str"/>
      <x:c r="Z635" s="137" t="str"/>
      <x:c r="AA635" s="137" t="str"/>
      <x:c r="AB635" s="137" t="str"/>
      <x:c r="AC635" s="137" t="str"/>
      <x:c r="AD635" s="199" t="str"/>
    </x:row>
    <x:row r="636">
      <x:c r="A636" s="137" t="str"/>
      <x:c r="B636" s="138" t="str"/>
      <x:c r="C636" s="137" t="str"/>
      <x:c r="D636" s="137" t="str"/>
      <x:c r="E636" s="137" t="str"/>
      <x:c r="F636" s="137" t="str"/>
      <x:c r="G636" s="137" t="str"/>
      <x:c r="H636" s="137" t="str"/>
      <x:c r="I636" s="137" t="str"/>
      <x:c r="J636" s="137" t="str"/>
      <x:c r="K636" s="137" t="str"/>
      <x:c r="L636" s="160" t="str"/>
      <x:c r="M636" s="160" t="str"/>
      <x:c r="N636" s="151" t="str"/>
      <x:c r="O636" s="151" t="str"/>
      <x:c r="P636" s="151" t="str"/>
      <x:c r="Q636" s="151" t="str"/>
      <x:c r="R636" s="151" t="str"/>
      <x:c r="S636" s="151" t="str"/>
      <x:c r="T636" s="152" t="n">
        <x:f>IF(COUNTA(O636:S636)=0,"",MAX(0,IF(O636="",0,O636)+IF(P636="",0,P636)-IF(Q636="",0,Q636)-IF(R636="",0,R636)))</x:f>
        <x:v>0</x:v>
      </x:c>
      <x:c r="U636" s="152" t="str">
        <x:f>IF(OR(N636="",Q636=""),"",Q636-N636)</x:f>
      </x:c>
      <x:c r="V636" s="202" t="str">
        <x:f>IFERROR(Q636/N636,"")</x:f>
      </x:c>
      <x:c r="W636" s="137" t="str"/>
      <x:c r="X636" s="137" t="str"/>
      <x:c r="Y636" s="137" t="str"/>
      <x:c r="Z636" s="137" t="str"/>
      <x:c r="AA636" s="137" t="str"/>
      <x:c r="AB636" s="137" t="str"/>
      <x:c r="AC636" s="137" t="str"/>
      <x:c r="AD636" s="199" t="str"/>
    </x:row>
    <x:row r="637">
      <x:c r="A637" s="137" t="str"/>
      <x:c r="B637" s="138" t="str"/>
      <x:c r="C637" s="137" t="str"/>
      <x:c r="D637" s="137" t="str"/>
      <x:c r="E637" s="137" t="str"/>
      <x:c r="F637" s="137" t="str"/>
      <x:c r="G637" s="137" t="str"/>
      <x:c r="H637" s="137" t="str"/>
      <x:c r="I637" s="137" t="str"/>
      <x:c r="J637" s="137" t="str"/>
      <x:c r="K637" s="137" t="str"/>
      <x:c r="L637" s="160" t="str"/>
      <x:c r="M637" s="160" t="str"/>
      <x:c r="N637" s="151" t="str"/>
      <x:c r="O637" s="151" t="str"/>
      <x:c r="P637" s="151" t="str"/>
      <x:c r="Q637" s="151" t="str"/>
      <x:c r="R637" s="151" t="str"/>
      <x:c r="S637" s="151" t="str"/>
      <x:c r="T637" s="152" t="n">
        <x:f>IF(COUNTA(O637:S637)=0,"",MAX(0,IF(O637="",0,O637)+IF(P637="",0,P637)-IF(Q637="",0,Q637)-IF(R637="",0,R637)))</x:f>
        <x:v>0</x:v>
      </x:c>
      <x:c r="U637" s="152" t="str">
        <x:f>IF(OR(N637="",Q637=""),"",Q637-N637)</x:f>
      </x:c>
      <x:c r="V637" s="202" t="str">
        <x:f>IFERROR(Q637/N637,"")</x:f>
      </x:c>
      <x:c r="W637" s="137" t="str"/>
      <x:c r="X637" s="137" t="str"/>
      <x:c r="Y637" s="137" t="str"/>
      <x:c r="Z637" s="137" t="str"/>
      <x:c r="AA637" s="137" t="str"/>
      <x:c r="AB637" s="137" t="str"/>
      <x:c r="AC637" s="137" t="str"/>
      <x:c r="AD637" s="199" t="str"/>
    </x:row>
    <x:row r="638">
      <x:c r="A638" s="137" t="str"/>
      <x:c r="B638" s="138" t="str"/>
      <x:c r="C638" s="137" t="str"/>
      <x:c r="D638" s="137" t="str"/>
      <x:c r="E638" s="137" t="str"/>
      <x:c r="F638" s="137" t="str"/>
      <x:c r="G638" s="137" t="str"/>
      <x:c r="H638" s="137" t="str"/>
      <x:c r="I638" s="137" t="str"/>
      <x:c r="J638" s="137" t="str"/>
      <x:c r="K638" s="137" t="str"/>
      <x:c r="L638" s="160" t="str"/>
      <x:c r="M638" s="160" t="str"/>
      <x:c r="N638" s="151" t="str"/>
      <x:c r="O638" s="151" t="str"/>
      <x:c r="P638" s="151" t="str"/>
      <x:c r="Q638" s="151" t="str"/>
      <x:c r="R638" s="151" t="str"/>
      <x:c r="S638" s="151" t="str"/>
      <x:c r="T638" s="152" t="n">
        <x:f>IF(COUNTA(O638:S638)=0,"",MAX(0,IF(O638="",0,O638)+IF(P638="",0,P638)-IF(Q638="",0,Q638)-IF(R638="",0,R638)))</x:f>
        <x:v>0</x:v>
      </x:c>
      <x:c r="U638" s="152" t="str">
        <x:f>IF(OR(N638="",Q638=""),"",Q638-N638)</x:f>
      </x:c>
      <x:c r="V638" s="202" t="str">
        <x:f>IFERROR(Q638/N638,"")</x:f>
      </x:c>
      <x:c r="W638" s="137" t="str"/>
      <x:c r="X638" s="137" t="str"/>
      <x:c r="Y638" s="137" t="str"/>
      <x:c r="Z638" s="137" t="str"/>
      <x:c r="AA638" s="137" t="str"/>
      <x:c r="AB638" s="137" t="str"/>
      <x:c r="AC638" s="137" t="str"/>
      <x:c r="AD638" s="199" t="str"/>
    </x:row>
    <x:row r="639">
      <x:c r="A639" s="137" t="str"/>
      <x:c r="B639" s="138" t="str"/>
      <x:c r="C639" s="137" t="str"/>
      <x:c r="D639" s="137" t="str"/>
      <x:c r="E639" s="137" t="str"/>
      <x:c r="F639" s="137" t="str"/>
      <x:c r="G639" s="137" t="str"/>
      <x:c r="H639" s="137" t="str"/>
      <x:c r="I639" s="137" t="str"/>
      <x:c r="J639" s="137" t="str"/>
      <x:c r="K639" s="137" t="str"/>
      <x:c r="L639" s="160" t="str"/>
      <x:c r="M639" s="160" t="str"/>
      <x:c r="N639" s="151" t="str"/>
      <x:c r="O639" s="151" t="str"/>
      <x:c r="P639" s="151" t="str"/>
      <x:c r="Q639" s="151" t="str"/>
      <x:c r="R639" s="151" t="str"/>
      <x:c r="S639" s="151" t="str"/>
      <x:c r="T639" s="152" t="n">
        <x:f>IF(COUNTA(O639:S639)=0,"",MAX(0,IF(O639="",0,O639)+IF(P639="",0,P639)-IF(Q639="",0,Q639)-IF(R639="",0,R639)))</x:f>
        <x:v>0</x:v>
      </x:c>
      <x:c r="U639" s="152" t="str">
        <x:f>IF(OR(N639="",Q639=""),"",Q639-N639)</x:f>
      </x:c>
      <x:c r="V639" s="202" t="str">
        <x:f>IFERROR(Q639/N639,"")</x:f>
      </x:c>
      <x:c r="W639" s="137" t="str"/>
      <x:c r="X639" s="137" t="str"/>
      <x:c r="Y639" s="137" t="str"/>
      <x:c r="Z639" s="137" t="str"/>
      <x:c r="AA639" s="137" t="str"/>
      <x:c r="AB639" s="137" t="str"/>
      <x:c r="AC639" s="137" t="str"/>
      <x:c r="AD639" s="199" t="str"/>
    </x:row>
    <x:row r="640">
      <x:c r="A640" s="137" t="str"/>
      <x:c r="B640" s="138" t="str"/>
      <x:c r="C640" s="137" t="str"/>
      <x:c r="D640" s="137" t="str"/>
      <x:c r="E640" s="137" t="str"/>
      <x:c r="F640" s="137" t="str"/>
      <x:c r="G640" s="137" t="str"/>
      <x:c r="H640" s="137" t="str"/>
      <x:c r="I640" s="137" t="str"/>
      <x:c r="J640" s="137" t="str"/>
      <x:c r="K640" s="137" t="str"/>
      <x:c r="L640" s="160" t="str"/>
      <x:c r="M640" s="160" t="str"/>
      <x:c r="N640" s="151" t="str"/>
      <x:c r="O640" s="151" t="str"/>
      <x:c r="P640" s="151" t="str"/>
      <x:c r="Q640" s="151" t="str"/>
      <x:c r="R640" s="151" t="str"/>
      <x:c r="S640" s="151" t="str"/>
      <x:c r="T640" s="152" t="n">
        <x:f>IF(COUNTA(O640:S640)=0,"",MAX(0,IF(O640="",0,O640)+IF(P640="",0,P640)-IF(Q640="",0,Q640)-IF(R640="",0,R640)))</x:f>
        <x:v>0</x:v>
      </x:c>
      <x:c r="U640" s="152" t="str">
        <x:f>IF(OR(N640="",Q640=""),"",Q640-N640)</x:f>
      </x:c>
      <x:c r="V640" s="202" t="str">
        <x:f>IFERROR(Q640/N640,"")</x:f>
      </x:c>
      <x:c r="W640" s="137" t="str"/>
      <x:c r="X640" s="137" t="str"/>
      <x:c r="Y640" s="137" t="str"/>
      <x:c r="Z640" s="137" t="str"/>
      <x:c r="AA640" s="137" t="str"/>
      <x:c r="AB640" s="137" t="str"/>
      <x:c r="AC640" s="137" t="str"/>
      <x:c r="AD640" s="199" t="str"/>
    </x:row>
    <x:row r="641">
      <x:c r="A641" s="137" t="str"/>
      <x:c r="B641" s="138" t="str"/>
      <x:c r="C641" s="137" t="str"/>
      <x:c r="D641" s="137" t="str"/>
      <x:c r="E641" s="137" t="str"/>
      <x:c r="F641" s="137" t="str"/>
      <x:c r="G641" s="137" t="str"/>
      <x:c r="H641" s="137" t="str"/>
      <x:c r="I641" s="137" t="str"/>
      <x:c r="J641" s="137" t="str"/>
      <x:c r="K641" s="137" t="str"/>
      <x:c r="L641" s="160" t="str"/>
      <x:c r="M641" s="160" t="str"/>
      <x:c r="N641" s="151" t="str"/>
      <x:c r="O641" s="151" t="str"/>
      <x:c r="P641" s="151" t="str"/>
      <x:c r="Q641" s="151" t="str"/>
      <x:c r="R641" s="151" t="str"/>
      <x:c r="S641" s="151" t="str"/>
      <x:c r="T641" s="152" t="n">
        <x:f>IF(COUNTA(O641:S641)=0,"",MAX(0,IF(O641="",0,O641)+IF(P641="",0,P641)-IF(Q641="",0,Q641)-IF(R641="",0,R641)))</x:f>
        <x:v>0</x:v>
      </x:c>
      <x:c r="U641" s="152" t="str">
        <x:f>IF(OR(N641="",Q641=""),"",Q641-N641)</x:f>
      </x:c>
      <x:c r="V641" s="202" t="str">
        <x:f>IFERROR(Q641/N641,"")</x:f>
      </x:c>
      <x:c r="W641" s="137" t="str"/>
      <x:c r="X641" s="137" t="str"/>
      <x:c r="Y641" s="137" t="str"/>
      <x:c r="Z641" s="137" t="str"/>
      <x:c r="AA641" s="137" t="str"/>
      <x:c r="AB641" s="137" t="str"/>
      <x:c r="AC641" s="137" t="str"/>
      <x:c r="AD641" s="199" t="str"/>
    </x:row>
    <x:row r="642">
      <x:c r="A642" s="137" t="str"/>
      <x:c r="B642" s="138" t="str"/>
      <x:c r="C642" s="137" t="str"/>
      <x:c r="D642" s="137" t="str"/>
      <x:c r="E642" s="137" t="str"/>
      <x:c r="F642" s="137" t="str"/>
      <x:c r="G642" s="137" t="str"/>
      <x:c r="H642" s="137" t="str"/>
      <x:c r="I642" s="137" t="str"/>
      <x:c r="J642" s="137" t="str"/>
      <x:c r="K642" s="137" t="str"/>
      <x:c r="L642" s="160" t="str"/>
      <x:c r="M642" s="160" t="str"/>
      <x:c r="N642" s="151" t="str"/>
      <x:c r="O642" s="151" t="str"/>
      <x:c r="P642" s="151" t="str"/>
      <x:c r="Q642" s="151" t="str"/>
      <x:c r="R642" s="151" t="str"/>
      <x:c r="S642" s="151" t="str"/>
      <x:c r="T642" s="152" t="n">
        <x:f>IF(COUNTA(O642:S642)=0,"",MAX(0,IF(O642="",0,O642)+IF(P642="",0,P642)-IF(Q642="",0,Q642)-IF(R642="",0,R642)))</x:f>
        <x:v>0</x:v>
      </x:c>
      <x:c r="U642" s="152" t="str">
        <x:f>IF(OR(N642="",Q642=""),"",Q642-N642)</x:f>
      </x:c>
      <x:c r="V642" s="202" t="str">
        <x:f>IFERROR(Q642/N642,"")</x:f>
      </x:c>
      <x:c r="W642" s="137" t="str"/>
      <x:c r="X642" s="137" t="str"/>
      <x:c r="Y642" s="137" t="str"/>
      <x:c r="Z642" s="137" t="str"/>
      <x:c r="AA642" s="137" t="str"/>
      <x:c r="AB642" s="137" t="str"/>
      <x:c r="AC642" s="137" t="str"/>
      <x:c r="AD642" s="199" t="str"/>
    </x:row>
    <x:row r="643">
      <x:c r="A643" s="137" t="str"/>
      <x:c r="B643" s="138" t="str"/>
      <x:c r="C643" s="137" t="str"/>
      <x:c r="D643" s="137" t="str"/>
      <x:c r="E643" s="137" t="str"/>
      <x:c r="F643" s="137" t="str"/>
      <x:c r="G643" s="137" t="str"/>
      <x:c r="H643" s="137" t="str"/>
      <x:c r="I643" s="137" t="str"/>
      <x:c r="J643" s="137" t="str"/>
      <x:c r="K643" s="137" t="str"/>
      <x:c r="L643" s="160" t="str"/>
      <x:c r="M643" s="160" t="str"/>
      <x:c r="N643" s="151" t="str"/>
      <x:c r="O643" s="151" t="str"/>
      <x:c r="P643" s="151" t="str"/>
      <x:c r="Q643" s="151" t="str"/>
      <x:c r="R643" s="151" t="str"/>
      <x:c r="S643" s="151" t="str"/>
      <x:c r="T643" s="152" t="n">
        <x:f>IF(COUNTA(O643:S643)=0,"",MAX(0,IF(O643="",0,O643)+IF(P643="",0,P643)-IF(Q643="",0,Q643)-IF(R643="",0,R643)))</x:f>
        <x:v>0</x:v>
      </x:c>
      <x:c r="U643" s="152" t="str">
        <x:f>IF(OR(N643="",Q643=""),"",Q643-N643)</x:f>
      </x:c>
      <x:c r="V643" s="202" t="str">
        <x:f>IFERROR(Q643/N643,"")</x:f>
      </x:c>
      <x:c r="W643" s="137" t="str"/>
      <x:c r="X643" s="137" t="str"/>
      <x:c r="Y643" s="137" t="str"/>
      <x:c r="Z643" s="137" t="str"/>
      <x:c r="AA643" s="137" t="str"/>
      <x:c r="AB643" s="137" t="str"/>
      <x:c r="AC643" s="137" t="str"/>
      <x:c r="AD643" s="199" t="str"/>
    </x:row>
    <x:row r="644">
      <x:c r="A644" s="137" t="str"/>
      <x:c r="B644" s="138" t="str"/>
      <x:c r="C644" s="137" t="str"/>
      <x:c r="D644" s="137" t="str"/>
      <x:c r="E644" s="137" t="str"/>
      <x:c r="F644" s="137" t="str"/>
      <x:c r="G644" s="137" t="str"/>
      <x:c r="H644" s="137" t="str"/>
      <x:c r="I644" s="137" t="str"/>
      <x:c r="J644" s="137" t="str"/>
      <x:c r="K644" s="137" t="str"/>
      <x:c r="L644" s="160" t="str"/>
      <x:c r="M644" s="160" t="str"/>
      <x:c r="N644" s="151" t="str"/>
      <x:c r="O644" s="151" t="str"/>
      <x:c r="P644" s="151" t="str"/>
      <x:c r="Q644" s="151" t="str"/>
      <x:c r="R644" s="151" t="str"/>
      <x:c r="S644" s="151" t="str"/>
      <x:c r="T644" s="152" t="n">
        <x:f>IF(COUNTA(O644:S644)=0,"",MAX(0,IF(O644="",0,O644)+IF(P644="",0,P644)-IF(Q644="",0,Q644)-IF(R644="",0,R644)))</x:f>
        <x:v>0</x:v>
      </x:c>
      <x:c r="U644" s="152" t="str">
        <x:f>IF(OR(N644="",Q644=""),"",Q644-N644)</x:f>
      </x:c>
      <x:c r="V644" s="202" t="str">
        <x:f>IFERROR(Q644/N644,"")</x:f>
      </x:c>
      <x:c r="W644" s="137" t="str"/>
      <x:c r="X644" s="137" t="str"/>
      <x:c r="Y644" s="137" t="str"/>
      <x:c r="Z644" s="137" t="str"/>
      <x:c r="AA644" s="137" t="str"/>
      <x:c r="AB644" s="137" t="str"/>
      <x:c r="AC644" s="137" t="str"/>
      <x:c r="AD644" s="199" t="str"/>
    </x:row>
    <x:row r="645">
      <x:c r="A645" s="137" t="str"/>
      <x:c r="B645" s="138" t="str"/>
      <x:c r="C645" s="137" t="str"/>
      <x:c r="D645" s="137" t="str"/>
      <x:c r="E645" s="137" t="str"/>
      <x:c r="F645" s="137" t="str"/>
      <x:c r="G645" s="137" t="str"/>
      <x:c r="H645" s="137" t="str"/>
      <x:c r="I645" s="137" t="str"/>
      <x:c r="J645" s="137" t="str"/>
      <x:c r="K645" s="137" t="str"/>
      <x:c r="L645" s="160" t="str"/>
      <x:c r="M645" s="160" t="str"/>
      <x:c r="N645" s="151" t="str"/>
      <x:c r="O645" s="151" t="str"/>
      <x:c r="P645" s="151" t="str"/>
      <x:c r="Q645" s="151" t="str"/>
      <x:c r="R645" s="151" t="str"/>
      <x:c r="S645" s="151" t="str"/>
      <x:c r="T645" s="152" t="n">
        <x:f>IF(COUNTA(O645:S645)=0,"",MAX(0,IF(O645="",0,O645)+IF(P645="",0,P645)-IF(Q645="",0,Q645)-IF(R645="",0,R645)))</x:f>
        <x:v>0</x:v>
      </x:c>
      <x:c r="U645" s="152" t="str">
        <x:f>IF(OR(N645="",Q645=""),"",Q645-N645)</x:f>
      </x:c>
      <x:c r="V645" s="202" t="str">
        <x:f>IFERROR(Q645/N645,"")</x:f>
      </x:c>
      <x:c r="W645" s="137" t="str"/>
      <x:c r="X645" s="137" t="str"/>
      <x:c r="Y645" s="137" t="str"/>
      <x:c r="Z645" s="137" t="str"/>
      <x:c r="AA645" s="137" t="str"/>
      <x:c r="AB645" s="137" t="str"/>
      <x:c r="AC645" s="137" t="str"/>
      <x:c r="AD645" s="199" t="str"/>
    </x:row>
    <x:row r="646">
      <x:c r="A646" s="137" t="str"/>
      <x:c r="B646" s="138" t="str"/>
      <x:c r="C646" s="137" t="str"/>
      <x:c r="D646" s="137" t="str"/>
      <x:c r="E646" s="137" t="str"/>
      <x:c r="F646" s="137" t="str"/>
      <x:c r="G646" s="137" t="str"/>
      <x:c r="H646" s="137" t="str"/>
      <x:c r="I646" s="137" t="str"/>
      <x:c r="J646" s="137" t="str"/>
      <x:c r="K646" s="137" t="str"/>
      <x:c r="L646" s="160" t="str"/>
      <x:c r="M646" s="160" t="str"/>
      <x:c r="N646" s="151" t="str"/>
      <x:c r="O646" s="151" t="str"/>
      <x:c r="P646" s="151" t="str"/>
      <x:c r="Q646" s="151" t="str"/>
      <x:c r="R646" s="151" t="str"/>
      <x:c r="S646" s="151" t="str"/>
      <x:c r="T646" s="152" t="n">
        <x:f>IF(COUNTA(O646:S646)=0,"",MAX(0,IF(O646="",0,O646)+IF(P646="",0,P646)-IF(Q646="",0,Q646)-IF(R646="",0,R646)))</x:f>
        <x:v>0</x:v>
      </x:c>
      <x:c r="U646" s="152" t="str">
        <x:f>IF(OR(N646="",Q646=""),"",Q646-N646)</x:f>
      </x:c>
      <x:c r="V646" s="202" t="str">
        <x:f>IFERROR(Q646/N646,"")</x:f>
      </x:c>
      <x:c r="W646" s="137" t="str"/>
      <x:c r="X646" s="137" t="str"/>
      <x:c r="Y646" s="137" t="str"/>
      <x:c r="Z646" s="137" t="str"/>
      <x:c r="AA646" s="137" t="str"/>
      <x:c r="AB646" s="137" t="str"/>
      <x:c r="AC646" s="137" t="str"/>
      <x:c r="AD646" s="199" t="str"/>
    </x:row>
    <x:row r="647">
      <x:c r="A647" s="137" t="str"/>
      <x:c r="B647" s="138" t="str"/>
      <x:c r="C647" s="137" t="str"/>
      <x:c r="D647" s="137" t="str"/>
      <x:c r="E647" s="137" t="str"/>
      <x:c r="F647" s="137" t="str"/>
      <x:c r="G647" s="137" t="str"/>
      <x:c r="H647" s="137" t="str"/>
      <x:c r="I647" s="137" t="str"/>
      <x:c r="J647" s="137" t="str"/>
      <x:c r="K647" s="137" t="str"/>
      <x:c r="L647" s="160" t="str"/>
      <x:c r="M647" s="160" t="str"/>
      <x:c r="N647" s="151" t="str"/>
      <x:c r="O647" s="151" t="str"/>
      <x:c r="P647" s="151" t="str"/>
      <x:c r="Q647" s="151" t="str"/>
      <x:c r="R647" s="151" t="str"/>
      <x:c r="S647" s="151" t="str"/>
      <x:c r="T647" s="152" t="n">
        <x:f>IF(COUNTA(O647:S647)=0,"",MAX(0,IF(O647="",0,O647)+IF(P647="",0,P647)-IF(Q647="",0,Q647)-IF(R647="",0,R647)))</x:f>
        <x:v>0</x:v>
      </x:c>
      <x:c r="U647" s="152" t="str">
        <x:f>IF(OR(N647="",Q647=""),"",Q647-N647)</x:f>
      </x:c>
      <x:c r="V647" s="202" t="str">
        <x:f>IFERROR(Q647/N647,"")</x:f>
      </x:c>
      <x:c r="W647" s="137" t="str"/>
      <x:c r="X647" s="137" t="str"/>
      <x:c r="Y647" s="137" t="str"/>
      <x:c r="Z647" s="137" t="str"/>
      <x:c r="AA647" s="137" t="str"/>
      <x:c r="AB647" s="137" t="str"/>
      <x:c r="AC647" s="137" t="str"/>
      <x:c r="AD647" s="199" t="str"/>
    </x:row>
    <x:row r="648">
      <x:c r="A648" s="137" t="str"/>
      <x:c r="B648" s="138" t="str"/>
      <x:c r="C648" s="137" t="str"/>
      <x:c r="D648" s="137" t="str"/>
      <x:c r="E648" s="137" t="str"/>
      <x:c r="F648" s="137" t="str"/>
      <x:c r="G648" s="137" t="str"/>
      <x:c r="H648" s="137" t="str"/>
      <x:c r="I648" s="137" t="str"/>
      <x:c r="J648" s="137" t="str"/>
      <x:c r="K648" s="137" t="str"/>
      <x:c r="L648" s="160" t="str"/>
      <x:c r="M648" s="160" t="str"/>
      <x:c r="N648" s="151" t="str"/>
      <x:c r="O648" s="151" t="str"/>
      <x:c r="P648" s="151" t="str"/>
      <x:c r="Q648" s="151" t="str"/>
      <x:c r="R648" s="151" t="str"/>
      <x:c r="S648" s="151" t="str"/>
      <x:c r="T648" s="152" t="n">
        <x:f>IF(COUNTA(O648:S648)=0,"",MAX(0,IF(O648="",0,O648)+IF(P648="",0,P648)-IF(Q648="",0,Q648)-IF(R648="",0,R648)))</x:f>
        <x:v>0</x:v>
      </x:c>
      <x:c r="U648" s="152" t="str">
        <x:f>IF(OR(N648="",Q648=""),"",Q648-N648)</x:f>
      </x:c>
      <x:c r="V648" s="202" t="str">
        <x:f>IFERROR(Q648/N648,"")</x:f>
      </x:c>
      <x:c r="W648" s="137" t="str"/>
      <x:c r="X648" s="137" t="str"/>
      <x:c r="Y648" s="137" t="str"/>
      <x:c r="Z648" s="137" t="str"/>
      <x:c r="AA648" s="137" t="str"/>
      <x:c r="AB648" s="137" t="str"/>
      <x:c r="AC648" s="137" t="str"/>
      <x:c r="AD648" s="199" t="str"/>
    </x:row>
    <x:row r="649">
      <x:c r="A649" s="137" t="str"/>
      <x:c r="B649" s="138" t="str"/>
      <x:c r="C649" s="137" t="str"/>
      <x:c r="D649" s="137" t="str"/>
      <x:c r="E649" s="137" t="str"/>
      <x:c r="F649" s="137" t="str"/>
      <x:c r="G649" s="137" t="str"/>
      <x:c r="H649" s="137" t="str"/>
      <x:c r="I649" s="137" t="str"/>
      <x:c r="J649" s="137" t="str"/>
      <x:c r="K649" s="137" t="str"/>
      <x:c r="L649" s="160" t="str"/>
      <x:c r="M649" s="160" t="str"/>
      <x:c r="N649" s="151" t="str"/>
      <x:c r="O649" s="151" t="str"/>
      <x:c r="P649" s="151" t="str"/>
      <x:c r="Q649" s="151" t="str"/>
      <x:c r="R649" s="151" t="str"/>
      <x:c r="S649" s="151" t="str"/>
      <x:c r="T649" s="152" t="n">
        <x:f>IF(COUNTA(O649:S649)=0,"",MAX(0,IF(O649="",0,O649)+IF(P649="",0,P649)-IF(Q649="",0,Q649)-IF(R649="",0,R649)))</x:f>
        <x:v>0</x:v>
      </x:c>
      <x:c r="U649" s="152" t="str">
        <x:f>IF(OR(N649="",Q649=""),"",Q649-N649)</x:f>
      </x:c>
      <x:c r="V649" s="202" t="str">
        <x:f>IFERROR(Q649/N649,"")</x:f>
      </x:c>
      <x:c r="W649" s="137" t="str"/>
      <x:c r="X649" s="137" t="str"/>
      <x:c r="Y649" s="137" t="str"/>
      <x:c r="Z649" s="137" t="str"/>
      <x:c r="AA649" s="137" t="str"/>
      <x:c r="AB649" s="137" t="str"/>
      <x:c r="AC649" s="137" t="str"/>
      <x:c r="AD649" s="199" t="str"/>
    </x:row>
    <x:row r="650">
      <x:c r="A650" s="137" t="str"/>
      <x:c r="B650" s="138" t="str"/>
      <x:c r="C650" s="137" t="str"/>
      <x:c r="D650" s="137" t="str"/>
      <x:c r="E650" s="137" t="str"/>
      <x:c r="F650" s="137" t="str"/>
      <x:c r="G650" s="137" t="str"/>
      <x:c r="H650" s="137" t="str"/>
      <x:c r="I650" s="137" t="str"/>
      <x:c r="J650" s="137" t="str"/>
      <x:c r="K650" s="137" t="str"/>
      <x:c r="L650" s="160" t="str"/>
      <x:c r="M650" s="160" t="str"/>
      <x:c r="N650" s="151" t="str"/>
      <x:c r="O650" s="151" t="str"/>
      <x:c r="P650" s="151" t="str"/>
      <x:c r="Q650" s="151" t="str"/>
      <x:c r="R650" s="151" t="str"/>
      <x:c r="S650" s="151" t="str"/>
      <x:c r="T650" s="152" t="n">
        <x:f>IF(COUNTA(O650:S650)=0,"",MAX(0,IF(O650="",0,O650)+IF(P650="",0,P650)-IF(Q650="",0,Q650)-IF(R650="",0,R650)))</x:f>
        <x:v>0</x:v>
      </x:c>
      <x:c r="U650" s="152" t="str">
        <x:f>IF(OR(N650="",Q650=""),"",Q650-N650)</x:f>
      </x:c>
      <x:c r="V650" s="202" t="str">
        <x:f>IFERROR(Q650/N650,"")</x:f>
      </x:c>
      <x:c r="W650" s="137" t="str"/>
      <x:c r="X650" s="137" t="str"/>
      <x:c r="Y650" s="137" t="str"/>
      <x:c r="Z650" s="137" t="str"/>
      <x:c r="AA650" s="137" t="str"/>
      <x:c r="AB650" s="137" t="str"/>
      <x:c r="AC650" s="137" t="str"/>
      <x:c r="AD650" s="199" t="str"/>
    </x:row>
    <x:row r="651">
      <x:c r="A651" s="137" t="str"/>
      <x:c r="B651" s="138" t="str"/>
      <x:c r="C651" s="137" t="str"/>
      <x:c r="D651" s="137" t="str"/>
      <x:c r="E651" s="137" t="str"/>
      <x:c r="F651" s="137" t="str"/>
      <x:c r="G651" s="137" t="str"/>
      <x:c r="H651" s="137" t="str"/>
      <x:c r="I651" s="137" t="str"/>
      <x:c r="J651" s="137" t="str"/>
      <x:c r="K651" s="137" t="str"/>
      <x:c r="L651" s="160" t="str"/>
      <x:c r="M651" s="160" t="str"/>
      <x:c r="N651" s="151" t="str"/>
      <x:c r="O651" s="151" t="str"/>
      <x:c r="P651" s="151" t="str"/>
      <x:c r="Q651" s="151" t="str"/>
      <x:c r="R651" s="151" t="str"/>
      <x:c r="S651" s="151" t="str"/>
      <x:c r="T651" s="152" t="n">
        <x:f>IF(COUNTA(O651:S651)=0,"",MAX(0,IF(O651="",0,O651)+IF(P651="",0,P651)-IF(Q651="",0,Q651)-IF(R651="",0,R651)))</x:f>
        <x:v>0</x:v>
      </x:c>
      <x:c r="U651" s="152" t="str">
        <x:f>IF(OR(N651="",Q651=""),"",Q651-N651)</x:f>
      </x:c>
      <x:c r="V651" s="202" t="str">
        <x:f>IFERROR(Q651/N651,"")</x:f>
      </x:c>
      <x:c r="W651" s="137" t="str"/>
      <x:c r="X651" s="137" t="str"/>
      <x:c r="Y651" s="137" t="str"/>
      <x:c r="Z651" s="137" t="str"/>
      <x:c r="AA651" s="137" t="str"/>
      <x:c r="AB651" s="137" t="str"/>
      <x:c r="AC651" s="137" t="str"/>
      <x:c r="AD651" s="199" t="str"/>
    </x:row>
    <x:row r="652">
      <x:c r="A652" s="137" t="str"/>
      <x:c r="B652" s="138" t="str"/>
      <x:c r="C652" s="137" t="str"/>
      <x:c r="D652" s="137" t="str"/>
      <x:c r="E652" s="137" t="str"/>
      <x:c r="F652" s="137" t="str"/>
      <x:c r="G652" s="137" t="str"/>
      <x:c r="H652" s="137" t="str"/>
      <x:c r="I652" s="137" t="str"/>
      <x:c r="J652" s="137" t="str"/>
      <x:c r="K652" s="137" t="str"/>
      <x:c r="L652" s="160" t="str"/>
      <x:c r="M652" s="160" t="str"/>
      <x:c r="N652" s="151" t="str"/>
      <x:c r="O652" s="151" t="str"/>
      <x:c r="P652" s="151" t="str"/>
      <x:c r="Q652" s="151" t="str"/>
      <x:c r="R652" s="151" t="str"/>
      <x:c r="S652" s="151" t="str"/>
      <x:c r="T652" s="152" t="n">
        <x:f>IF(COUNTA(O652:S652)=0,"",MAX(0,IF(O652="",0,O652)+IF(P652="",0,P652)-IF(Q652="",0,Q652)-IF(R652="",0,R652)))</x:f>
        <x:v>0</x:v>
      </x:c>
      <x:c r="U652" s="152" t="str">
        <x:f>IF(OR(N652="",Q652=""),"",Q652-N652)</x:f>
      </x:c>
      <x:c r="V652" s="202" t="str">
        <x:f>IFERROR(Q652/N652,"")</x:f>
      </x:c>
      <x:c r="W652" s="137" t="str"/>
      <x:c r="X652" s="137" t="str"/>
      <x:c r="Y652" s="137" t="str"/>
      <x:c r="Z652" s="137" t="str"/>
      <x:c r="AA652" s="137" t="str"/>
      <x:c r="AB652" s="137" t="str"/>
      <x:c r="AC652" s="137" t="str"/>
      <x:c r="AD652" s="199" t="str"/>
    </x:row>
    <x:row r="653">
      <x:c r="A653" s="137" t="str"/>
      <x:c r="B653" s="138" t="str"/>
      <x:c r="C653" s="137" t="str"/>
      <x:c r="D653" s="137" t="str"/>
      <x:c r="E653" s="137" t="str"/>
      <x:c r="F653" s="137" t="str"/>
      <x:c r="G653" s="137" t="str"/>
      <x:c r="H653" s="137" t="str"/>
      <x:c r="I653" s="137" t="str"/>
      <x:c r="J653" s="137" t="str"/>
      <x:c r="K653" s="137" t="str"/>
      <x:c r="L653" s="160" t="str"/>
      <x:c r="M653" s="160" t="str"/>
      <x:c r="N653" s="151" t="str"/>
      <x:c r="O653" s="151" t="str"/>
      <x:c r="P653" s="151" t="str"/>
      <x:c r="Q653" s="151" t="str"/>
      <x:c r="R653" s="151" t="str"/>
      <x:c r="S653" s="151" t="str"/>
      <x:c r="T653" s="152" t="n">
        <x:f>IF(COUNTA(O653:S653)=0,"",MAX(0,IF(O653="",0,O653)+IF(P653="",0,P653)-IF(Q653="",0,Q653)-IF(R653="",0,R653)))</x:f>
        <x:v>0</x:v>
      </x:c>
      <x:c r="U653" s="152" t="str">
        <x:f>IF(OR(N653="",Q653=""),"",Q653-N653)</x:f>
      </x:c>
      <x:c r="V653" s="202" t="str">
        <x:f>IFERROR(Q653/N653,"")</x:f>
      </x:c>
      <x:c r="W653" s="137" t="str"/>
      <x:c r="X653" s="137" t="str"/>
      <x:c r="Y653" s="137" t="str"/>
      <x:c r="Z653" s="137" t="str"/>
      <x:c r="AA653" s="137" t="str"/>
      <x:c r="AB653" s="137" t="str"/>
      <x:c r="AC653" s="137" t="str"/>
      <x:c r="AD653" s="199" t="str"/>
    </x:row>
    <x:row r="654">
      <x:c r="A654" s="137" t="str"/>
      <x:c r="B654" s="138" t="str"/>
      <x:c r="C654" s="137" t="str"/>
      <x:c r="D654" s="137" t="str"/>
      <x:c r="E654" s="137" t="str"/>
      <x:c r="F654" s="137" t="str"/>
      <x:c r="G654" s="137" t="str"/>
      <x:c r="H654" s="137" t="str"/>
      <x:c r="I654" s="137" t="str"/>
      <x:c r="J654" s="137" t="str"/>
      <x:c r="K654" s="137" t="str"/>
      <x:c r="L654" s="160" t="str"/>
      <x:c r="M654" s="160" t="str"/>
      <x:c r="N654" s="151" t="str"/>
      <x:c r="O654" s="151" t="str"/>
      <x:c r="P654" s="151" t="str"/>
      <x:c r="Q654" s="151" t="str"/>
      <x:c r="R654" s="151" t="str"/>
      <x:c r="S654" s="151" t="str"/>
      <x:c r="T654" s="152" t="n">
        <x:f>IF(COUNTA(O654:S654)=0,"",MAX(0,IF(O654="",0,O654)+IF(P654="",0,P654)-IF(Q654="",0,Q654)-IF(R654="",0,R654)))</x:f>
        <x:v>0</x:v>
      </x:c>
      <x:c r="U654" s="152" t="str">
        <x:f>IF(OR(N654="",Q654=""),"",Q654-N654)</x:f>
      </x:c>
      <x:c r="V654" s="202" t="str">
        <x:f>IFERROR(Q654/N654,"")</x:f>
      </x:c>
      <x:c r="W654" s="137" t="str"/>
      <x:c r="X654" s="137" t="str"/>
      <x:c r="Y654" s="137" t="str"/>
      <x:c r="Z654" s="137" t="str"/>
      <x:c r="AA654" s="137" t="str"/>
      <x:c r="AB654" s="137" t="str"/>
      <x:c r="AC654" s="137" t="str"/>
      <x:c r="AD654" s="199" t="str"/>
    </x:row>
    <x:row r="655">
      <x:c r="A655" s="137" t="str"/>
      <x:c r="B655" s="138" t="str"/>
      <x:c r="C655" s="137" t="str"/>
      <x:c r="D655" s="137" t="str"/>
      <x:c r="E655" s="137" t="str"/>
      <x:c r="F655" s="137" t="str"/>
      <x:c r="G655" s="137" t="str"/>
      <x:c r="H655" s="137" t="str"/>
      <x:c r="I655" s="137" t="str"/>
      <x:c r="J655" s="137" t="str"/>
      <x:c r="K655" s="137" t="str"/>
      <x:c r="L655" s="160" t="str"/>
      <x:c r="M655" s="160" t="str"/>
      <x:c r="N655" s="151" t="str"/>
      <x:c r="O655" s="151" t="str"/>
      <x:c r="P655" s="151" t="str"/>
      <x:c r="Q655" s="151" t="str"/>
      <x:c r="R655" s="151" t="str"/>
      <x:c r="S655" s="151" t="str"/>
      <x:c r="T655" s="152" t="n">
        <x:f>IF(COUNTA(O655:S655)=0,"",MAX(0,IF(O655="",0,O655)+IF(P655="",0,P655)-IF(Q655="",0,Q655)-IF(R655="",0,R655)))</x:f>
        <x:v>0</x:v>
      </x:c>
      <x:c r="U655" s="152" t="str">
        <x:f>IF(OR(N655="",Q655=""),"",Q655-N655)</x:f>
      </x:c>
      <x:c r="V655" s="202" t="str">
        <x:f>IFERROR(Q655/N655,"")</x:f>
      </x:c>
      <x:c r="W655" s="137" t="str"/>
      <x:c r="X655" s="137" t="str"/>
      <x:c r="Y655" s="137" t="str"/>
      <x:c r="Z655" s="137" t="str"/>
      <x:c r="AA655" s="137" t="str"/>
      <x:c r="AB655" s="137" t="str"/>
      <x:c r="AC655" s="137" t="str"/>
      <x:c r="AD655" s="199" t="str"/>
    </x:row>
    <x:row r="656">
      <x:c r="A656" s="137" t="str"/>
      <x:c r="B656" s="138" t="str"/>
      <x:c r="C656" s="137" t="str"/>
      <x:c r="D656" s="137" t="str"/>
      <x:c r="E656" s="137" t="str"/>
      <x:c r="F656" s="137" t="str"/>
      <x:c r="G656" s="137" t="str"/>
      <x:c r="H656" s="137" t="str"/>
      <x:c r="I656" s="137" t="str"/>
      <x:c r="J656" s="137" t="str"/>
      <x:c r="K656" s="137" t="str"/>
      <x:c r="L656" s="160" t="str"/>
      <x:c r="M656" s="160" t="str"/>
      <x:c r="N656" s="151" t="str"/>
      <x:c r="O656" s="151" t="str"/>
      <x:c r="P656" s="151" t="str"/>
      <x:c r="Q656" s="151" t="str"/>
      <x:c r="R656" s="151" t="str"/>
      <x:c r="S656" s="151" t="str"/>
      <x:c r="T656" s="152" t="n">
        <x:f>IF(COUNTA(O656:S656)=0,"",MAX(0,IF(O656="",0,O656)+IF(P656="",0,P656)-IF(Q656="",0,Q656)-IF(R656="",0,R656)))</x:f>
        <x:v>0</x:v>
      </x:c>
      <x:c r="U656" s="152" t="str">
        <x:f>IF(OR(N656="",Q656=""),"",Q656-N656)</x:f>
      </x:c>
      <x:c r="V656" s="202" t="str">
        <x:f>IFERROR(Q656/N656,"")</x:f>
      </x:c>
      <x:c r="W656" s="137" t="str"/>
      <x:c r="X656" s="137" t="str"/>
      <x:c r="Y656" s="137" t="str"/>
      <x:c r="Z656" s="137" t="str"/>
      <x:c r="AA656" s="137" t="str"/>
      <x:c r="AB656" s="137" t="str"/>
      <x:c r="AC656" s="137" t="str"/>
      <x:c r="AD656" s="199" t="str"/>
    </x:row>
    <x:row r="657">
      <x:c r="A657" s="137" t="str"/>
      <x:c r="B657" s="138" t="str"/>
      <x:c r="C657" s="137" t="str"/>
      <x:c r="D657" s="137" t="str"/>
      <x:c r="E657" s="137" t="str"/>
      <x:c r="F657" s="137" t="str"/>
      <x:c r="G657" s="137" t="str"/>
      <x:c r="H657" s="137" t="str"/>
      <x:c r="I657" s="137" t="str"/>
      <x:c r="J657" s="137" t="str"/>
      <x:c r="K657" s="137" t="str"/>
      <x:c r="L657" s="160" t="str"/>
      <x:c r="M657" s="160" t="str"/>
      <x:c r="N657" s="151" t="str"/>
      <x:c r="O657" s="151" t="str"/>
      <x:c r="P657" s="151" t="str"/>
      <x:c r="Q657" s="151" t="str"/>
      <x:c r="R657" s="151" t="str"/>
      <x:c r="S657" s="151" t="str"/>
      <x:c r="T657" s="152" t="n">
        <x:f>IF(COUNTA(O657:S657)=0,"",MAX(0,IF(O657="",0,O657)+IF(P657="",0,P657)-IF(Q657="",0,Q657)-IF(R657="",0,R657)))</x:f>
        <x:v>0</x:v>
      </x:c>
      <x:c r="U657" s="152" t="str">
        <x:f>IF(OR(N657="",Q657=""),"",Q657-N657)</x:f>
      </x:c>
      <x:c r="V657" s="202" t="str">
        <x:f>IFERROR(Q657/N657,"")</x:f>
      </x:c>
      <x:c r="W657" s="137" t="str"/>
      <x:c r="X657" s="137" t="str"/>
      <x:c r="Y657" s="137" t="str"/>
      <x:c r="Z657" s="137" t="str"/>
      <x:c r="AA657" s="137" t="str"/>
      <x:c r="AB657" s="137" t="str"/>
      <x:c r="AC657" s="137" t="str"/>
      <x:c r="AD657" s="199" t="str"/>
    </x:row>
    <x:row r="658">
      <x:c r="A658" s="137" t="str"/>
      <x:c r="B658" s="138" t="str"/>
      <x:c r="C658" s="137" t="str"/>
      <x:c r="D658" s="137" t="str"/>
      <x:c r="E658" s="137" t="str"/>
      <x:c r="F658" s="137" t="str"/>
      <x:c r="G658" s="137" t="str"/>
      <x:c r="H658" s="137" t="str"/>
      <x:c r="I658" s="137" t="str"/>
      <x:c r="J658" s="137" t="str"/>
      <x:c r="K658" s="137" t="str"/>
      <x:c r="L658" s="160" t="str"/>
      <x:c r="M658" s="160" t="str"/>
      <x:c r="N658" s="151" t="str"/>
      <x:c r="O658" s="151" t="str"/>
      <x:c r="P658" s="151" t="str"/>
      <x:c r="Q658" s="151" t="str"/>
      <x:c r="R658" s="151" t="str"/>
      <x:c r="S658" s="151" t="str"/>
      <x:c r="T658" s="152" t="n">
        <x:f>IF(COUNTA(O658:S658)=0,"",MAX(0,IF(O658="",0,O658)+IF(P658="",0,P658)-IF(Q658="",0,Q658)-IF(R658="",0,R658)))</x:f>
        <x:v>0</x:v>
      </x:c>
      <x:c r="U658" s="152" t="str">
        <x:f>IF(OR(N658="",Q658=""),"",Q658-N658)</x:f>
      </x:c>
      <x:c r="V658" s="202" t="str">
        <x:f>IFERROR(Q658/N658,"")</x:f>
      </x:c>
      <x:c r="W658" s="137" t="str"/>
      <x:c r="X658" s="137" t="str"/>
      <x:c r="Y658" s="137" t="str"/>
      <x:c r="Z658" s="137" t="str"/>
      <x:c r="AA658" s="137" t="str"/>
      <x:c r="AB658" s="137" t="str"/>
      <x:c r="AC658" s="137" t="str"/>
      <x:c r="AD658" s="199" t="str"/>
    </x:row>
    <x:row r="659">
      <x:c r="A659" s="137" t="str"/>
      <x:c r="B659" s="138" t="str"/>
      <x:c r="C659" s="137" t="str"/>
      <x:c r="D659" s="137" t="str"/>
      <x:c r="E659" s="137" t="str"/>
      <x:c r="F659" s="137" t="str"/>
      <x:c r="G659" s="137" t="str"/>
      <x:c r="H659" s="137" t="str"/>
      <x:c r="I659" s="137" t="str"/>
      <x:c r="J659" s="137" t="str"/>
      <x:c r="K659" s="137" t="str"/>
      <x:c r="L659" s="160" t="str"/>
      <x:c r="M659" s="160" t="str"/>
      <x:c r="N659" s="151" t="str"/>
      <x:c r="O659" s="151" t="str"/>
      <x:c r="P659" s="151" t="str"/>
      <x:c r="Q659" s="151" t="str"/>
      <x:c r="R659" s="151" t="str"/>
      <x:c r="S659" s="151" t="str"/>
      <x:c r="T659" s="152" t="n">
        <x:f>IF(COUNTA(O659:S659)=0,"",MAX(0,IF(O659="",0,O659)+IF(P659="",0,P659)-IF(Q659="",0,Q659)-IF(R659="",0,R659)))</x:f>
        <x:v>0</x:v>
      </x:c>
      <x:c r="U659" s="152" t="str">
        <x:f>IF(OR(N659="",Q659=""),"",Q659-N659)</x:f>
      </x:c>
      <x:c r="V659" s="202" t="str">
        <x:f>IFERROR(Q659/N659,"")</x:f>
      </x:c>
      <x:c r="W659" s="137" t="str"/>
      <x:c r="X659" s="137" t="str"/>
      <x:c r="Y659" s="137" t="str"/>
      <x:c r="Z659" s="137" t="str"/>
      <x:c r="AA659" s="137" t="str"/>
      <x:c r="AB659" s="137" t="str"/>
      <x:c r="AC659" s="137" t="str"/>
      <x:c r="AD659" s="199" t="str"/>
    </x:row>
    <x:row r="660">
      <x:c r="A660" s="137" t="str"/>
      <x:c r="B660" s="138" t="str"/>
      <x:c r="C660" s="137" t="str"/>
      <x:c r="D660" s="137" t="str"/>
      <x:c r="E660" s="137" t="str"/>
      <x:c r="F660" s="137" t="str"/>
      <x:c r="G660" s="137" t="str"/>
      <x:c r="H660" s="137" t="str"/>
      <x:c r="I660" s="137" t="str"/>
      <x:c r="J660" s="137" t="str"/>
      <x:c r="K660" s="137" t="str"/>
      <x:c r="L660" s="160" t="str"/>
      <x:c r="M660" s="160" t="str"/>
      <x:c r="N660" s="151" t="str"/>
      <x:c r="O660" s="151" t="str"/>
      <x:c r="P660" s="151" t="str"/>
      <x:c r="Q660" s="151" t="str"/>
      <x:c r="R660" s="151" t="str"/>
      <x:c r="S660" s="151" t="str"/>
      <x:c r="T660" s="152" t="n">
        <x:f>IF(COUNTA(O660:S660)=0,"",MAX(0,IF(O660="",0,O660)+IF(P660="",0,P660)-IF(Q660="",0,Q660)-IF(R660="",0,R660)))</x:f>
        <x:v>0</x:v>
      </x:c>
      <x:c r="U660" s="152" t="str">
        <x:f>IF(OR(N660="",Q660=""),"",Q660-N660)</x:f>
      </x:c>
      <x:c r="V660" s="202" t="str">
        <x:f>IFERROR(Q660/N660,"")</x:f>
      </x:c>
      <x:c r="W660" s="137" t="str"/>
      <x:c r="X660" s="137" t="str"/>
      <x:c r="Y660" s="137" t="str"/>
      <x:c r="Z660" s="137" t="str"/>
      <x:c r="AA660" s="137" t="str"/>
      <x:c r="AB660" s="137" t="str"/>
      <x:c r="AC660" s="137" t="str"/>
      <x:c r="AD660" s="199" t="str"/>
    </x:row>
    <x:row r="661">
      <x:c r="A661" s="137" t="str"/>
      <x:c r="B661" s="138" t="str"/>
      <x:c r="C661" s="137" t="str"/>
      <x:c r="D661" s="137" t="str"/>
      <x:c r="E661" s="137" t="str"/>
      <x:c r="F661" s="137" t="str"/>
      <x:c r="G661" s="137" t="str"/>
      <x:c r="H661" s="137" t="str"/>
      <x:c r="I661" s="137" t="str"/>
      <x:c r="J661" s="137" t="str"/>
      <x:c r="K661" s="137" t="str"/>
      <x:c r="L661" s="160" t="str"/>
      <x:c r="M661" s="160" t="str"/>
      <x:c r="N661" s="151" t="str"/>
      <x:c r="O661" s="151" t="str"/>
      <x:c r="P661" s="151" t="str"/>
      <x:c r="Q661" s="151" t="str"/>
      <x:c r="R661" s="151" t="str"/>
      <x:c r="S661" s="151" t="str"/>
      <x:c r="T661" s="152" t="n">
        <x:f>IF(COUNTA(O661:S661)=0,"",MAX(0,IF(O661="",0,O661)+IF(P661="",0,P661)-IF(Q661="",0,Q661)-IF(R661="",0,R661)))</x:f>
        <x:v>0</x:v>
      </x:c>
      <x:c r="U661" s="152" t="str">
        <x:f>IF(OR(N661="",Q661=""),"",Q661-N661)</x:f>
      </x:c>
      <x:c r="V661" s="202" t="str">
        <x:f>IFERROR(Q661/N661,"")</x:f>
      </x:c>
      <x:c r="W661" s="137" t="str"/>
      <x:c r="X661" s="137" t="str"/>
      <x:c r="Y661" s="137" t="str"/>
      <x:c r="Z661" s="137" t="str"/>
      <x:c r="AA661" s="137" t="str"/>
      <x:c r="AB661" s="137" t="str"/>
      <x:c r="AC661" s="137" t="str"/>
      <x:c r="AD661" s="199" t="str"/>
    </x:row>
    <x:row r="662">
      <x:c r="A662" s="137" t="str"/>
      <x:c r="B662" s="138" t="str"/>
      <x:c r="C662" s="137" t="str"/>
      <x:c r="D662" s="137" t="str"/>
      <x:c r="E662" s="137" t="str"/>
      <x:c r="F662" s="137" t="str"/>
      <x:c r="G662" s="137" t="str"/>
      <x:c r="H662" s="137" t="str"/>
      <x:c r="I662" s="137" t="str"/>
      <x:c r="J662" s="137" t="str"/>
      <x:c r="K662" s="137" t="str"/>
      <x:c r="L662" s="160" t="str"/>
      <x:c r="M662" s="160" t="str"/>
      <x:c r="N662" s="151" t="str"/>
      <x:c r="O662" s="151" t="str"/>
      <x:c r="P662" s="151" t="str"/>
      <x:c r="Q662" s="151" t="str"/>
      <x:c r="R662" s="151" t="str"/>
      <x:c r="S662" s="151" t="str"/>
      <x:c r="T662" s="152" t="n">
        <x:f>IF(COUNTA(O662:S662)=0,"",MAX(0,IF(O662="",0,O662)+IF(P662="",0,P662)-IF(Q662="",0,Q662)-IF(R662="",0,R662)))</x:f>
        <x:v>0</x:v>
      </x:c>
      <x:c r="U662" s="152" t="str">
        <x:f>IF(OR(N662="",Q662=""),"",Q662-N662)</x:f>
      </x:c>
      <x:c r="V662" s="202" t="str">
        <x:f>IFERROR(Q662/N662,"")</x:f>
      </x:c>
      <x:c r="W662" s="137" t="str"/>
      <x:c r="X662" s="137" t="str"/>
      <x:c r="Y662" s="137" t="str"/>
      <x:c r="Z662" s="137" t="str"/>
      <x:c r="AA662" s="137" t="str"/>
      <x:c r="AB662" s="137" t="str"/>
      <x:c r="AC662" s="137" t="str"/>
      <x:c r="AD662" s="199" t="str"/>
    </x:row>
    <x:row r="663">
      <x:c r="A663" s="137" t="str"/>
      <x:c r="B663" s="138" t="str"/>
      <x:c r="C663" s="137" t="str"/>
      <x:c r="D663" s="137" t="str"/>
      <x:c r="E663" s="137" t="str"/>
      <x:c r="F663" s="137" t="str"/>
      <x:c r="G663" s="137" t="str"/>
      <x:c r="H663" s="137" t="str"/>
      <x:c r="I663" s="137" t="str"/>
      <x:c r="J663" s="137" t="str"/>
      <x:c r="K663" s="137" t="str"/>
      <x:c r="L663" s="160" t="str"/>
      <x:c r="M663" s="160" t="str"/>
      <x:c r="N663" s="151" t="str"/>
      <x:c r="O663" s="151" t="str"/>
      <x:c r="P663" s="151" t="str"/>
      <x:c r="Q663" s="151" t="str"/>
      <x:c r="R663" s="151" t="str"/>
      <x:c r="S663" s="151" t="str"/>
      <x:c r="T663" s="152" t="n">
        <x:f>IF(COUNTA(O663:S663)=0,"",MAX(0,IF(O663="",0,O663)+IF(P663="",0,P663)-IF(Q663="",0,Q663)-IF(R663="",0,R663)))</x:f>
        <x:v>0</x:v>
      </x:c>
      <x:c r="U663" s="152" t="str">
        <x:f>IF(OR(N663="",Q663=""),"",Q663-N663)</x:f>
      </x:c>
      <x:c r="V663" s="202" t="str">
        <x:f>IFERROR(Q663/N663,"")</x:f>
      </x:c>
      <x:c r="W663" s="137" t="str"/>
      <x:c r="X663" s="137" t="str"/>
      <x:c r="Y663" s="137" t="str"/>
      <x:c r="Z663" s="137" t="str"/>
      <x:c r="AA663" s="137" t="str"/>
      <x:c r="AB663" s="137" t="str"/>
      <x:c r="AC663" s="137" t="str"/>
      <x:c r="AD663" s="199" t="str"/>
    </x:row>
    <x:row r="664">
      <x:c r="A664" s="137" t="str"/>
      <x:c r="B664" s="138" t="str"/>
      <x:c r="C664" s="137" t="str"/>
      <x:c r="D664" s="137" t="str"/>
      <x:c r="E664" s="137" t="str"/>
      <x:c r="F664" s="137" t="str"/>
      <x:c r="G664" s="137" t="str"/>
      <x:c r="H664" s="137" t="str"/>
      <x:c r="I664" s="137" t="str"/>
      <x:c r="J664" s="137" t="str"/>
      <x:c r="K664" s="137" t="str"/>
      <x:c r="L664" s="160" t="str"/>
      <x:c r="M664" s="160" t="str"/>
      <x:c r="N664" s="151" t="str"/>
      <x:c r="O664" s="151" t="str"/>
      <x:c r="P664" s="151" t="str"/>
      <x:c r="Q664" s="151" t="str"/>
      <x:c r="R664" s="151" t="str"/>
      <x:c r="S664" s="151" t="str"/>
      <x:c r="T664" s="152" t="n">
        <x:f>IF(COUNTA(O664:S664)=0,"",MAX(0,IF(O664="",0,O664)+IF(P664="",0,P664)-IF(Q664="",0,Q664)-IF(R664="",0,R664)))</x:f>
        <x:v>0</x:v>
      </x:c>
      <x:c r="U664" s="152" t="str">
        <x:f>IF(OR(N664="",Q664=""),"",Q664-N664)</x:f>
      </x:c>
      <x:c r="V664" s="202" t="str">
        <x:f>IFERROR(Q664/N664,"")</x:f>
      </x:c>
      <x:c r="W664" s="137" t="str"/>
      <x:c r="X664" s="137" t="str"/>
      <x:c r="Y664" s="137" t="str"/>
      <x:c r="Z664" s="137" t="str"/>
      <x:c r="AA664" s="137" t="str"/>
      <x:c r="AB664" s="137" t="str"/>
      <x:c r="AC664" s="137" t="str"/>
      <x:c r="AD664" s="199" t="str"/>
    </x:row>
    <x:row r="665">
      <x:c r="A665" s="137" t="str"/>
      <x:c r="B665" s="138" t="str"/>
      <x:c r="C665" s="137" t="str"/>
      <x:c r="D665" s="137" t="str"/>
      <x:c r="E665" s="137" t="str"/>
      <x:c r="F665" s="137" t="str"/>
      <x:c r="G665" s="137" t="str"/>
      <x:c r="H665" s="137" t="str"/>
      <x:c r="I665" s="137" t="str"/>
      <x:c r="J665" s="137" t="str"/>
      <x:c r="K665" s="137" t="str"/>
      <x:c r="L665" s="160" t="str"/>
      <x:c r="M665" s="160" t="str"/>
      <x:c r="N665" s="151" t="str"/>
      <x:c r="O665" s="151" t="str"/>
      <x:c r="P665" s="151" t="str"/>
      <x:c r="Q665" s="151" t="str"/>
      <x:c r="R665" s="151" t="str"/>
      <x:c r="S665" s="151" t="str"/>
      <x:c r="T665" s="152" t="n">
        <x:f>IF(COUNTA(O665:S665)=0,"",MAX(0,IF(O665="",0,O665)+IF(P665="",0,P665)-IF(Q665="",0,Q665)-IF(R665="",0,R665)))</x:f>
        <x:v>0</x:v>
      </x:c>
      <x:c r="U665" s="152" t="str">
        <x:f>IF(OR(N665="",Q665=""),"",Q665-N665)</x:f>
      </x:c>
      <x:c r="V665" s="202" t="str">
        <x:f>IFERROR(Q665/N665,"")</x:f>
      </x:c>
      <x:c r="W665" s="137" t="str"/>
      <x:c r="X665" s="137" t="str"/>
      <x:c r="Y665" s="137" t="str"/>
      <x:c r="Z665" s="137" t="str"/>
      <x:c r="AA665" s="137" t="str"/>
      <x:c r="AB665" s="137" t="str"/>
      <x:c r="AC665" s="137" t="str"/>
      <x:c r="AD665" s="199" t="str"/>
    </x:row>
    <x:row r="666">
      <x:c r="A666" s="137" t="str"/>
      <x:c r="B666" s="138" t="str"/>
      <x:c r="C666" s="137" t="str"/>
      <x:c r="D666" s="137" t="str"/>
      <x:c r="E666" s="137" t="str"/>
      <x:c r="F666" s="137" t="str"/>
      <x:c r="G666" s="137" t="str"/>
      <x:c r="H666" s="137" t="str"/>
      <x:c r="I666" s="137" t="str"/>
      <x:c r="J666" s="137" t="str"/>
      <x:c r="K666" s="137" t="str"/>
      <x:c r="L666" s="160" t="str"/>
      <x:c r="M666" s="160" t="str"/>
      <x:c r="N666" s="151" t="str"/>
      <x:c r="O666" s="151" t="str"/>
      <x:c r="P666" s="151" t="str"/>
      <x:c r="Q666" s="151" t="str"/>
      <x:c r="R666" s="151" t="str"/>
      <x:c r="S666" s="151" t="str"/>
      <x:c r="T666" s="152" t="n">
        <x:f>IF(COUNTA(O666:S666)=0,"",MAX(0,IF(O666="",0,O666)+IF(P666="",0,P666)-IF(Q666="",0,Q666)-IF(R666="",0,R666)))</x:f>
        <x:v>0</x:v>
      </x:c>
      <x:c r="U666" s="152" t="str">
        <x:f>IF(OR(N666="",Q666=""),"",Q666-N666)</x:f>
      </x:c>
      <x:c r="V666" s="202" t="str">
        <x:f>IFERROR(Q666/N666,"")</x:f>
      </x:c>
      <x:c r="W666" s="137" t="str"/>
      <x:c r="X666" s="137" t="str"/>
      <x:c r="Y666" s="137" t="str"/>
      <x:c r="Z666" s="137" t="str"/>
      <x:c r="AA666" s="137" t="str"/>
      <x:c r="AB666" s="137" t="str"/>
      <x:c r="AC666" s="137" t="str"/>
      <x:c r="AD666" s="199" t="str"/>
    </x:row>
    <x:row r="667">
      <x:c r="A667" s="137" t="str"/>
      <x:c r="B667" s="138" t="str"/>
      <x:c r="C667" s="137" t="str"/>
      <x:c r="D667" s="137" t="str"/>
      <x:c r="E667" s="137" t="str"/>
      <x:c r="F667" s="137" t="str"/>
      <x:c r="G667" s="137" t="str"/>
      <x:c r="H667" s="137" t="str"/>
      <x:c r="I667" s="137" t="str"/>
      <x:c r="J667" s="137" t="str"/>
      <x:c r="K667" s="137" t="str"/>
      <x:c r="L667" s="160" t="str"/>
      <x:c r="M667" s="160" t="str"/>
      <x:c r="N667" s="151" t="str"/>
      <x:c r="O667" s="151" t="str"/>
      <x:c r="P667" s="151" t="str"/>
      <x:c r="Q667" s="151" t="str"/>
      <x:c r="R667" s="151" t="str"/>
      <x:c r="S667" s="151" t="str"/>
      <x:c r="T667" s="152" t="n">
        <x:f>IF(COUNTA(O667:S667)=0,"",MAX(0,IF(O667="",0,O667)+IF(P667="",0,P667)-IF(Q667="",0,Q667)-IF(R667="",0,R667)))</x:f>
        <x:v>0</x:v>
      </x:c>
      <x:c r="U667" s="152" t="str">
        <x:f>IF(OR(N667="",Q667=""),"",Q667-N667)</x:f>
      </x:c>
      <x:c r="V667" s="202" t="str">
        <x:f>IFERROR(Q667/N667,"")</x:f>
      </x:c>
      <x:c r="W667" s="137" t="str"/>
      <x:c r="X667" s="137" t="str"/>
      <x:c r="Y667" s="137" t="str"/>
      <x:c r="Z667" s="137" t="str"/>
      <x:c r="AA667" s="137" t="str"/>
      <x:c r="AB667" s="137" t="str"/>
      <x:c r="AC667" s="137" t="str"/>
      <x:c r="AD667" s="199" t="str"/>
    </x:row>
    <x:row r="668">
      <x:c r="A668" s="137" t="str"/>
      <x:c r="B668" s="138" t="str"/>
      <x:c r="C668" s="137" t="str"/>
      <x:c r="D668" s="137" t="str"/>
      <x:c r="E668" s="137" t="str"/>
      <x:c r="F668" s="137" t="str"/>
      <x:c r="G668" s="137" t="str"/>
      <x:c r="H668" s="137" t="str"/>
      <x:c r="I668" s="137" t="str"/>
      <x:c r="J668" s="137" t="str"/>
      <x:c r="K668" s="137" t="str"/>
      <x:c r="L668" s="160" t="str"/>
      <x:c r="M668" s="160" t="str"/>
      <x:c r="N668" s="151" t="str"/>
      <x:c r="O668" s="151" t="str"/>
      <x:c r="P668" s="151" t="str"/>
      <x:c r="Q668" s="151" t="str"/>
      <x:c r="R668" s="151" t="str"/>
      <x:c r="S668" s="151" t="str"/>
      <x:c r="T668" s="152" t="n">
        <x:f>IF(COUNTA(O668:S668)=0,"",MAX(0,IF(O668="",0,O668)+IF(P668="",0,P668)-IF(Q668="",0,Q668)-IF(R668="",0,R668)))</x:f>
        <x:v>0</x:v>
      </x:c>
      <x:c r="U668" s="152" t="str">
        <x:f>IF(OR(N668="",Q668=""),"",Q668-N668)</x:f>
      </x:c>
      <x:c r="V668" s="202" t="str">
        <x:f>IFERROR(Q668/N668,"")</x:f>
      </x:c>
      <x:c r="W668" s="137" t="str"/>
      <x:c r="X668" s="137" t="str"/>
      <x:c r="Y668" s="137" t="str"/>
      <x:c r="Z668" s="137" t="str"/>
      <x:c r="AA668" s="137" t="str"/>
      <x:c r="AB668" s="137" t="str"/>
      <x:c r="AC668" s="137" t="str"/>
      <x:c r="AD668" s="199" t="str"/>
    </x:row>
    <x:row r="669">
      <x:c r="A669" s="137" t="str"/>
      <x:c r="B669" s="138" t="str"/>
      <x:c r="C669" s="137" t="str"/>
      <x:c r="D669" s="137" t="str"/>
      <x:c r="E669" s="137" t="str"/>
      <x:c r="F669" s="137" t="str"/>
      <x:c r="G669" s="137" t="str"/>
      <x:c r="H669" s="137" t="str"/>
      <x:c r="I669" s="137" t="str"/>
      <x:c r="J669" s="137" t="str"/>
      <x:c r="K669" s="137" t="str"/>
      <x:c r="L669" s="160" t="str"/>
      <x:c r="M669" s="160" t="str"/>
      <x:c r="N669" s="151" t="str"/>
      <x:c r="O669" s="151" t="str"/>
      <x:c r="P669" s="151" t="str"/>
      <x:c r="Q669" s="151" t="str"/>
      <x:c r="R669" s="151" t="str"/>
      <x:c r="S669" s="151" t="str"/>
      <x:c r="T669" s="152" t="n">
        <x:f>IF(COUNTA(O669:S669)=0,"",MAX(0,IF(O669="",0,O669)+IF(P669="",0,P669)-IF(Q669="",0,Q669)-IF(R669="",0,R669)))</x:f>
        <x:v>0</x:v>
      </x:c>
      <x:c r="U669" s="152" t="str">
        <x:f>IF(OR(N669="",Q669=""),"",Q669-N669)</x:f>
      </x:c>
      <x:c r="V669" s="202" t="str">
        <x:f>IFERROR(Q669/N669,"")</x:f>
      </x:c>
      <x:c r="W669" s="137" t="str"/>
      <x:c r="X669" s="137" t="str"/>
      <x:c r="Y669" s="137" t="str"/>
      <x:c r="Z669" s="137" t="str"/>
      <x:c r="AA669" s="137" t="str"/>
      <x:c r="AB669" s="137" t="str"/>
      <x:c r="AC669" s="137" t="str"/>
      <x:c r="AD669" s="199" t="str"/>
    </x:row>
    <x:row r="670">
      <x:c r="A670" s="137" t="str"/>
      <x:c r="B670" s="138" t="str"/>
      <x:c r="C670" s="137" t="str"/>
      <x:c r="D670" s="137" t="str"/>
      <x:c r="E670" s="137" t="str"/>
      <x:c r="F670" s="137" t="str"/>
      <x:c r="G670" s="137" t="str"/>
      <x:c r="H670" s="137" t="str"/>
      <x:c r="I670" s="137" t="str"/>
      <x:c r="J670" s="137" t="str"/>
      <x:c r="K670" s="137" t="str"/>
      <x:c r="L670" s="160" t="str"/>
      <x:c r="M670" s="160" t="str"/>
      <x:c r="N670" s="151" t="str"/>
      <x:c r="O670" s="151" t="str"/>
      <x:c r="P670" s="151" t="str"/>
      <x:c r="Q670" s="151" t="str"/>
      <x:c r="R670" s="151" t="str"/>
      <x:c r="S670" s="151" t="str"/>
      <x:c r="T670" s="152" t="n">
        <x:f>IF(COUNTA(O670:S670)=0,"",MAX(0,IF(O670="",0,O670)+IF(P670="",0,P670)-IF(Q670="",0,Q670)-IF(R670="",0,R670)))</x:f>
        <x:v>0</x:v>
      </x:c>
      <x:c r="U670" s="152" t="str">
        <x:f>IF(OR(N670="",Q670=""),"",Q670-N670)</x:f>
      </x:c>
      <x:c r="V670" s="202" t="str">
        <x:f>IFERROR(Q670/N670,"")</x:f>
      </x:c>
      <x:c r="W670" s="137" t="str"/>
      <x:c r="X670" s="137" t="str"/>
      <x:c r="Y670" s="137" t="str"/>
      <x:c r="Z670" s="137" t="str"/>
      <x:c r="AA670" s="137" t="str"/>
      <x:c r="AB670" s="137" t="str"/>
      <x:c r="AC670" s="137" t="str"/>
      <x:c r="AD670" s="199" t="str"/>
    </x:row>
    <x:row r="671">
      <x:c r="A671" s="137" t="str"/>
      <x:c r="B671" s="138" t="str"/>
      <x:c r="C671" s="137" t="str"/>
      <x:c r="D671" s="137" t="str"/>
      <x:c r="E671" s="137" t="str"/>
      <x:c r="F671" s="137" t="str"/>
      <x:c r="G671" s="137" t="str"/>
      <x:c r="H671" s="137" t="str"/>
      <x:c r="I671" s="137" t="str"/>
      <x:c r="J671" s="137" t="str"/>
      <x:c r="K671" s="137" t="str"/>
      <x:c r="L671" s="160" t="str"/>
      <x:c r="M671" s="160" t="str"/>
      <x:c r="N671" s="151" t="str"/>
      <x:c r="O671" s="151" t="str"/>
      <x:c r="P671" s="151" t="str"/>
      <x:c r="Q671" s="151" t="str"/>
      <x:c r="R671" s="151" t="str"/>
      <x:c r="S671" s="151" t="str"/>
      <x:c r="T671" s="152" t="n">
        <x:f>IF(COUNTA(O671:S671)=0,"",MAX(0,IF(O671="",0,O671)+IF(P671="",0,P671)-IF(Q671="",0,Q671)-IF(R671="",0,R671)))</x:f>
        <x:v>0</x:v>
      </x:c>
      <x:c r="U671" s="152" t="str">
        <x:f>IF(OR(N671="",Q671=""),"",Q671-N671)</x:f>
      </x:c>
      <x:c r="V671" s="202" t="str">
        <x:f>IFERROR(Q671/N671,"")</x:f>
      </x:c>
      <x:c r="W671" s="137" t="str"/>
      <x:c r="X671" s="137" t="str"/>
      <x:c r="Y671" s="137" t="str"/>
      <x:c r="Z671" s="137" t="str"/>
      <x:c r="AA671" s="137" t="str"/>
      <x:c r="AB671" s="137" t="str"/>
      <x:c r="AC671" s="137" t="str"/>
      <x:c r="AD671" s="199" t="str"/>
    </x:row>
    <x:row r="672">
      <x:c r="A672" s="137" t="str"/>
      <x:c r="B672" s="138" t="str"/>
      <x:c r="C672" s="137" t="str"/>
      <x:c r="D672" s="137" t="str"/>
      <x:c r="E672" s="137" t="str"/>
      <x:c r="F672" s="137" t="str"/>
      <x:c r="G672" s="137" t="str"/>
      <x:c r="H672" s="137" t="str"/>
      <x:c r="I672" s="137" t="str"/>
      <x:c r="J672" s="137" t="str"/>
      <x:c r="K672" s="137" t="str"/>
      <x:c r="L672" s="160" t="str"/>
      <x:c r="M672" s="160" t="str"/>
      <x:c r="N672" s="151" t="str"/>
      <x:c r="O672" s="151" t="str"/>
      <x:c r="P672" s="151" t="str"/>
      <x:c r="Q672" s="151" t="str"/>
      <x:c r="R672" s="151" t="str"/>
      <x:c r="S672" s="151" t="str"/>
      <x:c r="T672" s="152" t="n">
        <x:f>IF(COUNTA(O672:S672)=0,"",MAX(0,IF(O672="",0,O672)+IF(P672="",0,P672)-IF(Q672="",0,Q672)-IF(R672="",0,R672)))</x:f>
        <x:v>0</x:v>
      </x:c>
      <x:c r="U672" s="152" t="str">
        <x:f>IF(OR(N672="",Q672=""),"",Q672-N672)</x:f>
      </x:c>
      <x:c r="V672" s="202" t="str">
        <x:f>IFERROR(Q672/N672,"")</x:f>
      </x:c>
      <x:c r="W672" s="137" t="str"/>
      <x:c r="X672" s="137" t="str"/>
      <x:c r="Y672" s="137" t="str"/>
      <x:c r="Z672" s="137" t="str"/>
      <x:c r="AA672" s="137" t="str"/>
      <x:c r="AB672" s="137" t="str"/>
      <x:c r="AC672" s="137" t="str"/>
      <x:c r="AD672" s="199" t="str"/>
    </x:row>
    <x:row r="673">
      <x:c r="A673" s="137" t="str"/>
      <x:c r="B673" s="138" t="str"/>
      <x:c r="C673" s="137" t="str"/>
      <x:c r="D673" s="137" t="str"/>
      <x:c r="E673" s="137" t="str"/>
      <x:c r="F673" s="137" t="str"/>
      <x:c r="G673" s="137" t="str"/>
      <x:c r="H673" s="137" t="str"/>
      <x:c r="I673" s="137" t="str"/>
      <x:c r="J673" s="137" t="str"/>
      <x:c r="K673" s="137" t="str"/>
      <x:c r="L673" s="160" t="str"/>
      <x:c r="M673" s="160" t="str"/>
      <x:c r="N673" s="151" t="str"/>
      <x:c r="O673" s="151" t="str"/>
      <x:c r="P673" s="151" t="str"/>
      <x:c r="Q673" s="151" t="str"/>
      <x:c r="R673" s="151" t="str"/>
      <x:c r="S673" s="151" t="str"/>
      <x:c r="T673" s="152" t="n">
        <x:f>IF(COUNTA(O673:S673)=0,"",MAX(0,IF(O673="",0,O673)+IF(P673="",0,P673)-IF(Q673="",0,Q673)-IF(R673="",0,R673)))</x:f>
        <x:v>0</x:v>
      </x:c>
      <x:c r="U673" s="152" t="str">
        <x:f>IF(OR(N673="",Q673=""),"",Q673-N673)</x:f>
      </x:c>
      <x:c r="V673" s="202" t="str">
        <x:f>IFERROR(Q673/N673,"")</x:f>
      </x:c>
      <x:c r="W673" s="137" t="str"/>
      <x:c r="X673" s="137" t="str"/>
      <x:c r="Y673" s="137" t="str"/>
      <x:c r="Z673" s="137" t="str"/>
      <x:c r="AA673" s="137" t="str"/>
      <x:c r="AB673" s="137" t="str"/>
      <x:c r="AC673" s="137" t="str"/>
      <x:c r="AD673" s="199" t="str"/>
    </x:row>
    <x:row r="674">
      <x:c r="A674" s="137" t="str"/>
      <x:c r="B674" s="138" t="str"/>
      <x:c r="C674" s="137" t="str"/>
      <x:c r="D674" s="137" t="str"/>
      <x:c r="E674" s="137" t="str"/>
      <x:c r="F674" s="137" t="str"/>
      <x:c r="G674" s="137" t="str"/>
      <x:c r="H674" s="137" t="str"/>
      <x:c r="I674" s="137" t="str"/>
      <x:c r="J674" s="137" t="str"/>
      <x:c r="K674" s="137" t="str"/>
      <x:c r="L674" s="160" t="str"/>
      <x:c r="M674" s="160" t="str"/>
      <x:c r="N674" s="151" t="str"/>
      <x:c r="O674" s="151" t="str"/>
      <x:c r="P674" s="151" t="str"/>
      <x:c r="Q674" s="151" t="str"/>
      <x:c r="R674" s="151" t="str"/>
      <x:c r="S674" s="151" t="str"/>
      <x:c r="T674" s="152" t="n">
        <x:f>IF(COUNTA(O674:S674)=0,"",MAX(0,IF(O674="",0,O674)+IF(P674="",0,P674)-IF(Q674="",0,Q674)-IF(R674="",0,R674)))</x:f>
        <x:v>0</x:v>
      </x:c>
      <x:c r="U674" s="152" t="str">
        <x:f>IF(OR(N674="",Q674=""),"",Q674-N674)</x:f>
      </x:c>
      <x:c r="V674" s="202" t="str">
        <x:f>IFERROR(Q674/N674,"")</x:f>
      </x:c>
      <x:c r="W674" s="137" t="str"/>
      <x:c r="X674" s="137" t="str"/>
      <x:c r="Y674" s="137" t="str"/>
      <x:c r="Z674" s="137" t="str"/>
      <x:c r="AA674" s="137" t="str"/>
      <x:c r="AB674" s="137" t="str"/>
      <x:c r="AC674" s="137" t="str"/>
      <x:c r="AD674" s="199" t="str"/>
    </x:row>
    <x:row r="675">
      <x:c r="A675" s="137" t="str"/>
      <x:c r="B675" s="138" t="str"/>
      <x:c r="C675" s="137" t="str"/>
      <x:c r="D675" s="137" t="str"/>
      <x:c r="E675" s="137" t="str"/>
      <x:c r="F675" s="137" t="str"/>
      <x:c r="G675" s="137" t="str"/>
      <x:c r="H675" s="137" t="str"/>
      <x:c r="I675" s="137" t="str"/>
      <x:c r="J675" s="137" t="str"/>
      <x:c r="K675" s="137" t="str"/>
      <x:c r="L675" s="160" t="str"/>
      <x:c r="M675" s="160" t="str"/>
      <x:c r="N675" s="151" t="str"/>
      <x:c r="O675" s="151" t="str"/>
      <x:c r="P675" s="151" t="str"/>
      <x:c r="Q675" s="151" t="str"/>
      <x:c r="R675" s="151" t="str"/>
      <x:c r="S675" s="151" t="str"/>
      <x:c r="T675" s="152" t="n">
        <x:f>IF(COUNTA(O675:S675)=0,"",MAX(0,IF(O675="",0,O675)+IF(P675="",0,P675)-IF(Q675="",0,Q675)-IF(R675="",0,R675)))</x:f>
        <x:v>0</x:v>
      </x:c>
      <x:c r="U675" s="152" t="str">
        <x:f>IF(OR(N675="",Q675=""),"",Q675-N675)</x:f>
      </x:c>
      <x:c r="V675" s="202" t="str">
        <x:f>IFERROR(Q675/N675,"")</x:f>
      </x:c>
      <x:c r="W675" s="137" t="str"/>
      <x:c r="X675" s="137" t="str"/>
      <x:c r="Y675" s="137" t="str"/>
      <x:c r="Z675" s="137" t="str"/>
      <x:c r="AA675" s="137" t="str"/>
      <x:c r="AB675" s="137" t="str"/>
      <x:c r="AC675" s="137" t="str"/>
      <x:c r="AD675" s="199" t="str"/>
    </x:row>
    <x:row r="676">
      <x:c r="A676" s="137" t="str"/>
      <x:c r="B676" s="138" t="str"/>
      <x:c r="C676" s="137" t="str"/>
      <x:c r="D676" s="137" t="str"/>
      <x:c r="E676" s="137" t="str"/>
      <x:c r="F676" s="137" t="str"/>
      <x:c r="G676" s="137" t="str"/>
      <x:c r="H676" s="137" t="str"/>
      <x:c r="I676" s="137" t="str"/>
      <x:c r="J676" s="137" t="str"/>
      <x:c r="K676" s="137" t="str"/>
      <x:c r="L676" s="160" t="str"/>
      <x:c r="M676" s="160" t="str"/>
      <x:c r="N676" s="151" t="str"/>
      <x:c r="O676" s="151" t="str"/>
      <x:c r="P676" s="151" t="str"/>
      <x:c r="Q676" s="151" t="str"/>
      <x:c r="R676" s="151" t="str"/>
      <x:c r="S676" s="151" t="str"/>
      <x:c r="T676" s="152" t="n">
        <x:f>IF(COUNTA(O676:S676)=0,"",MAX(0,IF(O676="",0,O676)+IF(P676="",0,P676)-IF(Q676="",0,Q676)-IF(R676="",0,R676)))</x:f>
        <x:v>0</x:v>
      </x:c>
      <x:c r="U676" s="152" t="str">
        <x:f>IF(OR(N676="",Q676=""),"",Q676-N676)</x:f>
      </x:c>
      <x:c r="V676" s="202" t="str">
        <x:f>IFERROR(Q676/N676,"")</x:f>
      </x:c>
      <x:c r="W676" s="137" t="str"/>
      <x:c r="X676" s="137" t="str"/>
      <x:c r="Y676" s="137" t="str"/>
      <x:c r="Z676" s="137" t="str"/>
      <x:c r="AA676" s="137" t="str"/>
      <x:c r="AB676" s="137" t="str"/>
      <x:c r="AC676" s="137" t="str"/>
      <x:c r="AD676" s="199" t="str"/>
    </x:row>
    <x:row r="677">
      <x:c r="A677" s="137" t="str"/>
      <x:c r="B677" s="138" t="str"/>
      <x:c r="C677" s="137" t="str"/>
      <x:c r="D677" s="137" t="str"/>
      <x:c r="E677" s="137" t="str"/>
      <x:c r="F677" s="137" t="str"/>
      <x:c r="G677" s="137" t="str"/>
      <x:c r="H677" s="137" t="str"/>
      <x:c r="I677" s="137" t="str"/>
      <x:c r="J677" s="137" t="str"/>
      <x:c r="K677" s="137" t="str"/>
      <x:c r="L677" s="160" t="str"/>
      <x:c r="M677" s="160" t="str"/>
      <x:c r="N677" s="151" t="str"/>
      <x:c r="O677" s="151" t="str"/>
      <x:c r="P677" s="151" t="str"/>
      <x:c r="Q677" s="151" t="str"/>
      <x:c r="R677" s="151" t="str"/>
      <x:c r="S677" s="151" t="str"/>
      <x:c r="T677" s="152" t="n">
        <x:f>IF(COUNTA(O677:S677)=0,"",MAX(0,IF(O677="",0,O677)+IF(P677="",0,P677)-IF(Q677="",0,Q677)-IF(R677="",0,R677)))</x:f>
        <x:v>0</x:v>
      </x:c>
      <x:c r="U677" s="152" t="str">
        <x:f>IF(OR(N677="",Q677=""),"",Q677-N677)</x:f>
      </x:c>
      <x:c r="V677" s="202" t="str">
        <x:f>IFERROR(Q677/N677,"")</x:f>
      </x:c>
      <x:c r="W677" s="137" t="str"/>
      <x:c r="X677" s="137" t="str"/>
      <x:c r="Y677" s="137" t="str"/>
      <x:c r="Z677" s="137" t="str"/>
      <x:c r="AA677" s="137" t="str"/>
      <x:c r="AB677" s="137" t="str"/>
      <x:c r="AC677" s="137" t="str"/>
      <x:c r="AD677" s="199" t="str"/>
    </x:row>
    <x:row r="678">
      <x:c r="A678" s="137" t="str"/>
      <x:c r="B678" s="138" t="str"/>
      <x:c r="C678" s="137" t="str"/>
      <x:c r="D678" s="137" t="str"/>
      <x:c r="E678" s="137" t="str"/>
      <x:c r="F678" s="137" t="str"/>
      <x:c r="G678" s="137" t="str"/>
      <x:c r="H678" s="137" t="str"/>
      <x:c r="I678" s="137" t="str"/>
      <x:c r="J678" s="137" t="str"/>
      <x:c r="K678" s="137" t="str"/>
      <x:c r="L678" s="160" t="str"/>
      <x:c r="M678" s="160" t="str"/>
      <x:c r="N678" s="151" t="str"/>
      <x:c r="O678" s="151" t="str"/>
      <x:c r="P678" s="151" t="str"/>
      <x:c r="Q678" s="151" t="str"/>
      <x:c r="R678" s="151" t="str"/>
      <x:c r="S678" s="151" t="str"/>
      <x:c r="T678" s="152" t="n">
        <x:f>IF(COUNTA(O678:S678)=0,"",MAX(0,IF(O678="",0,O678)+IF(P678="",0,P678)-IF(Q678="",0,Q678)-IF(R678="",0,R678)))</x:f>
        <x:v>0</x:v>
      </x:c>
      <x:c r="U678" s="152" t="str">
        <x:f>IF(OR(N678="",Q678=""),"",Q678-N678)</x:f>
      </x:c>
      <x:c r="V678" s="202" t="str">
        <x:f>IFERROR(Q678/N678,"")</x:f>
      </x:c>
      <x:c r="W678" s="137" t="str"/>
      <x:c r="X678" s="137" t="str"/>
      <x:c r="Y678" s="137" t="str"/>
      <x:c r="Z678" s="137" t="str"/>
      <x:c r="AA678" s="137" t="str"/>
      <x:c r="AB678" s="137" t="str"/>
      <x:c r="AC678" s="137" t="str"/>
      <x:c r="AD678" s="199" t="str"/>
    </x:row>
    <x:row r="679">
      <x:c r="A679" s="137" t="str"/>
      <x:c r="B679" s="138" t="str"/>
      <x:c r="C679" s="137" t="str"/>
      <x:c r="D679" s="137" t="str"/>
      <x:c r="E679" s="137" t="str"/>
      <x:c r="F679" s="137" t="str"/>
      <x:c r="G679" s="137" t="str"/>
      <x:c r="H679" s="137" t="str"/>
      <x:c r="I679" s="137" t="str"/>
      <x:c r="J679" s="137" t="str"/>
      <x:c r="K679" s="137" t="str"/>
      <x:c r="L679" s="160" t="str"/>
      <x:c r="M679" s="160" t="str"/>
      <x:c r="N679" s="151" t="str"/>
      <x:c r="O679" s="151" t="str"/>
      <x:c r="P679" s="151" t="str"/>
      <x:c r="Q679" s="151" t="str"/>
      <x:c r="R679" s="151" t="str"/>
      <x:c r="S679" s="151" t="str"/>
      <x:c r="T679" s="152" t="n">
        <x:f>IF(COUNTA(O679:S679)=0,"",MAX(0,IF(O679="",0,O679)+IF(P679="",0,P679)-IF(Q679="",0,Q679)-IF(R679="",0,R679)))</x:f>
        <x:v>0</x:v>
      </x:c>
      <x:c r="U679" s="152" t="str">
        <x:f>IF(OR(N679="",Q679=""),"",Q679-N679)</x:f>
      </x:c>
      <x:c r="V679" s="202" t="str">
        <x:f>IFERROR(Q679/N679,"")</x:f>
      </x:c>
      <x:c r="W679" s="137" t="str"/>
      <x:c r="X679" s="137" t="str"/>
      <x:c r="Y679" s="137" t="str"/>
      <x:c r="Z679" s="137" t="str"/>
      <x:c r="AA679" s="137" t="str"/>
      <x:c r="AB679" s="137" t="str"/>
      <x:c r="AC679" s="137" t="str"/>
      <x:c r="AD679" s="199" t="str"/>
    </x:row>
    <x:row r="680">
      <x:c r="A680" s="137" t="str"/>
      <x:c r="B680" s="138" t="str"/>
      <x:c r="C680" s="137" t="str"/>
      <x:c r="D680" s="137" t="str"/>
      <x:c r="E680" s="137" t="str"/>
      <x:c r="F680" s="137" t="str"/>
      <x:c r="G680" s="137" t="str"/>
      <x:c r="H680" s="137" t="str"/>
      <x:c r="I680" s="137" t="str"/>
      <x:c r="J680" s="137" t="str"/>
      <x:c r="K680" s="137" t="str"/>
      <x:c r="L680" s="160" t="str"/>
      <x:c r="M680" s="160" t="str"/>
      <x:c r="N680" s="151" t="str"/>
      <x:c r="O680" s="151" t="str"/>
      <x:c r="P680" s="151" t="str"/>
      <x:c r="Q680" s="151" t="str"/>
      <x:c r="R680" s="151" t="str"/>
      <x:c r="S680" s="151" t="str"/>
      <x:c r="T680" s="152" t="n">
        <x:f>IF(COUNTA(O680:S680)=0,"",MAX(0,IF(O680="",0,O680)+IF(P680="",0,P680)-IF(Q680="",0,Q680)-IF(R680="",0,R680)))</x:f>
        <x:v>0</x:v>
      </x:c>
      <x:c r="U680" s="152" t="str">
        <x:f>IF(OR(N680="",Q680=""),"",Q680-N680)</x:f>
      </x:c>
      <x:c r="V680" s="202" t="str">
        <x:f>IFERROR(Q680/N680,"")</x:f>
      </x:c>
      <x:c r="W680" s="137" t="str"/>
      <x:c r="X680" s="137" t="str"/>
      <x:c r="Y680" s="137" t="str"/>
      <x:c r="Z680" s="137" t="str"/>
      <x:c r="AA680" s="137" t="str"/>
      <x:c r="AB680" s="137" t="str"/>
      <x:c r="AC680" s="137" t="str"/>
      <x:c r="AD680" s="199" t="str"/>
    </x:row>
    <x:row r="681">
      <x:c r="A681" s="137" t="str"/>
      <x:c r="B681" s="138" t="str"/>
      <x:c r="C681" s="137" t="str"/>
      <x:c r="D681" s="137" t="str"/>
      <x:c r="E681" s="137" t="str"/>
      <x:c r="F681" s="137" t="str"/>
      <x:c r="G681" s="137" t="str"/>
      <x:c r="H681" s="137" t="str"/>
      <x:c r="I681" s="137" t="str"/>
      <x:c r="J681" s="137" t="str"/>
      <x:c r="K681" s="137" t="str"/>
      <x:c r="L681" s="160" t="str"/>
      <x:c r="M681" s="160" t="str"/>
      <x:c r="N681" s="151" t="str"/>
      <x:c r="O681" s="151" t="str"/>
      <x:c r="P681" s="151" t="str"/>
      <x:c r="Q681" s="151" t="str"/>
      <x:c r="R681" s="151" t="str"/>
      <x:c r="S681" s="151" t="str"/>
      <x:c r="T681" s="152" t="n">
        <x:f>IF(COUNTA(O681:S681)=0,"",MAX(0,IF(O681="",0,O681)+IF(P681="",0,P681)-IF(Q681="",0,Q681)-IF(R681="",0,R681)))</x:f>
        <x:v>0</x:v>
      </x:c>
      <x:c r="U681" s="152" t="str">
        <x:f>IF(OR(N681="",Q681=""),"",Q681-N681)</x:f>
      </x:c>
      <x:c r="V681" s="202" t="str">
        <x:f>IFERROR(Q681/N681,"")</x:f>
      </x:c>
      <x:c r="W681" s="137" t="str"/>
      <x:c r="X681" s="137" t="str"/>
      <x:c r="Y681" s="137" t="str"/>
      <x:c r="Z681" s="137" t="str"/>
      <x:c r="AA681" s="137" t="str"/>
      <x:c r="AB681" s="137" t="str"/>
      <x:c r="AC681" s="137" t="str"/>
      <x:c r="AD681" s="199" t="str"/>
    </x:row>
    <x:row r="682">
      <x:c r="A682" s="137" t="str"/>
      <x:c r="B682" s="138" t="str"/>
      <x:c r="C682" s="137" t="str"/>
      <x:c r="D682" s="137" t="str"/>
      <x:c r="E682" s="137" t="str"/>
      <x:c r="F682" s="137" t="str"/>
      <x:c r="G682" s="137" t="str"/>
      <x:c r="H682" s="137" t="str"/>
      <x:c r="I682" s="137" t="str"/>
      <x:c r="J682" s="137" t="str"/>
      <x:c r="K682" s="137" t="str"/>
      <x:c r="L682" s="160" t="str"/>
      <x:c r="M682" s="160" t="str"/>
      <x:c r="N682" s="151" t="str"/>
      <x:c r="O682" s="151" t="str"/>
      <x:c r="P682" s="151" t="str"/>
      <x:c r="Q682" s="151" t="str"/>
      <x:c r="R682" s="151" t="str"/>
      <x:c r="S682" s="151" t="str"/>
      <x:c r="T682" s="152" t="n">
        <x:f>IF(COUNTA(O682:S682)=0,"",MAX(0,IF(O682="",0,O682)+IF(P682="",0,P682)-IF(Q682="",0,Q682)-IF(R682="",0,R682)))</x:f>
        <x:v>0</x:v>
      </x:c>
      <x:c r="U682" s="152" t="str">
        <x:f>IF(OR(N682="",Q682=""),"",Q682-N682)</x:f>
      </x:c>
      <x:c r="V682" s="202" t="str">
        <x:f>IFERROR(Q682/N682,"")</x:f>
      </x:c>
      <x:c r="W682" s="137" t="str"/>
      <x:c r="X682" s="137" t="str"/>
      <x:c r="Y682" s="137" t="str"/>
      <x:c r="Z682" s="137" t="str"/>
      <x:c r="AA682" s="137" t="str"/>
      <x:c r="AB682" s="137" t="str"/>
      <x:c r="AC682" s="137" t="str"/>
      <x:c r="AD682" s="199" t="str"/>
    </x:row>
    <x:row r="683">
      <x:c r="A683" s="137" t="str"/>
      <x:c r="B683" s="138" t="str"/>
      <x:c r="C683" s="137" t="str"/>
      <x:c r="D683" s="137" t="str"/>
      <x:c r="E683" s="137" t="str"/>
      <x:c r="F683" s="137" t="str"/>
      <x:c r="G683" s="137" t="str"/>
      <x:c r="H683" s="137" t="str"/>
      <x:c r="I683" s="137" t="str"/>
      <x:c r="J683" s="137" t="str"/>
      <x:c r="K683" s="137" t="str"/>
      <x:c r="L683" s="160" t="str"/>
      <x:c r="M683" s="160" t="str"/>
      <x:c r="N683" s="151" t="str"/>
      <x:c r="O683" s="151" t="str"/>
      <x:c r="P683" s="151" t="str"/>
      <x:c r="Q683" s="151" t="str"/>
      <x:c r="R683" s="151" t="str"/>
      <x:c r="S683" s="151" t="str"/>
      <x:c r="T683" s="152" t="n">
        <x:f>IF(COUNTA(O683:S683)=0,"",MAX(0,IF(O683="",0,O683)+IF(P683="",0,P683)-IF(Q683="",0,Q683)-IF(R683="",0,R683)))</x:f>
        <x:v>0</x:v>
      </x:c>
      <x:c r="U683" s="152" t="str">
        <x:f>IF(OR(N683="",Q683=""),"",Q683-N683)</x:f>
      </x:c>
      <x:c r="V683" s="202" t="str">
        <x:f>IFERROR(Q683/N683,"")</x:f>
      </x:c>
      <x:c r="W683" s="137" t="str"/>
      <x:c r="X683" s="137" t="str"/>
      <x:c r="Y683" s="137" t="str"/>
      <x:c r="Z683" s="137" t="str"/>
      <x:c r="AA683" s="137" t="str"/>
      <x:c r="AB683" s="137" t="str"/>
      <x:c r="AC683" s="137" t="str"/>
      <x:c r="AD683" s="199" t="str"/>
    </x:row>
    <x:row r="684">
      <x:c r="A684" s="137" t="str"/>
      <x:c r="B684" s="138" t="str"/>
      <x:c r="C684" s="137" t="str"/>
      <x:c r="D684" s="137" t="str"/>
      <x:c r="E684" s="137" t="str"/>
      <x:c r="F684" s="137" t="str"/>
      <x:c r="G684" s="137" t="str"/>
      <x:c r="H684" s="137" t="str"/>
      <x:c r="I684" s="137" t="str"/>
      <x:c r="J684" s="137" t="str"/>
      <x:c r="K684" s="137" t="str"/>
      <x:c r="L684" s="160" t="str"/>
      <x:c r="M684" s="160" t="str"/>
      <x:c r="N684" s="151" t="str"/>
      <x:c r="O684" s="151" t="str"/>
      <x:c r="P684" s="151" t="str"/>
      <x:c r="Q684" s="151" t="str"/>
      <x:c r="R684" s="151" t="str"/>
      <x:c r="S684" s="151" t="str"/>
      <x:c r="T684" s="152" t="n">
        <x:f>IF(COUNTA(O684:S684)=0,"",MAX(0,IF(O684="",0,O684)+IF(P684="",0,P684)-IF(Q684="",0,Q684)-IF(R684="",0,R684)))</x:f>
        <x:v>0</x:v>
      </x:c>
      <x:c r="U684" s="152" t="str">
        <x:f>IF(OR(N684="",Q684=""),"",Q684-N684)</x:f>
      </x:c>
      <x:c r="V684" s="202" t="str">
        <x:f>IFERROR(Q684/N684,"")</x:f>
      </x:c>
      <x:c r="W684" s="137" t="str"/>
      <x:c r="X684" s="137" t="str"/>
      <x:c r="Y684" s="137" t="str"/>
      <x:c r="Z684" s="137" t="str"/>
      <x:c r="AA684" s="137" t="str"/>
      <x:c r="AB684" s="137" t="str"/>
      <x:c r="AC684" s="137" t="str"/>
      <x:c r="AD684" s="199" t="str"/>
    </x:row>
    <x:row r="685">
      <x:c r="A685" s="137" t="str"/>
      <x:c r="B685" s="138" t="str"/>
      <x:c r="C685" s="137" t="str"/>
      <x:c r="D685" s="137" t="str"/>
      <x:c r="E685" s="137" t="str"/>
      <x:c r="F685" s="137" t="str"/>
      <x:c r="G685" s="137" t="str"/>
      <x:c r="H685" s="137" t="str"/>
      <x:c r="I685" s="137" t="str"/>
      <x:c r="J685" s="137" t="str"/>
      <x:c r="K685" s="137" t="str"/>
      <x:c r="L685" s="160" t="str"/>
      <x:c r="M685" s="160" t="str"/>
      <x:c r="N685" s="151" t="str"/>
      <x:c r="O685" s="151" t="str"/>
      <x:c r="P685" s="151" t="str"/>
      <x:c r="Q685" s="151" t="str"/>
      <x:c r="R685" s="151" t="str"/>
      <x:c r="S685" s="151" t="str"/>
      <x:c r="T685" s="152" t="n">
        <x:f>IF(COUNTA(O685:S685)=0,"",MAX(0,IF(O685="",0,O685)+IF(P685="",0,P685)-IF(Q685="",0,Q685)-IF(R685="",0,R685)))</x:f>
        <x:v>0</x:v>
      </x:c>
      <x:c r="U685" s="152" t="str">
        <x:f>IF(OR(N685="",Q685=""),"",Q685-N685)</x:f>
      </x:c>
      <x:c r="V685" s="202" t="str">
        <x:f>IFERROR(Q685/N685,"")</x:f>
      </x:c>
      <x:c r="W685" s="137" t="str"/>
      <x:c r="X685" s="137" t="str"/>
      <x:c r="Y685" s="137" t="str"/>
      <x:c r="Z685" s="137" t="str"/>
      <x:c r="AA685" s="137" t="str"/>
      <x:c r="AB685" s="137" t="str"/>
      <x:c r="AC685" s="137" t="str"/>
      <x:c r="AD685" s="199" t="str"/>
    </x:row>
    <x:row r="686">
      <x:c r="A686" s="137" t="str"/>
      <x:c r="B686" s="138" t="str"/>
      <x:c r="C686" s="137" t="str"/>
      <x:c r="D686" s="137" t="str"/>
      <x:c r="E686" s="137" t="str"/>
      <x:c r="F686" s="137" t="str"/>
      <x:c r="G686" s="137" t="str"/>
      <x:c r="H686" s="137" t="str"/>
      <x:c r="I686" s="137" t="str"/>
      <x:c r="J686" s="137" t="str"/>
      <x:c r="K686" s="137" t="str"/>
      <x:c r="L686" s="160" t="str"/>
      <x:c r="M686" s="160" t="str"/>
      <x:c r="N686" s="151" t="str"/>
      <x:c r="O686" s="151" t="str"/>
      <x:c r="P686" s="151" t="str"/>
      <x:c r="Q686" s="151" t="str"/>
      <x:c r="R686" s="151" t="str"/>
      <x:c r="S686" s="151" t="str"/>
      <x:c r="T686" s="152" t="n">
        <x:f>IF(COUNTA(O686:S686)=0,"",MAX(0,IF(O686="",0,O686)+IF(P686="",0,P686)-IF(Q686="",0,Q686)-IF(R686="",0,R686)))</x:f>
        <x:v>0</x:v>
      </x:c>
      <x:c r="U686" s="152" t="str">
        <x:f>IF(OR(N686="",Q686=""),"",Q686-N686)</x:f>
      </x:c>
      <x:c r="V686" s="202" t="str">
        <x:f>IFERROR(Q686/N686,"")</x:f>
      </x:c>
      <x:c r="W686" s="137" t="str"/>
      <x:c r="X686" s="137" t="str"/>
      <x:c r="Y686" s="137" t="str"/>
      <x:c r="Z686" s="137" t="str"/>
      <x:c r="AA686" s="137" t="str"/>
      <x:c r="AB686" s="137" t="str"/>
      <x:c r="AC686" s="137" t="str"/>
      <x:c r="AD686" s="199" t="str"/>
    </x:row>
    <x:row r="687">
      <x:c r="A687" s="137" t="str"/>
      <x:c r="B687" s="138" t="str"/>
      <x:c r="C687" s="137" t="str"/>
      <x:c r="D687" s="137" t="str"/>
      <x:c r="E687" s="137" t="str"/>
      <x:c r="F687" s="137" t="str"/>
      <x:c r="G687" s="137" t="str"/>
      <x:c r="H687" s="137" t="str"/>
      <x:c r="I687" s="137" t="str"/>
      <x:c r="J687" s="137" t="str"/>
      <x:c r="K687" s="137" t="str"/>
      <x:c r="L687" s="160" t="str"/>
      <x:c r="M687" s="160" t="str"/>
      <x:c r="N687" s="151" t="str"/>
      <x:c r="O687" s="151" t="str"/>
      <x:c r="P687" s="151" t="str"/>
      <x:c r="Q687" s="151" t="str"/>
      <x:c r="R687" s="151" t="str"/>
      <x:c r="S687" s="151" t="str"/>
      <x:c r="T687" s="152" t="n">
        <x:f>IF(COUNTA(O687:S687)=0,"",MAX(0,IF(O687="",0,O687)+IF(P687="",0,P687)-IF(Q687="",0,Q687)-IF(R687="",0,R687)))</x:f>
        <x:v>0</x:v>
      </x:c>
      <x:c r="U687" s="152" t="str">
        <x:f>IF(OR(N687="",Q687=""),"",Q687-N687)</x:f>
      </x:c>
      <x:c r="V687" s="202" t="str">
        <x:f>IFERROR(Q687/N687,"")</x:f>
      </x:c>
      <x:c r="W687" s="137" t="str"/>
      <x:c r="X687" s="137" t="str"/>
      <x:c r="Y687" s="137" t="str"/>
      <x:c r="Z687" s="137" t="str"/>
      <x:c r="AA687" s="137" t="str"/>
      <x:c r="AB687" s="137" t="str"/>
      <x:c r="AC687" s="137" t="str"/>
      <x:c r="AD687" s="199" t="str"/>
    </x:row>
    <x:row r="688">
      <x:c r="A688" s="137" t="str"/>
      <x:c r="B688" s="138" t="str"/>
      <x:c r="C688" s="137" t="str"/>
      <x:c r="D688" s="137" t="str"/>
      <x:c r="E688" s="137" t="str"/>
      <x:c r="F688" s="137" t="str"/>
      <x:c r="G688" s="137" t="str"/>
      <x:c r="H688" s="137" t="str"/>
      <x:c r="I688" s="137" t="str"/>
      <x:c r="J688" s="137" t="str"/>
      <x:c r="K688" s="137" t="str"/>
      <x:c r="L688" s="160" t="str"/>
      <x:c r="M688" s="160" t="str"/>
      <x:c r="N688" s="151" t="str"/>
      <x:c r="O688" s="151" t="str"/>
      <x:c r="P688" s="151" t="str"/>
      <x:c r="Q688" s="151" t="str"/>
      <x:c r="R688" s="151" t="str"/>
      <x:c r="S688" s="151" t="str"/>
      <x:c r="T688" s="152" t="n">
        <x:f>IF(COUNTA(O688:S688)=0,"",MAX(0,IF(O688="",0,O688)+IF(P688="",0,P688)-IF(Q688="",0,Q688)-IF(R688="",0,R688)))</x:f>
        <x:v>0</x:v>
      </x:c>
      <x:c r="U688" s="152" t="str">
        <x:f>IF(OR(N688="",Q688=""),"",Q688-N688)</x:f>
      </x:c>
      <x:c r="V688" s="202" t="str">
        <x:f>IFERROR(Q688/N688,"")</x:f>
      </x:c>
      <x:c r="W688" s="137" t="str"/>
      <x:c r="X688" s="137" t="str"/>
      <x:c r="Y688" s="137" t="str"/>
      <x:c r="Z688" s="137" t="str"/>
      <x:c r="AA688" s="137" t="str"/>
      <x:c r="AB688" s="137" t="str"/>
      <x:c r="AC688" s="137" t="str"/>
      <x:c r="AD688" s="199" t="str"/>
    </x:row>
    <x:row r="689">
      <x:c r="A689" s="137" t="str"/>
      <x:c r="B689" s="138" t="str"/>
      <x:c r="C689" s="137" t="str"/>
      <x:c r="D689" s="137" t="str"/>
      <x:c r="E689" s="137" t="str"/>
      <x:c r="F689" s="137" t="str"/>
      <x:c r="G689" s="137" t="str"/>
      <x:c r="H689" s="137" t="str"/>
      <x:c r="I689" s="137" t="str"/>
      <x:c r="J689" s="137" t="str"/>
      <x:c r="K689" s="137" t="str"/>
      <x:c r="L689" s="160" t="str"/>
      <x:c r="M689" s="160" t="str"/>
      <x:c r="N689" s="151" t="str"/>
      <x:c r="O689" s="151" t="str"/>
      <x:c r="P689" s="151" t="str"/>
      <x:c r="Q689" s="151" t="str"/>
      <x:c r="R689" s="151" t="str"/>
      <x:c r="S689" s="151" t="str"/>
      <x:c r="T689" s="152" t="n">
        <x:f>IF(COUNTA(O689:S689)=0,"",MAX(0,IF(O689="",0,O689)+IF(P689="",0,P689)-IF(Q689="",0,Q689)-IF(R689="",0,R689)))</x:f>
        <x:v>0</x:v>
      </x:c>
      <x:c r="U689" s="152" t="str">
        <x:f>IF(OR(N689="",Q689=""),"",Q689-N689)</x:f>
      </x:c>
      <x:c r="V689" s="202" t="str">
        <x:f>IFERROR(Q689/N689,"")</x:f>
      </x:c>
      <x:c r="W689" s="137" t="str"/>
      <x:c r="X689" s="137" t="str"/>
      <x:c r="Y689" s="137" t="str"/>
      <x:c r="Z689" s="137" t="str"/>
      <x:c r="AA689" s="137" t="str"/>
      <x:c r="AB689" s="137" t="str"/>
      <x:c r="AC689" s="137" t="str"/>
      <x:c r="AD689" s="199" t="str"/>
    </x:row>
    <x:row r="690">
      <x:c r="A690" s="137" t="str"/>
      <x:c r="B690" s="138" t="str"/>
      <x:c r="C690" s="137" t="str"/>
      <x:c r="D690" s="137" t="str"/>
      <x:c r="E690" s="137" t="str"/>
      <x:c r="F690" s="137" t="str"/>
      <x:c r="G690" s="137" t="str"/>
      <x:c r="H690" s="137" t="str"/>
      <x:c r="I690" s="137" t="str"/>
      <x:c r="J690" s="137" t="str"/>
      <x:c r="K690" s="137" t="str"/>
      <x:c r="L690" s="160" t="str"/>
      <x:c r="M690" s="160" t="str"/>
      <x:c r="N690" s="151" t="str"/>
      <x:c r="O690" s="151" t="str"/>
      <x:c r="P690" s="151" t="str"/>
      <x:c r="Q690" s="151" t="str"/>
      <x:c r="R690" s="151" t="str"/>
      <x:c r="S690" s="151" t="str"/>
      <x:c r="T690" s="152" t="n">
        <x:f>IF(COUNTA(O690:S690)=0,"",MAX(0,IF(O690="",0,O690)+IF(P690="",0,P690)-IF(Q690="",0,Q690)-IF(R690="",0,R690)))</x:f>
        <x:v>0</x:v>
      </x:c>
      <x:c r="U690" s="152" t="str">
        <x:f>IF(OR(N690="",Q690=""),"",Q690-N690)</x:f>
      </x:c>
      <x:c r="V690" s="202" t="str">
        <x:f>IFERROR(Q690/N690,"")</x:f>
      </x:c>
      <x:c r="W690" s="137" t="str"/>
      <x:c r="X690" s="137" t="str"/>
      <x:c r="Y690" s="137" t="str"/>
      <x:c r="Z690" s="137" t="str"/>
      <x:c r="AA690" s="137" t="str"/>
      <x:c r="AB690" s="137" t="str"/>
      <x:c r="AC690" s="137" t="str"/>
      <x:c r="AD690" s="199" t="str"/>
    </x:row>
    <x:row r="691">
      <x:c r="A691" s="137" t="str"/>
      <x:c r="B691" s="138" t="str"/>
      <x:c r="C691" s="137" t="str"/>
      <x:c r="D691" s="137" t="str"/>
      <x:c r="E691" s="137" t="str"/>
      <x:c r="F691" s="137" t="str"/>
      <x:c r="G691" s="137" t="str"/>
      <x:c r="H691" s="137" t="str"/>
      <x:c r="I691" s="137" t="str"/>
      <x:c r="J691" s="137" t="str"/>
      <x:c r="K691" s="137" t="str"/>
      <x:c r="L691" s="160" t="str"/>
      <x:c r="M691" s="160" t="str"/>
      <x:c r="N691" s="151" t="str"/>
      <x:c r="O691" s="151" t="str"/>
      <x:c r="P691" s="151" t="str"/>
      <x:c r="Q691" s="151" t="str"/>
      <x:c r="R691" s="151" t="str"/>
      <x:c r="S691" s="151" t="str"/>
      <x:c r="T691" s="152" t="n">
        <x:f>IF(COUNTA(O691:S691)=0,"",MAX(0,IF(O691="",0,O691)+IF(P691="",0,P691)-IF(Q691="",0,Q691)-IF(R691="",0,R691)))</x:f>
        <x:v>0</x:v>
      </x:c>
      <x:c r="U691" s="152" t="str">
        <x:f>IF(OR(N691="",Q691=""),"",Q691-N691)</x:f>
      </x:c>
      <x:c r="V691" s="202" t="str">
        <x:f>IFERROR(Q691/N691,"")</x:f>
      </x:c>
      <x:c r="W691" s="137" t="str"/>
      <x:c r="X691" s="137" t="str"/>
      <x:c r="Y691" s="137" t="str"/>
      <x:c r="Z691" s="137" t="str"/>
      <x:c r="AA691" s="137" t="str"/>
      <x:c r="AB691" s="137" t="str"/>
      <x:c r="AC691" s="137" t="str"/>
      <x:c r="AD691" s="199" t="str"/>
    </x:row>
    <x:row r="692">
      <x:c r="A692" s="137" t="str"/>
      <x:c r="B692" s="138" t="str"/>
      <x:c r="C692" s="137" t="str"/>
      <x:c r="D692" s="137" t="str"/>
      <x:c r="E692" s="137" t="str"/>
      <x:c r="F692" s="137" t="str"/>
      <x:c r="G692" s="137" t="str"/>
      <x:c r="H692" s="137" t="str"/>
      <x:c r="I692" s="137" t="str"/>
      <x:c r="J692" s="137" t="str"/>
      <x:c r="K692" s="137" t="str"/>
      <x:c r="L692" s="160" t="str"/>
      <x:c r="M692" s="160" t="str"/>
      <x:c r="N692" s="151" t="str"/>
      <x:c r="O692" s="151" t="str"/>
      <x:c r="P692" s="151" t="str"/>
      <x:c r="Q692" s="151" t="str"/>
      <x:c r="R692" s="151" t="str"/>
      <x:c r="S692" s="151" t="str"/>
      <x:c r="T692" s="152" t="n">
        <x:f>IF(COUNTA(O692:S692)=0,"",MAX(0,IF(O692="",0,O692)+IF(P692="",0,P692)-IF(Q692="",0,Q692)-IF(R692="",0,R692)))</x:f>
        <x:v>0</x:v>
      </x:c>
      <x:c r="U692" s="152" t="str">
        <x:f>IF(OR(N692="",Q692=""),"",Q692-N692)</x:f>
      </x:c>
      <x:c r="V692" s="202" t="str">
        <x:f>IFERROR(Q692/N692,"")</x:f>
      </x:c>
      <x:c r="W692" s="137" t="str"/>
      <x:c r="X692" s="137" t="str"/>
      <x:c r="Y692" s="137" t="str"/>
      <x:c r="Z692" s="137" t="str"/>
      <x:c r="AA692" s="137" t="str"/>
      <x:c r="AB692" s="137" t="str"/>
      <x:c r="AC692" s="137" t="str"/>
      <x:c r="AD692" s="199" t="str"/>
    </x:row>
    <x:row r="693">
      <x:c r="A693" s="137" t="str"/>
      <x:c r="B693" s="138" t="str"/>
      <x:c r="C693" s="137" t="str"/>
      <x:c r="D693" s="137" t="str"/>
      <x:c r="E693" s="137" t="str"/>
      <x:c r="F693" s="137" t="str"/>
      <x:c r="G693" s="137" t="str"/>
      <x:c r="H693" s="137" t="str"/>
      <x:c r="I693" s="137" t="str"/>
      <x:c r="J693" s="137" t="str"/>
      <x:c r="K693" s="137" t="str"/>
      <x:c r="L693" s="160" t="str"/>
      <x:c r="M693" s="160" t="str"/>
      <x:c r="N693" s="151" t="str"/>
      <x:c r="O693" s="151" t="str"/>
      <x:c r="P693" s="151" t="str"/>
      <x:c r="Q693" s="151" t="str"/>
      <x:c r="R693" s="151" t="str"/>
      <x:c r="S693" s="151" t="str"/>
      <x:c r="T693" s="152" t="n">
        <x:f>IF(COUNTA(O693:S693)=0,"",MAX(0,IF(O693="",0,O693)+IF(P693="",0,P693)-IF(Q693="",0,Q693)-IF(R693="",0,R693)))</x:f>
        <x:v>0</x:v>
      </x:c>
      <x:c r="U693" s="152" t="str">
        <x:f>IF(OR(N693="",Q693=""),"",Q693-N693)</x:f>
      </x:c>
      <x:c r="V693" s="202" t="str">
        <x:f>IFERROR(Q693/N693,"")</x:f>
      </x:c>
      <x:c r="W693" s="137" t="str"/>
      <x:c r="X693" s="137" t="str"/>
      <x:c r="Y693" s="137" t="str"/>
      <x:c r="Z693" s="137" t="str"/>
      <x:c r="AA693" s="137" t="str"/>
      <x:c r="AB693" s="137" t="str"/>
      <x:c r="AC693" s="137" t="str"/>
      <x:c r="AD693" s="199" t="str"/>
    </x:row>
    <x:row r="694">
      <x:c r="A694" s="137" t="str"/>
      <x:c r="B694" s="138" t="str"/>
      <x:c r="C694" s="137" t="str"/>
      <x:c r="D694" s="137" t="str"/>
      <x:c r="E694" s="137" t="str"/>
      <x:c r="F694" s="137" t="str"/>
      <x:c r="G694" s="137" t="str"/>
      <x:c r="H694" s="137" t="str"/>
      <x:c r="I694" s="137" t="str"/>
      <x:c r="J694" s="137" t="str"/>
      <x:c r="K694" s="137" t="str"/>
      <x:c r="L694" s="160" t="str"/>
      <x:c r="M694" s="160" t="str"/>
      <x:c r="N694" s="151" t="str"/>
      <x:c r="O694" s="151" t="str"/>
      <x:c r="P694" s="151" t="str"/>
      <x:c r="Q694" s="151" t="str"/>
      <x:c r="R694" s="151" t="str"/>
      <x:c r="S694" s="151" t="str"/>
      <x:c r="T694" s="152" t="n">
        <x:f>IF(COUNTA(O694:S694)=0,"",MAX(0,IF(O694="",0,O694)+IF(P694="",0,P694)-IF(Q694="",0,Q694)-IF(R694="",0,R694)))</x:f>
        <x:v>0</x:v>
      </x:c>
      <x:c r="U694" s="152" t="str">
        <x:f>IF(OR(N694="",Q694=""),"",Q694-N694)</x:f>
      </x:c>
      <x:c r="V694" s="202" t="str">
        <x:f>IFERROR(Q694/N694,"")</x:f>
      </x:c>
      <x:c r="W694" s="137" t="str"/>
      <x:c r="X694" s="137" t="str"/>
      <x:c r="Y694" s="137" t="str"/>
      <x:c r="Z694" s="137" t="str"/>
      <x:c r="AA694" s="137" t="str"/>
      <x:c r="AB694" s="137" t="str"/>
      <x:c r="AC694" s="137" t="str"/>
      <x:c r="AD694" s="199" t="str"/>
    </x:row>
    <x:row r="695">
      <x:c r="A695" s="137" t="str"/>
      <x:c r="B695" s="138" t="str"/>
      <x:c r="C695" s="137" t="str"/>
      <x:c r="D695" s="137" t="str"/>
      <x:c r="E695" s="137" t="str"/>
      <x:c r="F695" s="137" t="str"/>
      <x:c r="G695" s="137" t="str"/>
      <x:c r="H695" s="137" t="str"/>
      <x:c r="I695" s="137" t="str"/>
      <x:c r="J695" s="137" t="str"/>
      <x:c r="K695" s="137" t="str"/>
      <x:c r="L695" s="160" t="str"/>
      <x:c r="M695" s="160" t="str"/>
      <x:c r="N695" s="151" t="str"/>
      <x:c r="O695" s="151" t="str"/>
      <x:c r="P695" s="151" t="str"/>
      <x:c r="Q695" s="151" t="str"/>
      <x:c r="R695" s="151" t="str"/>
      <x:c r="S695" s="151" t="str"/>
      <x:c r="T695" s="152" t="n">
        <x:f>IF(COUNTA(O695:S695)=0,"",MAX(0,IF(O695="",0,O695)+IF(P695="",0,P695)-IF(Q695="",0,Q695)-IF(R695="",0,R695)))</x:f>
        <x:v>0</x:v>
      </x:c>
      <x:c r="U695" s="152" t="str">
        <x:f>IF(OR(N695="",Q695=""),"",Q695-N695)</x:f>
      </x:c>
      <x:c r="V695" s="202" t="str">
        <x:f>IFERROR(Q695/N695,"")</x:f>
      </x:c>
      <x:c r="W695" s="137" t="str"/>
      <x:c r="X695" s="137" t="str"/>
      <x:c r="Y695" s="137" t="str"/>
      <x:c r="Z695" s="137" t="str"/>
      <x:c r="AA695" s="137" t="str"/>
      <x:c r="AB695" s="137" t="str"/>
      <x:c r="AC695" s="137" t="str"/>
      <x:c r="AD695" s="199" t="str"/>
    </x:row>
    <x:row r="696">
      <x:c r="A696" s="137" t="str"/>
      <x:c r="B696" s="138" t="str"/>
      <x:c r="C696" s="137" t="str"/>
      <x:c r="D696" s="137" t="str"/>
      <x:c r="E696" s="137" t="str"/>
      <x:c r="F696" s="137" t="str"/>
      <x:c r="G696" s="137" t="str"/>
      <x:c r="H696" s="137" t="str"/>
      <x:c r="I696" s="137" t="str"/>
      <x:c r="J696" s="137" t="str"/>
      <x:c r="K696" s="137" t="str"/>
      <x:c r="L696" s="160" t="str"/>
      <x:c r="M696" s="160" t="str"/>
      <x:c r="N696" s="151" t="str"/>
      <x:c r="O696" s="151" t="str"/>
      <x:c r="P696" s="151" t="str"/>
      <x:c r="Q696" s="151" t="str"/>
      <x:c r="R696" s="151" t="str"/>
      <x:c r="S696" s="151" t="str"/>
      <x:c r="T696" s="152" t="n">
        <x:f>IF(COUNTA(O696:S696)=0,"",MAX(0,IF(O696="",0,O696)+IF(P696="",0,P696)-IF(Q696="",0,Q696)-IF(R696="",0,R696)))</x:f>
        <x:v>0</x:v>
      </x:c>
      <x:c r="U696" s="152" t="str">
        <x:f>IF(OR(N696="",Q696=""),"",Q696-N696)</x:f>
      </x:c>
      <x:c r="V696" s="202" t="str">
        <x:f>IFERROR(Q696/N696,"")</x:f>
      </x:c>
      <x:c r="W696" s="137" t="str"/>
      <x:c r="X696" s="137" t="str"/>
      <x:c r="Y696" s="137" t="str"/>
      <x:c r="Z696" s="137" t="str"/>
      <x:c r="AA696" s="137" t="str"/>
      <x:c r="AB696" s="137" t="str"/>
      <x:c r="AC696" s="137" t="str"/>
      <x:c r="AD696" s="199" t="str"/>
    </x:row>
    <x:row r="697">
      <x:c r="A697" s="137" t="str"/>
      <x:c r="B697" s="138" t="str"/>
      <x:c r="C697" s="137" t="str"/>
      <x:c r="D697" s="137" t="str"/>
      <x:c r="E697" s="137" t="str"/>
      <x:c r="F697" s="137" t="str"/>
      <x:c r="G697" s="137" t="str"/>
      <x:c r="H697" s="137" t="str"/>
      <x:c r="I697" s="137" t="str"/>
      <x:c r="J697" s="137" t="str"/>
      <x:c r="K697" s="137" t="str"/>
      <x:c r="L697" s="160" t="str"/>
      <x:c r="M697" s="160" t="str"/>
      <x:c r="N697" s="151" t="str"/>
      <x:c r="O697" s="151" t="str"/>
      <x:c r="P697" s="151" t="str"/>
      <x:c r="Q697" s="151" t="str"/>
      <x:c r="R697" s="151" t="str"/>
      <x:c r="S697" s="151" t="str"/>
      <x:c r="T697" s="152" t="n">
        <x:f>IF(COUNTA(O697:S697)=0,"",MAX(0,IF(O697="",0,O697)+IF(P697="",0,P697)-IF(Q697="",0,Q697)-IF(R697="",0,R697)))</x:f>
        <x:v>0</x:v>
      </x:c>
      <x:c r="U697" s="152" t="str">
        <x:f>IF(OR(N697="",Q697=""),"",Q697-N697)</x:f>
      </x:c>
      <x:c r="V697" s="202" t="str">
        <x:f>IFERROR(Q697/N697,"")</x:f>
      </x:c>
      <x:c r="W697" s="137" t="str"/>
      <x:c r="X697" s="137" t="str"/>
      <x:c r="Y697" s="137" t="str"/>
      <x:c r="Z697" s="137" t="str"/>
      <x:c r="AA697" s="137" t="str"/>
      <x:c r="AB697" s="137" t="str"/>
      <x:c r="AC697" s="137" t="str"/>
      <x:c r="AD697" s="199" t="str"/>
    </x:row>
    <x:row r="698">
      <x:c r="A698" s="137" t="str"/>
      <x:c r="B698" s="138" t="str"/>
      <x:c r="C698" s="137" t="str"/>
      <x:c r="D698" s="137" t="str"/>
      <x:c r="E698" s="137" t="str"/>
      <x:c r="F698" s="137" t="str"/>
      <x:c r="G698" s="137" t="str"/>
      <x:c r="H698" s="137" t="str"/>
      <x:c r="I698" s="137" t="str"/>
      <x:c r="J698" s="137" t="str"/>
      <x:c r="K698" s="137" t="str"/>
      <x:c r="L698" s="160" t="str"/>
      <x:c r="M698" s="160" t="str"/>
      <x:c r="N698" s="151" t="str"/>
      <x:c r="O698" s="151" t="str"/>
      <x:c r="P698" s="151" t="str"/>
      <x:c r="Q698" s="151" t="str"/>
      <x:c r="R698" s="151" t="str"/>
      <x:c r="S698" s="151" t="str"/>
      <x:c r="T698" s="152" t="n">
        <x:f>IF(COUNTA(O698:S698)=0,"",MAX(0,IF(O698="",0,O698)+IF(P698="",0,P698)-IF(Q698="",0,Q698)-IF(R698="",0,R698)))</x:f>
        <x:v>0</x:v>
      </x:c>
      <x:c r="U698" s="152" t="str">
        <x:f>IF(OR(N698="",Q698=""),"",Q698-N698)</x:f>
      </x:c>
      <x:c r="V698" s="202" t="str">
        <x:f>IFERROR(Q698/N698,"")</x:f>
      </x:c>
      <x:c r="W698" s="137" t="str"/>
      <x:c r="X698" s="137" t="str"/>
      <x:c r="Y698" s="137" t="str"/>
      <x:c r="Z698" s="137" t="str"/>
      <x:c r="AA698" s="137" t="str"/>
      <x:c r="AB698" s="137" t="str"/>
      <x:c r="AC698" s="137" t="str"/>
      <x:c r="AD698" s="199" t="str"/>
    </x:row>
    <x:row r="699">
      <x:c r="A699" s="137" t="str"/>
      <x:c r="B699" s="138" t="str"/>
      <x:c r="C699" s="137" t="str"/>
      <x:c r="D699" s="137" t="str"/>
      <x:c r="E699" s="137" t="str"/>
      <x:c r="F699" s="137" t="str"/>
      <x:c r="G699" s="137" t="str"/>
      <x:c r="H699" s="137" t="str"/>
      <x:c r="I699" s="137" t="str"/>
      <x:c r="J699" s="137" t="str"/>
      <x:c r="K699" s="137" t="str"/>
      <x:c r="L699" s="160" t="str"/>
      <x:c r="M699" s="160" t="str"/>
      <x:c r="N699" s="151" t="str"/>
      <x:c r="O699" s="151" t="str"/>
      <x:c r="P699" s="151" t="str"/>
      <x:c r="Q699" s="151" t="str"/>
      <x:c r="R699" s="151" t="str"/>
      <x:c r="S699" s="151" t="str"/>
      <x:c r="T699" s="152" t="n">
        <x:f>IF(COUNTA(O699:S699)=0,"",MAX(0,IF(O699="",0,O699)+IF(P699="",0,P699)-IF(Q699="",0,Q699)-IF(R699="",0,R699)))</x:f>
        <x:v>0</x:v>
      </x:c>
      <x:c r="U699" s="152" t="str">
        <x:f>IF(OR(N699="",Q699=""),"",Q699-N699)</x:f>
      </x:c>
      <x:c r="V699" s="202" t="str">
        <x:f>IFERROR(Q699/N699,"")</x:f>
      </x:c>
      <x:c r="W699" s="137" t="str"/>
      <x:c r="X699" s="137" t="str"/>
      <x:c r="Y699" s="137" t="str"/>
      <x:c r="Z699" s="137" t="str"/>
      <x:c r="AA699" s="137" t="str"/>
      <x:c r="AB699" s="137" t="str"/>
      <x:c r="AC699" s="137" t="str"/>
      <x:c r="AD699" s="199" t="str"/>
    </x:row>
    <x:row r="700">
      <x:c r="A700" s="137" t="str"/>
      <x:c r="B700" s="138" t="str"/>
      <x:c r="C700" s="137" t="str"/>
      <x:c r="D700" s="137" t="str"/>
      <x:c r="E700" s="137" t="str"/>
      <x:c r="F700" s="137" t="str"/>
      <x:c r="G700" s="137" t="str"/>
      <x:c r="H700" s="137" t="str"/>
      <x:c r="I700" s="137" t="str"/>
      <x:c r="J700" s="137" t="str"/>
      <x:c r="K700" s="137" t="str"/>
      <x:c r="L700" s="160" t="str"/>
      <x:c r="M700" s="160" t="str"/>
      <x:c r="N700" s="151" t="str"/>
      <x:c r="O700" s="151" t="str"/>
      <x:c r="P700" s="151" t="str"/>
      <x:c r="Q700" s="151" t="str"/>
      <x:c r="R700" s="151" t="str"/>
      <x:c r="S700" s="151" t="str"/>
      <x:c r="T700" s="152" t="n">
        <x:f>IF(COUNTA(O700:S700)=0,"",MAX(0,IF(O700="",0,O700)+IF(P700="",0,P700)-IF(Q700="",0,Q700)-IF(R700="",0,R700)))</x:f>
        <x:v>0</x:v>
      </x:c>
      <x:c r="U700" s="152" t="str">
        <x:f>IF(OR(N700="",Q700=""),"",Q700-N700)</x:f>
      </x:c>
      <x:c r="V700" s="202" t="str">
        <x:f>IFERROR(Q700/N700,"")</x:f>
      </x:c>
      <x:c r="W700" s="137" t="str"/>
      <x:c r="X700" s="137" t="str"/>
      <x:c r="Y700" s="137" t="str"/>
      <x:c r="Z700" s="137" t="str"/>
      <x:c r="AA700" s="137" t="str"/>
      <x:c r="AB700" s="137" t="str"/>
      <x:c r="AC700" s="137" t="str"/>
      <x:c r="AD700" s="199" t="str"/>
    </x:row>
    <x:row r="701">
      <x:c r="A701" s="137" t="str"/>
      <x:c r="B701" s="138" t="str"/>
      <x:c r="C701" s="137" t="str"/>
      <x:c r="D701" s="137" t="str"/>
      <x:c r="E701" s="137" t="str"/>
      <x:c r="F701" s="137" t="str"/>
      <x:c r="G701" s="137" t="str"/>
      <x:c r="H701" s="137" t="str"/>
      <x:c r="I701" s="137" t="str"/>
      <x:c r="J701" s="137" t="str"/>
      <x:c r="K701" s="137" t="str"/>
      <x:c r="L701" s="160" t="str"/>
      <x:c r="M701" s="160" t="str"/>
      <x:c r="N701" s="151" t="str"/>
      <x:c r="O701" s="151" t="str"/>
      <x:c r="P701" s="151" t="str"/>
      <x:c r="Q701" s="151" t="str"/>
      <x:c r="R701" s="151" t="str"/>
      <x:c r="S701" s="151" t="str"/>
      <x:c r="T701" s="152" t="n">
        <x:f>IF(COUNTA(O701:S701)=0,"",MAX(0,IF(O701="",0,O701)+IF(P701="",0,P701)-IF(Q701="",0,Q701)-IF(R701="",0,R701)))</x:f>
        <x:v>0</x:v>
      </x:c>
      <x:c r="U701" s="152" t="str">
        <x:f>IF(OR(N701="",Q701=""),"",Q701-N701)</x:f>
      </x:c>
      <x:c r="V701" s="202" t="str">
        <x:f>IFERROR(Q701/N701,"")</x:f>
      </x:c>
      <x:c r="W701" s="137" t="str"/>
      <x:c r="X701" s="137" t="str"/>
      <x:c r="Y701" s="137" t="str"/>
      <x:c r="Z701" s="137" t="str"/>
      <x:c r="AA701" s="137" t="str"/>
      <x:c r="AB701" s="137" t="str"/>
      <x:c r="AC701" s="137" t="str"/>
      <x:c r="AD701" s="199" t="str"/>
    </x:row>
    <x:row r="702">
      <x:c r="A702" s="137" t="str"/>
      <x:c r="B702" s="138" t="str"/>
      <x:c r="C702" s="137" t="str"/>
      <x:c r="D702" s="137" t="str"/>
      <x:c r="E702" s="137" t="str"/>
      <x:c r="F702" s="137" t="str"/>
      <x:c r="G702" s="137" t="str"/>
      <x:c r="H702" s="137" t="str"/>
      <x:c r="I702" s="137" t="str"/>
      <x:c r="J702" s="137" t="str"/>
      <x:c r="K702" s="137" t="str"/>
      <x:c r="L702" s="160" t="str"/>
      <x:c r="M702" s="160" t="str"/>
      <x:c r="N702" s="151" t="str"/>
      <x:c r="O702" s="151" t="str"/>
      <x:c r="P702" s="151" t="str"/>
      <x:c r="Q702" s="151" t="str"/>
      <x:c r="R702" s="151" t="str"/>
      <x:c r="S702" s="151" t="str"/>
      <x:c r="T702" s="152" t="n">
        <x:f>IF(COUNTA(O702:S702)=0,"",MAX(0,IF(O702="",0,O702)+IF(P702="",0,P702)-IF(Q702="",0,Q702)-IF(R702="",0,R702)))</x:f>
        <x:v>0</x:v>
      </x:c>
      <x:c r="U702" s="152" t="str">
        <x:f>IF(OR(N702="",Q702=""),"",Q702-N702)</x:f>
      </x:c>
      <x:c r="V702" s="202" t="str">
        <x:f>IFERROR(Q702/N702,"")</x:f>
      </x:c>
      <x:c r="W702" s="137" t="str"/>
      <x:c r="X702" s="137" t="str"/>
      <x:c r="Y702" s="137" t="str"/>
      <x:c r="Z702" s="137" t="str"/>
      <x:c r="AA702" s="137" t="str"/>
      <x:c r="AB702" s="137" t="str"/>
      <x:c r="AC702" s="137" t="str"/>
      <x:c r="AD702" s="199" t="str"/>
    </x:row>
    <x:row r="703">
      <x:c r="A703" s="137" t="str"/>
      <x:c r="B703" s="138" t="str"/>
      <x:c r="C703" s="137" t="str"/>
      <x:c r="D703" s="137" t="str"/>
      <x:c r="E703" s="137" t="str"/>
      <x:c r="F703" s="137" t="str"/>
      <x:c r="G703" s="137" t="str"/>
      <x:c r="H703" s="137" t="str"/>
      <x:c r="I703" s="137" t="str"/>
      <x:c r="J703" s="137" t="str"/>
      <x:c r="K703" s="137" t="str"/>
      <x:c r="L703" s="160" t="str"/>
      <x:c r="M703" s="160" t="str"/>
      <x:c r="N703" s="151" t="str"/>
      <x:c r="O703" s="151" t="str"/>
      <x:c r="P703" s="151" t="str"/>
      <x:c r="Q703" s="151" t="str"/>
      <x:c r="R703" s="151" t="str"/>
      <x:c r="S703" s="151" t="str"/>
      <x:c r="T703" s="152" t="n">
        <x:f>IF(COUNTA(O703:S703)=0,"",MAX(0,IF(O703="",0,O703)+IF(P703="",0,P703)-IF(Q703="",0,Q703)-IF(R703="",0,R703)))</x:f>
        <x:v>0</x:v>
      </x:c>
      <x:c r="U703" s="152" t="str">
        <x:f>IF(OR(N703="",Q703=""),"",Q703-N703)</x:f>
      </x:c>
      <x:c r="V703" s="202" t="str">
        <x:f>IFERROR(Q703/N703,"")</x:f>
      </x:c>
      <x:c r="W703" s="137" t="str"/>
      <x:c r="X703" s="137" t="str"/>
      <x:c r="Y703" s="137" t="str"/>
      <x:c r="Z703" s="137" t="str"/>
      <x:c r="AA703" s="137" t="str"/>
      <x:c r="AB703" s="137" t="str"/>
      <x:c r="AC703" s="137" t="str"/>
      <x:c r="AD703" s="199" t="str"/>
    </x:row>
    <x:row r="704">
      <x:c r="A704" s="139" t="str"/>
      <x:c r="B704" s="145" t="str"/>
      <x:c r="C704" s="139" t="str"/>
      <x:c r="D704" s="139" t="str"/>
      <x:c r="E704" s="139" t="str"/>
      <x:c r="F704" s="139" t="str"/>
      <x:c r="G704" s="139" t="str"/>
      <x:c r="H704" s="139" t="str"/>
      <x:c r="I704" s="139" t="str"/>
      <x:c r="J704" s="139" t="str"/>
      <x:c r="K704" s="139" t="str"/>
      <x:c r="L704" s="162" t="str"/>
      <x:c r="M704" s="162" t="str"/>
      <x:c r="N704" s="155" t="str"/>
      <x:c r="O704" s="155" t="str"/>
      <x:c r="P704" s="155" t="str"/>
      <x:c r="Q704" s="155" t="str"/>
      <x:c r="R704" s="155" t="str"/>
      <x:c r="S704" s="155" t="str"/>
      <x:c r="T704" s="156" t="n">
        <x:f>IF(COUNTA(O704:S704)=0,"",MAX(0,IF(O704="",0,O704)+IF(P704="",0,P704)-IF(Q704="",0,Q704)-IF(R704="",0,R704)))</x:f>
        <x:v>0</x:v>
      </x:c>
      <x:c r="U704" s="156" t="str">
        <x:f>IF(OR(N704="",Q704=""),"",Q704-N704)</x:f>
      </x:c>
      <x:c r="V704" s="203" t="str">
        <x:f>IFERROR(Q704/N704,"")</x:f>
      </x:c>
      <x:c r="W704" s="139" t="str"/>
      <x:c r="X704" s="139" t="str"/>
      <x:c r="Y704" s="139" t="str"/>
      <x:c r="Z704" s="139" t="str"/>
      <x:c r="AA704" s="139" t="str"/>
      <x:c r="AB704" s="139" t="str"/>
      <x:c r="AC704" s="139" t="str"/>
      <x:c r="AD704" s="200" t="str"/>
    </x:row>
  </x:sheetData>
  <x:mergeCells>
    <x:mergeCell ref="A1:AD1"/>
    <x:mergeCell ref="A2:AD2"/>
    <x:mergeCell ref="A3:AD3"/>
  </x:mergeCells>
  <x:conditionalFormatting sqref="V5:V704">
    <x:cfRule type="cellIs" dxfId="62" priority="1" operator="lessThan">
      <x:formula>0.9</x:formula>
    </x:cfRule>
    <x:cfRule type="cellIs" dxfId="63" priority="2" operator="greaterThanOrEqual">
      <x:formula>1</x:formula>
    </x:cfRule>
  </x:conditionalFormatting>
  <x:dataValidations count="4">
    <x:dataValidation type="list" sqref="C5:C704">
      <x:formula1>"General,A,B,C"</x:formula1>
    </x:dataValidation>
    <x:dataValidation type="list" sqref="D5:D704">
      <x:formula1>'Lists - Do Not Edit'!$A$2:$A$14</x:formula1>
    </x:dataValidation>
    <x:dataValidation type="list" sqref="H5:H704">
      <x:formula1>'Lists - Do Not Edit'!$S$2:$S$17</x:formula1>
    </x:dataValidation>
    <x:dataValidation type="list" sqref="K5:K704">
      <x:formula1>'Lists - Do Not Edit'!$B$2:$B$12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137421c57248d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22" hidden="0" customWidth="1"/>
    <x:col min="5" max="5" width="22" hidden="0" customWidth="1"/>
    <x:col min="6" max="6" width="16" hidden="0" customWidth="1"/>
    <x:col min="7" max="7" width="18" hidden="0" customWidth="1"/>
    <x:col min="8" max="8" width="22" hidden="0" customWidth="1"/>
    <x:col min="9" max="9" width="20" hidden="0" customWidth="1"/>
    <x:col min="10" max="10" width="14" hidden="0" customWidth="1"/>
    <x:col min="11" max="11" width="14" hidden="0" customWidth="1"/>
    <x:col min="12" max="12" width="16" hidden="0" customWidth="1"/>
    <x:col min="13" max="13" width="20" hidden="0" customWidth="1"/>
    <x:col min="14" max="14" width="34" hidden="0" customWidth="1"/>
    <x:col min="15" max="15" width="34" hidden="0" customWidth="1"/>
    <x:col min="16" max="16" width="34" hidden="0" customWidth="1"/>
    <x:col min="17" max="17" width="38" hidden="0" customWidth="1"/>
    <x:col min="18" max="18" width="20" hidden="0" customWidth="1"/>
    <x:col min="19" max="19" width="18" hidden="0" customWidth="1"/>
    <x:col min="20" max="20" width="18" hidden="0" customWidth="1"/>
    <x:col min="21" max="21" width="16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 ht="30" customHeight="1">
      <x:c r="A1" s="140" t="str">
        <x:v>Machine Downtime &amp; Lost Capacity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  <x:c r="U1" s="122"/>
      <x:c r="V1" s="122"/>
      <x:c r="W1" s="122"/>
      <x:c r="X1" s="122"/>
    </x:row>
    <x:row r="2" ht="34" customHeight="1">
      <x:c r="A2" s="123" t="str">
        <x:v>Record every stop that affects the plan. Use a separate row for each event so lost time and pipeline impact remain auditable.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  <x:c r="W2" s="123"/>
      <x:c r="X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  <x:c r="T3" s="124"/>
      <x:c r="U3" s="124"/>
      <x:c r="V3" s="124"/>
      <x:c r="W3" s="124"/>
      <x:c r="X3" s="124"/>
    </x:row>
    <x:row r="4" ht="34" customHeight="1">
      <x:c r="A4" s="141" t="str">
        <x:v>Downtime ID</x:v>
      </x:c>
      <x:c r="B4" s="142" t="str">
        <x:v>Date</x:v>
      </x:c>
      <x:c r="C4" s="142" t="str">
        <x:v>Shift</x:v>
      </x:c>
      <x:c r="D4" s="142" t="str">
        <x:v>Work Centre Code</x:v>
      </x:c>
      <x:c r="E4" s="142" t="str">
        <x:v>Machine / Line ID</x:v>
      </x:c>
      <x:c r="F4" s="142" t="str">
        <x:v>PI No</x:v>
      </x:c>
      <x:c r="G4" s="142" t="str">
        <x:v>Order ID</x:v>
      </x:c>
      <x:c r="H4" s="142" t="str">
        <x:v>Category</x:v>
      </x:c>
      <x:c r="I4" s="142" t="str">
        <x:v>Planned / Unplanned</x:v>
      </x:c>
      <x:c r="J4" s="142" t="str">
        <x:v>Start Time</x:v>
      </x:c>
      <x:c r="K4" s="142" t="str">
        <x:v>End Time</x:v>
      </x:c>
      <x:c r="L4" s="142" t="str">
        <x:v>Total Minutes</x:v>
      </x:c>
      <x:c r="M4" s="142" t="str">
        <x:v>Estimated Pairs Lost</x:v>
      </x:c>
      <x:c r="N4" s="142" t="str">
        <x:v>Reason</x:v>
      </x:c>
      <x:c r="O4" s="142" t="str">
        <x:v>Root Cause</x:v>
      </x:c>
      <x:c r="P4" s="142" t="str">
        <x:v>Immediate Action</x:v>
      </x:c>
      <x:c r="Q4" s="142" t="str">
        <x:v>Permanent Corrective Action</x:v>
      </x:c>
      <x:c r="R4" s="142" t="str">
        <x:v>Owner</x:v>
      </x:c>
      <x:c r="S4" s="142" t="str">
        <x:v>Status</x:v>
      </x:c>
      <x:c r="T4" s="142" t="str">
        <x:v>Target Closure Date</x:v>
      </x:c>
      <x:c r="U4" s="142" t="str">
        <x:v>Closed Date</x:v>
      </x:c>
      <x:c r="V4" s="142" t="str">
        <x:v>Reported By</x:v>
      </x:c>
      <x:c r="W4" s="142" t="str">
        <x:v>Approved By</x:v>
      </x:c>
      <x:c r="X4" s="143" t="str">
        <x:v>Updated Timestamp</x:v>
      </x:c>
    </x:row>
    <x:row r="5">
      <x:c r="A5" s="136" t="str"/>
      <x:c r="B5" s="144" t="str"/>
      <x:c r="C5" s="136" t="str"/>
      <x:c r="D5" s="136" t="str"/>
      <x:c r="E5" s="136" t="str"/>
      <x:c r="F5" s="136" t="str"/>
      <x:c r="G5" s="136" t="str"/>
      <x:c r="H5" s="136" t="str"/>
      <x:c r="I5" s="136" t="str"/>
      <x:c r="J5" s="158" t="str"/>
      <x:c r="K5" s="158" t="str"/>
      <x:c r="L5" s="195" t="str">
        <x:f>IF(OR(J5="",K5=""),"",MOD(K5-J5,1)*1440)</x:f>
      </x:c>
      <x:c r="M5" s="136" t="str"/>
      <x:c r="N5" s="136" t="str"/>
      <x:c r="O5" s="136" t="str"/>
      <x:c r="P5" s="136" t="str"/>
      <x:c r="Q5" s="136" t="str"/>
      <x:c r="R5" s="136" t="str"/>
      <x:c r="S5" s="136" t="str"/>
      <x:c r="T5" s="144" t="str"/>
      <x:c r="U5" s="144" t="str"/>
      <x:c r="V5" s="136" t="str"/>
      <x:c r="W5" s="136" t="str"/>
      <x:c r="X5" s="198" t="str"/>
    </x:row>
    <x:row r="6">
      <x:c r="A6" s="137" t="str"/>
      <x:c r="B6" s="138" t="str"/>
      <x:c r="C6" s="137" t="str"/>
      <x:c r="D6" s="137" t="str"/>
      <x:c r="E6" s="137" t="str"/>
      <x:c r="F6" s="137" t="str"/>
      <x:c r="G6" s="137" t="str"/>
      <x:c r="H6" s="137" t="str"/>
      <x:c r="I6" s="137" t="str"/>
      <x:c r="J6" s="160" t="str"/>
      <x:c r="K6" s="160" t="str"/>
      <x:c r="L6" s="196" t="str">
        <x:f>IF(OR(J6="",K6=""),"",MOD(K6-J6,1)*1440)</x:f>
      </x:c>
      <x:c r="M6" s="137" t="str"/>
      <x:c r="N6" s="137" t="str"/>
      <x:c r="O6" s="137" t="str"/>
      <x:c r="P6" s="137" t="str"/>
      <x:c r="Q6" s="137" t="str"/>
      <x:c r="R6" s="137" t="str"/>
      <x:c r="S6" s="137" t="str"/>
      <x:c r="T6" s="138" t="str"/>
      <x:c r="U6" s="138" t="str"/>
      <x:c r="V6" s="137" t="str"/>
      <x:c r="W6" s="137" t="str"/>
      <x:c r="X6" s="199" t="str"/>
    </x:row>
    <x:row r="7">
      <x:c r="A7" s="137" t="str"/>
      <x:c r="B7" s="138" t="str"/>
      <x:c r="C7" s="137" t="str"/>
      <x:c r="D7" s="137" t="str"/>
      <x:c r="E7" s="137" t="str"/>
      <x:c r="F7" s="137" t="str"/>
      <x:c r="G7" s="137" t="str"/>
      <x:c r="H7" s="137" t="str"/>
      <x:c r="I7" s="137" t="str"/>
      <x:c r="J7" s="160" t="str"/>
      <x:c r="K7" s="160" t="str"/>
      <x:c r="L7" s="196" t="str">
        <x:f>IF(OR(J7="",K7=""),"",MOD(K7-J7,1)*1440)</x:f>
      </x:c>
      <x:c r="M7" s="137" t="str"/>
      <x:c r="N7" s="137" t="str"/>
      <x:c r="O7" s="137" t="str"/>
      <x:c r="P7" s="137" t="str"/>
      <x:c r="Q7" s="137" t="str"/>
      <x:c r="R7" s="137" t="str"/>
      <x:c r="S7" s="137" t="str"/>
      <x:c r="T7" s="138" t="str"/>
      <x:c r="U7" s="138" t="str"/>
      <x:c r="V7" s="137" t="str"/>
      <x:c r="W7" s="137" t="str"/>
      <x:c r="X7" s="199" t="str"/>
    </x:row>
    <x:row r="8">
      <x:c r="A8" s="137" t="str"/>
      <x:c r="B8" s="138" t="str"/>
      <x:c r="C8" s="137" t="str"/>
      <x:c r="D8" s="137" t="str"/>
      <x:c r="E8" s="137" t="str"/>
      <x:c r="F8" s="137" t="str"/>
      <x:c r="G8" s="137" t="str"/>
      <x:c r="H8" s="137" t="str"/>
      <x:c r="I8" s="137" t="str"/>
      <x:c r="J8" s="160" t="str"/>
      <x:c r="K8" s="160" t="str"/>
      <x:c r="L8" s="196" t="str">
        <x:f>IF(OR(J8="",K8=""),"",MOD(K8-J8,1)*1440)</x:f>
      </x:c>
      <x:c r="M8" s="137" t="str"/>
      <x:c r="N8" s="137" t="str"/>
      <x:c r="O8" s="137" t="str"/>
      <x:c r="P8" s="137" t="str"/>
      <x:c r="Q8" s="137" t="str"/>
      <x:c r="R8" s="137" t="str"/>
      <x:c r="S8" s="137" t="str"/>
      <x:c r="T8" s="138" t="str"/>
      <x:c r="U8" s="138" t="str"/>
      <x:c r="V8" s="137" t="str"/>
      <x:c r="W8" s="137" t="str"/>
      <x:c r="X8" s="199" t="str"/>
    </x:row>
    <x:row r="9">
      <x:c r="A9" s="137" t="str"/>
      <x:c r="B9" s="138" t="str"/>
      <x:c r="C9" s="137" t="str"/>
      <x:c r="D9" s="137" t="str"/>
      <x:c r="E9" s="137" t="str"/>
      <x:c r="F9" s="137" t="str"/>
      <x:c r="G9" s="137" t="str"/>
      <x:c r="H9" s="137" t="str"/>
      <x:c r="I9" s="137" t="str"/>
      <x:c r="J9" s="160" t="str"/>
      <x:c r="K9" s="160" t="str"/>
      <x:c r="L9" s="196" t="str">
        <x:f>IF(OR(J9="",K9=""),"",MOD(K9-J9,1)*1440)</x:f>
      </x:c>
      <x:c r="M9" s="137" t="str"/>
      <x:c r="N9" s="137" t="str"/>
      <x:c r="O9" s="137" t="str"/>
      <x:c r="P9" s="137" t="str"/>
      <x:c r="Q9" s="137" t="str"/>
      <x:c r="R9" s="137" t="str"/>
      <x:c r="S9" s="137" t="str"/>
      <x:c r="T9" s="138" t="str"/>
      <x:c r="U9" s="138" t="str"/>
      <x:c r="V9" s="137" t="str"/>
      <x:c r="W9" s="137" t="str"/>
      <x:c r="X9" s="199" t="str"/>
    </x:row>
    <x:row r="10">
      <x:c r="A10" s="137" t="str"/>
      <x:c r="B10" s="138" t="str"/>
      <x:c r="C10" s="137" t="str"/>
      <x:c r="D10" s="137" t="str"/>
      <x:c r="E10" s="137" t="str"/>
      <x:c r="F10" s="137" t="str"/>
      <x:c r="G10" s="137" t="str"/>
      <x:c r="H10" s="137" t="str"/>
      <x:c r="I10" s="137" t="str"/>
      <x:c r="J10" s="160" t="str"/>
      <x:c r="K10" s="160" t="str"/>
      <x:c r="L10" s="196" t="str">
        <x:f>IF(OR(J10="",K10=""),"",MOD(K10-J10,1)*1440)</x:f>
      </x:c>
      <x:c r="M10" s="137" t="str"/>
      <x:c r="N10" s="137" t="str"/>
      <x:c r="O10" s="137" t="str"/>
      <x:c r="P10" s="137" t="str"/>
      <x:c r="Q10" s="137" t="str"/>
      <x:c r="R10" s="137" t="str"/>
      <x:c r="S10" s="137" t="str"/>
      <x:c r="T10" s="138" t="str"/>
      <x:c r="U10" s="138" t="str"/>
      <x:c r="V10" s="137" t="str"/>
      <x:c r="W10" s="137" t="str"/>
      <x:c r="X10" s="199" t="str"/>
    </x:row>
    <x:row r="11">
      <x:c r="A11" s="137" t="str"/>
      <x:c r="B11" s="138" t="str"/>
      <x:c r="C11" s="137" t="str"/>
      <x:c r="D11" s="137" t="str"/>
      <x:c r="E11" s="137" t="str"/>
      <x:c r="F11" s="137" t="str"/>
      <x:c r="G11" s="137" t="str"/>
      <x:c r="H11" s="137" t="str"/>
      <x:c r="I11" s="137" t="str"/>
      <x:c r="J11" s="160" t="str"/>
      <x:c r="K11" s="160" t="str"/>
      <x:c r="L11" s="196" t="str">
        <x:f>IF(OR(J11="",K11=""),"",MOD(K11-J11,1)*1440)</x:f>
      </x:c>
      <x:c r="M11" s="137" t="str"/>
      <x:c r="N11" s="137" t="str"/>
      <x:c r="O11" s="137" t="str"/>
      <x:c r="P11" s="137" t="str"/>
      <x:c r="Q11" s="137" t="str"/>
      <x:c r="R11" s="137" t="str"/>
      <x:c r="S11" s="137" t="str"/>
      <x:c r="T11" s="138" t="str"/>
      <x:c r="U11" s="138" t="str"/>
      <x:c r="V11" s="137" t="str"/>
      <x:c r="W11" s="137" t="str"/>
      <x:c r="X11" s="199" t="str"/>
    </x:row>
    <x:row r="12">
      <x:c r="A12" s="137" t="str"/>
      <x:c r="B12" s="138" t="str"/>
      <x:c r="C12" s="137" t="str"/>
      <x:c r="D12" s="137" t="str"/>
      <x:c r="E12" s="137" t="str"/>
      <x:c r="F12" s="137" t="str"/>
      <x:c r="G12" s="137" t="str"/>
      <x:c r="H12" s="137" t="str"/>
      <x:c r="I12" s="137" t="str"/>
      <x:c r="J12" s="160" t="str"/>
      <x:c r="K12" s="160" t="str"/>
      <x:c r="L12" s="196" t="str">
        <x:f>IF(OR(J12="",K12=""),"",MOD(K12-J12,1)*1440)</x:f>
      </x:c>
      <x:c r="M12" s="137" t="str"/>
      <x:c r="N12" s="137" t="str"/>
      <x:c r="O12" s="137" t="str"/>
      <x:c r="P12" s="137" t="str"/>
      <x:c r="Q12" s="137" t="str"/>
      <x:c r="R12" s="137" t="str"/>
      <x:c r="S12" s="137" t="str"/>
      <x:c r="T12" s="138" t="str"/>
      <x:c r="U12" s="138" t="str"/>
      <x:c r="V12" s="137" t="str"/>
      <x:c r="W12" s="137" t="str"/>
      <x:c r="X12" s="199" t="str"/>
    </x:row>
    <x:row r="13">
      <x:c r="A13" s="137" t="str"/>
      <x:c r="B13" s="138" t="str"/>
      <x:c r="C13" s="137" t="str"/>
      <x:c r="D13" s="137" t="str"/>
      <x:c r="E13" s="137" t="str"/>
      <x:c r="F13" s="137" t="str"/>
      <x:c r="G13" s="137" t="str"/>
      <x:c r="H13" s="137" t="str"/>
      <x:c r="I13" s="137" t="str"/>
      <x:c r="J13" s="160" t="str"/>
      <x:c r="K13" s="160" t="str"/>
      <x:c r="L13" s="196" t="str">
        <x:f>IF(OR(J13="",K13=""),"",MOD(K13-J13,1)*1440)</x:f>
      </x:c>
      <x:c r="M13" s="137" t="str"/>
      <x:c r="N13" s="137" t="str"/>
      <x:c r="O13" s="137" t="str"/>
      <x:c r="P13" s="137" t="str"/>
      <x:c r="Q13" s="137" t="str"/>
      <x:c r="R13" s="137" t="str"/>
      <x:c r="S13" s="137" t="str"/>
      <x:c r="T13" s="138" t="str"/>
      <x:c r="U13" s="138" t="str"/>
      <x:c r="V13" s="137" t="str"/>
      <x:c r="W13" s="137" t="str"/>
      <x:c r="X13" s="199" t="str"/>
    </x:row>
    <x:row r="14">
      <x:c r="A14" s="137" t="str"/>
      <x:c r="B14" s="138" t="str"/>
      <x:c r="C14" s="137" t="str"/>
      <x:c r="D14" s="137" t="str"/>
      <x:c r="E14" s="137" t="str"/>
      <x:c r="F14" s="137" t="str"/>
      <x:c r="G14" s="137" t="str"/>
      <x:c r="H14" s="137" t="str"/>
      <x:c r="I14" s="137" t="str"/>
      <x:c r="J14" s="160" t="str"/>
      <x:c r="K14" s="160" t="str"/>
      <x:c r="L14" s="196" t="str">
        <x:f>IF(OR(J14="",K14=""),"",MOD(K14-J14,1)*1440)</x:f>
      </x:c>
      <x:c r="M14" s="137" t="str"/>
      <x:c r="N14" s="137" t="str"/>
      <x:c r="O14" s="137" t="str"/>
      <x:c r="P14" s="137" t="str"/>
      <x:c r="Q14" s="137" t="str"/>
      <x:c r="R14" s="137" t="str"/>
      <x:c r="S14" s="137" t="str"/>
      <x:c r="T14" s="138" t="str"/>
      <x:c r="U14" s="138" t="str"/>
      <x:c r="V14" s="137" t="str"/>
      <x:c r="W14" s="137" t="str"/>
      <x:c r="X14" s="199" t="str"/>
    </x:row>
    <x:row r="15">
      <x:c r="A15" s="137" t="str"/>
      <x:c r="B15" s="138" t="str"/>
      <x:c r="C15" s="137" t="str"/>
      <x:c r="D15" s="137" t="str"/>
      <x:c r="E15" s="137" t="str"/>
      <x:c r="F15" s="137" t="str"/>
      <x:c r="G15" s="137" t="str"/>
      <x:c r="H15" s="137" t="str"/>
      <x:c r="I15" s="137" t="str"/>
      <x:c r="J15" s="160" t="str"/>
      <x:c r="K15" s="160" t="str"/>
      <x:c r="L15" s="196" t="str">
        <x:f>IF(OR(J15="",K15=""),"",MOD(K15-J15,1)*1440)</x:f>
      </x:c>
      <x:c r="M15" s="137" t="str"/>
      <x:c r="N15" s="137" t="str"/>
      <x:c r="O15" s="137" t="str"/>
      <x:c r="P15" s="137" t="str"/>
      <x:c r="Q15" s="137" t="str"/>
      <x:c r="R15" s="137" t="str"/>
      <x:c r="S15" s="137" t="str"/>
      <x:c r="T15" s="138" t="str"/>
      <x:c r="U15" s="138" t="str"/>
      <x:c r="V15" s="137" t="str"/>
      <x:c r="W15" s="137" t="str"/>
      <x:c r="X15" s="199" t="str"/>
    </x:row>
    <x:row r="16">
      <x:c r="A16" s="137" t="str"/>
      <x:c r="B16" s="138" t="str"/>
      <x:c r="C16" s="137" t="str"/>
      <x:c r="D16" s="137" t="str"/>
      <x:c r="E16" s="137" t="str"/>
      <x:c r="F16" s="137" t="str"/>
      <x:c r="G16" s="137" t="str"/>
      <x:c r="H16" s="137" t="str"/>
      <x:c r="I16" s="137" t="str"/>
      <x:c r="J16" s="160" t="str"/>
      <x:c r="K16" s="160" t="str"/>
      <x:c r="L16" s="196" t="str">
        <x:f>IF(OR(J16="",K16=""),"",MOD(K16-J16,1)*1440)</x:f>
      </x:c>
      <x:c r="M16" s="137" t="str"/>
      <x:c r="N16" s="137" t="str"/>
      <x:c r="O16" s="137" t="str"/>
      <x:c r="P16" s="137" t="str"/>
      <x:c r="Q16" s="137" t="str"/>
      <x:c r="R16" s="137" t="str"/>
      <x:c r="S16" s="137" t="str"/>
      <x:c r="T16" s="138" t="str"/>
      <x:c r="U16" s="138" t="str"/>
      <x:c r="V16" s="137" t="str"/>
      <x:c r="W16" s="137" t="str"/>
      <x:c r="X16" s="199" t="str"/>
    </x:row>
    <x:row r="17">
      <x:c r="A17" s="137" t="str"/>
      <x:c r="B17" s="138" t="str"/>
      <x:c r="C17" s="137" t="str"/>
      <x:c r="D17" s="137" t="str"/>
      <x:c r="E17" s="137" t="str"/>
      <x:c r="F17" s="137" t="str"/>
      <x:c r="G17" s="137" t="str"/>
      <x:c r="H17" s="137" t="str"/>
      <x:c r="I17" s="137" t="str"/>
      <x:c r="J17" s="160" t="str"/>
      <x:c r="K17" s="160" t="str"/>
      <x:c r="L17" s="196" t="str">
        <x:f>IF(OR(J17="",K17=""),"",MOD(K17-J17,1)*1440)</x:f>
      </x:c>
      <x:c r="M17" s="137" t="str"/>
      <x:c r="N17" s="137" t="str"/>
      <x:c r="O17" s="137" t="str"/>
      <x:c r="P17" s="137" t="str"/>
      <x:c r="Q17" s="137" t="str"/>
      <x:c r="R17" s="137" t="str"/>
      <x:c r="S17" s="137" t="str"/>
      <x:c r="T17" s="138" t="str"/>
      <x:c r="U17" s="138" t="str"/>
      <x:c r="V17" s="137" t="str"/>
      <x:c r="W17" s="137" t="str"/>
      <x:c r="X17" s="199" t="str"/>
    </x:row>
    <x:row r="18">
      <x:c r="A18" s="137" t="str"/>
      <x:c r="B18" s="138" t="str"/>
      <x:c r="C18" s="137" t="str"/>
      <x:c r="D18" s="137" t="str"/>
      <x:c r="E18" s="137" t="str"/>
      <x:c r="F18" s="137" t="str"/>
      <x:c r="G18" s="137" t="str"/>
      <x:c r="H18" s="137" t="str"/>
      <x:c r="I18" s="137" t="str"/>
      <x:c r="J18" s="160" t="str"/>
      <x:c r="K18" s="160" t="str"/>
      <x:c r="L18" s="196" t="str">
        <x:f>IF(OR(J18="",K18=""),"",MOD(K18-J18,1)*1440)</x:f>
      </x:c>
      <x:c r="M18" s="137" t="str"/>
      <x:c r="N18" s="137" t="str"/>
      <x:c r="O18" s="137" t="str"/>
      <x:c r="P18" s="137" t="str"/>
      <x:c r="Q18" s="137" t="str"/>
      <x:c r="R18" s="137" t="str"/>
      <x:c r="S18" s="137" t="str"/>
      <x:c r="T18" s="138" t="str"/>
      <x:c r="U18" s="138" t="str"/>
      <x:c r="V18" s="137" t="str"/>
      <x:c r="W18" s="137" t="str"/>
      <x:c r="X18" s="199" t="str"/>
    </x:row>
    <x:row r="19">
      <x:c r="A19" s="137" t="str"/>
      <x:c r="B19" s="138" t="str"/>
      <x:c r="C19" s="137" t="str"/>
      <x:c r="D19" s="137" t="str"/>
      <x:c r="E19" s="137" t="str"/>
      <x:c r="F19" s="137" t="str"/>
      <x:c r="G19" s="137" t="str"/>
      <x:c r="H19" s="137" t="str"/>
      <x:c r="I19" s="137" t="str"/>
      <x:c r="J19" s="160" t="str"/>
      <x:c r="K19" s="160" t="str"/>
      <x:c r="L19" s="196" t="str">
        <x:f>IF(OR(J19="",K19=""),"",MOD(K19-J19,1)*1440)</x:f>
      </x:c>
      <x:c r="M19" s="137" t="str"/>
      <x:c r="N19" s="137" t="str"/>
      <x:c r="O19" s="137" t="str"/>
      <x:c r="P19" s="137" t="str"/>
      <x:c r="Q19" s="137" t="str"/>
      <x:c r="R19" s="137" t="str"/>
      <x:c r="S19" s="137" t="str"/>
      <x:c r="T19" s="138" t="str"/>
      <x:c r="U19" s="138" t="str"/>
      <x:c r="V19" s="137" t="str"/>
      <x:c r="W19" s="137" t="str"/>
      <x:c r="X19" s="199" t="str"/>
    </x:row>
    <x:row r="20">
      <x:c r="A20" s="137" t="str"/>
      <x:c r="B20" s="138" t="str"/>
      <x:c r="C20" s="137" t="str"/>
      <x:c r="D20" s="137" t="str"/>
      <x:c r="E20" s="137" t="str"/>
      <x:c r="F20" s="137" t="str"/>
      <x:c r="G20" s="137" t="str"/>
      <x:c r="H20" s="137" t="str"/>
      <x:c r="I20" s="137" t="str"/>
      <x:c r="J20" s="160" t="str"/>
      <x:c r="K20" s="160" t="str"/>
      <x:c r="L20" s="196" t="str">
        <x:f>IF(OR(J20="",K20=""),"",MOD(K20-J20,1)*1440)</x:f>
      </x:c>
      <x:c r="M20" s="137" t="str"/>
      <x:c r="N20" s="137" t="str"/>
      <x:c r="O20" s="137" t="str"/>
      <x:c r="P20" s="137" t="str"/>
      <x:c r="Q20" s="137" t="str"/>
      <x:c r="R20" s="137" t="str"/>
      <x:c r="S20" s="137" t="str"/>
      <x:c r="T20" s="138" t="str"/>
      <x:c r="U20" s="138" t="str"/>
      <x:c r="V20" s="137" t="str"/>
      <x:c r="W20" s="137" t="str"/>
      <x:c r="X20" s="199" t="str"/>
    </x:row>
    <x:row r="21">
      <x:c r="A21" s="137" t="str"/>
      <x:c r="B21" s="138" t="str"/>
      <x:c r="C21" s="137" t="str"/>
      <x:c r="D21" s="137" t="str"/>
      <x:c r="E21" s="137" t="str"/>
      <x:c r="F21" s="137" t="str"/>
      <x:c r="G21" s="137" t="str"/>
      <x:c r="H21" s="137" t="str"/>
      <x:c r="I21" s="137" t="str"/>
      <x:c r="J21" s="160" t="str"/>
      <x:c r="K21" s="160" t="str"/>
      <x:c r="L21" s="196" t="str">
        <x:f>IF(OR(J21="",K21=""),"",MOD(K21-J21,1)*1440)</x:f>
      </x:c>
      <x:c r="M21" s="137" t="str"/>
      <x:c r="N21" s="137" t="str"/>
      <x:c r="O21" s="137" t="str"/>
      <x:c r="P21" s="137" t="str"/>
      <x:c r="Q21" s="137" t="str"/>
      <x:c r="R21" s="137" t="str"/>
      <x:c r="S21" s="137" t="str"/>
      <x:c r="T21" s="138" t="str"/>
      <x:c r="U21" s="138" t="str"/>
      <x:c r="V21" s="137" t="str"/>
      <x:c r="W21" s="137" t="str"/>
      <x:c r="X21" s="199" t="str"/>
    </x:row>
    <x:row r="22">
      <x:c r="A22" s="137" t="str"/>
      <x:c r="B22" s="138" t="str"/>
      <x:c r="C22" s="137" t="str"/>
      <x:c r="D22" s="137" t="str"/>
      <x:c r="E22" s="137" t="str"/>
      <x:c r="F22" s="137" t="str"/>
      <x:c r="G22" s="137" t="str"/>
      <x:c r="H22" s="137" t="str"/>
      <x:c r="I22" s="137" t="str"/>
      <x:c r="J22" s="160" t="str"/>
      <x:c r="K22" s="160" t="str"/>
      <x:c r="L22" s="196" t="str">
        <x:f>IF(OR(J22="",K22=""),"",MOD(K22-J22,1)*1440)</x:f>
      </x:c>
      <x:c r="M22" s="137" t="str"/>
      <x:c r="N22" s="137" t="str"/>
      <x:c r="O22" s="137" t="str"/>
      <x:c r="P22" s="137" t="str"/>
      <x:c r="Q22" s="137" t="str"/>
      <x:c r="R22" s="137" t="str"/>
      <x:c r="S22" s="137" t="str"/>
      <x:c r="T22" s="138" t="str"/>
      <x:c r="U22" s="138" t="str"/>
      <x:c r="V22" s="137" t="str"/>
      <x:c r="W22" s="137" t="str"/>
      <x:c r="X22" s="199" t="str"/>
    </x:row>
    <x:row r="23">
      <x:c r="A23" s="137" t="str"/>
      <x:c r="B23" s="138" t="str"/>
      <x:c r="C23" s="137" t="str"/>
      <x:c r="D23" s="137" t="str"/>
      <x:c r="E23" s="137" t="str"/>
      <x:c r="F23" s="137" t="str"/>
      <x:c r="G23" s="137" t="str"/>
      <x:c r="H23" s="137" t="str"/>
      <x:c r="I23" s="137" t="str"/>
      <x:c r="J23" s="160" t="str"/>
      <x:c r="K23" s="160" t="str"/>
      <x:c r="L23" s="196" t="str">
        <x:f>IF(OR(J23="",K23=""),"",MOD(K23-J23,1)*1440)</x:f>
      </x:c>
      <x:c r="M23" s="137" t="str"/>
      <x:c r="N23" s="137" t="str"/>
      <x:c r="O23" s="137" t="str"/>
      <x:c r="P23" s="137" t="str"/>
      <x:c r="Q23" s="137" t="str"/>
      <x:c r="R23" s="137" t="str"/>
      <x:c r="S23" s="137" t="str"/>
      <x:c r="T23" s="138" t="str"/>
      <x:c r="U23" s="138" t="str"/>
      <x:c r="V23" s="137" t="str"/>
      <x:c r="W23" s="137" t="str"/>
      <x:c r="X23" s="199" t="str"/>
    </x:row>
    <x:row r="24">
      <x:c r="A24" s="137" t="str"/>
      <x:c r="B24" s="138" t="str"/>
      <x:c r="C24" s="137" t="str"/>
      <x:c r="D24" s="137" t="str"/>
      <x:c r="E24" s="137" t="str"/>
      <x:c r="F24" s="137" t="str"/>
      <x:c r="G24" s="137" t="str"/>
      <x:c r="H24" s="137" t="str"/>
      <x:c r="I24" s="137" t="str"/>
      <x:c r="J24" s="160" t="str"/>
      <x:c r="K24" s="160" t="str"/>
      <x:c r="L24" s="196" t="str">
        <x:f>IF(OR(J24="",K24=""),"",MOD(K24-J24,1)*1440)</x:f>
      </x:c>
      <x:c r="M24" s="137" t="str"/>
      <x:c r="N24" s="137" t="str"/>
      <x:c r="O24" s="137" t="str"/>
      <x:c r="P24" s="137" t="str"/>
      <x:c r="Q24" s="137" t="str"/>
      <x:c r="R24" s="137" t="str"/>
      <x:c r="S24" s="137" t="str"/>
      <x:c r="T24" s="138" t="str"/>
      <x:c r="U24" s="138" t="str"/>
      <x:c r="V24" s="137" t="str"/>
      <x:c r="W24" s="137" t="str"/>
      <x:c r="X24" s="199" t="str"/>
    </x:row>
    <x:row r="25">
      <x:c r="A25" s="137" t="str"/>
      <x:c r="B25" s="138" t="str"/>
      <x:c r="C25" s="137" t="str"/>
      <x:c r="D25" s="137" t="str"/>
      <x:c r="E25" s="137" t="str"/>
      <x:c r="F25" s="137" t="str"/>
      <x:c r="G25" s="137" t="str"/>
      <x:c r="H25" s="137" t="str"/>
      <x:c r="I25" s="137" t="str"/>
      <x:c r="J25" s="160" t="str"/>
      <x:c r="K25" s="160" t="str"/>
      <x:c r="L25" s="196" t="str">
        <x:f>IF(OR(J25="",K25=""),"",MOD(K25-J25,1)*1440)</x:f>
      </x:c>
      <x:c r="M25" s="137" t="str"/>
      <x:c r="N25" s="137" t="str"/>
      <x:c r="O25" s="137" t="str"/>
      <x:c r="P25" s="137" t="str"/>
      <x:c r="Q25" s="137" t="str"/>
      <x:c r="R25" s="137" t="str"/>
      <x:c r="S25" s="137" t="str"/>
      <x:c r="T25" s="138" t="str"/>
      <x:c r="U25" s="138" t="str"/>
      <x:c r="V25" s="137" t="str"/>
      <x:c r="W25" s="137" t="str"/>
      <x:c r="X25" s="199" t="str"/>
    </x:row>
    <x:row r="26">
      <x:c r="A26" s="137" t="str"/>
      <x:c r="B26" s="138" t="str"/>
      <x:c r="C26" s="137" t="str"/>
      <x:c r="D26" s="137" t="str"/>
      <x:c r="E26" s="137" t="str"/>
      <x:c r="F26" s="137" t="str"/>
      <x:c r="G26" s="137" t="str"/>
      <x:c r="H26" s="137" t="str"/>
      <x:c r="I26" s="137" t="str"/>
      <x:c r="J26" s="160" t="str"/>
      <x:c r="K26" s="160" t="str"/>
      <x:c r="L26" s="196" t="str">
        <x:f>IF(OR(J26="",K26=""),"",MOD(K26-J26,1)*1440)</x:f>
      </x:c>
      <x:c r="M26" s="137" t="str"/>
      <x:c r="N26" s="137" t="str"/>
      <x:c r="O26" s="137" t="str"/>
      <x:c r="P26" s="137" t="str"/>
      <x:c r="Q26" s="137" t="str"/>
      <x:c r="R26" s="137" t="str"/>
      <x:c r="S26" s="137" t="str"/>
      <x:c r="T26" s="138" t="str"/>
      <x:c r="U26" s="138" t="str"/>
      <x:c r="V26" s="137" t="str"/>
      <x:c r="W26" s="137" t="str"/>
      <x:c r="X26" s="199" t="str"/>
    </x:row>
    <x:row r="27">
      <x:c r="A27" s="137" t="str"/>
      <x:c r="B27" s="138" t="str"/>
      <x:c r="C27" s="137" t="str"/>
      <x:c r="D27" s="137" t="str"/>
      <x:c r="E27" s="137" t="str"/>
      <x:c r="F27" s="137" t="str"/>
      <x:c r="G27" s="137" t="str"/>
      <x:c r="H27" s="137" t="str"/>
      <x:c r="I27" s="137" t="str"/>
      <x:c r="J27" s="160" t="str"/>
      <x:c r="K27" s="160" t="str"/>
      <x:c r="L27" s="196" t="str">
        <x:f>IF(OR(J27="",K27=""),"",MOD(K27-J27,1)*1440)</x:f>
      </x:c>
      <x:c r="M27" s="137" t="str"/>
      <x:c r="N27" s="137" t="str"/>
      <x:c r="O27" s="137" t="str"/>
      <x:c r="P27" s="137" t="str"/>
      <x:c r="Q27" s="137" t="str"/>
      <x:c r="R27" s="137" t="str"/>
      <x:c r="S27" s="137" t="str"/>
      <x:c r="T27" s="138" t="str"/>
      <x:c r="U27" s="138" t="str"/>
      <x:c r="V27" s="137" t="str"/>
      <x:c r="W27" s="137" t="str"/>
      <x:c r="X27" s="199" t="str"/>
    </x:row>
    <x:row r="28">
      <x:c r="A28" s="137" t="str"/>
      <x:c r="B28" s="138" t="str"/>
      <x:c r="C28" s="137" t="str"/>
      <x:c r="D28" s="137" t="str"/>
      <x:c r="E28" s="137" t="str"/>
      <x:c r="F28" s="137" t="str"/>
      <x:c r="G28" s="137" t="str"/>
      <x:c r="H28" s="137" t="str"/>
      <x:c r="I28" s="137" t="str"/>
      <x:c r="J28" s="160" t="str"/>
      <x:c r="K28" s="160" t="str"/>
      <x:c r="L28" s="196" t="str">
        <x:f>IF(OR(J28="",K28=""),"",MOD(K28-J28,1)*1440)</x:f>
      </x:c>
      <x:c r="M28" s="137" t="str"/>
      <x:c r="N28" s="137" t="str"/>
      <x:c r="O28" s="137" t="str"/>
      <x:c r="P28" s="137" t="str"/>
      <x:c r="Q28" s="137" t="str"/>
      <x:c r="R28" s="137" t="str"/>
      <x:c r="S28" s="137" t="str"/>
      <x:c r="T28" s="138" t="str"/>
      <x:c r="U28" s="138" t="str"/>
      <x:c r="V28" s="137" t="str"/>
      <x:c r="W28" s="137" t="str"/>
      <x:c r="X28" s="199" t="str"/>
    </x:row>
    <x:row r="29">
      <x:c r="A29" s="137" t="str"/>
      <x:c r="B29" s="138" t="str"/>
      <x:c r="C29" s="137" t="str"/>
      <x:c r="D29" s="137" t="str"/>
      <x:c r="E29" s="137" t="str"/>
      <x:c r="F29" s="137" t="str"/>
      <x:c r="G29" s="137" t="str"/>
      <x:c r="H29" s="137" t="str"/>
      <x:c r="I29" s="137" t="str"/>
      <x:c r="J29" s="160" t="str"/>
      <x:c r="K29" s="160" t="str"/>
      <x:c r="L29" s="196" t="str">
        <x:f>IF(OR(J29="",K29=""),"",MOD(K29-J29,1)*1440)</x:f>
      </x:c>
      <x:c r="M29" s="137" t="str"/>
      <x:c r="N29" s="137" t="str"/>
      <x:c r="O29" s="137" t="str"/>
      <x:c r="P29" s="137" t="str"/>
      <x:c r="Q29" s="137" t="str"/>
      <x:c r="R29" s="137" t="str"/>
      <x:c r="S29" s="137" t="str"/>
      <x:c r="T29" s="138" t="str"/>
      <x:c r="U29" s="138" t="str"/>
      <x:c r="V29" s="137" t="str"/>
      <x:c r="W29" s="137" t="str"/>
      <x:c r="X29" s="199" t="str"/>
    </x:row>
    <x:row r="30">
      <x:c r="A30" s="137" t="str"/>
      <x:c r="B30" s="138" t="str"/>
      <x:c r="C30" s="137" t="str"/>
      <x:c r="D30" s="137" t="str"/>
      <x:c r="E30" s="137" t="str"/>
      <x:c r="F30" s="137" t="str"/>
      <x:c r="G30" s="137" t="str"/>
      <x:c r="H30" s="137" t="str"/>
      <x:c r="I30" s="137" t="str"/>
      <x:c r="J30" s="160" t="str"/>
      <x:c r="K30" s="160" t="str"/>
      <x:c r="L30" s="196" t="str">
        <x:f>IF(OR(J30="",K30=""),"",MOD(K30-J30,1)*1440)</x:f>
      </x:c>
      <x:c r="M30" s="137" t="str"/>
      <x:c r="N30" s="137" t="str"/>
      <x:c r="O30" s="137" t="str"/>
      <x:c r="P30" s="137" t="str"/>
      <x:c r="Q30" s="137" t="str"/>
      <x:c r="R30" s="137" t="str"/>
      <x:c r="S30" s="137" t="str"/>
      <x:c r="T30" s="138" t="str"/>
      <x:c r="U30" s="138" t="str"/>
      <x:c r="V30" s="137" t="str"/>
      <x:c r="W30" s="137" t="str"/>
      <x:c r="X30" s="199" t="str"/>
    </x:row>
    <x:row r="31">
      <x:c r="A31" s="137" t="str"/>
      <x:c r="B31" s="138" t="str"/>
      <x:c r="C31" s="137" t="str"/>
      <x:c r="D31" s="137" t="str"/>
      <x:c r="E31" s="137" t="str"/>
      <x:c r="F31" s="137" t="str"/>
      <x:c r="G31" s="137" t="str"/>
      <x:c r="H31" s="137" t="str"/>
      <x:c r="I31" s="137" t="str"/>
      <x:c r="J31" s="160" t="str"/>
      <x:c r="K31" s="160" t="str"/>
      <x:c r="L31" s="196" t="str">
        <x:f>IF(OR(J31="",K31=""),"",MOD(K31-J31,1)*1440)</x:f>
      </x:c>
      <x:c r="M31" s="137" t="str"/>
      <x:c r="N31" s="137" t="str"/>
      <x:c r="O31" s="137" t="str"/>
      <x:c r="P31" s="137" t="str"/>
      <x:c r="Q31" s="137" t="str"/>
      <x:c r="R31" s="137" t="str"/>
      <x:c r="S31" s="137" t="str"/>
      <x:c r="T31" s="138" t="str"/>
      <x:c r="U31" s="138" t="str"/>
      <x:c r="V31" s="137" t="str"/>
      <x:c r="W31" s="137" t="str"/>
      <x:c r="X31" s="199" t="str"/>
    </x:row>
    <x:row r="32">
      <x:c r="A32" s="137" t="str"/>
      <x:c r="B32" s="138" t="str"/>
      <x:c r="C32" s="137" t="str"/>
      <x:c r="D32" s="137" t="str"/>
      <x:c r="E32" s="137" t="str"/>
      <x:c r="F32" s="137" t="str"/>
      <x:c r="G32" s="137" t="str"/>
      <x:c r="H32" s="137" t="str"/>
      <x:c r="I32" s="137" t="str"/>
      <x:c r="J32" s="160" t="str"/>
      <x:c r="K32" s="160" t="str"/>
      <x:c r="L32" s="196" t="str">
        <x:f>IF(OR(J32="",K32=""),"",MOD(K32-J32,1)*1440)</x:f>
      </x:c>
      <x:c r="M32" s="137" t="str"/>
      <x:c r="N32" s="137" t="str"/>
      <x:c r="O32" s="137" t="str"/>
      <x:c r="P32" s="137" t="str"/>
      <x:c r="Q32" s="137" t="str"/>
      <x:c r="R32" s="137" t="str"/>
      <x:c r="S32" s="137" t="str"/>
      <x:c r="T32" s="138" t="str"/>
      <x:c r="U32" s="138" t="str"/>
      <x:c r="V32" s="137" t="str"/>
      <x:c r="W32" s="137" t="str"/>
      <x:c r="X32" s="199" t="str"/>
    </x:row>
    <x:row r="33">
      <x:c r="A33" s="137" t="str"/>
      <x:c r="B33" s="138" t="str"/>
      <x:c r="C33" s="137" t="str"/>
      <x:c r="D33" s="137" t="str"/>
      <x:c r="E33" s="137" t="str"/>
      <x:c r="F33" s="137" t="str"/>
      <x:c r="G33" s="137" t="str"/>
      <x:c r="H33" s="137" t="str"/>
      <x:c r="I33" s="137" t="str"/>
      <x:c r="J33" s="160" t="str"/>
      <x:c r="K33" s="160" t="str"/>
      <x:c r="L33" s="196" t="str">
        <x:f>IF(OR(J33="",K33=""),"",MOD(K33-J33,1)*1440)</x:f>
      </x:c>
      <x:c r="M33" s="137" t="str"/>
      <x:c r="N33" s="137" t="str"/>
      <x:c r="O33" s="137" t="str"/>
      <x:c r="P33" s="137" t="str"/>
      <x:c r="Q33" s="137" t="str"/>
      <x:c r="R33" s="137" t="str"/>
      <x:c r="S33" s="137" t="str"/>
      <x:c r="T33" s="138" t="str"/>
      <x:c r="U33" s="138" t="str"/>
      <x:c r="V33" s="137" t="str"/>
      <x:c r="W33" s="137" t="str"/>
      <x:c r="X33" s="199" t="str"/>
    </x:row>
    <x:row r="34">
      <x:c r="A34" s="137" t="str"/>
      <x:c r="B34" s="138" t="str"/>
      <x:c r="C34" s="137" t="str"/>
      <x:c r="D34" s="137" t="str"/>
      <x:c r="E34" s="137" t="str"/>
      <x:c r="F34" s="137" t="str"/>
      <x:c r="G34" s="137" t="str"/>
      <x:c r="H34" s="137" t="str"/>
      <x:c r="I34" s="137" t="str"/>
      <x:c r="J34" s="160" t="str"/>
      <x:c r="K34" s="160" t="str"/>
      <x:c r="L34" s="196" t="str">
        <x:f>IF(OR(J34="",K34=""),"",MOD(K34-J34,1)*1440)</x:f>
      </x:c>
      <x:c r="M34" s="137" t="str"/>
      <x:c r="N34" s="137" t="str"/>
      <x:c r="O34" s="137" t="str"/>
      <x:c r="P34" s="137" t="str"/>
      <x:c r="Q34" s="137" t="str"/>
      <x:c r="R34" s="137" t="str"/>
      <x:c r="S34" s="137" t="str"/>
      <x:c r="T34" s="138" t="str"/>
      <x:c r="U34" s="138" t="str"/>
      <x:c r="V34" s="137" t="str"/>
      <x:c r="W34" s="137" t="str"/>
      <x:c r="X34" s="199" t="str"/>
    </x:row>
    <x:row r="35">
      <x:c r="A35" s="137" t="str"/>
      <x:c r="B35" s="138" t="str"/>
      <x:c r="C35" s="137" t="str"/>
      <x:c r="D35" s="137" t="str"/>
      <x:c r="E35" s="137" t="str"/>
      <x:c r="F35" s="137" t="str"/>
      <x:c r="G35" s="137" t="str"/>
      <x:c r="H35" s="137" t="str"/>
      <x:c r="I35" s="137" t="str"/>
      <x:c r="J35" s="160" t="str"/>
      <x:c r="K35" s="160" t="str"/>
      <x:c r="L35" s="196" t="str">
        <x:f>IF(OR(J35="",K35=""),"",MOD(K35-J35,1)*1440)</x:f>
      </x:c>
      <x:c r="M35" s="137" t="str"/>
      <x:c r="N35" s="137" t="str"/>
      <x:c r="O35" s="137" t="str"/>
      <x:c r="P35" s="137" t="str"/>
      <x:c r="Q35" s="137" t="str"/>
      <x:c r="R35" s="137" t="str"/>
      <x:c r="S35" s="137" t="str"/>
      <x:c r="T35" s="138" t="str"/>
      <x:c r="U35" s="138" t="str"/>
      <x:c r="V35" s="137" t="str"/>
      <x:c r="W35" s="137" t="str"/>
      <x:c r="X35" s="199" t="str"/>
    </x:row>
    <x:row r="36">
      <x:c r="A36" s="137" t="str"/>
      <x:c r="B36" s="138" t="str"/>
      <x:c r="C36" s="137" t="str"/>
      <x:c r="D36" s="137" t="str"/>
      <x:c r="E36" s="137" t="str"/>
      <x:c r="F36" s="137" t="str"/>
      <x:c r="G36" s="137" t="str"/>
      <x:c r="H36" s="137" t="str"/>
      <x:c r="I36" s="137" t="str"/>
      <x:c r="J36" s="160" t="str"/>
      <x:c r="K36" s="160" t="str"/>
      <x:c r="L36" s="196" t="str">
        <x:f>IF(OR(J36="",K36=""),"",MOD(K36-J36,1)*1440)</x:f>
      </x:c>
      <x:c r="M36" s="137" t="str"/>
      <x:c r="N36" s="137" t="str"/>
      <x:c r="O36" s="137" t="str"/>
      <x:c r="P36" s="137" t="str"/>
      <x:c r="Q36" s="137" t="str"/>
      <x:c r="R36" s="137" t="str"/>
      <x:c r="S36" s="137" t="str"/>
      <x:c r="T36" s="138" t="str"/>
      <x:c r="U36" s="138" t="str"/>
      <x:c r="V36" s="137" t="str"/>
      <x:c r="W36" s="137" t="str"/>
      <x:c r="X36" s="199" t="str"/>
    </x:row>
    <x:row r="37">
      <x:c r="A37" s="137" t="str"/>
      <x:c r="B37" s="138" t="str"/>
      <x:c r="C37" s="137" t="str"/>
      <x:c r="D37" s="137" t="str"/>
      <x:c r="E37" s="137" t="str"/>
      <x:c r="F37" s="137" t="str"/>
      <x:c r="G37" s="137" t="str"/>
      <x:c r="H37" s="137" t="str"/>
      <x:c r="I37" s="137" t="str"/>
      <x:c r="J37" s="160" t="str"/>
      <x:c r="K37" s="160" t="str"/>
      <x:c r="L37" s="196" t="str">
        <x:f>IF(OR(J37="",K37=""),"",MOD(K37-J37,1)*1440)</x:f>
      </x:c>
      <x:c r="M37" s="137" t="str"/>
      <x:c r="N37" s="137" t="str"/>
      <x:c r="O37" s="137" t="str"/>
      <x:c r="P37" s="137" t="str"/>
      <x:c r="Q37" s="137" t="str"/>
      <x:c r="R37" s="137" t="str"/>
      <x:c r="S37" s="137" t="str"/>
      <x:c r="T37" s="138" t="str"/>
      <x:c r="U37" s="138" t="str"/>
      <x:c r="V37" s="137" t="str"/>
      <x:c r="W37" s="137" t="str"/>
      <x:c r="X37" s="199" t="str"/>
    </x:row>
    <x:row r="38">
      <x:c r="A38" s="137" t="str"/>
      <x:c r="B38" s="138" t="str"/>
      <x:c r="C38" s="137" t="str"/>
      <x:c r="D38" s="137" t="str"/>
      <x:c r="E38" s="137" t="str"/>
      <x:c r="F38" s="137" t="str"/>
      <x:c r="G38" s="137" t="str"/>
      <x:c r="H38" s="137" t="str"/>
      <x:c r="I38" s="137" t="str"/>
      <x:c r="J38" s="160" t="str"/>
      <x:c r="K38" s="160" t="str"/>
      <x:c r="L38" s="196" t="str">
        <x:f>IF(OR(J38="",K38=""),"",MOD(K38-J38,1)*1440)</x:f>
      </x:c>
      <x:c r="M38" s="137" t="str"/>
      <x:c r="N38" s="137" t="str"/>
      <x:c r="O38" s="137" t="str"/>
      <x:c r="P38" s="137" t="str"/>
      <x:c r="Q38" s="137" t="str"/>
      <x:c r="R38" s="137" t="str"/>
      <x:c r="S38" s="137" t="str"/>
      <x:c r="T38" s="138" t="str"/>
      <x:c r="U38" s="138" t="str"/>
      <x:c r="V38" s="137" t="str"/>
      <x:c r="W38" s="137" t="str"/>
      <x:c r="X38" s="199" t="str"/>
    </x:row>
    <x:row r="39">
      <x:c r="A39" s="137" t="str"/>
      <x:c r="B39" s="138" t="str"/>
      <x:c r="C39" s="137" t="str"/>
      <x:c r="D39" s="137" t="str"/>
      <x:c r="E39" s="137" t="str"/>
      <x:c r="F39" s="137" t="str"/>
      <x:c r="G39" s="137" t="str"/>
      <x:c r="H39" s="137" t="str"/>
      <x:c r="I39" s="137" t="str"/>
      <x:c r="J39" s="160" t="str"/>
      <x:c r="K39" s="160" t="str"/>
      <x:c r="L39" s="196" t="str">
        <x:f>IF(OR(J39="",K39=""),"",MOD(K39-J39,1)*1440)</x:f>
      </x:c>
      <x:c r="M39" s="137" t="str"/>
      <x:c r="N39" s="137" t="str"/>
      <x:c r="O39" s="137" t="str"/>
      <x:c r="P39" s="137" t="str"/>
      <x:c r="Q39" s="137" t="str"/>
      <x:c r="R39" s="137" t="str"/>
      <x:c r="S39" s="137" t="str"/>
      <x:c r="T39" s="138" t="str"/>
      <x:c r="U39" s="138" t="str"/>
      <x:c r="V39" s="137" t="str"/>
      <x:c r="W39" s="137" t="str"/>
      <x:c r="X39" s="199" t="str"/>
    </x:row>
    <x:row r="40">
      <x:c r="A40" s="137" t="str"/>
      <x:c r="B40" s="138" t="str"/>
      <x:c r="C40" s="137" t="str"/>
      <x:c r="D40" s="137" t="str"/>
      <x:c r="E40" s="137" t="str"/>
      <x:c r="F40" s="137" t="str"/>
      <x:c r="G40" s="137" t="str"/>
      <x:c r="H40" s="137" t="str"/>
      <x:c r="I40" s="137" t="str"/>
      <x:c r="J40" s="160" t="str"/>
      <x:c r="K40" s="160" t="str"/>
      <x:c r="L40" s="196" t="str">
        <x:f>IF(OR(J40="",K40=""),"",MOD(K40-J40,1)*1440)</x:f>
      </x:c>
      <x:c r="M40" s="137" t="str"/>
      <x:c r="N40" s="137" t="str"/>
      <x:c r="O40" s="137" t="str"/>
      <x:c r="P40" s="137" t="str"/>
      <x:c r="Q40" s="137" t="str"/>
      <x:c r="R40" s="137" t="str"/>
      <x:c r="S40" s="137" t="str"/>
      <x:c r="T40" s="138" t="str"/>
      <x:c r="U40" s="138" t="str"/>
      <x:c r="V40" s="137" t="str"/>
      <x:c r="W40" s="137" t="str"/>
      <x:c r="X40" s="199" t="str"/>
    </x:row>
    <x:row r="41">
      <x:c r="A41" s="137" t="str"/>
      <x:c r="B41" s="138" t="str"/>
      <x:c r="C41" s="137" t="str"/>
      <x:c r="D41" s="137" t="str"/>
      <x:c r="E41" s="137" t="str"/>
      <x:c r="F41" s="137" t="str"/>
      <x:c r="G41" s="137" t="str"/>
      <x:c r="H41" s="137" t="str"/>
      <x:c r="I41" s="137" t="str"/>
      <x:c r="J41" s="160" t="str"/>
      <x:c r="K41" s="160" t="str"/>
      <x:c r="L41" s="196" t="str">
        <x:f>IF(OR(J41="",K41=""),"",MOD(K41-J41,1)*1440)</x:f>
      </x:c>
      <x:c r="M41" s="137" t="str"/>
      <x:c r="N41" s="137" t="str"/>
      <x:c r="O41" s="137" t="str"/>
      <x:c r="P41" s="137" t="str"/>
      <x:c r="Q41" s="137" t="str"/>
      <x:c r="R41" s="137" t="str"/>
      <x:c r="S41" s="137" t="str"/>
      <x:c r="T41" s="138" t="str"/>
      <x:c r="U41" s="138" t="str"/>
      <x:c r="V41" s="137" t="str"/>
      <x:c r="W41" s="137" t="str"/>
      <x:c r="X41" s="199" t="str"/>
    </x:row>
    <x:row r="42">
      <x:c r="A42" s="137" t="str"/>
      <x:c r="B42" s="138" t="str"/>
      <x:c r="C42" s="137" t="str"/>
      <x:c r="D42" s="137" t="str"/>
      <x:c r="E42" s="137" t="str"/>
      <x:c r="F42" s="137" t="str"/>
      <x:c r="G42" s="137" t="str"/>
      <x:c r="H42" s="137" t="str"/>
      <x:c r="I42" s="137" t="str"/>
      <x:c r="J42" s="160" t="str"/>
      <x:c r="K42" s="160" t="str"/>
      <x:c r="L42" s="196" t="str">
        <x:f>IF(OR(J42="",K42=""),"",MOD(K42-J42,1)*1440)</x:f>
      </x:c>
      <x:c r="M42" s="137" t="str"/>
      <x:c r="N42" s="137" t="str"/>
      <x:c r="O42" s="137" t="str"/>
      <x:c r="P42" s="137" t="str"/>
      <x:c r="Q42" s="137" t="str"/>
      <x:c r="R42" s="137" t="str"/>
      <x:c r="S42" s="137" t="str"/>
      <x:c r="T42" s="138" t="str"/>
      <x:c r="U42" s="138" t="str"/>
      <x:c r="V42" s="137" t="str"/>
      <x:c r="W42" s="137" t="str"/>
      <x:c r="X42" s="199" t="str"/>
    </x:row>
    <x:row r="43">
      <x:c r="A43" s="137" t="str"/>
      <x:c r="B43" s="138" t="str"/>
      <x:c r="C43" s="137" t="str"/>
      <x:c r="D43" s="137" t="str"/>
      <x:c r="E43" s="137" t="str"/>
      <x:c r="F43" s="137" t="str"/>
      <x:c r="G43" s="137" t="str"/>
      <x:c r="H43" s="137" t="str"/>
      <x:c r="I43" s="137" t="str"/>
      <x:c r="J43" s="160" t="str"/>
      <x:c r="K43" s="160" t="str"/>
      <x:c r="L43" s="196" t="str">
        <x:f>IF(OR(J43="",K43=""),"",MOD(K43-J43,1)*1440)</x:f>
      </x:c>
      <x:c r="M43" s="137" t="str"/>
      <x:c r="N43" s="137" t="str"/>
      <x:c r="O43" s="137" t="str"/>
      <x:c r="P43" s="137" t="str"/>
      <x:c r="Q43" s="137" t="str"/>
      <x:c r="R43" s="137" t="str"/>
      <x:c r="S43" s="137" t="str"/>
      <x:c r="T43" s="138" t="str"/>
      <x:c r="U43" s="138" t="str"/>
      <x:c r="V43" s="137" t="str"/>
      <x:c r="W43" s="137" t="str"/>
      <x:c r="X43" s="199" t="str"/>
    </x:row>
    <x:row r="44">
      <x:c r="A44" s="137" t="str"/>
      <x:c r="B44" s="138" t="str"/>
      <x:c r="C44" s="137" t="str"/>
      <x:c r="D44" s="137" t="str"/>
      <x:c r="E44" s="137" t="str"/>
      <x:c r="F44" s="137" t="str"/>
      <x:c r="G44" s="137" t="str"/>
      <x:c r="H44" s="137" t="str"/>
      <x:c r="I44" s="137" t="str"/>
      <x:c r="J44" s="160" t="str"/>
      <x:c r="K44" s="160" t="str"/>
      <x:c r="L44" s="196" t="str">
        <x:f>IF(OR(J44="",K44=""),"",MOD(K44-J44,1)*1440)</x:f>
      </x:c>
      <x:c r="M44" s="137" t="str"/>
      <x:c r="N44" s="137" t="str"/>
      <x:c r="O44" s="137" t="str"/>
      <x:c r="P44" s="137" t="str"/>
      <x:c r="Q44" s="137" t="str"/>
      <x:c r="R44" s="137" t="str"/>
      <x:c r="S44" s="137" t="str"/>
      <x:c r="T44" s="138" t="str"/>
      <x:c r="U44" s="138" t="str"/>
      <x:c r="V44" s="137" t="str"/>
      <x:c r="W44" s="137" t="str"/>
      <x:c r="X44" s="199" t="str"/>
    </x:row>
    <x:row r="45">
      <x:c r="A45" s="137" t="str"/>
      <x:c r="B45" s="138" t="str"/>
      <x:c r="C45" s="137" t="str"/>
      <x:c r="D45" s="137" t="str"/>
      <x:c r="E45" s="137" t="str"/>
      <x:c r="F45" s="137" t="str"/>
      <x:c r="G45" s="137" t="str"/>
      <x:c r="H45" s="137" t="str"/>
      <x:c r="I45" s="137" t="str"/>
      <x:c r="J45" s="160" t="str"/>
      <x:c r="K45" s="160" t="str"/>
      <x:c r="L45" s="196" t="str">
        <x:f>IF(OR(J45="",K45=""),"",MOD(K45-J45,1)*1440)</x:f>
      </x:c>
      <x:c r="M45" s="137" t="str"/>
      <x:c r="N45" s="137" t="str"/>
      <x:c r="O45" s="137" t="str"/>
      <x:c r="P45" s="137" t="str"/>
      <x:c r="Q45" s="137" t="str"/>
      <x:c r="R45" s="137" t="str"/>
      <x:c r="S45" s="137" t="str"/>
      <x:c r="T45" s="138" t="str"/>
      <x:c r="U45" s="138" t="str"/>
      <x:c r="V45" s="137" t="str"/>
      <x:c r="W45" s="137" t="str"/>
      <x:c r="X45" s="199" t="str"/>
    </x:row>
    <x:row r="46">
      <x:c r="A46" s="137" t="str"/>
      <x:c r="B46" s="138" t="str"/>
      <x:c r="C46" s="137" t="str"/>
      <x:c r="D46" s="137" t="str"/>
      <x:c r="E46" s="137" t="str"/>
      <x:c r="F46" s="137" t="str"/>
      <x:c r="G46" s="137" t="str"/>
      <x:c r="H46" s="137" t="str"/>
      <x:c r="I46" s="137" t="str"/>
      <x:c r="J46" s="160" t="str"/>
      <x:c r="K46" s="160" t="str"/>
      <x:c r="L46" s="196" t="str">
        <x:f>IF(OR(J46="",K46=""),"",MOD(K46-J46,1)*1440)</x:f>
      </x:c>
      <x:c r="M46" s="137" t="str"/>
      <x:c r="N46" s="137" t="str"/>
      <x:c r="O46" s="137" t="str"/>
      <x:c r="P46" s="137" t="str"/>
      <x:c r="Q46" s="137" t="str"/>
      <x:c r="R46" s="137" t="str"/>
      <x:c r="S46" s="137" t="str"/>
      <x:c r="T46" s="138" t="str"/>
      <x:c r="U46" s="138" t="str"/>
      <x:c r="V46" s="137" t="str"/>
      <x:c r="W46" s="137" t="str"/>
      <x:c r="X46" s="199" t="str"/>
    </x:row>
    <x:row r="47">
      <x:c r="A47" s="137" t="str"/>
      <x:c r="B47" s="138" t="str"/>
      <x:c r="C47" s="137" t="str"/>
      <x:c r="D47" s="137" t="str"/>
      <x:c r="E47" s="137" t="str"/>
      <x:c r="F47" s="137" t="str"/>
      <x:c r="G47" s="137" t="str"/>
      <x:c r="H47" s="137" t="str"/>
      <x:c r="I47" s="137" t="str"/>
      <x:c r="J47" s="160" t="str"/>
      <x:c r="K47" s="160" t="str"/>
      <x:c r="L47" s="196" t="str">
        <x:f>IF(OR(J47="",K47=""),"",MOD(K47-J47,1)*1440)</x:f>
      </x:c>
      <x:c r="M47" s="137" t="str"/>
      <x:c r="N47" s="137" t="str"/>
      <x:c r="O47" s="137" t="str"/>
      <x:c r="P47" s="137" t="str"/>
      <x:c r="Q47" s="137" t="str"/>
      <x:c r="R47" s="137" t="str"/>
      <x:c r="S47" s="137" t="str"/>
      <x:c r="T47" s="138" t="str"/>
      <x:c r="U47" s="138" t="str"/>
      <x:c r="V47" s="137" t="str"/>
      <x:c r="W47" s="137" t="str"/>
      <x:c r="X47" s="199" t="str"/>
    </x:row>
    <x:row r="48">
      <x:c r="A48" s="137" t="str"/>
      <x:c r="B48" s="138" t="str"/>
      <x:c r="C48" s="137" t="str"/>
      <x:c r="D48" s="137" t="str"/>
      <x:c r="E48" s="137" t="str"/>
      <x:c r="F48" s="137" t="str"/>
      <x:c r="G48" s="137" t="str"/>
      <x:c r="H48" s="137" t="str"/>
      <x:c r="I48" s="137" t="str"/>
      <x:c r="J48" s="160" t="str"/>
      <x:c r="K48" s="160" t="str"/>
      <x:c r="L48" s="196" t="str">
        <x:f>IF(OR(J48="",K48=""),"",MOD(K48-J48,1)*1440)</x:f>
      </x:c>
      <x:c r="M48" s="137" t="str"/>
      <x:c r="N48" s="137" t="str"/>
      <x:c r="O48" s="137" t="str"/>
      <x:c r="P48" s="137" t="str"/>
      <x:c r="Q48" s="137" t="str"/>
      <x:c r="R48" s="137" t="str"/>
      <x:c r="S48" s="137" t="str"/>
      <x:c r="T48" s="138" t="str"/>
      <x:c r="U48" s="138" t="str"/>
      <x:c r="V48" s="137" t="str"/>
      <x:c r="W48" s="137" t="str"/>
      <x:c r="X48" s="199" t="str"/>
    </x:row>
    <x:row r="49">
      <x:c r="A49" s="137" t="str"/>
      <x:c r="B49" s="138" t="str"/>
      <x:c r="C49" s="137" t="str"/>
      <x:c r="D49" s="137" t="str"/>
      <x:c r="E49" s="137" t="str"/>
      <x:c r="F49" s="137" t="str"/>
      <x:c r="G49" s="137" t="str"/>
      <x:c r="H49" s="137" t="str"/>
      <x:c r="I49" s="137" t="str"/>
      <x:c r="J49" s="160" t="str"/>
      <x:c r="K49" s="160" t="str"/>
      <x:c r="L49" s="196" t="str">
        <x:f>IF(OR(J49="",K49=""),"",MOD(K49-J49,1)*1440)</x:f>
      </x:c>
      <x:c r="M49" s="137" t="str"/>
      <x:c r="N49" s="137" t="str"/>
      <x:c r="O49" s="137" t="str"/>
      <x:c r="P49" s="137" t="str"/>
      <x:c r="Q49" s="137" t="str"/>
      <x:c r="R49" s="137" t="str"/>
      <x:c r="S49" s="137" t="str"/>
      <x:c r="T49" s="138" t="str"/>
      <x:c r="U49" s="138" t="str"/>
      <x:c r="V49" s="137" t="str"/>
      <x:c r="W49" s="137" t="str"/>
      <x:c r="X49" s="199" t="str"/>
    </x:row>
    <x:row r="50">
      <x:c r="A50" s="137" t="str"/>
      <x:c r="B50" s="138" t="str"/>
      <x:c r="C50" s="137" t="str"/>
      <x:c r="D50" s="137" t="str"/>
      <x:c r="E50" s="137" t="str"/>
      <x:c r="F50" s="137" t="str"/>
      <x:c r="G50" s="137" t="str"/>
      <x:c r="H50" s="137" t="str"/>
      <x:c r="I50" s="137" t="str"/>
      <x:c r="J50" s="160" t="str"/>
      <x:c r="K50" s="160" t="str"/>
      <x:c r="L50" s="196" t="str">
        <x:f>IF(OR(J50="",K50=""),"",MOD(K50-J50,1)*1440)</x:f>
      </x:c>
      <x:c r="M50" s="137" t="str"/>
      <x:c r="N50" s="137" t="str"/>
      <x:c r="O50" s="137" t="str"/>
      <x:c r="P50" s="137" t="str"/>
      <x:c r="Q50" s="137" t="str"/>
      <x:c r="R50" s="137" t="str"/>
      <x:c r="S50" s="137" t="str"/>
      <x:c r="T50" s="138" t="str"/>
      <x:c r="U50" s="138" t="str"/>
      <x:c r="V50" s="137" t="str"/>
      <x:c r="W50" s="137" t="str"/>
      <x:c r="X50" s="199" t="str"/>
    </x:row>
    <x:row r="51">
      <x:c r="A51" s="137" t="str"/>
      <x:c r="B51" s="138" t="str"/>
      <x:c r="C51" s="137" t="str"/>
      <x:c r="D51" s="137" t="str"/>
      <x:c r="E51" s="137" t="str"/>
      <x:c r="F51" s="137" t="str"/>
      <x:c r="G51" s="137" t="str"/>
      <x:c r="H51" s="137" t="str"/>
      <x:c r="I51" s="137" t="str"/>
      <x:c r="J51" s="160" t="str"/>
      <x:c r="K51" s="160" t="str"/>
      <x:c r="L51" s="196" t="str">
        <x:f>IF(OR(J51="",K51=""),"",MOD(K51-J51,1)*1440)</x:f>
      </x:c>
      <x:c r="M51" s="137" t="str"/>
      <x:c r="N51" s="137" t="str"/>
      <x:c r="O51" s="137" t="str"/>
      <x:c r="P51" s="137" t="str"/>
      <x:c r="Q51" s="137" t="str"/>
      <x:c r="R51" s="137" t="str"/>
      <x:c r="S51" s="137" t="str"/>
      <x:c r="T51" s="138" t="str"/>
      <x:c r="U51" s="138" t="str"/>
      <x:c r="V51" s="137" t="str"/>
      <x:c r="W51" s="137" t="str"/>
      <x:c r="X51" s="199" t="str"/>
    </x:row>
    <x:row r="52">
      <x:c r="A52" s="137" t="str"/>
      <x:c r="B52" s="138" t="str"/>
      <x:c r="C52" s="137" t="str"/>
      <x:c r="D52" s="137" t="str"/>
      <x:c r="E52" s="137" t="str"/>
      <x:c r="F52" s="137" t="str"/>
      <x:c r="G52" s="137" t="str"/>
      <x:c r="H52" s="137" t="str"/>
      <x:c r="I52" s="137" t="str"/>
      <x:c r="J52" s="160" t="str"/>
      <x:c r="K52" s="160" t="str"/>
      <x:c r="L52" s="196" t="str">
        <x:f>IF(OR(J52="",K52=""),"",MOD(K52-J52,1)*1440)</x:f>
      </x:c>
      <x:c r="M52" s="137" t="str"/>
      <x:c r="N52" s="137" t="str"/>
      <x:c r="O52" s="137" t="str"/>
      <x:c r="P52" s="137" t="str"/>
      <x:c r="Q52" s="137" t="str"/>
      <x:c r="R52" s="137" t="str"/>
      <x:c r="S52" s="137" t="str"/>
      <x:c r="T52" s="138" t="str"/>
      <x:c r="U52" s="138" t="str"/>
      <x:c r="V52" s="137" t="str"/>
      <x:c r="W52" s="137" t="str"/>
      <x:c r="X52" s="199" t="str"/>
    </x:row>
    <x:row r="53">
      <x:c r="A53" s="137" t="str"/>
      <x:c r="B53" s="138" t="str"/>
      <x:c r="C53" s="137" t="str"/>
      <x:c r="D53" s="137" t="str"/>
      <x:c r="E53" s="137" t="str"/>
      <x:c r="F53" s="137" t="str"/>
      <x:c r="G53" s="137" t="str"/>
      <x:c r="H53" s="137" t="str"/>
      <x:c r="I53" s="137" t="str"/>
      <x:c r="J53" s="160" t="str"/>
      <x:c r="K53" s="160" t="str"/>
      <x:c r="L53" s="196" t="str">
        <x:f>IF(OR(J53="",K53=""),"",MOD(K53-J53,1)*1440)</x:f>
      </x:c>
      <x:c r="M53" s="137" t="str"/>
      <x:c r="N53" s="137" t="str"/>
      <x:c r="O53" s="137" t="str"/>
      <x:c r="P53" s="137" t="str"/>
      <x:c r="Q53" s="137" t="str"/>
      <x:c r="R53" s="137" t="str"/>
      <x:c r="S53" s="137" t="str"/>
      <x:c r="T53" s="138" t="str"/>
      <x:c r="U53" s="138" t="str"/>
      <x:c r="V53" s="137" t="str"/>
      <x:c r="W53" s="137" t="str"/>
      <x:c r="X53" s="199" t="str"/>
    </x:row>
    <x:row r="54">
      <x:c r="A54" s="137" t="str"/>
      <x:c r="B54" s="138" t="str"/>
      <x:c r="C54" s="137" t="str"/>
      <x:c r="D54" s="137" t="str"/>
      <x:c r="E54" s="137" t="str"/>
      <x:c r="F54" s="137" t="str"/>
      <x:c r="G54" s="137" t="str"/>
      <x:c r="H54" s="137" t="str"/>
      <x:c r="I54" s="137" t="str"/>
      <x:c r="J54" s="160" t="str"/>
      <x:c r="K54" s="160" t="str"/>
      <x:c r="L54" s="196" t="str">
        <x:f>IF(OR(J54="",K54=""),"",MOD(K54-J54,1)*1440)</x:f>
      </x:c>
      <x:c r="M54" s="137" t="str"/>
      <x:c r="N54" s="137" t="str"/>
      <x:c r="O54" s="137" t="str"/>
      <x:c r="P54" s="137" t="str"/>
      <x:c r="Q54" s="137" t="str"/>
      <x:c r="R54" s="137" t="str"/>
      <x:c r="S54" s="137" t="str"/>
      <x:c r="T54" s="138" t="str"/>
      <x:c r="U54" s="138" t="str"/>
      <x:c r="V54" s="137" t="str"/>
      <x:c r="W54" s="137" t="str"/>
      <x:c r="X54" s="199" t="str"/>
    </x:row>
    <x:row r="55">
      <x:c r="A55" s="137" t="str"/>
      <x:c r="B55" s="138" t="str"/>
      <x:c r="C55" s="137" t="str"/>
      <x:c r="D55" s="137" t="str"/>
      <x:c r="E55" s="137" t="str"/>
      <x:c r="F55" s="137" t="str"/>
      <x:c r="G55" s="137" t="str"/>
      <x:c r="H55" s="137" t="str"/>
      <x:c r="I55" s="137" t="str"/>
      <x:c r="J55" s="160" t="str"/>
      <x:c r="K55" s="160" t="str"/>
      <x:c r="L55" s="196" t="str">
        <x:f>IF(OR(J55="",K55=""),"",MOD(K55-J55,1)*1440)</x:f>
      </x:c>
      <x:c r="M55" s="137" t="str"/>
      <x:c r="N55" s="137" t="str"/>
      <x:c r="O55" s="137" t="str"/>
      <x:c r="P55" s="137" t="str"/>
      <x:c r="Q55" s="137" t="str"/>
      <x:c r="R55" s="137" t="str"/>
      <x:c r="S55" s="137" t="str"/>
      <x:c r="T55" s="138" t="str"/>
      <x:c r="U55" s="138" t="str"/>
      <x:c r="V55" s="137" t="str"/>
      <x:c r="W55" s="137" t="str"/>
      <x:c r="X55" s="199" t="str"/>
    </x:row>
    <x:row r="56">
      <x:c r="A56" s="137" t="str"/>
      <x:c r="B56" s="138" t="str"/>
      <x:c r="C56" s="137" t="str"/>
      <x:c r="D56" s="137" t="str"/>
      <x:c r="E56" s="137" t="str"/>
      <x:c r="F56" s="137" t="str"/>
      <x:c r="G56" s="137" t="str"/>
      <x:c r="H56" s="137" t="str"/>
      <x:c r="I56" s="137" t="str"/>
      <x:c r="J56" s="160" t="str"/>
      <x:c r="K56" s="160" t="str"/>
      <x:c r="L56" s="196" t="str">
        <x:f>IF(OR(J56="",K56=""),"",MOD(K56-J56,1)*1440)</x:f>
      </x:c>
      <x:c r="M56" s="137" t="str"/>
      <x:c r="N56" s="137" t="str"/>
      <x:c r="O56" s="137" t="str"/>
      <x:c r="P56" s="137" t="str"/>
      <x:c r="Q56" s="137" t="str"/>
      <x:c r="R56" s="137" t="str"/>
      <x:c r="S56" s="137" t="str"/>
      <x:c r="T56" s="138" t="str"/>
      <x:c r="U56" s="138" t="str"/>
      <x:c r="V56" s="137" t="str"/>
      <x:c r="W56" s="137" t="str"/>
      <x:c r="X56" s="199" t="str"/>
    </x:row>
    <x:row r="57">
      <x:c r="A57" s="137" t="str"/>
      <x:c r="B57" s="138" t="str"/>
      <x:c r="C57" s="137" t="str"/>
      <x:c r="D57" s="137" t="str"/>
      <x:c r="E57" s="137" t="str"/>
      <x:c r="F57" s="137" t="str"/>
      <x:c r="G57" s="137" t="str"/>
      <x:c r="H57" s="137" t="str"/>
      <x:c r="I57" s="137" t="str"/>
      <x:c r="J57" s="160" t="str"/>
      <x:c r="K57" s="160" t="str"/>
      <x:c r="L57" s="196" t="str">
        <x:f>IF(OR(J57="",K57=""),"",MOD(K57-J57,1)*1440)</x:f>
      </x:c>
      <x:c r="M57" s="137" t="str"/>
      <x:c r="N57" s="137" t="str"/>
      <x:c r="O57" s="137" t="str"/>
      <x:c r="P57" s="137" t="str"/>
      <x:c r="Q57" s="137" t="str"/>
      <x:c r="R57" s="137" t="str"/>
      <x:c r="S57" s="137" t="str"/>
      <x:c r="T57" s="138" t="str"/>
      <x:c r="U57" s="138" t="str"/>
      <x:c r="V57" s="137" t="str"/>
      <x:c r="W57" s="137" t="str"/>
      <x:c r="X57" s="199" t="str"/>
    </x:row>
    <x:row r="58">
      <x:c r="A58" s="137" t="str"/>
      <x:c r="B58" s="138" t="str"/>
      <x:c r="C58" s="137" t="str"/>
      <x:c r="D58" s="137" t="str"/>
      <x:c r="E58" s="137" t="str"/>
      <x:c r="F58" s="137" t="str"/>
      <x:c r="G58" s="137" t="str"/>
      <x:c r="H58" s="137" t="str"/>
      <x:c r="I58" s="137" t="str"/>
      <x:c r="J58" s="160" t="str"/>
      <x:c r="K58" s="160" t="str"/>
      <x:c r="L58" s="196" t="str">
        <x:f>IF(OR(J58="",K58=""),"",MOD(K58-J58,1)*1440)</x:f>
      </x:c>
      <x:c r="M58" s="137" t="str"/>
      <x:c r="N58" s="137" t="str"/>
      <x:c r="O58" s="137" t="str"/>
      <x:c r="P58" s="137" t="str"/>
      <x:c r="Q58" s="137" t="str"/>
      <x:c r="R58" s="137" t="str"/>
      <x:c r="S58" s="137" t="str"/>
      <x:c r="T58" s="138" t="str"/>
      <x:c r="U58" s="138" t="str"/>
      <x:c r="V58" s="137" t="str"/>
      <x:c r="W58" s="137" t="str"/>
      <x:c r="X58" s="199" t="str"/>
    </x:row>
    <x:row r="59">
      <x:c r="A59" s="137" t="str"/>
      <x:c r="B59" s="138" t="str"/>
      <x:c r="C59" s="137" t="str"/>
      <x:c r="D59" s="137" t="str"/>
      <x:c r="E59" s="137" t="str"/>
      <x:c r="F59" s="137" t="str"/>
      <x:c r="G59" s="137" t="str"/>
      <x:c r="H59" s="137" t="str"/>
      <x:c r="I59" s="137" t="str"/>
      <x:c r="J59" s="160" t="str"/>
      <x:c r="K59" s="160" t="str"/>
      <x:c r="L59" s="196" t="str">
        <x:f>IF(OR(J59="",K59=""),"",MOD(K59-J59,1)*1440)</x:f>
      </x:c>
      <x:c r="M59" s="137" t="str"/>
      <x:c r="N59" s="137" t="str"/>
      <x:c r="O59" s="137" t="str"/>
      <x:c r="P59" s="137" t="str"/>
      <x:c r="Q59" s="137" t="str"/>
      <x:c r="R59" s="137" t="str"/>
      <x:c r="S59" s="137" t="str"/>
      <x:c r="T59" s="138" t="str"/>
      <x:c r="U59" s="138" t="str"/>
      <x:c r="V59" s="137" t="str"/>
      <x:c r="W59" s="137" t="str"/>
      <x:c r="X59" s="199" t="str"/>
    </x:row>
    <x:row r="60">
      <x:c r="A60" s="137" t="str"/>
      <x:c r="B60" s="138" t="str"/>
      <x:c r="C60" s="137" t="str"/>
      <x:c r="D60" s="137" t="str"/>
      <x:c r="E60" s="137" t="str"/>
      <x:c r="F60" s="137" t="str"/>
      <x:c r="G60" s="137" t="str"/>
      <x:c r="H60" s="137" t="str"/>
      <x:c r="I60" s="137" t="str"/>
      <x:c r="J60" s="160" t="str"/>
      <x:c r="K60" s="160" t="str"/>
      <x:c r="L60" s="196" t="str">
        <x:f>IF(OR(J60="",K60=""),"",MOD(K60-J60,1)*1440)</x:f>
      </x:c>
      <x:c r="M60" s="137" t="str"/>
      <x:c r="N60" s="137" t="str"/>
      <x:c r="O60" s="137" t="str"/>
      <x:c r="P60" s="137" t="str"/>
      <x:c r="Q60" s="137" t="str"/>
      <x:c r="R60" s="137" t="str"/>
      <x:c r="S60" s="137" t="str"/>
      <x:c r="T60" s="138" t="str"/>
      <x:c r="U60" s="138" t="str"/>
      <x:c r="V60" s="137" t="str"/>
      <x:c r="W60" s="137" t="str"/>
      <x:c r="X60" s="199" t="str"/>
    </x:row>
    <x:row r="61">
      <x:c r="A61" s="137" t="str"/>
      <x:c r="B61" s="138" t="str"/>
      <x:c r="C61" s="137" t="str"/>
      <x:c r="D61" s="137" t="str"/>
      <x:c r="E61" s="137" t="str"/>
      <x:c r="F61" s="137" t="str"/>
      <x:c r="G61" s="137" t="str"/>
      <x:c r="H61" s="137" t="str"/>
      <x:c r="I61" s="137" t="str"/>
      <x:c r="J61" s="160" t="str"/>
      <x:c r="K61" s="160" t="str"/>
      <x:c r="L61" s="196" t="str">
        <x:f>IF(OR(J61="",K61=""),"",MOD(K61-J61,1)*1440)</x:f>
      </x:c>
      <x:c r="M61" s="137" t="str"/>
      <x:c r="N61" s="137" t="str"/>
      <x:c r="O61" s="137" t="str"/>
      <x:c r="P61" s="137" t="str"/>
      <x:c r="Q61" s="137" t="str"/>
      <x:c r="R61" s="137" t="str"/>
      <x:c r="S61" s="137" t="str"/>
      <x:c r="T61" s="138" t="str"/>
      <x:c r="U61" s="138" t="str"/>
      <x:c r="V61" s="137" t="str"/>
      <x:c r="W61" s="137" t="str"/>
      <x:c r="X61" s="199" t="str"/>
    </x:row>
    <x:row r="62">
      <x:c r="A62" s="137" t="str"/>
      <x:c r="B62" s="138" t="str"/>
      <x:c r="C62" s="137" t="str"/>
      <x:c r="D62" s="137" t="str"/>
      <x:c r="E62" s="137" t="str"/>
      <x:c r="F62" s="137" t="str"/>
      <x:c r="G62" s="137" t="str"/>
      <x:c r="H62" s="137" t="str"/>
      <x:c r="I62" s="137" t="str"/>
      <x:c r="J62" s="160" t="str"/>
      <x:c r="K62" s="160" t="str"/>
      <x:c r="L62" s="196" t="str">
        <x:f>IF(OR(J62="",K62=""),"",MOD(K62-J62,1)*1440)</x:f>
      </x:c>
      <x:c r="M62" s="137" t="str"/>
      <x:c r="N62" s="137" t="str"/>
      <x:c r="O62" s="137" t="str"/>
      <x:c r="P62" s="137" t="str"/>
      <x:c r="Q62" s="137" t="str"/>
      <x:c r="R62" s="137" t="str"/>
      <x:c r="S62" s="137" t="str"/>
      <x:c r="T62" s="138" t="str"/>
      <x:c r="U62" s="138" t="str"/>
      <x:c r="V62" s="137" t="str"/>
      <x:c r="W62" s="137" t="str"/>
      <x:c r="X62" s="199" t="str"/>
    </x:row>
    <x:row r="63">
      <x:c r="A63" s="137" t="str"/>
      <x:c r="B63" s="138" t="str"/>
      <x:c r="C63" s="137" t="str"/>
      <x:c r="D63" s="137" t="str"/>
      <x:c r="E63" s="137" t="str"/>
      <x:c r="F63" s="137" t="str"/>
      <x:c r="G63" s="137" t="str"/>
      <x:c r="H63" s="137" t="str"/>
      <x:c r="I63" s="137" t="str"/>
      <x:c r="J63" s="160" t="str"/>
      <x:c r="K63" s="160" t="str"/>
      <x:c r="L63" s="196" t="str">
        <x:f>IF(OR(J63="",K63=""),"",MOD(K63-J63,1)*1440)</x:f>
      </x:c>
      <x:c r="M63" s="137" t="str"/>
      <x:c r="N63" s="137" t="str"/>
      <x:c r="O63" s="137" t="str"/>
      <x:c r="P63" s="137" t="str"/>
      <x:c r="Q63" s="137" t="str"/>
      <x:c r="R63" s="137" t="str"/>
      <x:c r="S63" s="137" t="str"/>
      <x:c r="T63" s="138" t="str"/>
      <x:c r="U63" s="138" t="str"/>
      <x:c r="V63" s="137" t="str"/>
      <x:c r="W63" s="137" t="str"/>
      <x:c r="X63" s="199" t="str"/>
    </x:row>
    <x:row r="64">
      <x:c r="A64" s="137" t="str"/>
      <x:c r="B64" s="138" t="str"/>
      <x:c r="C64" s="137" t="str"/>
      <x:c r="D64" s="137" t="str"/>
      <x:c r="E64" s="137" t="str"/>
      <x:c r="F64" s="137" t="str"/>
      <x:c r="G64" s="137" t="str"/>
      <x:c r="H64" s="137" t="str"/>
      <x:c r="I64" s="137" t="str"/>
      <x:c r="J64" s="160" t="str"/>
      <x:c r="K64" s="160" t="str"/>
      <x:c r="L64" s="196" t="str">
        <x:f>IF(OR(J64="",K64=""),"",MOD(K64-J64,1)*1440)</x:f>
      </x:c>
      <x:c r="M64" s="137" t="str"/>
      <x:c r="N64" s="137" t="str"/>
      <x:c r="O64" s="137" t="str"/>
      <x:c r="P64" s="137" t="str"/>
      <x:c r="Q64" s="137" t="str"/>
      <x:c r="R64" s="137" t="str"/>
      <x:c r="S64" s="137" t="str"/>
      <x:c r="T64" s="138" t="str"/>
      <x:c r="U64" s="138" t="str"/>
      <x:c r="V64" s="137" t="str"/>
      <x:c r="W64" s="137" t="str"/>
      <x:c r="X64" s="199" t="str"/>
    </x:row>
    <x:row r="65">
      <x:c r="A65" s="137" t="str"/>
      <x:c r="B65" s="138" t="str"/>
      <x:c r="C65" s="137" t="str"/>
      <x:c r="D65" s="137" t="str"/>
      <x:c r="E65" s="137" t="str"/>
      <x:c r="F65" s="137" t="str"/>
      <x:c r="G65" s="137" t="str"/>
      <x:c r="H65" s="137" t="str"/>
      <x:c r="I65" s="137" t="str"/>
      <x:c r="J65" s="160" t="str"/>
      <x:c r="K65" s="160" t="str"/>
      <x:c r="L65" s="196" t="str">
        <x:f>IF(OR(J65="",K65=""),"",MOD(K65-J65,1)*1440)</x:f>
      </x:c>
      <x:c r="M65" s="137" t="str"/>
      <x:c r="N65" s="137" t="str"/>
      <x:c r="O65" s="137" t="str"/>
      <x:c r="P65" s="137" t="str"/>
      <x:c r="Q65" s="137" t="str"/>
      <x:c r="R65" s="137" t="str"/>
      <x:c r="S65" s="137" t="str"/>
      <x:c r="T65" s="138" t="str"/>
      <x:c r="U65" s="138" t="str"/>
      <x:c r="V65" s="137" t="str"/>
      <x:c r="W65" s="137" t="str"/>
      <x:c r="X65" s="199" t="str"/>
    </x:row>
    <x:row r="66">
      <x:c r="A66" s="137" t="str"/>
      <x:c r="B66" s="138" t="str"/>
      <x:c r="C66" s="137" t="str"/>
      <x:c r="D66" s="137" t="str"/>
      <x:c r="E66" s="137" t="str"/>
      <x:c r="F66" s="137" t="str"/>
      <x:c r="G66" s="137" t="str"/>
      <x:c r="H66" s="137" t="str"/>
      <x:c r="I66" s="137" t="str"/>
      <x:c r="J66" s="160" t="str"/>
      <x:c r="K66" s="160" t="str"/>
      <x:c r="L66" s="196" t="str">
        <x:f>IF(OR(J66="",K66=""),"",MOD(K66-J66,1)*1440)</x:f>
      </x:c>
      <x:c r="M66" s="137" t="str"/>
      <x:c r="N66" s="137" t="str"/>
      <x:c r="O66" s="137" t="str"/>
      <x:c r="P66" s="137" t="str"/>
      <x:c r="Q66" s="137" t="str"/>
      <x:c r="R66" s="137" t="str"/>
      <x:c r="S66" s="137" t="str"/>
      <x:c r="T66" s="138" t="str"/>
      <x:c r="U66" s="138" t="str"/>
      <x:c r="V66" s="137" t="str"/>
      <x:c r="W66" s="137" t="str"/>
      <x:c r="X66" s="199" t="str"/>
    </x:row>
    <x:row r="67">
      <x:c r="A67" s="137" t="str"/>
      <x:c r="B67" s="138" t="str"/>
      <x:c r="C67" s="137" t="str"/>
      <x:c r="D67" s="137" t="str"/>
      <x:c r="E67" s="137" t="str"/>
      <x:c r="F67" s="137" t="str"/>
      <x:c r="G67" s="137" t="str"/>
      <x:c r="H67" s="137" t="str"/>
      <x:c r="I67" s="137" t="str"/>
      <x:c r="J67" s="160" t="str"/>
      <x:c r="K67" s="160" t="str"/>
      <x:c r="L67" s="196" t="str">
        <x:f>IF(OR(J67="",K67=""),"",MOD(K67-J67,1)*1440)</x:f>
      </x:c>
      <x:c r="M67" s="137" t="str"/>
      <x:c r="N67" s="137" t="str"/>
      <x:c r="O67" s="137" t="str"/>
      <x:c r="P67" s="137" t="str"/>
      <x:c r="Q67" s="137" t="str"/>
      <x:c r="R67" s="137" t="str"/>
      <x:c r="S67" s="137" t="str"/>
      <x:c r="T67" s="138" t="str"/>
      <x:c r="U67" s="138" t="str"/>
      <x:c r="V67" s="137" t="str"/>
      <x:c r="W67" s="137" t="str"/>
      <x:c r="X67" s="199" t="str"/>
    </x:row>
    <x:row r="68">
      <x:c r="A68" s="137" t="str"/>
      <x:c r="B68" s="138" t="str"/>
      <x:c r="C68" s="137" t="str"/>
      <x:c r="D68" s="137" t="str"/>
      <x:c r="E68" s="137" t="str"/>
      <x:c r="F68" s="137" t="str"/>
      <x:c r="G68" s="137" t="str"/>
      <x:c r="H68" s="137" t="str"/>
      <x:c r="I68" s="137" t="str"/>
      <x:c r="J68" s="160" t="str"/>
      <x:c r="K68" s="160" t="str"/>
      <x:c r="L68" s="196" t="str">
        <x:f>IF(OR(J68="",K68=""),"",MOD(K68-J68,1)*1440)</x:f>
      </x:c>
      <x:c r="M68" s="137" t="str"/>
      <x:c r="N68" s="137" t="str"/>
      <x:c r="O68" s="137" t="str"/>
      <x:c r="P68" s="137" t="str"/>
      <x:c r="Q68" s="137" t="str"/>
      <x:c r="R68" s="137" t="str"/>
      <x:c r="S68" s="137" t="str"/>
      <x:c r="T68" s="138" t="str"/>
      <x:c r="U68" s="138" t="str"/>
      <x:c r="V68" s="137" t="str"/>
      <x:c r="W68" s="137" t="str"/>
      <x:c r="X68" s="199" t="str"/>
    </x:row>
    <x:row r="69">
      <x:c r="A69" s="137" t="str"/>
      <x:c r="B69" s="138" t="str"/>
      <x:c r="C69" s="137" t="str"/>
      <x:c r="D69" s="137" t="str"/>
      <x:c r="E69" s="137" t="str"/>
      <x:c r="F69" s="137" t="str"/>
      <x:c r="G69" s="137" t="str"/>
      <x:c r="H69" s="137" t="str"/>
      <x:c r="I69" s="137" t="str"/>
      <x:c r="J69" s="160" t="str"/>
      <x:c r="K69" s="160" t="str"/>
      <x:c r="L69" s="196" t="str">
        <x:f>IF(OR(J69="",K69=""),"",MOD(K69-J69,1)*1440)</x:f>
      </x:c>
      <x:c r="M69" s="137" t="str"/>
      <x:c r="N69" s="137" t="str"/>
      <x:c r="O69" s="137" t="str"/>
      <x:c r="P69" s="137" t="str"/>
      <x:c r="Q69" s="137" t="str"/>
      <x:c r="R69" s="137" t="str"/>
      <x:c r="S69" s="137" t="str"/>
      <x:c r="T69" s="138" t="str"/>
      <x:c r="U69" s="138" t="str"/>
      <x:c r="V69" s="137" t="str"/>
      <x:c r="W69" s="137" t="str"/>
      <x:c r="X69" s="199" t="str"/>
    </x:row>
    <x:row r="70">
      <x:c r="A70" s="137" t="str"/>
      <x:c r="B70" s="138" t="str"/>
      <x:c r="C70" s="137" t="str"/>
      <x:c r="D70" s="137" t="str"/>
      <x:c r="E70" s="137" t="str"/>
      <x:c r="F70" s="137" t="str"/>
      <x:c r="G70" s="137" t="str"/>
      <x:c r="H70" s="137" t="str"/>
      <x:c r="I70" s="137" t="str"/>
      <x:c r="J70" s="160" t="str"/>
      <x:c r="K70" s="160" t="str"/>
      <x:c r="L70" s="196" t="str">
        <x:f>IF(OR(J70="",K70=""),"",MOD(K70-J70,1)*1440)</x:f>
      </x:c>
      <x:c r="M70" s="137" t="str"/>
      <x:c r="N70" s="137" t="str"/>
      <x:c r="O70" s="137" t="str"/>
      <x:c r="P70" s="137" t="str"/>
      <x:c r="Q70" s="137" t="str"/>
      <x:c r="R70" s="137" t="str"/>
      <x:c r="S70" s="137" t="str"/>
      <x:c r="T70" s="138" t="str"/>
      <x:c r="U70" s="138" t="str"/>
      <x:c r="V70" s="137" t="str"/>
      <x:c r="W70" s="137" t="str"/>
      <x:c r="X70" s="199" t="str"/>
    </x:row>
    <x:row r="71">
      <x:c r="A71" s="137" t="str"/>
      <x:c r="B71" s="138" t="str"/>
      <x:c r="C71" s="137" t="str"/>
      <x:c r="D71" s="137" t="str"/>
      <x:c r="E71" s="137" t="str"/>
      <x:c r="F71" s="137" t="str"/>
      <x:c r="G71" s="137" t="str"/>
      <x:c r="H71" s="137" t="str"/>
      <x:c r="I71" s="137" t="str"/>
      <x:c r="J71" s="160" t="str"/>
      <x:c r="K71" s="160" t="str"/>
      <x:c r="L71" s="196" t="str">
        <x:f>IF(OR(J71="",K71=""),"",MOD(K71-J71,1)*1440)</x:f>
      </x:c>
      <x:c r="M71" s="137" t="str"/>
      <x:c r="N71" s="137" t="str"/>
      <x:c r="O71" s="137" t="str"/>
      <x:c r="P71" s="137" t="str"/>
      <x:c r="Q71" s="137" t="str"/>
      <x:c r="R71" s="137" t="str"/>
      <x:c r="S71" s="137" t="str"/>
      <x:c r="T71" s="138" t="str"/>
      <x:c r="U71" s="138" t="str"/>
      <x:c r="V71" s="137" t="str"/>
      <x:c r="W71" s="137" t="str"/>
      <x:c r="X71" s="199" t="str"/>
    </x:row>
    <x:row r="72">
      <x:c r="A72" s="137" t="str"/>
      <x:c r="B72" s="138" t="str"/>
      <x:c r="C72" s="137" t="str"/>
      <x:c r="D72" s="137" t="str"/>
      <x:c r="E72" s="137" t="str"/>
      <x:c r="F72" s="137" t="str"/>
      <x:c r="G72" s="137" t="str"/>
      <x:c r="H72" s="137" t="str"/>
      <x:c r="I72" s="137" t="str"/>
      <x:c r="J72" s="160" t="str"/>
      <x:c r="K72" s="160" t="str"/>
      <x:c r="L72" s="196" t="str">
        <x:f>IF(OR(J72="",K72=""),"",MOD(K72-J72,1)*1440)</x:f>
      </x:c>
      <x:c r="M72" s="137" t="str"/>
      <x:c r="N72" s="137" t="str"/>
      <x:c r="O72" s="137" t="str"/>
      <x:c r="P72" s="137" t="str"/>
      <x:c r="Q72" s="137" t="str"/>
      <x:c r="R72" s="137" t="str"/>
      <x:c r="S72" s="137" t="str"/>
      <x:c r="T72" s="138" t="str"/>
      <x:c r="U72" s="138" t="str"/>
      <x:c r="V72" s="137" t="str"/>
      <x:c r="W72" s="137" t="str"/>
      <x:c r="X72" s="199" t="str"/>
    </x:row>
    <x:row r="73">
      <x:c r="A73" s="137" t="str"/>
      <x:c r="B73" s="138" t="str"/>
      <x:c r="C73" s="137" t="str"/>
      <x:c r="D73" s="137" t="str"/>
      <x:c r="E73" s="137" t="str"/>
      <x:c r="F73" s="137" t="str"/>
      <x:c r="G73" s="137" t="str"/>
      <x:c r="H73" s="137" t="str"/>
      <x:c r="I73" s="137" t="str"/>
      <x:c r="J73" s="160" t="str"/>
      <x:c r="K73" s="160" t="str"/>
      <x:c r="L73" s="196" t="str">
        <x:f>IF(OR(J73="",K73=""),"",MOD(K73-J73,1)*1440)</x:f>
      </x:c>
      <x:c r="M73" s="137" t="str"/>
      <x:c r="N73" s="137" t="str"/>
      <x:c r="O73" s="137" t="str"/>
      <x:c r="P73" s="137" t="str"/>
      <x:c r="Q73" s="137" t="str"/>
      <x:c r="R73" s="137" t="str"/>
      <x:c r="S73" s="137" t="str"/>
      <x:c r="T73" s="138" t="str"/>
      <x:c r="U73" s="138" t="str"/>
      <x:c r="V73" s="137" t="str"/>
      <x:c r="W73" s="137" t="str"/>
      <x:c r="X73" s="199" t="str"/>
    </x:row>
    <x:row r="74">
      <x:c r="A74" s="137" t="str"/>
      <x:c r="B74" s="138" t="str"/>
      <x:c r="C74" s="137" t="str"/>
      <x:c r="D74" s="137" t="str"/>
      <x:c r="E74" s="137" t="str"/>
      <x:c r="F74" s="137" t="str"/>
      <x:c r="G74" s="137" t="str"/>
      <x:c r="H74" s="137" t="str"/>
      <x:c r="I74" s="137" t="str"/>
      <x:c r="J74" s="160" t="str"/>
      <x:c r="K74" s="160" t="str"/>
      <x:c r="L74" s="196" t="str">
        <x:f>IF(OR(J74="",K74=""),"",MOD(K74-J74,1)*1440)</x:f>
      </x:c>
      <x:c r="M74" s="137" t="str"/>
      <x:c r="N74" s="137" t="str"/>
      <x:c r="O74" s="137" t="str"/>
      <x:c r="P74" s="137" t="str"/>
      <x:c r="Q74" s="137" t="str"/>
      <x:c r="R74" s="137" t="str"/>
      <x:c r="S74" s="137" t="str"/>
      <x:c r="T74" s="138" t="str"/>
      <x:c r="U74" s="138" t="str"/>
      <x:c r="V74" s="137" t="str"/>
      <x:c r="W74" s="137" t="str"/>
      <x:c r="X74" s="199" t="str"/>
    </x:row>
    <x:row r="75">
      <x:c r="A75" s="137" t="str"/>
      <x:c r="B75" s="138" t="str"/>
      <x:c r="C75" s="137" t="str"/>
      <x:c r="D75" s="137" t="str"/>
      <x:c r="E75" s="137" t="str"/>
      <x:c r="F75" s="137" t="str"/>
      <x:c r="G75" s="137" t="str"/>
      <x:c r="H75" s="137" t="str"/>
      <x:c r="I75" s="137" t="str"/>
      <x:c r="J75" s="160" t="str"/>
      <x:c r="K75" s="160" t="str"/>
      <x:c r="L75" s="196" t="str">
        <x:f>IF(OR(J75="",K75=""),"",MOD(K75-J75,1)*1440)</x:f>
      </x:c>
      <x:c r="M75" s="137" t="str"/>
      <x:c r="N75" s="137" t="str"/>
      <x:c r="O75" s="137" t="str"/>
      <x:c r="P75" s="137" t="str"/>
      <x:c r="Q75" s="137" t="str"/>
      <x:c r="R75" s="137" t="str"/>
      <x:c r="S75" s="137" t="str"/>
      <x:c r="T75" s="138" t="str"/>
      <x:c r="U75" s="138" t="str"/>
      <x:c r="V75" s="137" t="str"/>
      <x:c r="W75" s="137" t="str"/>
      <x:c r="X75" s="199" t="str"/>
    </x:row>
    <x:row r="76">
      <x:c r="A76" s="137" t="str"/>
      <x:c r="B76" s="138" t="str"/>
      <x:c r="C76" s="137" t="str"/>
      <x:c r="D76" s="137" t="str"/>
      <x:c r="E76" s="137" t="str"/>
      <x:c r="F76" s="137" t="str"/>
      <x:c r="G76" s="137" t="str"/>
      <x:c r="H76" s="137" t="str"/>
      <x:c r="I76" s="137" t="str"/>
      <x:c r="J76" s="160" t="str"/>
      <x:c r="K76" s="160" t="str"/>
      <x:c r="L76" s="196" t="str">
        <x:f>IF(OR(J76="",K76=""),"",MOD(K76-J76,1)*1440)</x:f>
      </x:c>
      <x:c r="M76" s="137" t="str"/>
      <x:c r="N76" s="137" t="str"/>
      <x:c r="O76" s="137" t="str"/>
      <x:c r="P76" s="137" t="str"/>
      <x:c r="Q76" s="137" t="str"/>
      <x:c r="R76" s="137" t="str"/>
      <x:c r="S76" s="137" t="str"/>
      <x:c r="T76" s="138" t="str"/>
      <x:c r="U76" s="138" t="str"/>
      <x:c r="V76" s="137" t="str"/>
      <x:c r="W76" s="137" t="str"/>
      <x:c r="X76" s="199" t="str"/>
    </x:row>
    <x:row r="77">
      <x:c r="A77" s="137" t="str"/>
      <x:c r="B77" s="138" t="str"/>
      <x:c r="C77" s="137" t="str"/>
      <x:c r="D77" s="137" t="str"/>
      <x:c r="E77" s="137" t="str"/>
      <x:c r="F77" s="137" t="str"/>
      <x:c r="G77" s="137" t="str"/>
      <x:c r="H77" s="137" t="str"/>
      <x:c r="I77" s="137" t="str"/>
      <x:c r="J77" s="160" t="str"/>
      <x:c r="K77" s="160" t="str"/>
      <x:c r="L77" s="196" t="str">
        <x:f>IF(OR(J77="",K77=""),"",MOD(K77-J77,1)*1440)</x:f>
      </x:c>
      <x:c r="M77" s="137" t="str"/>
      <x:c r="N77" s="137" t="str"/>
      <x:c r="O77" s="137" t="str"/>
      <x:c r="P77" s="137" t="str"/>
      <x:c r="Q77" s="137" t="str"/>
      <x:c r="R77" s="137" t="str"/>
      <x:c r="S77" s="137" t="str"/>
      <x:c r="T77" s="138" t="str"/>
      <x:c r="U77" s="138" t="str"/>
      <x:c r="V77" s="137" t="str"/>
      <x:c r="W77" s="137" t="str"/>
      <x:c r="X77" s="199" t="str"/>
    </x:row>
    <x:row r="78">
      <x:c r="A78" s="137" t="str"/>
      <x:c r="B78" s="138" t="str"/>
      <x:c r="C78" s="137" t="str"/>
      <x:c r="D78" s="137" t="str"/>
      <x:c r="E78" s="137" t="str"/>
      <x:c r="F78" s="137" t="str"/>
      <x:c r="G78" s="137" t="str"/>
      <x:c r="H78" s="137" t="str"/>
      <x:c r="I78" s="137" t="str"/>
      <x:c r="J78" s="160" t="str"/>
      <x:c r="K78" s="160" t="str"/>
      <x:c r="L78" s="196" t="str">
        <x:f>IF(OR(J78="",K78=""),"",MOD(K78-J78,1)*1440)</x:f>
      </x:c>
      <x:c r="M78" s="137" t="str"/>
      <x:c r="N78" s="137" t="str"/>
      <x:c r="O78" s="137" t="str"/>
      <x:c r="P78" s="137" t="str"/>
      <x:c r="Q78" s="137" t="str"/>
      <x:c r="R78" s="137" t="str"/>
      <x:c r="S78" s="137" t="str"/>
      <x:c r="T78" s="138" t="str"/>
      <x:c r="U78" s="138" t="str"/>
      <x:c r="V78" s="137" t="str"/>
      <x:c r="W78" s="137" t="str"/>
      <x:c r="X78" s="199" t="str"/>
    </x:row>
    <x:row r="79">
      <x:c r="A79" s="137" t="str"/>
      <x:c r="B79" s="138" t="str"/>
      <x:c r="C79" s="137" t="str"/>
      <x:c r="D79" s="137" t="str"/>
      <x:c r="E79" s="137" t="str"/>
      <x:c r="F79" s="137" t="str"/>
      <x:c r="G79" s="137" t="str"/>
      <x:c r="H79" s="137" t="str"/>
      <x:c r="I79" s="137" t="str"/>
      <x:c r="J79" s="160" t="str"/>
      <x:c r="K79" s="160" t="str"/>
      <x:c r="L79" s="196" t="str">
        <x:f>IF(OR(J79="",K79=""),"",MOD(K79-J79,1)*1440)</x:f>
      </x:c>
      <x:c r="M79" s="137" t="str"/>
      <x:c r="N79" s="137" t="str"/>
      <x:c r="O79" s="137" t="str"/>
      <x:c r="P79" s="137" t="str"/>
      <x:c r="Q79" s="137" t="str"/>
      <x:c r="R79" s="137" t="str"/>
      <x:c r="S79" s="137" t="str"/>
      <x:c r="T79" s="138" t="str"/>
      <x:c r="U79" s="138" t="str"/>
      <x:c r="V79" s="137" t="str"/>
      <x:c r="W79" s="137" t="str"/>
      <x:c r="X79" s="199" t="str"/>
    </x:row>
    <x:row r="80">
      <x:c r="A80" s="137" t="str"/>
      <x:c r="B80" s="138" t="str"/>
      <x:c r="C80" s="137" t="str"/>
      <x:c r="D80" s="137" t="str"/>
      <x:c r="E80" s="137" t="str"/>
      <x:c r="F80" s="137" t="str"/>
      <x:c r="G80" s="137" t="str"/>
      <x:c r="H80" s="137" t="str"/>
      <x:c r="I80" s="137" t="str"/>
      <x:c r="J80" s="160" t="str"/>
      <x:c r="K80" s="160" t="str"/>
      <x:c r="L80" s="196" t="str">
        <x:f>IF(OR(J80="",K80=""),"",MOD(K80-J80,1)*1440)</x:f>
      </x:c>
      <x:c r="M80" s="137" t="str"/>
      <x:c r="N80" s="137" t="str"/>
      <x:c r="O80" s="137" t="str"/>
      <x:c r="P80" s="137" t="str"/>
      <x:c r="Q80" s="137" t="str"/>
      <x:c r="R80" s="137" t="str"/>
      <x:c r="S80" s="137" t="str"/>
      <x:c r="T80" s="138" t="str"/>
      <x:c r="U80" s="138" t="str"/>
      <x:c r="V80" s="137" t="str"/>
      <x:c r="W80" s="137" t="str"/>
      <x:c r="X80" s="199" t="str"/>
    </x:row>
    <x:row r="81">
      <x:c r="A81" s="137" t="str"/>
      <x:c r="B81" s="138" t="str"/>
      <x:c r="C81" s="137" t="str"/>
      <x:c r="D81" s="137" t="str"/>
      <x:c r="E81" s="137" t="str"/>
      <x:c r="F81" s="137" t="str"/>
      <x:c r="G81" s="137" t="str"/>
      <x:c r="H81" s="137" t="str"/>
      <x:c r="I81" s="137" t="str"/>
      <x:c r="J81" s="160" t="str"/>
      <x:c r="K81" s="160" t="str"/>
      <x:c r="L81" s="196" t="str">
        <x:f>IF(OR(J81="",K81=""),"",MOD(K81-J81,1)*1440)</x:f>
      </x:c>
      <x:c r="M81" s="137" t="str"/>
      <x:c r="N81" s="137" t="str"/>
      <x:c r="O81" s="137" t="str"/>
      <x:c r="P81" s="137" t="str"/>
      <x:c r="Q81" s="137" t="str"/>
      <x:c r="R81" s="137" t="str"/>
      <x:c r="S81" s="137" t="str"/>
      <x:c r="T81" s="138" t="str"/>
      <x:c r="U81" s="138" t="str"/>
      <x:c r="V81" s="137" t="str"/>
      <x:c r="W81" s="137" t="str"/>
      <x:c r="X81" s="199" t="str"/>
    </x:row>
    <x:row r="82">
      <x:c r="A82" s="137" t="str"/>
      <x:c r="B82" s="138" t="str"/>
      <x:c r="C82" s="137" t="str"/>
      <x:c r="D82" s="137" t="str"/>
      <x:c r="E82" s="137" t="str"/>
      <x:c r="F82" s="137" t="str"/>
      <x:c r="G82" s="137" t="str"/>
      <x:c r="H82" s="137" t="str"/>
      <x:c r="I82" s="137" t="str"/>
      <x:c r="J82" s="160" t="str"/>
      <x:c r="K82" s="160" t="str"/>
      <x:c r="L82" s="196" t="str">
        <x:f>IF(OR(J82="",K82=""),"",MOD(K82-J82,1)*1440)</x:f>
      </x:c>
      <x:c r="M82" s="137" t="str"/>
      <x:c r="N82" s="137" t="str"/>
      <x:c r="O82" s="137" t="str"/>
      <x:c r="P82" s="137" t="str"/>
      <x:c r="Q82" s="137" t="str"/>
      <x:c r="R82" s="137" t="str"/>
      <x:c r="S82" s="137" t="str"/>
      <x:c r="T82" s="138" t="str"/>
      <x:c r="U82" s="138" t="str"/>
      <x:c r="V82" s="137" t="str"/>
      <x:c r="W82" s="137" t="str"/>
      <x:c r="X82" s="199" t="str"/>
    </x:row>
    <x:row r="83">
      <x:c r="A83" s="137" t="str"/>
      <x:c r="B83" s="138" t="str"/>
      <x:c r="C83" s="137" t="str"/>
      <x:c r="D83" s="137" t="str"/>
      <x:c r="E83" s="137" t="str"/>
      <x:c r="F83" s="137" t="str"/>
      <x:c r="G83" s="137" t="str"/>
      <x:c r="H83" s="137" t="str"/>
      <x:c r="I83" s="137" t="str"/>
      <x:c r="J83" s="160" t="str"/>
      <x:c r="K83" s="160" t="str"/>
      <x:c r="L83" s="196" t="str">
        <x:f>IF(OR(J83="",K83=""),"",MOD(K83-J83,1)*1440)</x:f>
      </x:c>
      <x:c r="M83" s="137" t="str"/>
      <x:c r="N83" s="137" t="str"/>
      <x:c r="O83" s="137" t="str"/>
      <x:c r="P83" s="137" t="str"/>
      <x:c r="Q83" s="137" t="str"/>
      <x:c r="R83" s="137" t="str"/>
      <x:c r="S83" s="137" t="str"/>
      <x:c r="T83" s="138" t="str"/>
      <x:c r="U83" s="138" t="str"/>
      <x:c r="V83" s="137" t="str"/>
      <x:c r="W83" s="137" t="str"/>
      <x:c r="X83" s="199" t="str"/>
    </x:row>
    <x:row r="84">
      <x:c r="A84" s="137" t="str"/>
      <x:c r="B84" s="138" t="str"/>
      <x:c r="C84" s="137" t="str"/>
      <x:c r="D84" s="137" t="str"/>
      <x:c r="E84" s="137" t="str"/>
      <x:c r="F84" s="137" t="str"/>
      <x:c r="G84" s="137" t="str"/>
      <x:c r="H84" s="137" t="str"/>
      <x:c r="I84" s="137" t="str"/>
      <x:c r="J84" s="160" t="str"/>
      <x:c r="K84" s="160" t="str"/>
      <x:c r="L84" s="196" t="str">
        <x:f>IF(OR(J84="",K84=""),"",MOD(K84-J84,1)*1440)</x:f>
      </x:c>
      <x:c r="M84" s="137" t="str"/>
      <x:c r="N84" s="137" t="str"/>
      <x:c r="O84" s="137" t="str"/>
      <x:c r="P84" s="137" t="str"/>
      <x:c r="Q84" s="137" t="str"/>
      <x:c r="R84" s="137" t="str"/>
      <x:c r="S84" s="137" t="str"/>
      <x:c r="T84" s="138" t="str"/>
      <x:c r="U84" s="138" t="str"/>
      <x:c r="V84" s="137" t="str"/>
      <x:c r="W84" s="137" t="str"/>
      <x:c r="X84" s="199" t="str"/>
    </x:row>
    <x:row r="85">
      <x:c r="A85" s="137" t="str"/>
      <x:c r="B85" s="138" t="str"/>
      <x:c r="C85" s="137" t="str"/>
      <x:c r="D85" s="137" t="str"/>
      <x:c r="E85" s="137" t="str"/>
      <x:c r="F85" s="137" t="str"/>
      <x:c r="G85" s="137" t="str"/>
      <x:c r="H85" s="137" t="str"/>
      <x:c r="I85" s="137" t="str"/>
      <x:c r="J85" s="160" t="str"/>
      <x:c r="K85" s="160" t="str"/>
      <x:c r="L85" s="196" t="str">
        <x:f>IF(OR(J85="",K85=""),"",MOD(K85-J85,1)*1440)</x:f>
      </x:c>
      <x:c r="M85" s="137" t="str"/>
      <x:c r="N85" s="137" t="str"/>
      <x:c r="O85" s="137" t="str"/>
      <x:c r="P85" s="137" t="str"/>
      <x:c r="Q85" s="137" t="str"/>
      <x:c r="R85" s="137" t="str"/>
      <x:c r="S85" s="137" t="str"/>
      <x:c r="T85" s="138" t="str"/>
      <x:c r="U85" s="138" t="str"/>
      <x:c r="V85" s="137" t="str"/>
      <x:c r="W85" s="137" t="str"/>
      <x:c r="X85" s="199" t="str"/>
    </x:row>
    <x:row r="86">
      <x:c r="A86" s="137" t="str"/>
      <x:c r="B86" s="138" t="str"/>
      <x:c r="C86" s="137" t="str"/>
      <x:c r="D86" s="137" t="str"/>
      <x:c r="E86" s="137" t="str"/>
      <x:c r="F86" s="137" t="str"/>
      <x:c r="G86" s="137" t="str"/>
      <x:c r="H86" s="137" t="str"/>
      <x:c r="I86" s="137" t="str"/>
      <x:c r="J86" s="160" t="str"/>
      <x:c r="K86" s="160" t="str"/>
      <x:c r="L86" s="196" t="str">
        <x:f>IF(OR(J86="",K86=""),"",MOD(K86-J86,1)*1440)</x:f>
      </x:c>
      <x:c r="M86" s="137" t="str"/>
      <x:c r="N86" s="137" t="str"/>
      <x:c r="O86" s="137" t="str"/>
      <x:c r="P86" s="137" t="str"/>
      <x:c r="Q86" s="137" t="str"/>
      <x:c r="R86" s="137" t="str"/>
      <x:c r="S86" s="137" t="str"/>
      <x:c r="T86" s="138" t="str"/>
      <x:c r="U86" s="138" t="str"/>
      <x:c r="V86" s="137" t="str"/>
      <x:c r="W86" s="137" t="str"/>
      <x:c r="X86" s="199" t="str"/>
    </x:row>
    <x:row r="87">
      <x:c r="A87" s="137" t="str"/>
      <x:c r="B87" s="138" t="str"/>
      <x:c r="C87" s="137" t="str"/>
      <x:c r="D87" s="137" t="str"/>
      <x:c r="E87" s="137" t="str"/>
      <x:c r="F87" s="137" t="str"/>
      <x:c r="G87" s="137" t="str"/>
      <x:c r="H87" s="137" t="str"/>
      <x:c r="I87" s="137" t="str"/>
      <x:c r="J87" s="160" t="str"/>
      <x:c r="K87" s="160" t="str"/>
      <x:c r="L87" s="196" t="str">
        <x:f>IF(OR(J87="",K87=""),"",MOD(K87-J87,1)*1440)</x:f>
      </x:c>
      <x:c r="M87" s="137" t="str"/>
      <x:c r="N87" s="137" t="str"/>
      <x:c r="O87" s="137" t="str"/>
      <x:c r="P87" s="137" t="str"/>
      <x:c r="Q87" s="137" t="str"/>
      <x:c r="R87" s="137" t="str"/>
      <x:c r="S87" s="137" t="str"/>
      <x:c r="T87" s="138" t="str"/>
      <x:c r="U87" s="138" t="str"/>
      <x:c r="V87" s="137" t="str"/>
      <x:c r="W87" s="137" t="str"/>
      <x:c r="X87" s="199" t="str"/>
    </x:row>
    <x:row r="88">
      <x:c r="A88" s="137" t="str"/>
      <x:c r="B88" s="138" t="str"/>
      <x:c r="C88" s="137" t="str"/>
      <x:c r="D88" s="137" t="str"/>
      <x:c r="E88" s="137" t="str"/>
      <x:c r="F88" s="137" t="str"/>
      <x:c r="G88" s="137" t="str"/>
      <x:c r="H88" s="137" t="str"/>
      <x:c r="I88" s="137" t="str"/>
      <x:c r="J88" s="160" t="str"/>
      <x:c r="K88" s="160" t="str"/>
      <x:c r="L88" s="196" t="str">
        <x:f>IF(OR(J88="",K88=""),"",MOD(K88-J88,1)*1440)</x:f>
      </x:c>
      <x:c r="M88" s="137" t="str"/>
      <x:c r="N88" s="137" t="str"/>
      <x:c r="O88" s="137" t="str"/>
      <x:c r="P88" s="137" t="str"/>
      <x:c r="Q88" s="137" t="str"/>
      <x:c r="R88" s="137" t="str"/>
      <x:c r="S88" s="137" t="str"/>
      <x:c r="T88" s="138" t="str"/>
      <x:c r="U88" s="138" t="str"/>
      <x:c r="V88" s="137" t="str"/>
      <x:c r="W88" s="137" t="str"/>
      <x:c r="X88" s="199" t="str"/>
    </x:row>
    <x:row r="89">
      <x:c r="A89" s="137" t="str"/>
      <x:c r="B89" s="138" t="str"/>
      <x:c r="C89" s="137" t="str"/>
      <x:c r="D89" s="137" t="str"/>
      <x:c r="E89" s="137" t="str"/>
      <x:c r="F89" s="137" t="str"/>
      <x:c r="G89" s="137" t="str"/>
      <x:c r="H89" s="137" t="str"/>
      <x:c r="I89" s="137" t="str"/>
      <x:c r="J89" s="160" t="str"/>
      <x:c r="K89" s="160" t="str"/>
      <x:c r="L89" s="196" t="str">
        <x:f>IF(OR(J89="",K89=""),"",MOD(K89-J89,1)*1440)</x:f>
      </x:c>
      <x:c r="M89" s="137" t="str"/>
      <x:c r="N89" s="137" t="str"/>
      <x:c r="O89" s="137" t="str"/>
      <x:c r="P89" s="137" t="str"/>
      <x:c r="Q89" s="137" t="str"/>
      <x:c r="R89" s="137" t="str"/>
      <x:c r="S89" s="137" t="str"/>
      <x:c r="T89" s="138" t="str"/>
      <x:c r="U89" s="138" t="str"/>
      <x:c r="V89" s="137" t="str"/>
      <x:c r="W89" s="137" t="str"/>
      <x:c r="X89" s="199" t="str"/>
    </x:row>
    <x:row r="90">
      <x:c r="A90" s="137" t="str"/>
      <x:c r="B90" s="138" t="str"/>
      <x:c r="C90" s="137" t="str"/>
      <x:c r="D90" s="137" t="str"/>
      <x:c r="E90" s="137" t="str"/>
      <x:c r="F90" s="137" t="str"/>
      <x:c r="G90" s="137" t="str"/>
      <x:c r="H90" s="137" t="str"/>
      <x:c r="I90" s="137" t="str"/>
      <x:c r="J90" s="160" t="str"/>
      <x:c r="K90" s="160" t="str"/>
      <x:c r="L90" s="196" t="str">
        <x:f>IF(OR(J90="",K90=""),"",MOD(K90-J90,1)*1440)</x:f>
      </x:c>
      <x:c r="M90" s="137" t="str"/>
      <x:c r="N90" s="137" t="str"/>
      <x:c r="O90" s="137" t="str"/>
      <x:c r="P90" s="137" t="str"/>
      <x:c r="Q90" s="137" t="str"/>
      <x:c r="R90" s="137" t="str"/>
      <x:c r="S90" s="137" t="str"/>
      <x:c r="T90" s="138" t="str"/>
      <x:c r="U90" s="138" t="str"/>
      <x:c r="V90" s="137" t="str"/>
      <x:c r="W90" s="137" t="str"/>
      <x:c r="X90" s="199" t="str"/>
    </x:row>
    <x:row r="91">
      <x:c r="A91" s="137" t="str"/>
      <x:c r="B91" s="138" t="str"/>
      <x:c r="C91" s="137" t="str"/>
      <x:c r="D91" s="137" t="str"/>
      <x:c r="E91" s="137" t="str"/>
      <x:c r="F91" s="137" t="str"/>
      <x:c r="G91" s="137" t="str"/>
      <x:c r="H91" s="137" t="str"/>
      <x:c r="I91" s="137" t="str"/>
      <x:c r="J91" s="160" t="str"/>
      <x:c r="K91" s="160" t="str"/>
      <x:c r="L91" s="196" t="str">
        <x:f>IF(OR(J91="",K91=""),"",MOD(K91-J91,1)*1440)</x:f>
      </x:c>
      <x:c r="M91" s="137" t="str"/>
      <x:c r="N91" s="137" t="str"/>
      <x:c r="O91" s="137" t="str"/>
      <x:c r="P91" s="137" t="str"/>
      <x:c r="Q91" s="137" t="str"/>
      <x:c r="R91" s="137" t="str"/>
      <x:c r="S91" s="137" t="str"/>
      <x:c r="T91" s="138" t="str"/>
      <x:c r="U91" s="138" t="str"/>
      <x:c r="V91" s="137" t="str"/>
      <x:c r="W91" s="137" t="str"/>
      <x:c r="X91" s="199" t="str"/>
    </x:row>
    <x:row r="92">
      <x:c r="A92" s="137" t="str"/>
      <x:c r="B92" s="138" t="str"/>
      <x:c r="C92" s="137" t="str"/>
      <x:c r="D92" s="137" t="str"/>
      <x:c r="E92" s="137" t="str"/>
      <x:c r="F92" s="137" t="str"/>
      <x:c r="G92" s="137" t="str"/>
      <x:c r="H92" s="137" t="str"/>
      <x:c r="I92" s="137" t="str"/>
      <x:c r="J92" s="160" t="str"/>
      <x:c r="K92" s="160" t="str"/>
      <x:c r="L92" s="196" t="str">
        <x:f>IF(OR(J92="",K92=""),"",MOD(K92-J92,1)*1440)</x:f>
      </x:c>
      <x:c r="M92" s="137" t="str"/>
      <x:c r="N92" s="137" t="str"/>
      <x:c r="O92" s="137" t="str"/>
      <x:c r="P92" s="137" t="str"/>
      <x:c r="Q92" s="137" t="str"/>
      <x:c r="R92" s="137" t="str"/>
      <x:c r="S92" s="137" t="str"/>
      <x:c r="T92" s="138" t="str"/>
      <x:c r="U92" s="138" t="str"/>
      <x:c r="V92" s="137" t="str"/>
      <x:c r="W92" s="137" t="str"/>
      <x:c r="X92" s="199" t="str"/>
    </x:row>
    <x:row r="93">
      <x:c r="A93" s="137" t="str"/>
      <x:c r="B93" s="138" t="str"/>
      <x:c r="C93" s="137" t="str"/>
      <x:c r="D93" s="137" t="str"/>
      <x:c r="E93" s="137" t="str"/>
      <x:c r="F93" s="137" t="str"/>
      <x:c r="G93" s="137" t="str"/>
      <x:c r="H93" s="137" t="str"/>
      <x:c r="I93" s="137" t="str"/>
      <x:c r="J93" s="160" t="str"/>
      <x:c r="K93" s="160" t="str"/>
      <x:c r="L93" s="196" t="str">
        <x:f>IF(OR(J93="",K93=""),"",MOD(K93-J93,1)*1440)</x:f>
      </x:c>
      <x:c r="M93" s="137" t="str"/>
      <x:c r="N93" s="137" t="str"/>
      <x:c r="O93" s="137" t="str"/>
      <x:c r="P93" s="137" t="str"/>
      <x:c r="Q93" s="137" t="str"/>
      <x:c r="R93" s="137" t="str"/>
      <x:c r="S93" s="137" t="str"/>
      <x:c r="T93" s="138" t="str"/>
      <x:c r="U93" s="138" t="str"/>
      <x:c r="V93" s="137" t="str"/>
      <x:c r="W93" s="137" t="str"/>
      <x:c r="X93" s="199" t="str"/>
    </x:row>
    <x:row r="94">
      <x:c r="A94" s="137" t="str"/>
      <x:c r="B94" s="138" t="str"/>
      <x:c r="C94" s="137" t="str"/>
      <x:c r="D94" s="137" t="str"/>
      <x:c r="E94" s="137" t="str"/>
      <x:c r="F94" s="137" t="str"/>
      <x:c r="G94" s="137" t="str"/>
      <x:c r="H94" s="137" t="str"/>
      <x:c r="I94" s="137" t="str"/>
      <x:c r="J94" s="160" t="str"/>
      <x:c r="K94" s="160" t="str"/>
      <x:c r="L94" s="196" t="str">
        <x:f>IF(OR(J94="",K94=""),"",MOD(K94-J94,1)*1440)</x:f>
      </x:c>
      <x:c r="M94" s="137" t="str"/>
      <x:c r="N94" s="137" t="str"/>
      <x:c r="O94" s="137" t="str"/>
      <x:c r="P94" s="137" t="str"/>
      <x:c r="Q94" s="137" t="str"/>
      <x:c r="R94" s="137" t="str"/>
      <x:c r="S94" s="137" t="str"/>
      <x:c r="T94" s="138" t="str"/>
      <x:c r="U94" s="138" t="str"/>
      <x:c r="V94" s="137" t="str"/>
      <x:c r="W94" s="137" t="str"/>
      <x:c r="X94" s="199" t="str"/>
    </x:row>
    <x:row r="95">
      <x:c r="A95" s="137" t="str"/>
      <x:c r="B95" s="138" t="str"/>
      <x:c r="C95" s="137" t="str"/>
      <x:c r="D95" s="137" t="str"/>
      <x:c r="E95" s="137" t="str"/>
      <x:c r="F95" s="137" t="str"/>
      <x:c r="G95" s="137" t="str"/>
      <x:c r="H95" s="137" t="str"/>
      <x:c r="I95" s="137" t="str"/>
      <x:c r="J95" s="160" t="str"/>
      <x:c r="K95" s="160" t="str"/>
      <x:c r="L95" s="196" t="str">
        <x:f>IF(OR(J95="",K95=""),"",MOD(K95-J95,1)*1440)</x:f>
      </x:c>
      <x:c r="M95" s="137" t="str"/>
      <x:c r="N95" s="137" t="str"/>
      <x:c r="O95" s="137" t="str"/>
      <x:c r="P95" s="137" t="str"/>
      <x:c r="Q95" s="137" t="str"/>
      <x:c r="R95" s="137" t="str"/>
      <x:c r="S95" s="137" t="str"/>
      <x:c r="T95" s="138" t="str"/>
      <x:c r="U95" s="138" t="str"/>
      <x:c r="V95" s="137" t="str"/>
      <x:c r="W95" s="137" t="str"/>
      <x:c r="X95" s="199" t="str"/>
    </x:row>
    <x:row r="96">
      <x:c r="A96" s="137" t="str"/>
      <x:c r="B96" s="138" t="str"/>
      <x:c r="C96" s="137" t="str"/>
      <x:c r="D96" s="137" t="str"/>
      <x:c r="E96" s="137" t="str"/>
      <x:c r="F96" s="137" t="str"/>
      <x:c r="G96" s="137" t="str"/>
      <x:c r="H96" s="137" t="str"/>
      <x:c r="I96" s="137" t="str"/>
      <x:c r="J96" s="160" t="str"/>
      <x:c r="K96" s="160" t="str"/>
      <x:c r="L96" s="196" t="str">
        <x:f>IF(OR(J96="",K96=""),"",MOD(K96-J96,1)*1440)</x:f>
      </x:c>
      <x:c r="M96" s="137" t="str"/>
      <x:c r="N96" s="137" t="str"/>
      <x:c r="O96" s="137" t="str"/>
      <x:c r="P96" s="137" t="str"/>
      <x:c r="Q96" s="137" t="str"/>
      <x:c r="R96" s="137" t="str"/>
      <x:c r="S96" s="137" t="str"/>
      <x:c r="T96" s="138" t="str"/>
      <x:c r="U96" s="138" t="str"/>
      <x:c r="V96" s="137" t="str"/>
      <x:c r="W96" s="137" t="str"/>
      <x:c r="X96" s="199" t="str"/>
    </x:row>
    <x:row r="97">
      <x:c r="A97" s="137" t="str"/>
      <x:c r="B97" s="138" t="str"/>
      <x:c r="C97" s="137" t="str"/>
      <x:c r="D97" s="137" t="str"/>
      <x:c r="E97" s="137" t="str"/>
      <x:c r="F97" s="137" t="str"/>
      <x:c r="G97" s="137" t="str"/>
      <x:c r="H97" s="137" t="str"/>
      <x:c r="I97" s="137" t="str"/>
      <x:c r="J97" s="160" t="str"/>
      <x:c r="K97" s="160" t="str"/>
      <x:c r="L97" s="196" t="str">
        <x:f>IF(OR(J97="",K97=""),"",MOD(K97-J97,1)*1440)</x:f>
      </x:c>
      <x:c r="M97" s="137" t="str"/>
      <x:c r="N97" s="137" t="str"/>
      <x:c r="O97" s="137" t="str"/>
      <x:c r="P97" s="137" t="str"/>
      <x:c r="Q97" s="137" t="str"/>
      <x:c r="R97" s="137" t="str"/>
      <x:c r="S97" s="137" t="str"/>
      <x:c r="T97" s="138" t="str"/>
      <x:c r="U97" s="138" t="str"/>
      <x:c r="V97" s="137" t="str"/>
      <x:c r="W97" s="137" t="str"/>
      <x:c r="X97" s="199" t="str"/>
    </x:row>
    <x:row r="98">
      <x:c r="A98" s="137" t="str"/>
      <x:c r="B98" s="138" t="str"/>
      <x:c r="C98" s="137" t="str"/>
      <x:c r="D98" s="137" t="str"/>
      <x:c r="E98" s="137" t="str"/>
      <x:c r="F98" s="137" t="str"/>
      <x:c r="G98" s="137" t="str"/>
      <x:c r="H98" s="137" t="str"/>
      <x:c r="I98" s="137" t="str"/>
      <x:c r="J98" s="160" t="str"/>
      <x:c r="K98" s="160" t="str"/>
      <x:c r="L98" s="196" t="str">
        <x:f>IF(OR(J98="",K98=""),"",MOD(K98-J98,1)*1440)</x:f>
      </x:c>
      <x:c r="M98" s="137" t="str"/>
      <x:c r="N98" s="137" t="str"/>
      <x:c r="O98" s="137" t="str"/>
      <x:c r="P98" s="137" t="str"/>
      <x:c r="Q98" s="137" t="str"/>
      <x:c r="R98" s="137" t="str"/>
      <x:c r="S98" s="137" t="str"/>
      <x:c r="T98" s="138" t="str"/>
      <x:c r="U98" s="138" t="str"/>
      <x:c r="V98" s="137" t="str"/>
      <x:c r="W98" s="137" t="str"/>
      <x:c r="X98" s="199" t="str"/>
    </x:row>
    <x:row r="99">
      <x:c r="A99" s="137" t="str"/>
      <x:c r="B99" s="138" t="str"/>
      <x:c r="C99" s="137" t="str"/>
      <x:c r="D99" s="137" t="str"/>
      <x:c r="E99" s="137" t="str"/>
      <x:c r="F99" s="137" t="str"/>
      <x:c r="G99" s="137" t="str"/>
      <x:c r="H99" s="137" t="str"/>
      <x:c r="I99" s="137" t="str"/>
      <x:c r="J99" s="160" t="str"/>
      <x:c r="K99" s="160" t="str"/>
      <x:c r="L99" s="196" t="str">
        <x:f>IF(OR(J99="",K99=""),"",MOD(K99-J99,1)*1440)</x:f>
      </x:c>
      <x:c r="M99" s="137" t="str"/>
      <x:c r="N99" s="137" t="str"/>
      <x:c r="O99" s="137" t="str"/>
      <x:c r="P99" s="137" t="str"/>
      <x:c r="Q99" s="137" t="str"/>
      <x:c r="R99" s="137" t="str"/>
      <x:c r="S99" s="137" t="str"/>
      <x:c r="T99" s="138" t="str"/>
      <x:c r="U99" s="138" t="str"/>
      <x:c r="V99" s="137" t="str"/>
      <x:c r="W99" s="137" t="str"/>
      <x:c r="X99" s="199" t="str"/>
    </x:row>
    <x:row r="100">
      <x:c r="A100" s="137" t="str"/>
      <x:c r="B100" s="138" t="str"/>
      <x:c r="C100" s="137" t="str"/>
      <x:c r="D100" s="137" t="str"/>
      <x:c r="E100" s="137" t="str"/>
      <x:c r="F100" s="137" t="str"/>
      <x:c r="G100" s="137" t="str"/>
      <x:c r="H100" s="137" t="str"/>
      <x:c r="I100" s="137" t="str"/>
      <x:c r="J100" s="160" t="str"/>
      <x:c r="K100" s="160" t="str"/>
      <x:c r="L100" s="196" t="str">
        <x:f>IF(OR(J100="",K100=""),"",MOD(K100-J100,1)*1440)</x:f>
      </x:c>
      <x:c r="M100" s="137" t="str"/>
      <x:c r="N100" s="137" t="str"/>
      <x:c r="O100" s="137" t="str"/>
      <x:c r="P100" s="137" t="str"/>
      <x:c r="Q100" s="137" t="str"/>
      <x:c r="R100" s="137" t="str"/>
      <x:c r="S100" s="137" t="str"/>
      <x:c r="T100" s="138" t="str"/>
      <x:c r="U100" s="138" t="str"/>
      <x:c r="V100" s="137" t="str"/>
      <x:c r="W100" s="137" t="str"/>
      <x:c r="X100" s="199" t="str"/>
    </x:row>
    <x:row r="101">
      <x:c r="A101" s="137" t="str"/>
      <x:c r="B101" s="138" t="str"/>
      <x:c r="C101" s="137" t="str"/>
      <x:c r="D101" s="137" t="str"/>
      <x:c r="E101" s="137" t="str"/>
      <x:c r="F101" s="137" t="str"/>
      <x:c r="G101" s="137" t="str"/>
      <x:c r="H101" s="137" t="str"/>
      <x:c r="I101" s="137" t="str"/>
      <x:c r="J101" s="160" t="str"/>
      <x:c r="K101" s="160" t="str"/>
      <x:c r="L101" s="196" t="str">
        <x:f>IF(OR(J101="",K101=""),"",MOD(K101-J101,1)*1440)</x:f>
      </x:c>
      <x:c r="M101" s="137" t="str"/>
      <x:c r="N101" s="137" t="str"/>
      <x:c r="O101" s="137" t="str"/>
      <x:c r="P101" s="137" t="str"/>
      <x:c r="Q101" s="137" t="str"/>
      <x:c r="R101" s="137" t="str"/>
      <x:c r="S101" s="137" t="str"/>
      <x:c r="T101" s="138" t="str"/>
      <x:c r="U101" s="138" t="str"/>
      <x:c r="V101" s="137" t="str"/>
      <x:c r="W101" s="137" t="str"/>
      <x:c r="X101" s="199" t="str"/>
    </x:row>
    <x:row r="102">
      <x:c r="A102" s="137" t="str"/>
      <x:c r="B102" s="138" t="str"/>
      <x:c r="C102" s="137" t="str"/>
      <x:c r="D102" s="137" t="str"/>
      <x:c r="E102" s="137" t="str"/>
      <x:c r="F102" s="137" t="str"/>
      <x:c r="G102" s="137" t="str"/>
      <x:c r="H102" s="137" t="str"/>
      <x:c r="I102" s="137" t="str"/>
      <x:c r="J102" s="160" t="str"/>
      <x:c r="K102" s="160" t="str"/>
      <x:c r="L102" s="196" t="str">
        <x:f>IF(OR(J102="",K102=""),"",MOD(K102-J102,1)*1440)</x:f>
      </x:c>
      <x:c r="M102" s="137" t="str"/>
      <x:c r="N102" s="137" t="str"/>
      <x:c r="O102" s="137" t="str"/>
      <x:c r="P102" s="137" t="str"/>
      <x:c r="Q102" s="137" t="str"/>
      <x:c r="R102" s="137" t="str"/>
      <x:c r="S102" s="137" t="str"/>
      <x:c r="T102" s="138" t="str"/>
      <x:c r="U102" s="138" t="str"/>
      <x:c r="V102" s="137" t="str"/>
      <x:c r="W102" s="137" t="str"/>
      <x:c r="X102" s="199" t="str"/>
    </x:row>
    <x:row r="103">
      <x:c r="A103" s="137" t="str"/>
      <x:c r="B103" s="138" t="str"/>
      <x:c r="C103" s="137" t="str"/>
      <x:c r="D103" s="137" t="str"/>
      <x:c r="E103" s="137" t="str"/>
      <x:c r="F103" s="137" t="str"/>
      <x:c r="G103" s="137" t="str"/>
      <x:c r="H103" s="137" t="str"/>
      <x:c r="I103" s="137" t="str"/>
      <x:c r="J103" s="160" t="str"/>
      <x:c r="K103" s="160" t="str"/>
      <x:c r="L103" s="196" t="str">
        <x:f>IF(OR(J103="",K103=""),"",MOD(K103-J103,1)*1440)</x:f>
      </x:c>
      <x:c r="M103" s="137" t="str"/>
      <x:c r="N103" s="137" t="str"/>
      <x:c r="O103" s="137" t="str"/>
      <x:c r="P103" s="137" t="str"/>
      <x:c r="Q103" s="137" t="str"/>
      <x:c r="R103" s="137" t="str"/>
      <x:c r="S103" s="137" t="str"/>
      <x:c r="T103" s="138" t="str"/>
      <x:c r="U103" s="138" t="str"/>
      <x:c r="V103" s="137" t="str"/>
      <x:c r="W103" s="137" t="str"/>
      <x:c r="X103" s="199" t="str"/>
    </x:row>
    <x:row r="104">
      <x:c r="A104" s="137" t="str"/>
      <x:c r="B104" s="138" t="str"/>
      <x:c r="C104" s="137" t="str"/>
      <x:c r="D104" s="137" t="str"/>
      <x:c r="E104" s="137" t="str"/>
      <x:c r="F104" s="137" t="str"/>
      <x:c r="G104" s="137" t="str"/>
      <x:c r="H104" s="137" t="str"/>
      <x:c r="I104" s="137" t="str"/>
      <x:c r="J104" s="160" t="str"/>
      <x:c r="K104" s="160" t="str"/>
      <x:c r="L104" s="196" t="str">
        <x:f>IF(OR(J104="",K104=""),"",MOD(K104-J104,1)*1440)</x:f>
      </x:c>
      <x:c r="M104" s="137" t="str"/>
      <x:c r="N104" s="137" t="str"/>
      <x:c r="O104" s="137" t="str"/>
      <x:c r="P104" s="137" t="str"/>
      <x:c r="Q104" s="137" t="str"/>
      <x:c r="R104" s="137" t="str"/>
      <x:c r="S104" s="137" t="str"/>
      <x:c r="T104" s="138" t="str"/>
      <x:c r="U104" s="138" t="str"/>
      <x:c r="V104" s="137" t="str"/>
      <x:c r="W104" s="137" t="str"/>
      <x:c r="X104" s="199" t="str"/>
    </x:row>
    <x:row r="105">
      <x:c r="A105" s="137" t="str"/>
      <x:c r="B105" s="138" t="str"/>
      <x:c r="C105" s="137" t="str"/>
      <x:c r="D105" s="137" t="str"/>
      <x:c r="E105" s="137" t="str"/>
      <x:c r="F105" s="137" t="str"/>
      <x:c r="G105" s="137" t="str"/>
      <x:c r="H105" s="137" t="str"/>
      <x:c r="I105" s="137" t="str"/>
      <x:c r="J105" s="160" t="str"/>
      <x:c r="K105" s="160" t="str"/>
      <x:c r="L105" s="196" t="str">
        <x:f>IF(OR(J105="",K105=""),"",MOD(K105-J105,1)*1440)</x:f>
      </x:c>
      <x:c r="M105" s="137" t="str"/>
      <x:c r="N105" s="137" t="str"/>
      <x:c r="O105" s="137" t="str"/>
      <x:c r="P105" s="137" t="str"/>
      <x:c r="Q105" s="137" t="str"/>
      <x:c r="R105" s="137" t="str"/>
      <x:c r="S105" s="137" t="str"/>
      <x:c r="T105" s="138" t="str"/>
      <x:c r="U105" s="138" t="str"/>
      <x:c r="V105" s="137" t="str"/>
      <x:c r="W105" s="137" t="str"/>
      <x:c r="X105" s="199" t="str"/>
    </x:row>
    <x:row r="106">
      <x:c r="A106" s="137" t="str"/>
      <x:c r="B106" s="138" t="str"/>
      <x:c r="C106" s="137" t="str"/>
      <x:c r="D106" s="137" t="str"/>
      <x:c r="E106" s="137" t="str"/>
      <x:c r="F106" s="137" t="str"/>
      <x:c r="G106" s="137" t="str"/>
      <x:c r="H106" s="137" t="str"/>
      <x:c r="I106" s="137" t="str"/>
      <x:c r="J106" s="160" t="str"/>
      <x:c r="K106" s="160" t="str"/>
      <x:c r="L106" s="196" t="str">
        <x:f>IF(OR(J106="",K106=""),"",MOD(K106-J106,1)*1440)</x:f>
      </x:c>
      <x:c r="M106" s="137" t="str"/>
      <x:c r="N106" s="137" t="str"/>
      <x:c r="O106" s="137" t="str"/>
      <x:c r="P106" s="137" t="str"/>
      <x:c r="Q106" s="137" t="str"/>
      <x:c r="R106" s="137" t="str"/>
      <x:c r="S106" s="137" t="str"/>
      <x:c r="T106" s="138" t="str"/>
      <x:c r="U106" s="138" t="str"/>
      <x:c r="V106" s="137" t="str"/>
      <x:c r="W106" s="137" t="str"/>
      <x:c r="X106" s="199" t="str"/>
    </x:row>
    <x:row r="107">
      <x:c r="A107" s="137" t="str"/>
      <x:c r="B107" s="138" t="str"/>
      <x:c r="C107" s="137" t="str"/>
      <x:c r="D107" s="137" t="str"/>
      <x:c r="E107" s="137" t="str"/>
      <x:c r="F107" s="137" t="str"/>
      <x:c r="G107" s="137" t="str"/>
      <x:c r="H107" s="137" t="str"/>
      <x:c r="I107" s="137" t="str"/>
      <x:c r="J107" s="160" t="str"/>
      <x:c r="K107" s="160" t="str"/>
      <x:c r="L107" s="196" t="str">
        <x:f>IF(OR(J107="",K107=""),"",MOD(K107-J107,1)*1440)</x:f>
      </x:c>
      <x:c r="M107" s="137" t="str"/>
      <x:c r="N107" s="137" t="str"/>
      <x:c r="O107" s="137" t="str"/>
      <x:c r="P107" s="137" t="str"/>
      <x:c r="Q107" s="137" t="str"/>
      <x:c r="R107" s="137" t="str"/>
      <x:c r="S107" s="137" t="str"/>
      <x:c r="T107" s="138" t="str"/>
      <x:c r="U107" s="138" t="str"/>
      <x:c r="V107" s="137" t="str"/>
      <x:c r="W107" s="137" t="str"/>
      <x:c r="X107" s="199" t="str"/>
    </x:row>
    <x:row r="108">
      <x:c r="A108" s="137" t="str"/>
      <x:c r="B108" s="138" t="str"/>
      <x:c r="C108" s="137" t="str"/>
      <x:c r="D108" s="137" t="str"/>
      <x:c r="E108" s="137" t="str"/>
      <x:c r="F108" s="137" t="str"/>
      <x:c r="G108" s="137" t="str"/>
      <x:c r="H108" s="137" t="str"/>
      <x:c r="I108" s="137" t="str"/>
      <x:c r="J108" s="160" t="str"/>
      <x:c r="K108" s="160" t="str"/>
      <x:c r="L108" s="196" t="str">
        <x:f>IF(OR(J108="",K108=""),"",MOD(K108-J108,1)*1440)</x:f>
      </x:c>
      <x:c r="M108" s="137" t="str"/>
      <x:c r="N108" s="137" t="str"/>
      <x:c r="O108" s="137" t="str"/>
      <x:c r="P108" s="137" t="str"/>
      <x:c r="Q108" s="137" t="str"/>
      <x:c r="R108" s="137" t="str"/>
      <x:c r="S108" s="137" t="str"/>
      <x:c r="T108" s="138" t="str"/>
      <x:c r="U108" s="138" t="str"/>
      <x:c r="V108" s="137" t="str"/>
      <x:c r="W108" s="137" t="str"/>
      <x:c r="X108" s="199" t="str"/>
    </x:row>
    <x:row r="109">
      <x:c r="A109" s="137" t="str"/>
      <x:c r="B109" s="138" t="str"/>
      <x:c r="C109" s="137" t="str"/>
      <x:c r="D109" s="137" t="str"/>
      <x:c r="E109" s="137" t="str"/>
      <x:c r="F109" s="137" t="str"/>
      <x:c r="G109" s="137" t="str"/>
      <x:c r="H109" s="137" t="str"/>
      <x:c r="I109" s="137" t="str"/>
      <x:c r="J109" s="160" t="str"/>
      <x:c r="K109" s="160" t="str"/>
      <x:c r="L109" s="196" t="str">
        <x:f>IF(OR(J109="",K109=""),"",MOD(K109-J109,1)*1440)</x:f>
      </x:c>
      <x:c r="M109" s="137" t="str"/>
      <x:c r="N109" s="137" t="str"/>
      <x:c r="O109" s="137" t="str"/>
      <x:c r="P109" s="137" t="str"/>
      <x:c r="Q109" s="137" t="str"/>
      <x:c r="R109" s="137" t="str"/>
      <x:c r="S109" s="137" t="str"/>
      <x:c r="T109" s="138" t="str"/>
      <x:c r="U109" s="138" t="str"/>
      <x:c r="V109" s="137" t="str"/>
      <x:c r="W109" s="137" t="str"/>
      <x:c r="X109" s="199" t="str"/>
    </x:row>
    <x:row r="110">
      <x:c r="A110" s="137" t="str"/>
      <x:c r="B110" s="138" t="str"/>
      <x:c r="C110" s="137" t="str"/>
      <x:c r="D110" s="137" t="str"/>
      <x:c r="E110" s="137" t="str"/>
      <x:c r="F110" s="137" t="str"/>
      <x:c r="G110" s="137" t="str"/>
      <x:c r="H110" s="137" t="str"/>
      <x:c r="I110" s="137" t="str"/>
      <x:c r="J110" s="160" t="str"/>
      <x:c r="K110" s="160" t="str"/>
      <x:c r="L110" s="196" t="str">
        <x:f>IF(OR(J110="",K110=""),"",MOD(K110-J110,1)*1440)</x:f>
      </x:c>
      <x:c r="M110" s="137" t="str"/>
      <x:c r="N110" s="137" t="str"/>
      <x:c r="O110" s="137" t="str"/>
      <x:c r="P110" s="137" t="str"/>
      <x:c r="Q110" s="137" t="str"/>
      <x:c r="R110" s="137" t="str"/>
      <x:c r="S110" s="137" t="str"/>
      <x:c r="T110" s="138" t="str"/>
      <x:c r="U110" s="138" t="str"/>
      <x:c r="V110" s="137" t="str"/>
      <x:c r="W110" s="137" t="str"/>
      <x:c r="X110" s="199" t="str"/>
    </x:row>
    <x:row r="111">
      <x:c r="A111" s="137" t="str"/>
      <x:c r="B111" s="138" t="str"/>
      <x:c r="C111" s="137" t="str"/>
      <x:c r="D111" s="137" t="str"/>
      <x:c r="E111" s="137" t="str"/>
      <x:c r="F111" s="137" t="str"/>
      <x:c r="G111" s="137" t="str"/>
      <x:c r="H111" s="137" t="str"/>
      <x:c r="I111" s="137" t="str"/>
      <x:c r="J111" s="160" t="str"/>
      <x:c r="K111" s="160" t="str"/>
      <x:c r="L111" s="196" t="str">
        <x:f>IF(OR(J111="",K111=""),"",MOD(K111-J111,1)*1440)</x:f>
      </x:c>
      <x:c r="M111" s="137" t="str"/>
      <x:c r="N111" s="137" t="str"/>
      <x:c r="O111" s="137" t="str"/>
      <x:c r="P111" s="137" t="str"/>
      <x:c r="Q111" s="137" t="str"/>
      <x:c r="R111" s="137" t="str"/>
      <x:c r="S111" s="137" t="str"/>
      <x:c r="T111" s="138" t="str"/>
      <x:c r="U111" s="138" t="str"/>
      <x:c r="V111" s="137" t="str"/>
      <x:c r="W111" s="137" t="str"/>
      <x:c r="X111" s="199" t="str"/>
    </x:row>
    <x:row r="112">
      <x:c r="A112" s="137" t="str"/>
      <x:c r="B112" s="138" t="str"/>
      <x:c r="C112" s="137" t="str"/>
      <x:c r="D112" s="137" t="str"/>
      <x:c r="E112" s="137" t="str"/>
      <x:c r="F112" s="137" t="str"/>
      <x:c r="G112" s="137" t="str"/>
      <x:c r="H112" s="137" t="str"/>
      <x:c r="I112" s="137" t="str"/>
      <x:c r="J112" s="160" t="str"/>
      <x:c r="K112" s="160" t="str"/>
      <x:c r="L112" s="196" t="str">
        <x:f>IF(OR(J112="",K112=""),"",MOD(K112-J112,1)*1440)</x:f>
      </x:c>
      <x:c r="M112" s="137" t="str"/>
      <x:c r="N112" s="137" t="str"/>
      <x:c r="O112" s="137" t="str"/>
      <x:c r="P112" s="137" t="str"/>
      <x:c r="Q112" s="137" t="str"/>
      <x:c r="R112" s="137" t="str"/>
      <x:c r="S112" s="137" t="str"/>
      <x:c r="T112" s="138" t="str"/>
      <x:c r="U112" s="138" t="str"/>
      <x:c r="V112" s="137" t="str"/>
      <x:c r="W112" s="137" t="str"/>
      <x:c r="X112" s="199" t="str"/>
    </x:row>
    <x:row r="113">
      <x:c r="A113" s="137" t="str"/>
      <x:c r="B113" s="138" t="str"/>
      <x:c r="C113" s="137" t="str"/>
      <x:c r="D113" s="137" t="str"/>
      <x:c r="E113" s="137" t="str"/>
      <x:c r="F113" s="137" t="str"/>
      <x:c r="G113" s="137" t="str"/>
      <x:c r="H113" s="137" t="str"/>
      <x:c r="I113" s="137" t="str"/>
      <x:c r="J113" s="160" t="str"/>
      <x:c r="K113" s="160" t="str"/>
      <x:c r="L113" s="196" t="str">
        <x:f>IF(OR(J113="",K113=""),"",MOD(K113-J113,1)*1440)</x:f>
      </x:c>
      <x:c r="M113" s="137" t="str"/>
      <x:c r="N113" s="137" t="str"/>
      <x:c r="O113" s="137" t="str"/>
      <x:c r="P113" s="137" t="str"/>
      <x:c r="Q113" s="137" t="str"/>
      <x:c r="R113" s="137" t="str"/>
      <x:c r="S113" s="137" t="str"/>
      <x:c r="T113" s="138" t="str"/>
      <x:c r="U113" s="138" t="str"/>
      <x:c r="V113" s="137" t="str"/>
      <x:c r="W113" s="137" t="str"/>
      <x:c r="X113" s="199" t="str"/>
    </x:row>
    <x:row r="114">
      <x:c r="A114" s="137" t="str"/>
      <x:c r="B114" s="138" t="str"/>
      <x:c r="C114" s="137" t="str"/>
      <x:c r="D114" s="137" t="str"/>
      <x:c r="E114" s="137" t="str"/>
      <x:c r="F114" s="137" t="str"/>
      <x:c r="G114" s="137" t="str"/>
      <x:c r="H114" s="137" t="str"/>
      <x:c r="I114" s="137" t="str"/>
      <x:c r="J114" s="160" t="str"/>
      <x:c r="K114" s="160" t="str"/>
      <x:c r="L114" s="196" t="str">
        <x:f>IF(OR(J114="",K114=""),"",MOD(K114-J114,1)*1440)</x:f>
      </x:c>
      <x:c r="M114" s="137" t="str"/>
      <x:c r="N114" s="137" t="str"/>
      <x:c r="O114" s="137" t="str"/>
      <x:c r="P114" s="137" t="str"/>
      <x:c r="Q114" s="137" t="str"/>
      <x:c r="R114" s="137" t="str"/>
      <x:c r="S114" s="137" t="str"/>
      <x:c r="T114" s="138" t="str"/>
      <x:c r="U114" s="138" t="str"/>
      <x:c r="V114" s="137" t="str"/>
      <x:c r="W114" s="137" t="str"/>
      <x:c r="X114" s="199" t="str"/>
    </x:row>
    <x:row r="115">
      <x:c r="A115" s="137" t="str"/>
      <x:c r="B115" s="138" t="str"/>
      <x:c r="C115" s="137" t="str"/>
      <x:c r="D115" s="137" t="str"/>
      <x:c r="E115" s="137" t="str"/>
      <x:c r="F115" s="137" t="str"/>
      <x:c r="G115" s="137" t="str"/>
      <x:c r="H115" s="137" t="str"/>
      <x:c r="I115" s="137" t="str"/>
      <x:c r="J115" s="160" t="str"/>
      <x:c r="K115" s="160" t="str"/>
      <x:c r="L115" s="196" t="str">
        <x:f>IF(OR(J115="",K115=""),"",MOD(K115-J115,1)*1440)</x:f>
      </x:c>
      <x:c r="M115" s="137" t="str"/>
      <x:c r="N115" s="137" t="str"/>
      <x:c r="O115" s="137" t="str"/>
      <x:c r="P115" s="137" t="str"/>
      <x:c r="Q115" s="137" t="str"/>
      <x:c r="R115" s="137" t="str"/>
      <x:c r="S115" s="137" t="str"/>
      <x:c r="T115" s="138" t="str"/>
      <x:c r="U115" s="138" t="str"/>
      <x:c r="V115" s="137" t="str"/>
      <x:c r="W115" s="137" t="str"/>
      <x:c r="X115" s="199" t="str"/>
    </x:row>
    <x:row r="116">
      <x:c r="A116" s="137" t="str"/>
      <x:c r="B116" s="138" t="str"/>
      <x:c r="C116" s="137" t="str"/>
      <x:c r="D116" s="137" t="str"/>
      <x:c r="E116" s="137" t="str"/>
      <x:c r="F116" s="137" t="str"/>
      <x:c r="G116" s="137" t="str"/>
      <x:c r="H116" s="137" t="str"/>
      <x:c r="I116" s="137" t="str"/>
      <x:c r="J116" s="160" t="str"/>
      <x:c r="K116" s="160" t="str"/>
      <x:c r="L116" s="196" t="str">
        <x:f>IF(OR(J116="",K116=""),"",MOD(K116-J116,1)*1440)</x:f>
      </x:c>
      <x:c r="M116" s="137" t="str"/>
      <x:c r="N116" s="137" t="str"/>
      <x:c r="O116" s="137" t="str"/>
      <x:c r="P116" s="137" t="str"/>
      <x:c r="Q116" s="137" t="str"/>
      <x:c r="R116" s="137" t="str"/>
      <x:c r="S116" s="137" t="str"/>
      <x:c r="T116" s="138" t="str"/>
      <x:c r="U116" s="138" t="str"/>
      <x:c r="V116" s="137" t="str"/>
      <x:c r="W116" s="137" t="str"/>
      <x:c r="X116" s="199" t="str"/>
    </x:row>
    <x:row r="117">
      <x:c r="A117" s="137" t="str"/>
      <x:c r="B117" s="138" t="str"/>
      <x:c r="C117" s="137" t="str"/>
      <x:c r="D117" s="137" t="str"/>
      <x:c r="E117" s="137" t="str"/>
      <x:c r="F117" s="137" t="str"/>
      <x:c r="G117" s="137" t="str"/>
      <x:c r="H117" s="137" t="str"/>
      <x:c r="I117" s="137" t="str"/>
      <x:c r="J117" s="160" t="str"/>
      <x:c r="K117" s="160" t="str"/>
      <x:c r="L117" s="196" t="str">
        <x:f>IF(OR(J117="",K117=""),"",MOD(K117-J117,1)*1440)</x:f>
      </x:c>
      <x:c r="M117" s="137" t="str"/>
      <x:c r="N117" s="137" t="str"/>
      <x:c r="O117" s="137" t="str"/>
      <x:c r="P117" s="137" t="str"/>
      <x:c r="Q117" s="137" t="str"/>
      <x:c r="R117" s="137" t="str"/>
      <x:c r="S117" s="137" t="str"/>
      <x:c r="T117" s="138" t="str"/>
      <x:c r="U117" s="138" t="str"/>
      <x:c r="V117" s="137" t="str"/>
      <x:c r="W117" s="137" t="str"/>
      <x:c r="X117" s="199" t="str"/>
    </x:row>
    <x:row r="118">
      <x:c r="A118" s="137" t="str"/>
      <x:c r="B118" s="138" t="str"/>
      <x:c r="C118" s="137" t="str"/>
      <x:c r="D118" s="137" t="str"/>
      <x:c r="E118" s="137" t="str"/>
      <x:c r="F118" s="137" t="str"/>
      <x:c r="G118" s="137" t="str"/>
      <x:c r="H118" s="137" t="str"/>
      <x:c r="I118" s="137" t="str"/>
      <x:c r="J118" s="160" t="str"/>
      <x:c r="K118" s="160" t="str"/>
      <x:c r="L118" s="196" t="str">
        <x:f>IF(OR(J118="",K118=""),"",MOD(K118-J118,1)*1440)</x:f>
      </x:c>
      <x:c r="M118" s="137" t="str"/>
      <x:c r="N118" s="137" t="str"/>
      <x:c r="O118" s="137" t="str"/>
      <x:c r="P118" s="137" t="str"/>
      <x:c r="Q118" s="137" t="str"/>
      <x:c r="R118" s="137" t="str"/>
      <x:c r="S118" s="137" t="str"/>
      <x:c r="T118" s="138" t="str"/>
      <x:c r="U118" s="138" t="str"/>
      <x:c r="V118" s="137" t="str"/>
      <x:c r="W118" s="137" t="str"/>
      <x:c r="X118" s="199" t="str"/>
    </x:row>
    <x:row r="119">
      <x:c r="A119" s="137" t="str"/>
      <x:c r="B119" s="138" t="str"/>
      <x:c r="C119" s="137" t="str"/>
      <x:c r="D119" s="137" t="str"/>
      <x:c r="E119" s="137" t="str"/>
      <x:c r="F119" s="137" t="str"/>
      <x:c r="G119" s="137" t="str"/>
      <x:c r="H119" s="137" t="str"/>
      <x:c r="I119" s="137" t="str"/>
      <x:c r="J119" s="160" t="str"/>
      <x:c r="K119" s="160" t="str"/>
      <x:c r="L119" s="196" t="str">
        <x:f>IF(OR(J119="",K119=""),"",MOD(K119-J119,1)*1440)</x:f>
      </x:c>
      <x:c r="M119" s="137" t="str"/>
      <x:c r="N119" s="137" t="str"/>
      <x:c r="O119" s="137" t="str"/>
      <x:c r="P119" s="137" t="str"/>
      <x:c r="Q119" s="137" t="str"/>
      <x:c r="R119" s="137" t="str"/>
      <x:c r="S119" s="137" t="str"/>
      <x:c r="T119" s="138" t="str"/>
      <x:c r="U119" s="138" t="str"/>
      <x:c r="V119" s="137" t="str"/>
      <x:c r="W119" s="137" t="str"/>
      <x:c r="X119" s="199" t="str"/>
    </x:row>
    <x:row r="120">
      <x:c r="A120" s="137" t="str"/>
      <x:c r="B120" s="138" t="str"/>
      <x:c r="C120" s="137" t="str"/>
      <x:c r="D120" s="137" t="str"/>
      <x:c r="E120" s="137" t="str"/>
      <x:c r="F120" s="137" t="str"/>
      <x:c r="G120" s="137" t="str"/>
      <x:c r="H120" s="137" t="str"/>
      <x:c r="I120" s="137" t="str"/>
      <x:c r="J120" s="160" t="str"/>
      <x:c r="K120" s="160" t="str"/>
      <x:c r="L120" s="196" t="str">
        <x:f>IF(OR(J120="",K120=""),"",MOD(K120-J120,1)*1440)</x:f>
      </x:c>
      <x:c r="M120" s="137" t="str"/>
      <x:c r="N120" s="137" t="str"/>
      <x:c r="O120" s="137" t="str"/>
      <x:c r="P120" s="137" t="str"/>
      <x:c r="Q120" s="137" t="str"/>
      <x:c r="R120" s="137" t="str"/>
      <x:c r="S120" s="137" t="str"/>
      <x:c r="T120" s="138" t="str"/>
      <x:c r="U120" s="138" t="str"/>
      <x:c r="V120" s="137" t="str"/>
      <x:c r="W120" s="137" t="str"/>
      <x:c r="X120" s="199" t="str"/>
    </x:row>
    <x:row r="121">
      <x:c r="A121" s="137" t="str"/>
      <x:c r="B121" s="138" t="str"/>
      <x:c r="C121" s="137" t="str"/>
      <x:c r="D121" s="137" t="str"/>
      <x:c r="E121" s="137" t="str"/>
      <x:c r="F121" s="137" t="str"/>
      <x:c r="G121" s="137" t="str"/>
      <x:c r="H121" s="137" t="str"/>
      <x:c r="I121" s="137" t="str"/>
      <x:c r="J121" s="160" t="str"/>
      <x:c r="K121" s="160" t="str"/>
      <x:c r="L121" s="196" t="str">
        <x:f>IF(OR(J121="",K121=""),"",MOD(K121-J121,1)*1440)</x:f>
      </x:c>
      <x:c r="M121" s="137" t="str"/>
      <x:c r="N121" s="137" t="str"/>
      <x:c r="O121" s="137" t="str"/>
      <x:c r="P121" s="137" t="str"/>
      <x:c r="Q121" s="137" t="str"/>
      <x:c r="R121" s="137" t="str"/>
      <x:c r="S121" s="137" t="str"/>
      <x:c r="T121" s="138" t="str"/>
      <x:c r="U121" s="138" t="str"/>
      <x:c r="V121" s="137" t="str"/>
      <x:c r="W121" s="137" t="str"/>
      <x:c r="X121" s="199" t="str"/>
    </x:row>
    <x:row r="122">
      <x:c r="A122" s="137" t="str"/>
      <x:c r="B122" s="138" t="str"/>
      <x:c r="C122" s="137" t="str"/>
      <x:c r="D122" s="137" t="str"/>
      <x:c r="E122" s="137" t="str"/>
      <x:c r="F122" s="137" t="str"/>
      <x:c r="G122" s="137" t="str"/>
      <x:c r="H122" s="137" t="str"/>
      <x:c r="I122" s="137" t="str"/>
      <x:c r="J122" s="160" t="str"/>
      <x:c r="K122" s="160" t="str"/>
      <x:c r="L122" s="196" t="str">
        <x:f>IF(OR(J122="",K122=""),"",MOD(K122-J122,1)*1440)</x:f>
      </x:c>
      <x:c r="M122" s="137" t="str"/>
      <x:c r="N122" s="137" t="str"/>
      <x:c r="O122" s="137" t="str"/>
      <x:c r="P122" s="137" t="str"/>
      <x:c r="Q122" s="137" t="str"/>
      <x:c r="R122" s="137" t="str"/>
      <x:c r="S122" s="137" t="str"/>
      <x:c r="T122" s="138" t="str"/>
      <x:c r="U122" s="138" t="str"/>
      <x:c r="V122" s="137" t="str"/>
      <x:c r="W122" s="137" t="str"/>
      <x:c r="X122" s="199" t="str"/>
    </x:row>
    <x:row r="123">
      <x:c r="A123" s="137" t="str"/>
      <x:c r="B123" s="138" t="str"/>
      <x:c r="C123" s="137" t="str"/>
      <x:c r="D123" s="137" t="str"/>
      <x:c r="E123" s="137" t="str"/>
      <x:c r="F123" s="137" t="str"/>
      <x:c r="G123" s="137" t="str"/>
      <x:c r="H123" s="137" t="str"/>
      <x:c r="I123" s="137" t="str"/>
      <x:c r="J123" s="160" t="str"/>
      <x:c r="K123" s="160" t="str"/>
      <x:c r="L123" s="196" t="str">
        <x:f>IF(OR(J123="",K123=""),"",MOD(K123-J123,1)*1440)</x:f>
      </x:c>
      <x:c r="M123" s="137" t="str"/>
      <x:c r="N123" s="137" t="str"/>
      <x:c r="O123" s="137" t="str"/>
      <x:c r="P123" s="137" t="str"/>
      <x:c r="Q123" s="137" t="str"/>
      <x:c r="R123" s="137" t="str"/>
      <x:c r="S123" s="137" t="str"/>
      <x:c r="T123" s="138" t="str"/>
      <x:c r="U123" s="138" t="str"/>
      <x:c r="V123" s="137" t="str"/>
      <x:c r="W123" s="137" t="str"/>
      <x:c r="X123" s="199" t="str"/>
    </x:row>
    <x:row r="124">
      <x:c r="A124" s="137" t="str"/>
      <x:c r="B124" s="138" t="str"/>
      <x:c r="C124" s="137" t="str"/>
      <x:c r="D124" s="137" t="str"/>
      <x:c r="E124" s="137" t="str"/>
      <x:c r="F124" s="137" t="str"/>
      <x:c r="G124" s="137" t="str"/>
      <x:c r="H124" s="137" t="str"/>
      <x:c r="I124" s="137" t="str"/>
      <x:c r="J124" s="160" t="str"/>
      <x:c r="K124" s="160" t="str"/>
      <x:c r="L124" s="196" t="str">
        <x:f>IF(OR(J124="",K124=""),"",MOD(K124-J124,1)*1440)</x:f>
      </x:c>
      <x:c r="M124" s="137" t="str"/>
      <x:c r="N124" s="137" t="str"/>
      <x:c r="O124" s="137" t="str"/>
      <x:c r="P124" s="137" t="str"/>
      <x:c r="Q124" s="137" t="str"/>
      <x:c r="R124" s="137" t="str"/>
      <x:c r="S124" s="137" t="str"/>
      <x:c r="T124" s="138" t="str"/>
      <x:c r="U124" s="138" t="str"/>
      <x:c r="V124" s="137" t="str"/>
      <x:c r="W124" s="137" t="str"/>
      <x:c r="X124" s="199" t="str"/>
    </x:row>
    <x:row r="125">
      <x:c r="A125" s="137" t="str"/>
      <x:c r="B125" s="138" t="str"/>
      <x:c r="C125" s="137" t="str"/>
      <x:c r="D125" s="137" t="str"/>
      <x:c r="E125" s="137" t="str"/>
      <x:c r="F125" s="137" t="str"/>
      <x:c r="G125" s="137" t="str"/>
      <x:c r="H125" s="137" t="str"/>
      <x:c r="I125" s="137" t="str"/>
      <x:c r="J125" s="160" t="str"/>
      <x:c r="K125" s="160" t="str"/>
      <x:c r="L125" s="196" t="str">
        <x:f>IF(OR(J125="",K125=""),"",MOD(K125-J125,1)*1440)</x:f>
      </x:c>
      <x:c r="M125" s="137" t="str"/>
      <x:c r="N125" s="137" t="str"/>
      <x:c r="O125" s="137" t="str"/>
      <x:c r="P125" s="137" t="str"/>
      <x:c r="Q125" s="137" t="str"/>
      <x:c r="R125" s="137" t="str"/>
      <x:c r="S125" s="137" t="str"/>
      <x:c r="T125" s="138" t="str"/>
      <x:c r="U125" s="138" t="str"/>
      <x:c r="V125" s="137" t="str"/>
      <x:c r="W125" s="137" t="str"/>
      <x:c r="X125" s="199" t="str"/>
    </x:row>
    <x:row r="126">
      <x:c r="A126" s="137" t="str"/>
      <x:c r="B126" s="138" t="str"/>
      <x:c r="C126" s="137" t="str"/>
      <x:c r="D126" s="137" t="str"/>
      <x:c r="E126" s="137" t="str"/>
      <x:c r="F126" s="137" t="str"/>
      <x:c r="G126" s="137" t="str"/>
      <x:c r="H126" s="137" t="str"/>
      <x:c r="I126" s="137" t="str"/>
      <x:c r="J126" s="160" t="str"/>
      <x:c r="K126" s="160" t="str"/>
      <x:c r="L126" s="196" t="str">
        <x:f>IF(OR(J126="",K126=""),"",MOD(K126-J126,1)*1440)</x:f>
      </x:c>
      <x:c r="M126" s="137" t="str"/>
      <x:c r="N126" s="137" t="str"/>
      <x:c r="O126" s="137" t="str"/>
      <x:c r="P126" s="137" t="str"/>
      <x:c r="Q126" s="137" t="str"/>
      <x:c r="R126" s="137" t="str"/>
      <x:c r="S126" s="137" t="str"/>
      <x:c r="T126" s="138" t="str"/>
      <x:c r="U126" s="138" t="str"/>
      <x:c r="V126" s="137" t="str"/>
      <x:c r="W126" s="137" t="str"/>
      <x:c r="X126" s="199" t="str"/>
    </x:row>
    <x:row r="127">
      <x:c r="A127" s="137" t="str"/>
      <x:c r="B127" s="138" t="str"/>
      <x:c r="C127" s="137" t="str"/>
      <x:c r="D127" s="137" t="str"/>
      <x:c r="E127" s="137" t="str"/>
      <x:c r="F127" s="137" t="str"/>
      <x:c r="G127" s="137" t="str"/>
      <x:c r="H127" s="137" t="str"/>
      <x:c r="I127" s="137" t="str"/>
      <x:c r="J127" s="160" t="str"/>
      <x:c r="K127" s="160" t="str"/>
      <x:c r="L127" s="196" t="str">
        <x:f>IF(OR(J127="",K127=""),"",MOD(K127-J127,1)*1440)</x:f>
      </x:c>
      <x:c r="M127" s="137" t="str"/>
      <x:c r="N127" s="137" t="str"/>
      <x:c r="O127" s="137" t="str"/>
      <x:c r="P127" s="137" t="str"/>
      <x:c r="Q127" s="137" t="str"/>
      <x:c r="R127" s="137" t="str"/>
      <x:c r="S127" s="137" t="str"/>
      <x:c r="T127" s="138" t="str"/>
      <x:c r="U127" s="138" t="str"/>
      <x:c r="V127" s="137" t="str"/>
      <x:c r="W127" s="137" t="str"/>
      <x:c r="X127" s="199" t="str"/>
    </x:row>
    <x:row r="128">
      <x:c r="A128" s="137" t="str"/>
      <x:c r="B128" s="138" t="str"/>
      <x:c r="C128" s="137" t="str"/>
      <x:c r="D128" s="137" t="str"/>
      <x:c r="E128" s="137" t="str"/>
      <x:c r="F128" s="137" t="str"/>
      <x:c r="G128" s="137" t="str"/>
      <x:c r="H128" s="137" t="str"/>
      <x:c r="I128" s="137" t="str"/>
      <x:c r="J128" s="160" t="str"/>
      <x:c r="K128" s="160" t="str"/>
      <x:c r="L128" s="196" t="str">
        <x:f>IF(OR(J128="",K128=""),"",MOD(K128-J128,1)*1440)</x:f>
      </x:c>
      <x:c r="M128" s="137" t="str"/>
      <x:c r="N128" s="137" t="str"/>
      <x:c r="O128" s="137" t="str"/>
      <x:c r="P128" s="137" t="str"/>
      <x:c r="Q128" s="137" t="str"/>
      <x:c r="R128" s="137" t="str"/>
      <x:c r="S128" s="137" t="str"/>
      <x:c r="T128" s="138" t="str"/>
      <x:c r="U128" s="138" t="str"/>
      <x:c r="V128" s="137" t="str"/>
      <x:c r="W128" s="137" t="str"/>
      <x:c r="X128" s="199" t="str"/>
    </x:row>
    <x:row r="129">
      <x:c r="A129" s="137" t="str"/>
      <x:c r="B129" s="138" t="str"/>
      <x:c r="C129" s="137" t="str"/>
      <x:c r="D129" s="137" t="str"/>
      <x:c r="E129" s="137" t="str"/>
      <x:c r="F129" s="137" t="str"/>
      <x:c r="G129" s="137" t="str"/>
      <x:c r="H129" s="137" t="str"/>
      <x:c r="I129" s="137" t="str"/>
      <x:c r="J129" s="160" t="str"/>
      <x:c r="K129" s="160" t="str"/>
      <x:c r="L129" s="196" t="str">
        <x:f>IF(OR(J129="",K129=""),"",MOD(K129-J129,1)*1440)</x:f>
      </x:c>
      <x:c r="M129" s="137" t="str"/>
      <x:c r="N129" s="137" t="str"/>
      <x:c r="O129" s="137" t="str"/>
      <x:c r="P129" s="137" t="str"/>
      <x:c r="Q129" s="137" t="str"/>
      <x:c r="R129" s="137" t="str"/>
      <x:c r="S129" s="137" t="str"/>
      <x:c r="T129" s="138" t="str"/>
      <x:c r="U129" s="138" t="str"/>
      <x:c r="V129" s="137" t="str"/>
      <x:c r="W129" s="137" t="str"/>
      <x:c r="X129" s="199" t="str"/>
    </x:row>
    <x:row r="130">
      <x:c r="A130" s="137" t="str"/>
      <x:c r="B130" s="138" t="str"/>
      <x:c r="C130" s="137" t="str"/>
      <x:c r="D130" s="137" t="str"/>
      <x:c r="E130" s="137" t="str"/>
      <x:c r="F130" s="137" t="str"/>
      <x:c r="G130" s="137" t="str"/>
      <x:c r="H130" s="137" t="str"/>
      <x:c r="I130" s="137" t="str"/>
      <x:c r="J130" s="160" t="str"/>
      <x:c r="K130" s="160" t="str"/>
      <x:c r="L130" s="196" t="str">
        <x:f>IF(OR(J130="",K130=""),"",MOD(K130-J130,1)*1440)</x:f>
      </x:c>
      <x:c r="M130" s="137" t="str"/>
      <x:c r="N130" s="137" t="str"/>
      <x:c r="O130" s="137" t="str"/>
      <x:c r="P130" s="137" t="str"/>
      <x:c r="Q130" s="137" t="str"/>
      <x:c r="R130" s="137" t="str"/>
      <x:c r="S130" s="137" t="str"/>
      <x:c r="T130" s="138" t="str"/>
      <x:c r="U130" s="138" t="str"/>
      <x:c r="V130" s="137" t="str"/>
      <x:c r="W130" s="137" t="str"/>
      <x:c r="X130" s="199" t="str"/>
    </x:row>
    <x:row r="131">
      <x:c r="A131" s="137" t="str"/>
      <x:c r="B131" s="138" t="str"/>
      <x:c r="C131" s="137" t="str"/>
      <x:c r="D131" s="137" t="str"/>
      <x:c r="E131" s="137" t="str"/>
      <x:c r="F131" s="137" t="str"/>
      <x:c r="G131" s="137" t="str"/>
      <x:c r="H131" s="137" t="str"/>
      <x:c r="I131" s="137" t="str"/>
      <x:c r="J131" s="160" t="str"/>
      <x:c r="K131" s="160" t="str"/>
      <x:c r="L131" s="196" t="str">
        <x:f>IF(OR(J131="",K131=""),"",MOD(K131-J131,1)*1440)</x:f>
      </x:c>
      <x:c r="M131" s="137" t="str"/>
      <x:c r="N131" s="137" t="str"/>
      <x:c r="O131" s="137" t="str"/>
      <x:c r="P131" s="137" t="str"/>
      <x:c r="Q131" s="137" t="str"/>
      <x:c r="R131" s="137" t="str"/>
      <x:c r="S131" s="137" t="str"/>
      <x:c r="T131" s="138" t="str"/>
      <x:c r="U131" s="138" t="str"/>
      <x:c r="V131" s="137" t="str"/>
      <x:c r="W131" s="137" t="str"/>
      <x:c r="X131" s="199" t="str"/>
    </x:row>
    <x:row r="132">
      <x:c r="A132" s="137" t="str"/>
      <x:c r="B132" s="138" t="str"/>
      <x:c r="C132" s="137" t="str"/>
      <x:c r="D132" s="137" t="str"/>
      <x:c r="E132" s="137" t="str"/>
      <x:c r="F132" s="137" t="str"/>
      <x:c r="G132" s="137" t="str"/>
      <x:c r="H132" s="137" t="str"/>
      <x:c r="I132" s="137" t="str"/>
      <x:c r="J132" s="160" t="str"/>
      <x:c r="K132" s="160" t="str"/>
      <x:c r="L132" s="196" t="str">
        <x:f>IF(OR(J132="",K132=""),"",MOD(K132-J132,1)*1440)</x:f>
      </x:c>
      <x:c r="M132" s="137" t="str"/>
      <x:c r="N132" s="137" t="str"/>
      <x:c r="O132" s="137" t="str"/>
      <x:c r="P132" s="137" t="str"/>
      <x:c r="Q132" s="137" t="str"/>
      <x:c r="R132" s="137" t="str"/>
      <x:c r="S132" s="137" t="str"/>
      <x:c r="T132" s="138" t="str"/>
      <x:c r="U132" s="138" t="str"/>
      <x:c r="V132" s="137" t="str"/>
      <x:c r="W132" s="137" t="str"/>
      <x:c r="X132" s="199" t="str"/>
    </x:row>
    <x:row r="133">
      <x:c r="A133" s="137" t="str"/>
      <x:c r="B133" s="138" t="str"/>
      <x:c r="C133" s="137" t="str"/>
      <x:c r="D133" s="137" t="str"/>
      <x:c r="E133" s="137" t="str"/>
      <x:c r="F133" s="137" t="str"/>
      <x:c r="G133" s="137" t="str"/>
      <x:c r="H133" s="137" t="str"/>
      <x:c r="I133" s="137" t="str"/>
      <x:c r="J133" s="160" t="str"/>
      <x:c r="K133" s="160" t="str"/>
      <x:c r="L133" s="196" t="str">
        <x:f>IF(OR(J133="",K133=""),"",MOD(K133-J133,1)*1440)</x:f>
      </x:c>
      <x:c r="M133" s="137" t="str"/>
      <x:c r="N133" s="137" t="str"/>
      <x:c r="O133" s="137" t="str"/>
      <x:c r="P133" s="137" t="str"/>
      <x:c r="Q133" s="137" t="str"/>
      <x:c r="R133" s="137" t="str"/>
      <x:c r="S133" s="137" t="str"/>
      <x:c r="T133" s="138" t="str"/>
      <x:c r="U133" s="138" t="str"/>
      <x:c r="V133" s="137" t="str"/>
      <x:c r="W133" s="137" t="str"/>
      <x:c r="X133" s="199" t="str"/>
    </x:row>
    <x:row r="134">
      <x:c r="A134" s="137" t="str"/>
      <x:c r="B134" s="138" t="str"/>
      <x:c r="C134" s="137" t="str"/>
      <x:c r="D134" s="137" t="str"/>
      <x:c r="E134" s="137" t="str"/>
      <x:c r="F134" s="137" t="str"/>
      <x:c r="G134" s="137" t="str"/>
      <x:c r="H134" s="137" t="str"/>
      <x:c r="I134" s="137" t="str"/>
      <x:c r="J134" s="160" t="str"/>
      <x:c r="K134" s="160" t="str"/>
      <x:c r="L134" s="196" t="str">
        <x:f>IF(OR(J134="",K134=""),"",MOD(K134-J134,1)*1440)</x:f>
      </x:c>
      <x:c r="M134" s="137" t="str"/>
      <x:c r="N134" s="137" t="str"/>
      <x:c r="O134" s="137" t="str"/>
      <x:c r="P134" s="137" t="str"/>
      <x:c r="Q134" s="137" t="str"/>
      <x:c r="R134" s="137" t="str"/>
      <x:c r="S134" s="137" t="str"/>
      <x:c r="T134" s="138" t="str"/>
      <x:c r="U134" s="138" t="str"/>
      <x:c r="V134" s="137" t="str"/>
      <x:c r="W134" s="137" t="str"/>
      <x:c r="X134" s="199" t="str"/>
    </x:row>
    <x:row r="135">
      <x:c r="A135" s="137" t="str"/>
      <x:c r="B135" s="138" t="str"/>
      <x:c r="C135" s="137" t="str"/>
      <x:c r="D135" s="137" t="str"/>
      <x:c r="E135" s="137" t="str"/>
      <x:c r="F135" s="137" t="str"/>
      <x:c r="G135" s="137" t="str"/>
      <x:c r="H135" s="137" t="str"/>
      <x:c r="I135" s="137" t="str"/>
      <x:c r="J135" s="160" t="str"/>
      <x:c r="K135" s="160" t="str"/>
      <x:c r="L135" s="196" t="str">
        <x:f>IF(OR(J135="",K135=""),"",MOD(K135-J135,1)*1440)</x:f>
      </x:c>
      <x:c r="M135" s="137" t="str"/>
      <x:c r="N135" s="137" t="str"/>
      <x:c r="O135" s="137" t="str"/>
      <x:c r="P135" s="137" t="str"/>
      <x:c r="Q135" s="137" t="str"/>
      <x:c r="R135" s="137" t="str"/>
      <x:c r="S135" s="137" t="str"/>
      <x:c r="T135" s="138" t="str"/>
      <x:c r="U135" s="138" t="str"/>
      <x:c r="V135" s="137" t="str"/>
      <x:c r="W135" s="137" t="str"/>
      <x:c r="X135" s="199" t="str"/>
    </x:row>
    <x:row r="136">
      <x:c r="A136" s="137" t="str"/>
      <x:c r="B136" s="138" t="str"/>
      <x:c r="C136" s="137" t="str"/>
      <x:c r="D136" s="137" t="str"/>
      <x:c r="E136" s="137" t="str"/>
      <x:c r="F136" s="137" t="str"/>
      <x:c r="G136" s="137" t="str"/>
      <x:c r="H136" s="137" t="str"/>
      <x:c r="I136" s="137" t="str"/>
      <x:c r="J136" s="160" t="str"/>
      <x:c r="K136" s="160" t="str"/>
      <x:c r="L136" s="196" t="str">
        <x:f>IF(OR(J136="",K136=""),"",MOD(K136-J136,1)*1440)</x:f>
      </x:c>
      <x:c r="M136" s="137" t="str"/>
      <x:c r="N136" s="137" t="str"/>
      <x:c r="O136" s="137" t="str"/>
      <x:c r="P136" s="137" t="str"/>
      <x:c r="Q136" s="137" t="str"/>
      <x:c r="R136" s="137" t="str"/>
      <x:c r="S136" s="137" t="str"/>
      <x:c r="T136" s="138" t="str"/>
      <x:c r="U136" s="138" t="str"/>
      <x:c r="V136" s="137" t="str"/>
      <x:c r="W136" s="137" t="str"/>
      <x:c r="X136" s="199" t="str"/>
    </x:row>
    <x:row r="137">
      <x:c r="A137" s="137" t="str"/>
      <x:c r="B137" s="138" t="str"/>
      <x:c r="C137" s="137" t="str"/>
      <x:c r="D137" s="137" t="str"/>
      <x:c r="E137" s="137" t="str"/>
      <x:c r="F137" s="137" t="str"/>
      <x:c r="G137" s="137" t="str"/>
      <x:c r="H137" s="137" t="str"/>
      <x:c r="I137" s="137" t="str"/>
      <x:c r="J137" s="160" t="str"/>
      <x:c r="K137" s="160" t="str"/>
      <x:c r="L137" s="196" t="str">
        <x:f>IF(OR(J137="",K137=""),"",MOD(K137-J137,1)*1440)</x:f>
      </x:c>
      <x:c r="M137" s="137" t="str"/>
      <x:c r="N137" s="137" t="str"/>
      <x:c r="O137" s="137" t="str"/>
      <x:c r="P137" s="137" t="str"/>
      <x:c r="Q137" s="137" t="str"/>
      <x:c r="R137" s="137" t="str"/>
      <x:c r="S137" s="137" t="str"/>
      <x:c r="T137" s="138" t="str"/>
      <x:c r="U137" s="138" t="str"/>
      <x:c r="V137" s="137" t="str"/>
      <x:c r="W137" s="137" t="str"/>
      <x:c r="X137" s="199" t="str"/>
    </x:row>
    <x:row r="138">
      <x:c r="A138" s="137" t="str"/>
      <x:c r="B138" s="138" t="str"/>
      <x:c r="C138" s="137" t="str"/>
      <x:c r="D138" s="137" t="str"/>
      <x:c r="E138" s="137" t="str"/>
      <x:c r="F138" s="137" t="str"/>
      <x:c r="G138" s="137" t="str"/>
      <x:c r="H138" s="137" t="str"/>
      <x:c r="I138" s="137" t="str"/>
      <x:c r="J138" s="160" t="str"/>
      <x:c r="K138" s="160" t="str"/>
      <x:c r="L138" s="196" t="str">
        <x:f>IF(OR(J138="",K138=""),"",MOD(K138-J138,1)*1440)</x:f>
      </x:c>
      <x:c r="M138" s="137" t="str"/>
      <x:c r="N138" s="137" t="str"/>
      <x:c r="O138" s="137" t="str"/>
      <x:c r="P138" s="137" t="str"/>
      <x:c r="Q138" s="137" t="str"/>
      <x:c r="R138" s="137" t="str"/>
      <x:c r="S138" s="137" t="str"/>
      <x:c r="T138" s="138" t="str"/>
      <x:c r="U138" s="138" t="str"/>
      <x:c r="V138" s="137" t="str"/>
      <x:c r="W138" s="137" t="str"/>
      <x:c r="X138" s="199" t="str"/>
    </x:row>
    <x:row r="139">
      <x:c r="A139" s="137" t="str"/>
      <x:c r="B139" s="138" t="str"/>
      <x:c r="C139" s="137" t="str"/>
      <x:c r="D139" s="137" t="str"/>
      <x:c r="E139" s="137" t="str"/>
      <x:c r="F139" s="137" t="str"/>
      <x:c r="G139" s="137" t="str"/>
      <x:c r="H139" s="137" t="str"/>
      <x:c r="I139" s="137" t="str"/>
      <x:c r="J139" s="160" t="str"/>
      <x:c r="K139" s="160" t="str"/>
      <x:c r="L139" s="196" t="str">
        <x:f>IF(OR(J139="",K139=""),"",MOD(K139-J139,1)*1440)</x:f>
      </x:c>
      <x:c r="M139" s="137" t="str"/>
      <x:c r="N139" s="137" t="str"/>
      <x:c r="O139" s="137" t="str"/>
      <x:c r="P139" s="137" t="str"/>
      <x:c r="Q139" s="137" t="str"/>
      <x:c r="R139" s="137" t="str"/>
      <x:c r="S139" s="137" t="str"/>
      <x:c r="T139" s="138" t="str"/>
      <x:c r="U139" s="138" t="str"/>
      <x:c r="V139" s="137" t="str"/>
      <x:c r="W139" s="137" t="str"/>
      <x:c r="X139" s="199" t="str"/>
    </x:row>
    <x:row r="140">
      <x:c r="A140" s="137" t="str"/>
      <x:c r="B140" s="138" t="str"/>
      <x:c r="C140" s="137" t="str"/>
      <x:c r="D140" s="137" t="str"/>
      <x:c r="E140" s="137" t="str"/>
      <x:c r="F140" s="137" t="str"/>
      <x:c r="G140" s="137" t="str"/>
      <x:c r="H140" s="137" t="str"/>
      <x:c r="I140" s="137" t="str"/>
      <x:c r="J140" s="160" t="str"/>
      <x:c r="K140" s="160" t="str"/>
      <x:c r="L140" s="196" t="str">
        <x:f>IF(OR(J140="",K140=""),"",MOD(K140-J140,1)*1440)</x:f>
      </x:c>
      <x:c r="M140" s="137" t="str"/>
      <x:c r="N140" s="137" t="str"/>
      <x:c r="O140" s="137" t="str"/>
      <x:c r="P140" s="137" t="str"/>
      <x:c r="Q140" s="137" t="str"/>
      <x:c r="R140" s="137" t="str"/>
      <x:c r="S140" s="137" t="str"/>
      <x:c r="T140" s="138" t="str"/>
      <x:c r="U140" s="138" t="str"/>
      <x:c r="V140" s="137" t="str"/>
      <x:c r="W140" s="137" t="str"/>
      <x:c r="X140" s="199" t="str"/>
    </x:row>
    <x:row r="141">
      <x:c r="A141" s="137" t="str"/>
      <x:c r="B141" s="138" t="str"/>
      <x:c r="C141" s="137" t="str"/>
      <x:c r="D141" s="137" t="str"/>
      <x:c r="E141" s="137" t="str"/>
      <x:c r="F141" s="137" t="str"/>
      <x:c r="G141" s="137" t="str"/>
      <x:c r="H141" s="137" t="str"/>
      <x:c r="I141" s="137" t="str"/>
      <x:c r="J141" s="160" t="str"/>
      <x:c r="K141" s="160" t="str"/>
      <x:c r="L141" s="196" t="str">
        <x:f>IF(OR(J141="",K141=""),"",MOD(K141-J141,1)*1440)</x:f>
      </x:c>
      <x:c r="M141" s="137" t="str"/>
      <x:c r="N141" s="137" t="str"/>
      <x:c r="O141" s="137" t="str"/>
      <x:c r="P141" s="137" t="str"/>
      <x:c r="Q141" s="137" t="str"/>
      <x:c r="R141" s="137" t="str"/>
      <x:c r="S141" s="137" t="str"/>
      <x:c r="T141" s="138" t="str"/>
      <x:c r="U141" s="138" t="str"/>
      <x:c r="V141" s="137" t="str"/>
      <x:c r="W141" s="137" t="str"/>
      <x:c r="X141" s="199" t="str"/>
    </x:row>
    <x:row r="142">
      <x:c r="A142" s="137" t="str"/>
      <x:c r="B142" s="138" t="str"/>
      <x:c r="C142" s="137" t="str"/>
      <x:c r="D142" s="137" t="str"/>
      <x:c r="E142" s="137" t="str"/>
      <x:c r="F142" s="137" t="str"/>
      <x:c r="G142" s="137" t="str"/>
      <x:c r="H142" s="137" t="str"/>
      <x:c r="I142" s="137" t="str"/>
      <x:c r="J142" s="160" t="str"/>
      <x:c r="K142" s="160" t="str"/>
      <x:c r="L142" s="196" t="str">
        <x:f>IF(OR(J142="",K142=""),"",MOD(K142-J142,1)*1440)</x:f>
      </x:c>
      <x:c r="M142" s="137" t="str"/>
      <x:c r="N142" s="137" t="str"/>
      <x:c r="O142" s="137" t="str"/>
      <x:c r="P142" s="137" t="str"/>
      <x:c r="Q142" s="137" t="str"/>
      <x:c r="R142" s="137" t="str"/>
      <x:c r="S142" s="137" t="str"/>
      <x:c r="T142" s="138" t="str"/>
      <x:c r="U142" s="138" t="str"/>
      <x:c r="V142" s="137" t="str"/>
      <x:c r="W142" s="137" t="str"/>
      <x:c r="X142" s="199" t="str"/>
    </x:row>
    <x:row r="143">
      <x:c r="A143" s="137" t="str"/>
      <x:c r="B143" s="138" t="str"/>
      <x:c r="C143" s="137" t="str"/>
      <x:c r="D143" s="137" t="str"/>
      <x:c r="E143" s="137" t="str"/>
      <x:c r="F143" s="137" t="str"/>
      <x:c r="G143" s="137" t="str"/>
      <x:c r="H143" s="137" t="str"/>
      <x:c r="I143" s="137" t="str"/>
      <x:c r="J143" s="160" t="str"/>
      <x:c r="K143" s="160" t="str"/>
      <x:c r="L143" s="196" t="str">
        <x:f>IF(OR(J143="",K143=""),"",MOD(K143-J143,1)*1440)</x:f>
      </x:c>
      <x:c r="M143" s="137" t="str"/>
      <x:c r="N143" s="137" t="str"/>
      <x:c r="O143" s="137" t="str"/>
      <x:c r="P143" s="137" t="str"/>
      <x:c r="Q143" s="137" t="str"/>
      <x:c r="R143" s="137" t="str"/>
      <x:c r="S143" s="137" t="str"/>
      <x:c r="T143" s="138" t="str"/>
      <x:c r="U143" s="138" t="str"/>
      <x:c r="V143" s="137" t="str"/>
      <x:c r="W143" s="137" t="str"/>
      <x:c r="X143" s="199" t="str"/>
    </x:row>
    <x:row r="144">
      <x:c r="A144" s="137" t="str"/>
      <x:c r="B144" s="138" t="str"/>
      <x:c r="C144" s="137" t="str"/>
      <x:c r="D144" s="137" t="str"/>
      <x:c r="E144" s="137" t="str"/>
      <x:c r="F144" s="137" t="str"/>
      <x:c r="G144" s="137" t="str"/>
      <x:c r="H144" s="137" t="str"/>
      <x:c r="I144" s="137" t="str"/>
      <x:c r="J144" s="160" t="str"/>
      <x:c r="K144" s="160" t="str"/>
      <x:c r="L144" s="196" t="str">
        <x:f>IF(OR(J144="",K144=""),"",MOD(K144-J144,1)*1440)</x:f>
      </x:c>
      <x:c r="M144" s="137" t="str"/>
      <x:c r="N144" s="137" t="str"/>
      <x:c r="O144" s="137" t="str"/>
      <x:c r="P144" s="137" t="str"/>
      <x:c r="Q144" s="137" t="str"/>
      <x:c r="R144" s="137" t="str"/>
      <x:c r="S144" s="137" t="str"/>
      <x:c r="T144" s="138" t="str"/>
      <x:c r="U144" s="138" t="str"/>
      <x:c r="V144" s="137" t="str"/>
      <x:c r="W144" s="137" t="str"/>
      <x:c r="X144" s="199" t="str"/>
    </x:row>
    <x:row r="145">
      <x:c r="A145" s="137" t="str"/>
      <x:c r="B145" s="138" t="str"/>
      <x:c r="C145" s="137" t="str"/>
      <x:c r="D145" s="137" t="str"/>
      <x:c r="E145" s="137" t="str"/>
      <x:c r="F145" s="137" t="str"/>
      <x:c r="G145" s="137" t="str"/>
      <x:c r="H145" s="137" t="str"/>
      <x:c r="I145" s="137" t="str"/>
      <x:c r="J145" s="160" t="str"/>
      <x:c r="K145" s="160" t="str"/>
      <x:c r="L145" s="196" t="str">
        <x:f>IF(OR(J145="",K145=""),"",MOD(K145-J145,1)*1440)</x:f>
      </x:c>
      <x:c r="M145" s="137" t="str"/>
      <x:c r="N145" s="137" t="str"/>
      <x:c r="O145" s="137" t="str"/>
      <x:c r="P145" s="137" t="str"/>
      <x:c r="Q145" s="137" t="str"/>
      <x:c r="R145" s="137" t="str"/>
      <x:c r="S145" s="137" t="str"/>
      <x:c r="T145" s="138" t="str"/>
      <x:c r="U145" s="138" t="str"/>
      <x:c r="V145" s="137" t="str"/>
      <x:c r="W145" s="137" t="str"/>
      <x:c r="X145" s="199" t="str"/>
    </x:row>
    <x:row r="146">
      <x:c r="A146" s="137" t="str"/>
      <x:c r="B146" s="138" t="str"/>
      <x:c r="C146" s="137" t="str"/>
      <x:c r="D146" s="137" t="str"/>
      <x:c r="E146" s="137" t="str"/>
      <x:c r="F146" s="137" t="str"/>
      <x:c r="G146" s="137" t="str"/>
      <x:c r="H146" s="137" t="str"/>
      <x:c r="I146" s="137" t="str"/>
      <x:c r="J146" s="160" t="str"/>
      <x:c r="K146" s="160" t="str"/>
      <x:c r="L146" s="196" t="str">
        <x:f>IF(OR(J146="",K146=""),"",MOD(K146-J146,1)*1440)</x:f>
      </x:c>
      <x:c r="M146" s="137" t="str"/>
      <x:c r="N146" s="137" t="str"/>
      <x:c r="O146" s="137" t="str"/>
      <x:c r="P146" s="137" t="str"/>
      <x:c r="Q146" s="137" t="str"/>
      <x:c r="R146" s="137" t="str"/>
      <x:c r="S146" s="137" t="str"/>
      <x:c r="T146" s="138" t="str"/>
      <x:c r="U146" s="138" t="str"/>
      <x:c r="V146" s="137" t="str"/>
      <x:c r="W146" s="137" t="str"/>
      <x:c r="X146" s="199" t="str"/>
    </x:row>
    <x:row r="147">
      <x:c r="A147" s="137" t="str"/>
      <x:c r="B147" s="138" t="str"/>
      <x:c r="C147" s="137" t="str"/>
      <x:c r="D147" s="137" t="str"/>
      <x:c r="E147" s="137" t="str"/>
      <x:c r="F147" s="137" t="str"/>
      <x:c r="G147" s="137" t="str"/>
      <x:c r="H147" s="137" t="str"/>
      <x:c r="I147" s="137" t="str"/>
      <x:c r="J147" s="160" t="str"/>
      <x:c r="K147" s="160" t="str"/>
      <x:c r="L147" s="196" t="str">
        <x:f>IF(OR(J147="",K147=""),"",MOD(K147-J147,1)*1440)</x:f>
      </x:c>
      <x:c r="M147" s="137" t="str"/>
      <x:c r="N147" s="137" t="str"/>
      <x:c r="O147" s="137" t="str"/>
      <x:c r="P147" s="137" t="str"/>
      <x:c r="Q147" s="137" t="str"/>
      <x:c r="R147" s="137" t="str"/>
      <x:c r="S147" s="137" t="str"/>
      <x:c r="T147" s="138" t="str"/>
      <x:c r="U147" s="138" t="str"/>
      <x:c r="V147" s="137" t="str"/>
      <x:c r="W147" s="137" t="str"/>
      <x:c r="X147" s="199" t="str"/>
    </x:row>
    <x:row r="148">
      <x:c r="A148" s="137" t="str"/>
      <x:c r="B148" s="138" t="str"/>
      <x:c r="C148" s="137" t="str"/>
      <x:c r="D148" s="137" t="str"/>
      <x:c r="E148" s="137" t="str"/>
      <x:c r="F148" s="137" t="str"/>
      <x:c r="G148" s="137" t="str"/>
      <x:c r="H148" s="137" t="str"/>
      <x:c r="I148" s="137" t="str"/>
      <x:c r="J148" s="160" t="str"/>
      <x:c r="K148" s="160" t="str"/>
      <x:c r="L148" s="196" t="str">
        <x:f>IF(OR(J148="",K148=""),"",MOD(K148-J148,1)*1440)</x:f>
      </x:c>
      <x:c r="M148" s="137" t="str"/>
      <x:c r="N148" s="137" t="str"/>
      <x:c r="O148" s="137" t="str"/>
      <x:c r="P148" s="137" t="str"/>
      <x:c r="Q148" s="137" t="str"/>
      <x:c r="R148" s="137" t="str"/>
      <x:c r="S148" s="137" t="str"/>
      <x:c r="T148" s="138" t="str"/>
      <x:c r="U148" s="138" t="str"/>
      <x:c r="V148" s="137" t="str"/>
      <x:c r="W148" s="137" t="str"/>
      <x:c r="X148" s="199" t="str"/>
    </x:row>
    <x:row r="149">
      <x:c r="A149" s="137" t="str"/>
      <x:c r="B149" s="138" t="str"/>
      <x:c r="C149" s="137" t="str"/>
      <x:c r="D149" s="137" t="str"/>
      <x:c r="E149" s="137" t="str"/>
      <x:c r="F149" s="137" t="str"/>
      <x:c r="G149" s="137" t="str"/>
      <x:c r="H149" s="137" t="str"/>
      <x:c r="I149" s="137" t="str"/>
      <x:c r="J149" s="160" t="str"/>
      <x:c r="K149" s="160" t="str"/>
      <x:c r="L149" s="196" t="str">
        <x:f>IF(OR(J149="",K149=""),"",MOD(K149-J149,1)*1440)</x:f>
      </x:c>
      <x:c r="M149" s="137" t="str"/>
      <x:c r="N149" s="137" t="str"/>
      <x:c r="O149" s="137" t="str"/>
      <x:c r="P149" s="137" t="str"/>
      <x:c r="Q149" s="137" t="str"/>
      <x:c r="R149" s="137" t="str"/>
      <x:c r="S149" s="137" t="str"/>
      <x:c r="T149" s="138" t="str"/>
      <x:c r="U149" s="138" t="str"/>
      <x:c r="V149" s="137" t="str"/>
      <x:c r="W149" s="137" t="str"/>
      <x:c r="X149" s="199" t="str"/>
    </x:row>
    <x:row r="150">
      <x:c r="A150" s="137" t="str"/>
      <x:c r="B150" s="138" t="str"/>
      <x:c r="C150" s="137" t="str"/>
      <x:c r="D150" s="137" t="str"/>
      <x:c r="E150" s="137" t="str"/>
      <x:c r="F150" s="137" t="str"/>
      <x:c r="G150" s="137" t="str"/>
      <x:c r="H150" s="137" t="str"/>
      <x:c r="I150" s="137" t="str"/>
      <x:c r="J150" s="160" t="str"/>
      <x:c r="K150" s="160" t="str"/>
      <x:c r="L150" s="196" t="str">
        <x:f>IF(OR(J150="",K150=""),"",MOD(K150-J150,1)*1440)</x:f>
      </x:c>
      <x:c r="M150" s="137" t="str"/>
      <x:c r="N150" s="137" t="str"/>
      <x:c r="O150" s="137" t="str"/>
      <x:c r="P150" s="137" t="str"/>
      <x:c r="Q150" s="137" t="str"/>
      <x:c r="R150" s="137" t="str"/>
      <x:c r="S150" s="137" t="str"/>
      <x:c r="T150" s="138" t="str"/>
      <x:c r="U150" s="138" t="str"/>
      <x:c r="V150" s="137" t="str"/>
      <x:c r="W150" s="137" t="str"/>
      <x:c r="X150" s="199" t="str"/>
    </x:row>
    <x:row r="151">
      <x:c r="A151" s="137" t="str"/>
      <x:c r="B151" s="138" t="str"/>
      <x:c r="C151" s="137" t="str"/>
      <x:c r="D151" s="137" t="str"/>
      <x:c r="E151" s="137" t="str"/>
      <x:c r="F151" s="137" t="str"/>
      <x:c r="G151" s="137" t="str"/>
      <x:c r="H151" s="137" t="str"/>
      <x:c r="I151" s="137" t="str"/>
      <x:c r="J151" s="160" t="str"/>
      <x:c r="K151" s="160" t="str"/>
      <x:c r="L151" s="196" t="str">
        <x:f>IF(OR(J151="",K151=""),"",MOD(K151-J151,1)*1440)</x:f>
      </x:c>
      <x:c r="M151" s="137" t="str"/>
      <x:c r="N151" s="137" t="str"/>
      <x:c r="O151" s="137" t="str"/>
      <x:c r="P151" s="137" t="str"/>
      <x:c r="Q151" s="137" t="str"/>
      <x:c r="R151" s="137" t="str"/>
      <x:c r="S151" s="137" t="str"/>
      <x:c r="T151" s="138" t="str"/>
      <x:c r="U151" s="138" t="str"/>
      <x:c r="V151" s="137" t="str"/>
      <x:c r="W151" s="137" t="str"/>
      <x:c r="X151" s="199" t="str"/>
    </x:row>
    <x:row r="152">
      <x:c r="A152" s="137" t="str"/>
      <x:c r="B152" s="138" t="str"/>
      <x:c r="C152" s="137" t="str"/>
      <x:c r="D152" s="137" t="str"/>
      <x:c r="E152" s="137" t="str"/>
      <x:c r="F152" s="137" t="str"/>
      <x:c r="G152" s="137" t="str"/>
      <x:c r="H152" s="137" t="str"/>
      <x:c r="I152" s="137" t="str"/>
      <x:c r="J152" s="160" t="str"/>
      <x:c r="K152" s="160" t="str"/>
      <x:c r="L152" s="196" t="str">
        <x:f>IF(OR(J152="",K152=""),"",MOD(K152-J152,1)*1440)</x:f>
      </x:c>
      <x:c r="M152" s="137" t="str"/>
      <x:c r="N152" s="137" t="str"/>
      <x:c r="O152" s="137" t="str"/>
      <x:c r="P152" s="137" t="str"/>
      <x:c r="Q152" s="137" t="str"/>
      <x:c r="R152" s="137" t="str"/>
      <x:c r="S152" s="137" t="str"/>
      <x:c r="T152" s="138" t="str"/>
      <x:c r="U152" s="138" t="str"/>
      <x:c r="V152" s="137" t="str"/>
      <x:c r="W152" s="137" t="str"/>
      <x:c r="X152" s="199" t="str"/>
    </x:row>
    <x:row r="153">
      <x:c r="A153" s="137" t="str"/>
      <x:c r="B153" s="138" t="str"/>
      <x:c r="C153" s="137" t="str"/>
      <x:c r="D153" s="137" t="str"/>
      <x:c r="E153" s="137" t="str"/>
      <x:c r="F153" s="137" t="str"/>
      <x:c r="G153" s="137" t="str"/>
      <x:c r="H153" s="137" t="str"/>
      <x:c r="I153" s="137" t="str"/>
      <x:c r="J153" s="160" t="str"/>
      <x:c r="K153" s="160" t="str"/>
      <x:c r="L153" s="196" t="str">
        <x:f>IF(OR(J153="",K153=""),"",MOD(K153-J153,1)*1440)</x:f>
      </x:c>
      <x:c r="M153" s="137" t="str"/>
      <x:c r="N153" s="137" t="str"/>
      <x:c r="O153" s="137" t="str"/>
      <x:c r="P153" s="137" t="str"/>
      <x:c r="Q153" s="137" t="str"/>
      <x:c r="R153" s="137" t="str"/>
      <x:c r="S153" s="137" t="str"/>
      <x:c r="T153" s="138" t="str"/>
      <x:c r="U153" s="138" t="str"/>
      <x:c r="V153" s="137" t="str"/>
      <x:c r="W153" s="137" t="str"/>
      <x:c r="X153" s="199" t="str"/>
    </x:row>
    <x:row r="154">
      <x:c r="A154" s="137" t="str"/>
      <x:c r="B154" s="138" t="str"/>
      <x:c r="C154" s="137" t="str"/>
      <x:c r="D154" s="137" t="str"/>
      <x:c r="E154" s="137" t="str"/>
      <x:c r="F154" s="137" t="str"/>
      <x:c r="G154" s="137" t="str"/>
      <x:c r="H154" s="137" t="str"/>
      <x:c r="I154" s="137" t="str"/>
      <x:c r="J154" s="160" t="str"/>
      <x:c r="K154" s="160" t="str"/>
      <x:c r="L154" s="196" t="str">
        <x:f>IF(OR(J154="",K154=""),"",MOD(K154-J154,1)*1440)</x:f>
      </x:c>
      <x:c r="M154" s="137" t="str"/>
      <x:c r="N154" s="137" t="str"/>
      <x:c r="O154" s="137" t="str"/>
      <x:c r="P154" s="137" t="str"/>
      <x:c r="Q154" s="137" t="str"/>
      <x:c r="R154" s="137" t="str"/>
      <x:c r="S154" s="137" t="str"/>
      <x:c r="T154" s="138" t="str"/>
      <x:c r="U154" s="138" t="str"/>
      <x:c r="V154" s="137" t="str"/>
      <x:c r="W154" s="137" t="str"/>
      <x:c r="X154" s="199" t="str"/>
    </x:row>
    <x:row r="155">
      <x:c r="A155" s="137" t="str"/>
      <x:c r="B155" s="138" t="str"/>
      <x:c r="C155" s="137" t="str"/>
      <x:c r="D155" s="137" t="str"/>
      <x:c r="E155" s="137" t="str"/>
      <x:c r="F155" s="137" t="str"/>
      <x:c r="G155" s="137" t="str"/>
      <x:c r="H155" s="137" t="str"/>
      <x:c r="I155" s="137" t="str"/>
      <x:c r="J155" s="160" t="str"/>
      <x:c r="K155" s="160" t="str"/>
      <x:c r="L155" s="196" t="str">
        <x:f>IF(OR(J155="",K155=""),"",MOD(K155-J155,1)*1440)</x:f>
      </x:c>
      <x:c r="M155" s="137" t="str"/>
      <x:c r="N155" s="137" t="str"/>
      <x:c r="O155" s="137" t="str"/>
      <x:c r="P155" s="137" t="str"/>
      <x:c r="Q155" s="137" t="str"/>
      <x:c r="R155" s="137" t="str"/>
      <x:c r="S155" s="137" t="str"/>
      <x:c r="T155" s="138" t="str"/>
      <x:c r="U155" s="138" t="str"/>
      <x:c r="V155" s="137" t="str"/>
      <x:c r="W155" s="137" t="str"/>
      <x:c r="X155" s="199" t="str"/>
    </x:row>
    <x:row r="156">
      <x:c r="A156" s="137" t="str"/>
      <x:c r="B156" s="138" t="str"/>
      <x:c r="C156" s="137" t="str"/>
      <x:c r="D156" s="137" t="str"/>
      <x:c r="E156" s="137" t="str"/>
      <x:c r="F156" s="137" t="str"/>
      <x:c r="G156" s="137" t="str"/>
      <x:c r="H156" s="137" t="str"/>
      <x:c r="I156" s="137" t="str"/>
      <x:c r="J156" s="160" t="str"/>
      <x:c r="K156" s="160" t="str"/>
      <x:c r="L156" s="196" t="str">
        <x:f>IF(OR(J156="",K156=""),"",MOD(K156-J156,1)*1440)</x:f>
      </x:c>
      <x:c r="M156" s="137" t="str"/>
      <x:c r="N156" s="137" t="str"/>
      <x:c r="O156" s="137" t="str"/>
      <x:c r="P156" s="137" t="str"/>
      <x:c r="Q156" s="137" t="str"/>
      <x:c r="R156" s="137" t="str"/>
      <x:c r="S156" s="137" t="str"/>
      <x:c r="T156" s="138" t="str"/>
      <x:c r="U156" s="138" t="str"/>
      <x:c r="V156" s="137" t="str"/>
      <x:c r="W156" s="137" t="str"/>
      <x:c r="X156" s="199" t="str"/>
    </x:row>
    <x:row r="157">
      <x:c r="A157" s="137" t="str"/>
      <x:c r="B157" s="138" t="str"/>
      <x:c r="C157" s="137" t="str"/>
      <x:c r="D157" s="137" t="str"/>
      <x:c r="E157" s="137" t="str"/>
      <x:c r="F157" s="137" t="str"/>
      <x:c r="G157" s="137" t="str"/>
      <x:c r="H157" s="137" t="str"/>
      <x:c r="I157" s="137" t="str"/>
      <x:c r="J157" s="160" t="str"/>
      <x:c r="K157" s="160" t="str"/>
      <x:c r="L157" s="196" t="str">
        <x:f>IF(OR(J157="",K157=""),"",MOD(K157-J157,1)*1440)</x:f>
      </x:c>
      <x:c r="M157" s="137" t="str"/>
      <x:c r="N157" s="137" t="str"/>
      <x:c r="O157" s="137" t="str"/>
      <x:c r="P157" s="137" t="str"/>
      <x:c r="Q157" s="137" t="str"/>
      <x:c r="R157" s="137" t="str"/>
      <x:c r="S157" s="137" t="str"/>
      <x:c r="T157" s="138" t="str"/>
      <x:c r="U157" s="138" t="str"/>
      <x:c r="V157" s="137" t="str"/>
      <x:c r="W157" s="137" t="str"/>
      <x:c r="X157" s="199" t="str"/>
    </x:row>
    <x:row r="158">
      <x:c r="A158" s="137" t="str"/>
      <x:c r="B158" s="138" t="str"/>
      <x:c r="C158" s="137" t="str"/>
      <x:c r="D158" s="137" t="str"/>
      <x:c r="E158" s="137" t="str"/>
      <x:c r="F158" s="137" t="str"/>
      <x:c r="G158" s="137" t="str"/>
      <x:c r="H158" s="137" t="str"/>
      <x:c r="I158" s="137" t="str"/>
      <x:c r="J158" s="160" t="str"/>
      <x:c r="K158" s="160" t="str"/>
      <x:c r="L158" s="196" t="str">
        <x:f>IF(OR(J158="",K158=""),"",MOD(K158-J158,1)*1440)</x:f>
      </x:c>
      <x:c r="M158" s="137" t="str"/>
      <x:c r="N158" s="137" t="str"/>
      <x:c r="O158" s="137" t="str"/>
      <x:c r="P158" s="137" t="str"/>
      <x:c r="Q158" s="137" t="str"/>
      <x:c r="R158" s="137" t="str"/>
      <x:c r="S158" s="137" t="str"/>
      <x:c r="T158" s="138" t="str"/>
      <x:c r="U158" s="138" t="str"/>
      <x:c r="V158" s="137" t="str"/>
      <x:c r="W158" s="137" t="str"/>
      <x:c r="X158" s="199" t="str"/>
    </x:row>
    <x:row r="159">
      <x:c r="A159" s="137" t="str"/>
      <x:c r="B159" s="138" t="str"/>
      <x:c r="C159" s="137" t="str"/>
      <x:c r="D159" s="137" t="str"/>
      <x:c r="E159" s="137" t="str"/>
      <x:c r="F159" s="137" t="str"/>
      <x:c r="G159" s="137" t="str"/>
      <x:c r="H159" s="137" t="str"/>
      <x:c r="I159" s="137" t="str"/>
      <x:c r="J159" s="160" t="str"/>
      <x:c r="K159" s="160" t="str"/>
      <x:c r="L159" s="196" t="str">
        <x:f>IF(OR(J159="",K159=""),"",MOD(K159-J159,1)*1440)</x:f>
      </x:c>
      <x:c r="M159" s="137" t="str"/>
      <x:c r="N159" s="137" t="str"/>
      <x:c r="O159" s="137" t="str"/>
      <x:c r="P159" s="137" t="str"/>
      <x:c r="Q159" s="137" t="str"/>
      <x:c r="R159" s="137" t="str"/>
      <x:c r="S159" s="137" t="str"/>
      <x:c r="T159" s="138" t="str"/>
      <x:c r="U159" s="138" t="str"/>
      <x:c r="V159" s="137" t="str"/>
      <x:c r="W159" s="137" t="str"/>
      <x:c r="X159" s="199" t="str"/>
    </x:row>
    <x:row r="160">
      <x:c r="A160" s="137" t="str"/>
      <x:c r="B160" s="138" t="str"/>
      <x:c r="C160" s="137" t="str"/>
      <x:c r="D160" s="137" t="str"/>
      <x:c r="E160" s="137" t="str"/>
      <x:c r="F160" s="137" t="str"/>
      <x:c r="G160" s="137" t="str"/>
      <x:c r="H160" s="137" t="str"/>
      <x:c r="I160" s="137" t="str"/>
      <x:c r="J160" s="160" t="str"/>
      <x:c r="K160" s="160" t="str"/>
      <x:c r="L160" s="196" t="str">
        <x:f>IF(OR(J160="",K160=""),"",MOD(K160-J160,1)*1440)</x:f>
      </x:c>
      <x:c r="M160" s="137" t="str"/>
      <x:c r="N160" s="137" t="str"/>
      <x:c r="O160" s="137" t="str"/>
      <x:c r="P160" s="137" t="str"/>
      <x:c r="Q160" s="137" t="str"/>
      <x:c r="R160" s="137" t="str"/>
      <x:c r="S160" s="137" t="str"/>
      <x:c r="T160" s="138" t="str"/>
      <x:c r="U160" s="138" t="str"/>
      <x:c r="V160" s="137" t="str"/>
      <x:c r="W160" s="137" t="str"/>
      <x:c r="X160" s="199" t="str"/>
    </x:row>
    <x:row r="161">
      <x:c r="A161" s="137" t="str"/>
      <x:c r="B161" s="138" t="str"/>
      <x:c r="C161" s="137" t="str"/>
      <x:c r="D161" s="137" t="str"/>
      <x:c r="E161" s="137" t="str"/>
      <x:c r="F161" s="137" t="str"/>
      <x:c r="G161" s="137" t="str"/>
      <x:c r="H161" s="137" t="str"/>
      <x:c r="I161" s="137" t="str"/>
      <x:c r="J161" s="160" t="str"/>
      <x:c r="K161" s="160" t="str"/>
      <x:c r="L161" s="196" t="str">
        <x:f>IF(OR(J161="",K161=""),"",MOD(K161-J161,1)*1440)</x:f>
      </x:c>
      <x:c r="M161" s="137" t="str"/>
      <x:c r="N161" s="137" t="str"/>
      <x:c r="O161" s="137" t="str"/>
      <x:c r="P161" s="137" t="str"/>
      <x:c r="Q161" s="137" t="str"/>
      <x:c r="R161" s="137" t="str"/>
      <x:c r="S161" s="137" t="str"/>
      <x:c r="T161" s="138" t="str"/>
      <x:c r="U161" s="138" t="str"/>
      <x:c r="V161" s="137" t="str"/>
      <x:c r="W161" s="137" t="str"/>
      <x:c r="X161" s="199" t="str"/>
    </x:row>
    <x:row r="162">
      <x:c r="A162" s="137" t="str"/>
      <x:c r="B162" s="138" t="str"/>
      <x:c r="C162" s="137" t="str"/>
      <x:c r="D162" s="137" t="str"/>
      <x:c r="E162" s="137" t="str"/>
      <x:c r="F162" s="137" t="str"/>
      <x:c r="G162" s="137" t="str"/>
      <x:c r="H162" s="137" t="str"/>
      <x:c r="I162" s="137" t="str"/>
      <x:c r="J162" s="160" t="str"/>
      <x:c r="K162" s="160" t="str"/>
      <x:c r="L162" s="196" t="str">
        <x:f>IF(OR(J162="",K162=""),"",MOD(K162-J162,1)*1440)</x:f>
      </x:c>
      <x:c r="M162" s="137" t="str"/>
      <x:c r="N162" s="137" t="str"/>
      <x:c r="O162" s="137" t="str"/>
      <x:c r="P162" s="137" t="str"/>
      <x:c r="Q162" s="137" t="str"/>
      <x:c r="R162" s="137" t="str"/>
      <x:c r="S162" s="137" t="str"/>
      <x:c r="T162" s="138" t="str"/>
      <x:c r="U162" s="138" t="str"/>
      <x:c r="V162" s="137" t="str"/>
      <x:c r="W162" s="137" t="str"/>
      <x:c r="X162" s="199" t="str"/>
    </x:row>
    <x:row r="163">
      <x:c r="A163" s="137" t="str"/>
      <x:c r="B163" s="138" t="str"/>
      <x:c r="C163" s="137" t="str"/>
      <x:c r="D163" s="137" t="str"/>
      <x:c r="E163" s="137" t="str"/>
      <x:c r="F163" s="137" t="str"/>
      <x:c r="G163" s="137" t="str"/>
      <x:c r="H163" s="137" t="str"/>
      <x:c r="I163" s="137" t="str"/>
      <x:c r="J163" s="160" t="str"/>
      <x:c r="K163" s="160" t="str"/>
      <x:c r="L163" s="196" t="str">
        <x:f>IF(OR(J163="",K163=""),"",MOD(K163-J163,1)*1440)</x:f>
      </x:c>
      <x:c r="M163" s="137" t="str"/>
      <x:c r="N163" s="137" t="str"/>
      <x:c r="O163" s="137" t="str"/>
      <x:c r="P163" s="137" t="str"/>
      <x:c r="Q163" s="137" t="str"/>
      <x:c r="R163" s="137" t="str"/>
      <x:c r="S163" s="137" t="str"/>
      <x:c r="T163" s="138" t="str"/>
      <x:c r="U163" s="138" t="str"/>
      <x:c r="V163" s="137" t="str"/>
      <x:c r="W163" s="137" t="str"/>
      <x:c r="X163" s="199" t="str"/>
    </x:row>
    <x:row r="164">
      <x:c r="A164" s="137" t="str"/>
      <x:c r="B164" s="138" t="str"/>
      <x:c r="C164" s="137" t="str"/>
      <x:c r="D164" s="137" t="str"/>
      <x:c r="E164" s="137" t="str"/>
      <x:c r="F164" s="137" t="str"/>
      <x:c r="G164" s="137" t="str"/>
      <x:c r="H164" s="137" t="str"/>
      <x:c r="I164" s="137" t="str"/>
      <x:c r="J164" s="160" t="str"/>
      <x:c r="K164" s="160" t="str"/>
      <x:c r="L164" s="196" t="str">
        <x:f>IF(OR(J164="",K164=""),"",MOD(K164-J164,1)*1440)</x:f>
      </x:c>
      <x:c r="M164" s="137" t="str"/>
      <x:c r="N164" s="137" t="str"/>
      <x:c r="O164" s="137" t="str"/>
      <x:c r="P164" s="137" t="str"/>
      <x:c r="Q164" s="137" t="str"/>
      <x:c r="R164" s="137" t="str"/>
      <x:c r="S164" s="137" t="str"/>
      <x:c r="T164" s="138" t="str"/>
      <x:c r="U164" s="138" t="str"/>
      <x:c r="V164" s="137" t="str"/>
      <x:c r="W164" s="137" t="str"/>
      <x:c r="X164" s="199" t="str"/>
    </x:row>
    <x:row r="165">
      <x:c r="A165" s="137" t="str"/>
      <x:c r="B165" s="138" t="str"/>
      <x:c r="C165" s="137" t="str"/>
      <x:c r="D165" s="137" t="str"/>
      <x:c r="E165" s="137" t="str"/>
      <x:c r="F165" s="137" t="str"/>
      <x:c r="G165" s="137" t="str"/>
      <x:c r="H165" s="137" t="str"/>
      <x:c r="I165" s="137" t="str"/>
      <x:c r="J165" s="160" t="str"/>
      <x:c r="K165" s="160" t="str"/>
      <x:c r="L165" s="196" t="str">
        <x:f>IF(OR(J165="",K165=""),"",MOD(K165-J165,1)*1440)</x:f>
      </x:c>
      <x:c r="M165" s="137" t="str"/>
      <x:c r="N165" s="137" t="str"/>
      <x:c r="O165" s="137" t="str"/>
      <x:c r="P165" s="137" t="str"/>
      <x:c r="Q165" s="137" t="str"/>
      <x:c r="R165" s="137" t="str"/>
      <x:c r="S165" s="137" t="str"/>
      <x:c r="T165" s="138" t="str"/>
      <x:c r="U165" s="138" t="str"/>
      <x:c r="V165" s="137" t="str"/>
      <x:c r="W165" s="137" t="str"/>
      <x:c r="X165" s="199" t="str"/>
    </x:row>
    <x:row r="166">
      <x:c r="A166" s="137" t="str"/>
      <x:c r="B166" s="138" t="str"/>
      <x:c r="C166" s="137" t="str"/>
      <x:c r="D166" s="137" t="str"/>
      <x:c r="E166" s="137" t="str"/>
      <x:c r="F166" s="137" t="str"/>
      <x:c r="G166" s="137" t="str"/>
      <x:c r="H166" s="137" t="str"/>
      <x:c r="I166" s="137" t="str"/>
      <x:c r="J166" s="160" t="str"/>
      <x:c r="K166" s="160" t="str"/>
      <x:c r="L166" s="196" t="str">
        <x:f>IF(OR(J166="",K166=""),"",MOD(K166-J166,1)*1440)</x:f>
      </x:c>
      <x:c r="M166" s="137" t="str"/>
      <x:c r="N166" s="137" t="str"/>
      <x:c r="O166" s="137" t="str"/>
      <x:c r="P166" s="137" t="str"/>
      <x:c r="Q166" s="137" t="str"/>
      <x:c r="R166" s="137" t="str"/>
      <x:c r="S166" s="137" t="str"/>
      <x:c r="T166" s="138" t="str"/>
      <x:c r="U166" s="138" t="str"/>
      <x:c r="V166" s="137" t="str"/>
      <x:c r="W166" s="137" t="str"/>
      <x:c r="X166" s="199" t="str"/>
    </x:row>
    <x:row r="167">
      <x:c r="A167" s="137" t="str"/>
      <x:c r="B167" s="138" t="str"/>
      <x:c r="C167" s="137" t="str"/>
      <x:c r="D167" s="137" t="str"/>
      <x:c r="E167" s="137" t="str"/>
      <x:c r="F167" s="137" t="str"/>
      <x:c r="G167" s="137" t="str"/>
      <x:c r="H167" s="137" t="str"/>
      <x:c r="I167" s="137" t="str"/>
      <x:c r="J167" s="160" t="str"/>
      <x:c r="K167" s="160" t="str"/>
      <x:c r="L167" s="196" t="str">
        <x:f>IF(OR(J167="",K167=""),"",MOD(K167-J167,1)*1440)</x:f>
      </x:c>
      <x:c r="M167" s="137" t="str"/>
      <x:c r="N167" s="137" t="str"/>
      <x:c r="O167" s="137" t="str"/>
      <x:c r="P167" s="137" t="str"/>
      <x:c r="Q167" s="137" t="str"/>
      <x:c r="R167" s="137" t="str"/>
      <x:c r="S167" s="137" t="str"/>
      <x:c r="T167" s="138" t="str"/>
      <x:c r="U167" s="138" t="str"/>
      <x:c r="V167" s="137" t="str"/>
      <x:c r="W167" s="137" t="str"/>
      <x:c r="X167" s="199" t="str"/>
    </x:row>
    <x:row r="168">
      <x:c r="A168" s="137" t="str"/>
      <x:c r="B168" s="138" t="str"/>
      <x:c r="C168" s="137" t="str"/>
      <x:c r="D168" s="137" t="str"/>
      <x:c r="E168" s="137" t="str"/>
      <x:c r="F168" s="137" t="str"/>
      <x:c r="G168" s="137" t="str"/>
      <x:c r="H168" s="137" t="str"/>
      <x:c r="I168" s="137" t="str"/>
      <x:c r="J168" s="160" t="str"/>
      <x:c r="K168" s="160" t="str"/>
      <x:c r="L168" s="196" t="str">
        <x:f>IF(OR(J168="",K168=""),"",MOD(K168-J168,1)*1440)</x:f>
      </x:c>
      <x:c r="M168" s="137" t="str"/>
      <x:c r="N168" s="137" t="str"/>
      <x:c r="O168" s="137" t="str"/>
      <x:c r="P168" s="137" t="str"/>
      <x:c r="Q168" s="137" t="str"/>
      <x:c r="R168" s="137" t="str"/>
      <x:c r="S168" s="137" t="str"/>
      <x:c r="T168" s="138" t="str"/>
      <x:c r="U168" s="138" t="str"/>
      <x:c r="V168" s="137" t="str"/>
      <x:c r="W168" s="137" t="str"/>
      <x:c r="X168" s="199" t="str"/>
    </x:row>
    <x:row r="169">
      <x:c r="A169" s="137" t="str"/>
      <x:c r="B169" s="138" t="str"/>
      <x:c r="C169" s="137" t="str"/>
      <x:c r="D169" s="137" t="str"/>
      <x:c r="E169" s="137" t="str"/>
      <x:c r="F169" s="137" t="str"/>
      <x:c r="G169" s="137" t="str"/>
      <x:c r="H169" s="137" t="str"/>
      <x:c r="I169" s="137" t="str"/>
      <x:c r="J169" s="160" t="str"/>
      <x:c r="K169" s="160" t="str"/>
      <x:c r="L169" s="196" t="str">
        <x:f>IF(OR(J169="",K169=""),"",MOD(K169-J169,1)*1440)</x:f>
      </x:c>
      <x:c r="M169" s="137" t="str"/>
      <x:c r="N169" s="137" t="str"/>
      <x:c r="O169" s="137" t="str"/>
      <x:c r="P169" s="137" t="str"/>
      <x:c r="Q169" s="137" t="str"/>
      <x:c r="R169" s="137" t="str"/>
      <x:c r="S169" s="137" t="str"/>
      <x:c r="T169" s="138" t="str"/>
      <x:c r="U169" s="138" t="str"/>
      <x:c r="V169" s="137" t="str"/>
      <x:c r="W169" s="137" t="str"/>
      <x:c r="X169" s="199" t="str"/>
    </x:row>
    <x:row r="170">
      <x:c r="A170" s="137" t="str"/>
      <x:c r="B170" s="138" t="str"/>
      <x:c r="C170" s="137" t="str"/>
      <x:c r="D170" s="137" t="str"/>
      <x:c r="E170" s="137" t="str"/>
      <x:c r="F170" s="137" t="str"/>
      <x:c r="G170" s="137" t="str"/>
      <x:c r="H170" s="137" t="str"/>
      <x:c r="I170" s="137" t="str"/>
      <x:c r="J170" s="160" t="str"/>
      <x:c r="K170" s="160" t="str"/>
      <x:c r="L170" s="196" t="str">
        <x:f>IF(OR(J170="",K170=""),"",MOD(K170-J170,1)*1440)</x:f>
      </x:c>
      <x:c r="M170" s="137" t="str"/>
      <x:c r="N170" s="137" t="str"/>
      <x:c r="O170" s="137" t="str"/>
      <x:c r="P170" s="137" t="str"/>
      <x:c r="Q170" s="137" t="str"/>
      <x:c r="R170" s="137" t="str"/>
      <x:c r="S170" s="137" t="str"/>
      <x:c r="T170" s="138" t="str"/>
      <x:c r="U170" s="138" t="str"/>
      <x:c r="V170" s="137" t="str"/>
      <x:c r="W170" s="137" t="str"/>
      <x:c r="X170" s="199" t="str"/>
    </x:row>
    <x:row r="171">
      <x:c r="A171" s="137" t="str"/>
      <x:c r="B171" s="138" t="str"/>
      <x:c r="C171" s="137" t="str"/>
      <x:c r="D171" s="137" t="str"/>
      <x:c r="E171" s="137" t="str"/>
      <x:c r="F171" s="137" t="str"/>
      <x:c r="G171" s="137" t="str"/>
      <x:c r="H171" s="137" t="str"/>
      <x:c r="I171" s="137" t="str"/>
      <x:c r="J171" s="160" t="str"/>
      <x:c r="K171" s="160" t="str"/>
      <x:c r="L171" s="196" t="str">
        <x:f>IF(OR(J171="",K171=""),"",MOD(K171-J171,1)*1440)</x:f>
      </x:c>
      <x:c r="M171" s="137" t="str"/>
      <x:c r="N171" s="137" t="str"/>
      <x:c r="O171" s="137" t="str"/>
      <x:c r="P171" s="137" t="str"/>
      <x:c r="Q171" s="137" t="str"/>
      <x:c r="R171" s="137" t="str"/>
      <x:c r="S171" s="137" t="str"/>
      <x:c r="T171" s="138" t="str"/>
      <x:c r="U171" s="138" t="str"/>
      <x:c r="V171" s="137" t="str"/>
      <x:c r="W171" s="137" t="str"/>
      <x:c r="X171" s="199" t="str"/>
    </x:row>
    <x:row r="172">
      <x:c r="A172" s="137" t="str"/>
      <x:c r="B172" s="138" t="str"/>
      <x:c r="C172" s="137" t="str"/>
      <x:c r="D172" s="137" t="str"/>
      <x:c r="E172" s="137" t="str"/>
      <x:c r="F172" s="137" t="str"/>
      <x:c r="G172" s="137" t="str"/>
      <x:c r="H172" s="137" t="str"/>
      <x:c r="I172" s="137" t="str"/>
      <x:c r="J172" s="160" t="str"/>
      <x:c r="K172" s="160" t="str"/>
      <x:c r="L172" s="196" t="str">
        <x:f>IF(OR(J172="",K172=""),"",MOD(K172-J172,1)*1440)</x:f>
      </x:c>
      <x:c r="M172" s="137" t="str"/>
      <x:c r="N172" s="137" t="str"/>
      <x:c r="O172" s="137" t="str"/>
      <x:c r="P172" s="137" t="str"/>
      <x:c r="Q172" s="137" t="str"/>
      <x:c r="R172" s="137" t="str"/>
      <x:c r="S172" s="137" t="str"/>
      <x:c r="T172" s="138" t="str"/>
      <x:c r="U172" s="138" t="str"/>
      <x:c r="V172" s="137" t="str"/>
      <x:c r="W172" s="137" t="str"/>
      <x:c r="X172" s="199" t="str"/>
    </x:row>
    <x:row r="173">
      <x:c r="A173" s="137" t="str"/>
      <x:c r="B173" s="138" t="str"/>
      <x:c r="C173" s="137" t="str"/>
      <x:c r="D173" s="137" t="str"/>
      <x:c r="E173" s="137" t="str"/>
      <x:c r="F173" s="137" t="str"/>
      <x:c r="G173" s="137" t="str"/>
      <x:c r="H173" s="137" t="str"/>
      <x:c r="I173" s="137" t="str"/>
      <x:c r="J173" s="160" t="str"/>
      <x:c r="K173" s="160" t="str"/>
      <x:c r="L173" s="196" t="str">
        <x:f>IF(OR(J173="",K173=""),"",MOD(K173-J173,1)*1440)</x:f>
      </x:c>
      <x:c r="M173" s="137" t="str"/>
      <x:c r="N173" s="137" t="str"/>
      <x:c r="O173" s="137" t="str"/>
      <x:c r="P173" s="137" t="str"/>
      <x:c r="Q173" s="137" t="str"/>
      <x:c r="R173" s="137" t="str"/>
      <x:c r="S173" s="137" t="str"/>
      <x:c r="T173" s="138" t="str"/>
      <x:c r="U173" s="138" t="str"/>
      <x:c r="V173" s="137" t="str"/>
      <x:c r="W173" s="137" t="str"/>
      <x:c r="X173" s="199" t="str"/>
    </x:row>
    <x:row r="174">
      <x:c r="A174" s="137" t="str"/>
      <x:c r="B174" s="138" t="str"/>
      <x:c r="C174" s="137" t="str"/>
      <x:c r="D174" s="137" t="str"/>
      <x:c r="E174" s="137" t="str"/>
      <x:c r="F174" s="137" t="str"/>
      <x:c r="G174" s="137" t="str"/>
      <x:c r="H174" s="137" t="str"/>
      <x:c r="I174" s="137" t="str"/>
      <x:c r="J174" s="160" t="str"/>
      <x:c r="K174" s="160" t="str"/>
      <x:c r="L174" s="196" t="str">
        <x:f>IF(OR(J174="",K174=""),"",MOD(K174-J174,1)*1440)</x:f>
      </x:c>
      <x:c r="M174" s="137" t="str"/>
      <x:c r="N174" s="137" t="str"/>
      <x:c r="O174" s="137" t="str"/>
      <x:c r="P174" s="137" t="str"/>
      <x:c r="Q174" s="137" t="str"/>
      <x:c r="R174" s="137" t="str"/>
      <x:c r="S174" s="137" t="str"/>
      <x:c r="T174" s="138" t="str"/>
      <x:c r="U174" s="138" t="str"/>
      <x:c r="V174" s="137" t="str"/>
      <x:c r="W174" s="137" t="str"/>
      <x:c r="X174" s="199" t="str"/>
    </x:row>
    <x:row r="175">
      <x:c r="A175" s="137" t="str"/>
      <x:c r="B175" s="138" t="str"/>
      <x:c r="C175" s="137" t="str"/>
      <x:c r="D175" s="137" t="str"/>
      <x:c r="E175" s="137" t="str"/>
      <x:c r="F175" s="137" t="str"/>
      <x:c r="G175" s="137" t="str"/>
      <x:c r="H175" s="137" t="str"/>
      <x:c r="I175" s="137" t="str"/>
      <x:c r="J175" s="160" t="str"/>
      <x:c r="K175" s="160" t="str"/>
      <x:c r="L175" s="196" t="str">
        <x:f>IF(OR(J175="",K175=""),"",MOD(K175-J175,1)*1440)</x:f>
      </x:c>
      <x:c r="M175" s="137" t="str"/>
      <x:c r="N175" s="137" t="str"/>
      <x:c r="O175" s="137" t="str"/>
      <x:c r="P175" s="137" t="str"/>
      <x:c r="Q175" s="137" t="str"/>
      <x:c r="R175" s="137" t="str"/>
      <x:c r="S175" s="137" t="str"/>
      <x:c r="T175" s="138" t="str"/>
      <x:c r="U175" s="138" t="str"/>
      <x:c r="V175" s="137" t="str"/>
      <x:c r="W175" s="137" t="str"/>
      <x:c r="X175" s="199" t="str"/>
    </x:row>
    <x:row r="176">
      <x:c r="A176" s="137" t="str"/>
      <x:c r="B176" s="138" t="str"/>
      <x:c r="C176" s="137" t="str"/>
      <x:c r="D176" s="137" t="str"/>
      <x:c r="E176" s="137" t="str"/>
      <x:c r="F176" s="137" t="str"/>
      <x:c r="G176" s="137" t="str"/>
      <x:c r="H176" s="137" t="str"/>
      <x:c r="I176" s="137" t="str"/>
      <x:c r="J176" s="160" t="str"/>
      <x:c r="K176" s="160" t="str"/>
      <x:c r="L176" s="196" t="str">
        <x:f>IF(OR(J176="",K176=""),"",MOD(K176-J176,1)*1440)</x:f>
      </x:c>
      <x:c r="M176" s="137" t="str"/>
      <x:c r="N176" s="137" t="str"/>
      <x:c r="O176" s="137" t="str"/>
      <x:c r="P176" s="137" t="str"/>
      <x:c r="Q176" s="137" t="str"/>
      <x:c r="R176" s="137" t="str"/>
      <x:c r="S176" s="137" t="str"/>
      <x:c r="T176" s="138" t="str"/>
      <x:c r="U176" s="138" t="str"/>
      <x:c r="V176" s="137" t="str"/>
      <x:c r="W176" s="137" t="str"/>
      <x:c r="X176" s="199" t="str"/>
    </x:row>
    <x:row r="177">
      <x:c r="A177" s="137" t="str"/>
      <x:c r="B177" s="138" t="str"/>
      <x:c r="C177" s="137" t="str"/>
      <x:c r="D177" s="137" t="str"/>
      <x:c r="E177" s="137" t="str"/>
      <x:c r="F177" s="137" t="str"/>
      <x:c r="G177" s="137" t="str"/>
      <x:c r="H177" s="137" t="str"/>
      <x:c r="I177" s="137" t="str"/>
      <x:c r="J177" s="160" t="str"/>
      <x:c r="K177" s="160" t="str"/>
      <x:c r="L177" s="196" t="str">
        <x:f>IF(OR(J177="",K177=""),"",MOD(K177-J177,1)*1440)</x:f>
      </x:c>
      <x:c r="M177" s="137" t="str"/>
      <x:c r="N177" s="137" t="str"/>
      <x:c r="O177" s="137" t="str"/>
      <x:c r="P177" s="137" t="str"/>
      <x:c r="Q177" s="137" t="str"/>
      <x:c r="R177" s="137" t="str"/>
      <x:c r="S177" s="137" t="str"/>
      <x:c r="T177" s="138" t="str"/>
      <x:c r="U177" s="138" t="str"/>
      <x:c r="V177" s="137" t="str"/>
      <x:c r="W177" s="137" t="str"/>
      <x:c r="X177" s="199" t="str"/>
    </x:row>
    <x:row r="178">
      <x:c r="A178" s="137" t="str"/>
      <x:c r="B178" s="138" t="str"/>
      <x:c r="C178" s="137" t="str"/>
      <x:c r="D178" s="137" t="str"/>
      <x:c r="E178" s="137" t="str"/>
      <x:c r="F178" s="137" t="str"/>
      <x:c r="G178" s="137" t="str"/>
      <x:c r="H178" s="137" t="str"/>
      <x:c r="I178" s="137" t="str"/>
      <x:c r="J178" s="160" t="str"/>
      <x:c r="K178" s="160" t="str"/>
      <x:c r="L178" s="196" t="str">
        <x:f>IF(OR(J178="",K178=""),"",MOD(K178-J178,1)*1440)</x:f>
      </x:c>
      <x:c r="M178" s="137" t="str"/>
      <x:c r="N178" s="137" t="str"/>
      <x:c r="O178" s="137" t="str"/>
      <x:c r="P178" s="137" t="str"/>
      <x:c r="Q178" s="137" t="str"/>
      <x:c r="R178" s="137" t="str"/>
      <x:c r="S178" s="137" t="str"/>
      <x:c r="T178" s="138" t="str"/>
      <x:c r="U178" s="138" t="str"/>
      <x:c r="V178" s="137" t="str"/>
      <x:c r="W178" s="137" t="str"/>
      <x:c r="X178" s="199" t="str"/>
    </x:row>
    <x:row r="179">
      <x:c r="A179" s="137" t="str"/>
      <x:c r="B179" s="138" t="str"/>
      <x:c r="C179" s="137" t="str"/>
      <x:c r="D179" s="137" t="str"/>
      <x:c r="E179" s="137" t="str"/>
      <x:c r="F179" s="137" t="str"/>
      <x:c r="G179" s="137" t="str"/>
      <x:c r="H179" s="137" t="str"/>
      <x:c r="I179" s="137" t="str"/>
      <x:c r="J179" s="160" t="str"/>
      <x:c r="K179" s="160" t="str"/>
      <x:c r="L179" s="196" t="str">
        <x:f>IF(OR(J179="",K179=""),"",MOD(K179-J179,1)*1440)</x:f>
      </x:c>
      <x:c r="M179" s="137" t="str"/>
      <x:c r="N179" s="137" t="str"/>
      <x:c r="O179" s="137" t="str"/>
      <x:c r="P179" s="137" t="str"/>
      <x:c r="Q179" s="137" t="str"/>
      <x:c r="R179" s="137" t="str"/>
      <x:c r="S179" s="137" t="str"/>
      <x:c r="T179" s="138" t="str"/>
      <x:c r="U179" s="138" t="str"/>
      <x:c r="V179" s="137" t="str"/>
      <x:c r="W179" s="137" t="str"/>
      <x:c r="X179" s="199" t="str"/>
    </x:row>
    <x:row r="180">
      <x:c r="A180" s="137" t="str"/>
      <x:c r="B180" s="138" t="str"/>
      <x:c r="C180" s="137" t="str"/>
      <x:c r="D180" s="137" t="str"/>
      <x:c r="E180" s="137" t="str"/>
      <x:c r="F180" s="137" t="str"/>
      <x:c r="G180" s="137" t="str"/>
      <x:c r="H180" s="137" t="str"/>
      <x:c r="I180" s="137" t="str"/>
      <x:c r="J180" s="160" t="str"/>
      <x:c r="K180" s="160" t="str"/>
      <x:c r="L180" s="196" t="str">
        <x:f>IF(OR(J180="",K180=""),"",MOD(K180-J180,1)*1440)</x:f>
      </x:c>
      <x:c r="M180" s="137" t="str"/>
      <x:c r="N180" s="137" t="str"/>
      <x:c r="O180" s="137" t="str"/>
      <x:c r="P180" s="137" t="str"/>
      <x:c r="Q180" s="137" t="str"/>
      <x:c r="R180" s="137" t="str"/>
      <x:c r="S180" s="137" t="str"/>
      <x:c r="T180" s="138" t="str"/>
      <x:c r="U180" s="138" t="str"/>
      <x:c r="V180" s="137" t="str"/>
      <x:c r="W180" s="137" t="str"/>
      <x:c r="X180" s="199" t="str"/>
    </x:row>
    <x:row r="181">
      <x:c r="A181" s="137" t="str"/>
      <x:c r="B181" s="138" t="str"/>
      <x:c r="C181" s="137" t="str"/>
      <x:c r="D181" s="137" t="str"/>
      <x:c r="E181" s="137" t="str"/>
      <x:c r="F181" s="137" t="str"/>
      <x:c r="G181" s="137" t="str"/>
      <x:c r="H181" s="137" t="str"/>
      <x:c r="I181" s="137" t="str"/>
      <x:c r="J181" s="160" t="str"/>
      <x:c r="K181" s="160" t="str"/>
      <x:c r="L181" s="196" t="str">
        <x:f>IF(OR(J181="",K181=""),"",MOD(K181-J181,1)*1440)</x:f>
      </x:c>
      <x:c r="M181" s="137" t="str"/>
      <x:c r="N181" s="137" t="str"/>
      <x:c r="O181" s="137" t="str"/>
      <x:c r="P181" s="137" t="str"/>
      <x:c r="Q181" s="137" t="str"/>
      <x:c r="R181" s="137" t="str"/>
      <x:c r="S181" s="137" t="str"/>
      <x:c r="T181" s="138" t="str"/>
      <x:c r="U181" s="138" t="str"/>
      <x:c r="V181" s="137" t="str"/>
      <x:c r="W181" s="137" t="str"/>
      <x:c r="X181" s="199" t="str"/>
    </x:row>
    <x:row r="182">
      <x:c r="A182" s="137" t="str"/>
      <x:c r="B182" s="138" t="str"/>
      <x:c r="C182" s="137" t="str"/>
      <x:c r="D182" s="137" t="str"/>
      <x:c r="E182" s="137" t="str"/>
      <x:c r="F182" s="137" t="str"/>
      <x:c r="G182" s="137" t="str"/>
      <x:c r="H182" s="137" t="str"/>
      <x:c r="I182" s="137" t="str"/>
      <x:c r="J182" s="160" t="str"/>
      <x:c r="K182" s="160" t="str"/>
      <x:c r="L182" s="196" t="str">
        <x:f>IF(OR(J182="",K182=""),"",MOD(K182-J182,1)*1440)</x:f>
      </x:c>
      <x:c r="M182" s="137" t="str"/>
      <x:c r="N182" s="137" t="str"/>
      <x:c r="O182" s="137" t="str"/>
      <x:c r="P182" s="137" t="str"/>
      <x:c r="Q182" s="137" t="str"/>
      <x:c r="R182" s="137" t="str"/>
      <x:c r="S182" s="137" t="str"/>
      <x:c r="T182" s="138" t="str"/>
      <x:c r="U182" s="138" t="str"/>
      <x:c r="V182" s="137" t="str"/>
      <x:c r="W182" s="137" t="str"/>
      <x:c r="X182" s="199" t="str"/>
    </x:row>
    <x:row r="183">
      <x:c r="A183" s="137" t="str"/>
      <x:c r="B183" s="138" t="str"/>
      <x:c r="C183" s="137" t="str"/>
      <x:c r="D183" s="137" t="str"/>
      <x:c r="E183" s="137" t="str"/>
      <x:c r="F183" s="137" t="str"/>
      <x:c r="G183" s="137" t="str"/>
      <x:c r="H183" s="137" t="str"/>
      <x:c r="I183" s="137" t="str"/>
      <x:c r="J183" s="160" t="str"/>
      <x:c r="K183" s="160" t="str"/>
      <x:c r="L183" s="196" t="str">
        <x:f>IF(OR(J183="",K183=""),"",MOD(K183-J183,1)*1440)</x:f>
      </x:c>
      <x:c r="M183" s="137" t="str"/>
      <x:c r="N183" s="137" t="str"/>
      <x:c r="O183" s="137" t="str"/>
      <x:c r="P183" s="137" t="str"/>
      <x:c r="Q183" s="137" t="str"/>
      <x:c r="R183" s="137" t="str"/>
      <x:c r="S183" s="137" t="str"/>
      <x:c r="T183" s="138" t="str"/>
      <x:c r="U183" s="138" t="str"/>
      <x:c r="V183" s="137" t="str"/>
      <x:c r="W183" s="137" t="str"/>
      <x:c r="X183" s="199" t="str"/>
    </x:row>
    <x:row r="184">
      <x:c r="A184" s="137" t="str"/>
      <x:c r="B184" s="138" t="str"/>
      <x:c r="C184" s="137" t="str"/>
      <x:c r="D184" s="137" t="str"/>
      <x:c r="E184" s="137" t="str"/>
      <x:c r="F184" s="137" t="str"/>
      <x:c r="G184" s="137" t="str"/>
      <x:c r="H184" s="137" t="str"/>
      <x:c r="I184" s="137" t="str"/>
      <x:c r="J184" s="160" t="str"/>
      <x:c r="K184" s="160" t="str"/>
      <x:c r="L184" s="196" t="str">
        <x:f>IF(OR(J184="",K184=""),"",MOD(K184-J184,1)*1440)</x:f>
      </x:c>
      <x:c r="M184" s="137" t="str"/>
      <x:c r="N184" s="137" t="str"/>
      <x:c r="O184" s="137" t="str"/>
      <x:c r="P184" s="137" t="str"/>
      <x:c r="Q184" s="137" t="str"/>
      <x:c r="R184" s="137" t="str"/>
      <x:c r="S184" s="137" t="str"/>
      <x:c r="T184" s="138" t="str"/>
      <x:c r="U184" s="138" t="str"/>
      <x:c r="V184" s="137" t="str"/>
      <x:c r="W184" s="137" t="str"/>
      <x:c r="X184" s="199" t="str"/>
    </x:row>
    <x:row r="185">
      <x:c r="A185" s="137" t="str"/>
      <x:c r="B185" s="138" t="str"/>
      <x:c r="C185" s="137" t="str"/>
      <x:c r="D185" s="137" t="str"/>
      <x:c r="E185" s="137" t="str"/>
      <x:c r="F185" s="137" t="str"/>
      <x:c r="G185" s="137" t="str"/>
      <x:c r="H185" s="137" t="str"/>
      <x:c r="I185" s="137" t="str"/>
      <x:c r="J185" s="160" t="str"/>
      <x:c r="K185" s="160" t="str"/>
      <x:c r="L185" s="196" t="str">
        <x:f>IF(OR(J185="",K185=""),"",MOD(K185-J185,1)*1440)</x:f>
      </x:c>
      <x:c r="M185" s="137" t="str"/>
      <x:c r="N185" s="137" t="str"/>
      <x:c r="O185" s="137" t="str"/>
      <x:c r="P185" s="137" t="str"/>
      <x:c r="Q185" s="137" t="str"/>
      <x:c r="R185" s="137" t="str"/>
      <x:c r="S185" s="137" t="str"/>
      <x:c r="T185" s="138" t="str"/>
      <x:c r="U185" s="138" t="str"/>
      <x:c r="V185" s="137" t="str"/>
      <x:c r="W185" s="137" t="str"/>
      <x:c r="X185" s="199" t="str"/>
    </x:row>
    <x:row r="186">
      <x:c r="A186" s="137" t="str"/>
      <x:c r="B186" s="138" t="str"/>
      <x:c r="C186" s="137" t="str"/>
      <x:c r="D186" s="137" t="str"/>
      <x:c r="E186" s="137" t="str"/>
      <x:c r="F186" s="137" t="str"/>
      <x:c r="G186" s="137" t="str"/>
      <x:c r="H186" s="137" t="str"/>
      <x:c r="I186" s="137" t="str"/>
      <x:c r="J186" s="160" t="str"/>
      <x:c r="K186" s="160" t="str"/>
      <x:c r="L186" s="196" t="str">
        <x:f>IF(OR(J186="",K186=""),"",MOD(K186-J186,1)*1440)</x:f>
      </x:c>
      <x:c r="M186" s="137" t="str"/>
      <x:c r="N186" s="137" t="str"/>
      <x:c r="O186" s="137" t="str"/>
      <x:c r="P186" s="137" t="str"/>
      <x:c r="Q186" s="137" t="str"/>
      <x:c r="R186" s="137" t="str"/>
      <x:c r="S186" s="137" t="str"/>
      <x:c r="T186" s="138" t="str"/>
      <x:c r="U186" s="138" t="str"/>
      <x:c r="V186" s="137" t="str"/>
      <x:c r="W186" s="137" t="str"/>
      <x:c r="X186" s="199" t="str"/>
    </x:row>
    <x:row r="187">
      <x:c r="A187" s="137" t="str"/>
      <x:c r="B187" s="138" t="str"/>
      <x:c r="C187" s="137" t="str"/>
      <x:c r="D187" s="137" t="str"/>
      <x:c r="E187" s="137" t="str"/>
      <x:c r="F187" s="137" t="str"/>
      <x:c r="G187" s="137" t="str"/>
      <x:c r="H187" s="137" t="str"/>
      <x:c r="I187" s="137" t="str"/>
      <x:c r="J187" s="160" t="str"/>
      <x:c r="K187" s="160" t="str"/>
      <x:c r="L187" s="196" t="str">
        <x:f>IF(OR(J187="",K187=""),"",MOD(K187-J187,1)*1440)</x:f>
      </x:c>
      <x:c r="M187" s="137" t="str"/>
      <x:c r="N187" s="137" t="str"/>
      <x:c r="O187" s="137" t="str"/>
      <x:c r="P187" s="137" t="str"/>
      <x:c r="Q187" s="137" t="str"/>
      <x:c r="R187" s="137" t="str"/>
      <x:c r="S187" s="137" t="str"/>
      <x:c r="T187" s="138" t="str"/>
      <x:c r="U187" s="138" t="str"/>
      <x:c r="V187" s="137" t="str"/>
      <x:c r="W187" s="137" t="str"/>
      <x:c r="X187" s="199" t="str"/>
    </x:row>
    <x:row r="188">
      <x:c r="A188" s="137" t="str"/>
      <x:c r="B188" s="138" t="str"/>
      <x:c r="C188" s="137" t="str"/>
      <x:c r="D188" s="137" t="str"/>
      <x:c r="E188" s="137" t="str"/>
      <x:c r="F188" s="137" t="str"/>
      <x:c r="G188" s="137" t="str"/>
      <x:c r="H188" s="137" t="str"/>
      <x:c r="I188" s="137" t="str"/>
      <x:c r="J188" s="160" t="str"/>
      <x:c r="K188" s="160" t="str"/>
      <x:c r="L188" s="196" t="str">
        <x:f>IF(OR(J188="",K188=""),"",MOD(K188-J188,1)*1440)</x:f>
      </x:c>
      <x:c r="M188" s="137" t="str"/>
      <x:c r="N188" s="137" t="str"/>
      <x:c r="O188" s="137" t="str"/>
      <x:c r="P188" s="137" t="str"/>
      <x:c r="Q188" s="137" t="str"/>
      <x:c r="R188" s="137" t="str"/>
      <x:c r="S188" s="137" t="str"/>
      <x:c r="T188" s="138" t="str"/>
      <x:c r="U188" s="138" t="str"/>
      <x:c r="V188" s="137" t="str"/>
      <x:c r="W188" s="137" t="str"/>
      <x:c r="X188" s="199" t="str"/>
    </x:row>
    <x:row r="189">
      <x:c r="A189" s="137" t="str"/>
      <x:c r="B189" s="138" t="str"/>
      <x:c r="C189" s="137" t="str"/>
      <x:c r="D189" s="137" t="str"/>
      <x:c r="E189" s="137" t="str"/>
      <x:c r="F189" s="137" t="str"/>
      <x:c r="G189" s="137" t="str"/>
      <x:c r="H189" s="137" t="str"/>
      <x:c r="I189" s="137" t="str"/>
      <x:c r="J189" s="160" t="str"/>
      <x:c r="K189" s="160" t="str"/>
      <x:c r="L189" s="196" t="str">
        <x:f>IF(OR(J189="",K189=""),"",MOD(K189-J189,1)*1440)</x:f>
      </x:c>
      <x:c r="M189" s="137" t="str"/>
      <x:c r="N189" s="137" t="str"/>
      <x:c r="O189" s="137" t="str"/>
      <x:c r="P189" s="137" t="str"/>
      <x:c r="Q189" s="137" t="str"/>
      <x:c r="R189" s="137" t="str"/>
      <x:c r="S189" s="137" t="str"/>
      <x:c r="T189" s="138" t="str"/>
      <x:c r="U189" s="138" t="str"/>
      <x:c r="V189" s="137" t="str"/>
      <x:c r="W189" s="137" t="str"/>
      <x:c r="X189" s="199" t="str"/>
    </x:row>
    <x:row r="190">
      <x:c r="A190" s="137" t="str"/>
      <x:c r="B190" s="138" t="str"/>
      <x:c r="C190" s="137" t="str"/>
      <x:c r="D190" s="137" t="str"/>
      <x:c r="E190" s="137" t="str"/>
      <x:c r="F190" s="137" t="str"/>
      <x:c r="G190" s="137" t="str"/>
      <x:c r="H190" s="137" t="str"/>
      <x:c r="I190" s="137" t="str"/>
      <x:c r="J190" s="160" t="str"/>
      <x:c r="K190" s="160" t="str"/>
      <x:c r="L190" s="196" t="str">
        <x:f>IF(OR(J190="",K190=""),"",MOD(K190-J190,1)*1440)</x:f>
      </x:c>
      <x:c r="M190" s="137" t="str"/>
      <x:c r="N190" s="137" t="str"/>
      <x:c r="O190" s="137" t="str"/>
      <x:c r="P190" s="137" t="str"/>
      <x:c r="Q190" s="137" t="str"/>
      <x:c r="R190" s="137" t="str"/>
      <x:c r="S190" s="137" t="str"/>
      <x:c r="T190" s="138" t="str"/>
      <x:c r="U190" s="138" t="str"/>
      <x:c r="V190" s="137" t="str"/>
      <x:c r="W190" s="137" t="str"/>
      <x:c r="X190" s="199" t="str"/>
    </x:row>
    <x:row r="191">
      <x:c r="A191" s="137" t="str"/>
      <x:c r="B191" s="138" t="str"/>
      <x:c r="C191" s="137" t="str"/>
      <x:c r="D191" s="137" t="str"/>
      <x:c r="E191" s="137" t="str"/>
      <x:c r="F191" s="137" t="str"/>
      <x:c r="G191" s="137" t="str"/>
      <x:c r="H191" s="137" t="str"/>
      <x:c r="I191" s="137" t="str"/>
      <x:c r="J191" s="160" t="str"/>
      <x:c r="K191" s="160" t="str"/>
      <x:c r="L191" s="196" t="str">
        <x:f>IF(OR(J191="",K191=""),"",MOD(K191-J191,1)*1440)</x:f>
      </x:c>
      <x:c r="M191" s="137" t="str"/>
      <x:c r="N191" s="137" t="str"/>
      <x:c r="O191" s="137" t="str"/>
      <x:c r="P191" s="137" t="str"/>
      <x:c r="Q191" s="137" t="str"/>
      <x:c r="R191" s="137" t="str"/>
      <x:c r="S191" s="137" t="str"/>
      <x:c r="T191" s="138" t="str"/>
      <x:c r="U191" s="138" t="str"/>
      <x:c r="V191" s="137" t="str"/>
      <x:c r="W191" s="137" t="str"/>
      <x:c r="X191" s="199" t="str"/>
    </x:row>
    <x:row r="192">
      <x:c r="A192" s="137" t="str"/>
      <x:c r="B192" s="138" t="str"/>
      <x:c r="C192" s="137" t="str"/>
      <x:c r="D192" s="137" t="str"/>
      <x:c r="E192" s="137" t="str"/>
      <x:c r="F192" s="137" t="str"/>
      <x:c r="G192" s="137" t="str"/>
      <x:c r="H192" s="137" t="str"/>
      <x:c r="I192" s="137" t="str"/>
      <x:c r="J192" s="160" t="str"/>
      <x:c r="K192" s="160" t="str"/>
      <x:c r="L192" s="196" t="str">
        <x:f>IF(OR(J192="",K192=""),"",MOD(K192-J192,1)*1440)</x:f>
      </x:c>
      <x:c r="M192" s="137" t="str"/>
      <x:c r="N192" s="137" t="str"/>
      <x:c r="O192" s="137" t="str"/>
      <x:c r="P192" s="137" t="str"/>
      <x:c r="Q192" s="137" t="str"/>
      <x:c r="R192" s="137" t="str"/>
      <x:c r="S192" s="137" t="str"/>
      <x:c r="T192" s="138" t="str"/>
      <x:c r="U192" s="138" t="str"/>
      <x:c r="V192" s="137" t="str"/>
      <x:c r="W192" s="137" t="str"/>
      <x:c r="X192" s="199" t="str"/>
    </x:row>
    <x:row r="193">
      <x:c r="A193" s="137" t="str"/>
      <x:c r="B193" s="138" t="str"/>
      <x:c r="C193" s="137" t="str"/>
      <x:c r="D193" s="137" t="str"/>
      <x:c r="E193" s="137" t="str"/>
      <x:c r="F193" s="137" t="str"/>
      <x:c r="G193" s="137" t="str"/>
      <x:c r="H193" s="137" t="str"/>
      <x:c r="I193" s="137" t="str"/>
      <x:c r="J193" s="160" t="str"/>
      <x:c r="K193" s="160" t="str"/>
      <x:c r="L193" s="196" t="str">
        <x:f>IF(OR(J193="",K193=""),"",MOD(K193-J193,1)*1440)</x:f>
      </x:c>
      <x:c r="M193" s="137" t="str"/>
      <x:c r="N193" s="137" t="str"/>
      <x:c r="O193" s="137" t="str"/>
      <x:c r="P193" s="137" t="str"/>
      <x:c r="Q193" s="137" t="str"/>
      <x:c r="R193" s="137" t="str"/>
      <x:c r="S193" s="137" t="str"/>
      <x:c r="T193" s="138" t="str"/>
      <x:c r="U193" s="138" t="str"/>
      <x:c r="V193" s="137" t="str"/>
      <x:c r="W193" s="137" t="str"/>
      <x:c r="X193" s="199" t="str"/>
    </x:row>
    <x:row r="194">
      <x:c r="A194" s="137" t="str"/>
      <x:c r="B194" s="138" t="str"/>
      <x:c r="C194" s="137" t="str"/>
      <x:c r="D194" s="137" t="str"/>
      <x:c r="E194" s="137" t="str"/>
      <x:c r="F194" s="137" t="str"/>
      <x:c r="G194" s="137" t="str"/>
      <x:c r="H194" s="137" t="str"/>
      <x:c r="I194" s="137" t="str"/>
      <x:c r="J194" s="160" t="str"/>
      <x:c r="K194" s="160" t="str"/>
      <x:c r="L194" s="196" t="str">
        <x:f>IF(OR(J194="",K194=""),"",MOD(K194-J194,1)*1440)</x:f>
      </x:c>
      <x:c r="M194" s="137" t="str"/>
      <x:c r="N194" s="137" t="str"/>
      <x:c r="O194" s="137" t="str"/>
      <x:c r="P194" s="137" t="str"/>
      <x:c r="Q194" s="137" t="str"/>
      <x:c r="R194" s="137" t="str"/>
      <x:c r="S194" s="137" t="str"/>
      <x:c r="T194" s="138" t="str"/>
      <x:c r="U194" s="138" t="str"/>
      <x:c r="V194" s="137" t="str"/>
      <x:c r="W194" s="137" t="str"/>
      <x:c r="X194" s="199" t="str"/>
    </x:row>
    <x:row r="195">
      <x:c r="A195" s="137" t="str"/>
      <x:c r="B195" s="138" t="str"/>
      <x:c r="C195" s="137" t="str"/>
      <x:c r="D195" s="137" t="str"/>
      <x:c r="E195" s="137" t="str"/>
      <x:c r="F195" s="137" t="str"/>
      <x:c r="G195" s="137" t="str"/>
      <x:c r="H195" s="137" t="str"/>
      <x:c r="I195" s="137" t="str"/>
      <x:c r="J195" s="160" t="str"/>
      <x:c r="K195" s="160" t="str"/>
      <x:c r="L195" s="196" t="str">
        <x:f>IF(OR(J195="",K195=""),"",MOD(K195-J195,1)*1440)</x:f>
      </x:c>
      <x:c r="M195" s="137" t="str"/>
      <x:c r="N195" s="137" t="str"/>
      <x:c r="O195" s="137" t="str"/>
      <x:c r="P195" s="137" t="str"/>
      <x:c r="Q195" s="137" t="str"/>
      <x:c r="R195" s="137" t="str"/>
      <x:c r="S195" s="137" t="str"/>
      <x:c r="T195" s="138" t="str"/>
      <x:c r="U195" s="138" t="str"/>
      <x:c r="V195" s="137" t="str"/>
      <x:c r="W195" s="137" t="str"/>
      <x:c r="X195" s="199" t="str"/>
    </x:row>
    <x:row r="196">
      <x:c r="A196" s="137" t="str"/>
      <x:c r="B196" s="138" t="str"/>
      <x:c r="C196" s="137" t="str"/>
      <x:c r="D196" s="137" t="str"/>
      <x:c r="E196" s="137" t="str"/>
      <x:c r="F196" s="137" t="str"/>
      <x:c r="G196" s="137" t="str"/>
      <x:c r="H196" s="137" t="str"/>
      <x:c r="I196" s="137" t="str"/>
      <x:c r="J196" s="160" t="str"/>
      <x:c r="K196" s="160" t="str"/>
      <x:c r="L196" s="196" t="str">
        <x:f>IF(OR(J196="",K196=""),"",MOD(K196-J196,1)*1440)</x:f>
      </x:c>
      <x:c r="M196" s="137" t="str"/>
      <x:c r="N196" s="137" t="str"/>
      <x:c r="O196" s="137" t="str"/>
      <x:c r="P196" s="137" t="str"/>
      <x:c r="Q196" s="137" t="str"/>
      <x:c r="R196" s="137" t="str"/>
      <x:c r="S196" s="137" t="str"/>
      <x:c r="T196" s="138" t="str"/>
      <x:c r="U196" s="138" t="str"/>
      <x:c r="V196" s="137" t="str"/>
      <x:c r="W196" s="137" t="str"/>
      <x:c r="X196" s="199" t="str"/>
    </x:row>
    <x:row r="197">
      <x:c r="A197" s="137" t="str"/>
      <x:c r="B197" s="138" t="str"/>
      <x:c r="C197" s="137" t="str"/>
      <x:c r="D197" s="137" t="str"/>
      <x:c r="E197" s="137" t="str"/>
      <x:c r="F197" s="137" t="str"/>
      <x:c r="G197" s="137" t="str"/>
      <x:c r="H197" s="137" t="str"/>
      <x:c r="I197" s="137" t="str"/>
      <x:c r="J197" s="160" t="str"/>
      <x:c r="K197" s="160" t="str"/>
      <x:c r="L197" s="196" t="str">
        <x:f>IF(OR(J197="",K197=""),"",MOD(K197-J197,1)*1440)</x:f>
      </x:c>
      <x:c r="M197" s="137" t="str"/>
      <x:c r="N197" s="137" t="str"/>
      <x:c r="O197" s="137" t="str"/>
      <x:c r="P197" s="137" t="str"/>
      <x:c r="Q197" s="137" t="str"/>
      <x:c r="R197" s="137" t="str"/>
      <x:c r="S197" s="137" t="str"/>
      <x:c r="T197" s="138" t="str"/>
      <x:c r="U197" s="138" t="str"/>
      <x:c r="V197" s="137" t="str"/>
      <x:c r="W197" s="137" t="str"/>
      <x:c r="X197" s="199" t="str"/>
    </x:row>
    <x:row r="198">
      <x:c r="A198" s="137" t="str"/>
      <x:c r="B198" s="138" t="str"/>
      <x:c r="C198" s="137" t="str"/>
      <x:c r="D198" s="137" t="str"/>
      <x:c r="E198" s="137" t="str"/>
      <x:c r="F198" s="137" t="str"/>
      <x:c r="G198" s="137" t="str"/>
      <x:c r="H198" s="137" t="str"/>
      <x:c r="I198" s="137" t="str"/>
      <x:c r="J198" s="160" t="str"/>
      <x:c r="K198" s="160" t="str"/>
      <x:c r="L198" s="196" t="str">
        <x:f>IF(OR(J198="",K198=""),"",MOD(K198-J198,1)*1440)</x:f>
      </x:c>
      <x:c r="M198" s="137" t="str"/>
      <x:c r="N198" s="137" t="str"/>
      <x:c r="O198" s="137" t="str"/>
      <x:c r="P198" s="137" t="str"/>
      <x:c r="Q198" s="137" t="str"/>
      <x:c r="R198" s="137" t="str"/>
      <x:c r="S198" s="137" t="str"/>
      <x:c r="T198" s="138" t="str"/>
      <x:c r="U198" s="138" t="str"/>
      <x:c r="V198" s="137" t="str"/>
      <x:c r="W198" s="137" t="str"/>
      <x:c r="X198" s="199" t="str"/>
    </x:row>
    <x:row r="199">
      <x:c r="A199" s="137" t="str"/>
      <x:c r="B199" s="138" t="str"/>
      <x:c r="C199" s="137" t="str"/>
      <x:c r="D199" s="137" t="str"/>
      <x:c r="E199" s="137" t="str"/>
      <x:c r="F199" s="137" t="str"/>
      <x:c r="G199" s="137" t="str"/>
      <x:c r="H199" s="137" t="str"/>
      <x:c r="I199" s="137" t="str"/>
      <x:c r="J199" s="160" t="str"/>
      <x:c r="K199" s="160" t="str"/>
      <x:c r="L199" s="196" t="str">
        <x:f>IF(OR(J199="",K199=""),"",MOD(K199-J199,1)*1440)</x:f>
      </x:c>
      <x:c r="M199" s="137" t="str"/>
      <x:c r="N199" s="137" t="str"/>
      <x:c r="O199" s="137" t="str"/>
      <x:c r="P199" s="137" t="str"/>
      <x:c r="Q199" s="137" t="str"/>
      <x:c r="R199" s="137" t="str"/>
      <x:c r="S199" s="137" t="str"/>
      <x:c r="T199" s="138" t="str"/>
      <x:c r="U199" s="138" t="str"/>
      <x:c r="V199" s="137" t="str"/>
      <x:c r="W199" s="137" t="str"/>
      <x:c r="X199" s="199" t="str"/>
    </x:row>
    <x:row r="200">
      <x:c r="A200" s="137" t="str"/>
      <x:c r="B200" s="138" t="str"/>
      <x:c r="C200" s="137" t="str"/>
      <x:c r="D200" s="137" t="str"/>
      <x:c r="E200" s="137" t="str"/>
      <x:c r="F200" s="137" t="str"/>
      <x:c r="G200" s="137" t="str"/>
      <x:c r="H200" s="137" t="str"/>
      <x:c r="I200" s="137" t="str"/>
      <x:c r="J200" s="160" t="str"/>
      <x:c r="K200" s="160" t="str"/>
      <x:c r="L200" s="196" t="str">
        <x:f>IF(OR(J200="",K200=""),"",MOD(K200-J200,1)*1440)</x:f>
      </x:c>
      <x:c r="M200" s="137" t="str"/>
      <x:c r="N200" s="137" t="str"/>
      <x:c r="O200" s="137" t="str"/>
      <x:c r="P200" s="137" t="str"/>
      <x:c r="Q200" s="137" t="str"/>
      <x:c r="R200" s="137" t="str"/>
      <x:c r="S200" s="137" t="str"/>
      <x:c r="T200" s="138" t="str"/>
      <x:c r="U200" s="138" t="str"/>
      <x:c r="V200" s="137" t="str"/>
      <x:c r="W200" s="137" t="str"/>
      <x:c r="X200" s="199" t="str"/>
    </x:row>
    <x:row r="201">
      <x:c r="A201" s="137" t="str"/>
      <x:c r="B201" s="138" t="str"/>
      <x:c r="C201" s="137" t="str"/>
      <x:c r="D201" s="137" t="str"/>
      <x:c r="E201" s="137" t="str"/>
      <x:c r="F201" s="137" t="str"/>
      <x:c r="G201" s="137" t="str"/>
      <x:c r="H201" s="137" t="str"/>
      <x:c r="I201" s="137" t="str"/>
      <x:c r="J201" s="160" t="str"/>
      <x:c r="K201" s="160" t="str"/>
      <x:c r="L201" s="196" t="str">
        <x:f>IF(OR(J201="",K201=""),"",MOD(K201-J201,1)*1440)</x:f>
      </x:c>
      <x:c r="M201" s="137" t="str"/>
      <x:c r="N201" s="137" t="str"/>
      <x:c r="O201" s="137" t="str"/>
      <x:c r="P201" s="137" t="str"/>
      <x:c r="Q201" s="137" t="str"/>
      <x:c r="R201" s="137" t="str"/>
      <x:c r="S201" s="137" t="str"/>
      <x:c r="T201" s="138" t="str"/>
      <x:c r="U201" s="138" t="str"/>
      <x:c r="V201" s="137" t="str"/>
      <x:c r="W201" s="137" t="str"/>
      <x:c r="X201" s="199" t="str"/>
    </x:row>
    <x:row r="202">
      <x:c r="A202" s="137" t="str"/>
      <x:c r="B202" s="138" t="str"/>
      <x:c r="C202" s="137" t="str"/>
      <x:c r="D202" s="137" t="str"/>
      <x:c r="E202" s="137" t="str"/>
      <x:c r="F202" s="137" t="str"/>
      <x:c r="G202" s="137" t="str"/>
      <x:c r="H202" s="137" t="str"/>
      <x:c r="I202" s="137" t="str"/>
      <x:c r="J202" s="160" t="str"/>
      <x:c r="K202" s="160" t="str"/>
      <x:c r="L202" s="196" t="str">
        <x:f>IF(OR(J202="",K202=""),"",MOD(K202-J202,1)*1440)</x:f>
      </x:c>
      <x:c r="M202" s="137" t="str"/>
      <x:c r="N202" s="137" t="str"/>
      <x:c r="O202" s="137" t="str"/>
      <x:c r="P202" s="137" t="str"/>
      <x:c r="Q202" s="137" t="str"/>
      <x:c r="R202" s="137" t="str"/>
      <x:c r="S202" s="137" t="str"/>
      <x:c r="T202" s="138" t="str"/>
      <x:c r="U202" s="138" t="str"/>
      <x:c r="V202" s="137" t="str"/>
      <x:c r="W202" s="137" t="str"/>
      <x:c r="X202" s="199" t="str"/>
    </x:row>
    <x:row r="203">
      <x:c r="A203" s="137" t="str"/>
      <x:c r="B203" s="138" t="str"/>
      <x:c r="C203" s="137" t="str"/>
      <x:c r="D203" s="137" t="str"/>
      <x:c r="E203" s="137" t="str"/>
      <x:c r="F203" s="137" t="str"/>
      <x:c r="G203" s="137" t="str"/>
      <x:c r="H203" s="137" t="str"/>
      <x:c r="I203" s="137" t="str"/>
      <x:c r="J203" s="160" t="str"/>
      <x:c r="K203" s="160" t="str"/>
      <x:c r="L203" s="196" t="str">
        <x:f>IF(OR(J203="",K203=""),"",MOD(K203-J203,1)*1440)</x:f>
      </x:c>
      <x:c r="M203" s="137" t="str"/>
      <x:c r="N203" s="137" t="str"/>
      <x:c r="O203" s="137" t="str"/>
      <x:c r="P203" s="137" t="str"/>
      <x:c r="Q203" s="137" t="str"/>
      <x:c r="R203" s="137" t="str"/>
      <x:c r="S203" s="137" t="str"/>
      <x:c r="T203" s="138" t="str"/>
      <x:c r="U203" s="138" t="str"/>
      <x:c r="V203" s="137" t="str"/>
      <x:c r="W203" s="137" t="str"/>
      <x:c r="X203" s="199" t="str"/>
    </x:row>
    <x:row r="204">
      <x:c r="A204" s="137" t="str"/>
      <x:c r="B204" s="138" t="str"/>
      <x:c r="C204" s="137" t="str"/>
      <x:c r="D204" s="137" t="str"/>
      <x:c r="E204" s="137" t="str"/>
      <x:c r="F204" s="137" t="str"/>
      <x:c r="G204" s="137" t="str"/>
      <x:c r="H204" s="137" t="str"/>
      <x:c r="I204" s="137" t="str"/>
      <x:c r="J204" s="160" t="str"/>
      <x:c r="K204" s="160" t="str"/>
      <x:c r="L204" s="196" t="str">
        <x:f>IF(OR(J204="",K204=""),"",MOD(K204-J204,1)*1440)</x:f>
      </x:c>
      <x:c r="M204" s="137" t="str"/>
      <x:c r="N204" s="137" t="str"/>
      <x:c r="O204" s="137" t="str"/>
      <x:c r="P204" s="137" t="str"/>
      <x:c r="Q204" s="137" t="str"/>
      <x:c r="R204" s="137" t="str"/>
      <x:c r="S204" s="137" t="str"/>
      <x:c r="T204" s="138" t="str"/>
      <x:c r="U204" s="138" t="str"/>
      <x:c r="V204" s="137" t="str"/>
      <x:c r="W204" s="137" t="str"/>
      <x:c r="X204" s="199" t="str"/>
    </x:row>
    <x:row r="205">
      <x:c r="A205" s="137" t="str"/>
      <x:c r="B205" s="138" t="str"/>
      <x:c r="C205" s="137" t="str"/>
      <x:c r="D205" s="137" t="str"/>
      <x:c r="E205" s="137" t="str"/>
      <x:c r="F205" s="137" t="str"/>
      <x:c r="G205" s="137" t="str"/>
      <x:c r="H205" s="137" t="str"/>
      <x:c r="I205" s="137" t="str"/>
      <x:c r="J205" s="160" t="str"/>
      <x:c r="K205" s="160" t="str"/>
      <x:c r="L205" s="196" t="str">
        <x:f>IF(OR(J205="",K205=""),"",MOD(K205-J205,1)*1440)</x:f>
      </x:c>
      <x:c r="M205" s="137" t="str"/>
      <x:c r="N205" s="137" t="str"/>
      <x:c r="O205" s="137" t="str"/>
      <x:c r="P205" s="137" t="str"/>
      <x:c r="Q205" s="137" t="str"/>
      <x:c r="R205" s="137" t="str"/>
      <x:c r="S205" s="137" t="str"/>
      <x:c r="T205" s="138" t="str"/>
      <x:c r="U205" s="138" t="str"/>
      <x:c r="V205" s="137" t="str"/>
      <x:c r="W205" s="137" t="str"/>
      <x:c r="X205" s="199" t="str"/>
    </x:row>
    <x:row r="206">
      <x:c r="A206" s="137" t="str"/>
      <x:c r="B206" s="138" t="str"/>
      <x:c r="C206" s="137" t="str"/>
      <x:c r="D206" s="137" t="str"/>
      <x:c r="E206" s="137" t="str"/>
      <x:c r="F206" s="137" t="str"/>
      <x:c r="G206" s="137" t="str"/>
      <x:c r="H206" s="137" t="str"/>
      <x:c r="I206" s="137" t="str"/>
      <x:c r="J206" s="160" t="str"/>
      <x:c r="K206" s="160" t="str"/>
      <x:c r="L206" s="196" t="str">
        <x:f>IF(OR(J206="",K206=""),"",MOD(K206-J206,1)*1440)</x:f>
      </x:c>
      <x:c r="M206" s="137" t="str"/>
      <x:c r="N206" s="137" t="str"/>
      <x:c r="O206" s="137" t="str"/>
      <x:c r="P206" s="137" t="str"/>
      <x:c r="Q206" s="137" t="str"/>
      <x:c r="R206" s="137" t="str"/>
      <x:c r="S206" s="137" t="str"/>
      <x:c r="T206" s="138" t="str"/>
      <x:c r="U206" s="138" t="str"/>
      <x:c r="V206" s="137" t="str"/>
      <x:c r="W206" s="137" t="str"/>
      <x:c r="X206" s="199" t="str"/>
    </x:row>
    <x:row r="207">
      <x:c r="A207" s="137" t="str"/>
      <x:c r="B207" s="138" t="str"/>
      <x:c r="C207" s="137" t="str"/>
      <x:c r="D207" s="137" t="str"/>
      <x:c r="E207" s="137" t="str"/>
      <x:c r="F207" s="137" t="str"/>
      <x:c r="G207" s="137" t="str"/>
      <x:c r="H207" s="137" t="str"/>
      <x:c r="I207" s="137" t="str"/>
      <x:c r="J207" s="160" t="str"/>
      <x:c r="K207" s="160" t="str"/>
      <x:c r="L207" s="196" t="str">
        <x:f>IF(OR(J207="",K207=""),"",MOD(K207-J207,1)*1440)</x:f>
      </x:c>
      <x:c r="M207" s="137" t="str"/>
      <x:c r="N207" s="137" t="str"/>
      <x:c r="O207" s="137" t="str"/>
      <x:c r="P207" s="137" t="str"/>
      <x:c r="Q207" s="137" t="str"/>
      <x:c r="R207" s="137" t="str"/>
      <x:c r="S207" s="137" t="str"/>
      <x:c r="T207" s="138" t="str"/>
      <x:c r="U207" s="138" t="str"/>
      <x:c r="V207" s="137" t="str"/>
      <x:c r="W207" s="137" t="str"/>
      <x:c r="X207" s="199" t="str"/>
    </x:row>
    <x:row r="208">
      <x:c r="A208" s="137" t="str"/>
      <x:c r="B208" s="138" t="str"/>
      <x:c r="C208" s="137" t="str"/>
      <x:c r="D208" s="137" t="str"/>
      <x:c r="E208" s="137" t="str"/>
      <x:c r="F208" s="137" t="str"/>
      <x:c r="G208" s="137" t="str"/>
      <x:c r="H208" s="137" t="str"/>
      <x:c r="I208" s="137" t="str"/>
      <x:c r="J208" s="160" t="str"/>
      <x:c r="K208" s="160" t="str"/>
      <x:c r="L208" s="196" t="str">
        <x:f>IF(OR(J208="",K208=""),"",MOD(K208-J208,1)*1440)</x:f>
      </x:c>
      <x:c r="M208" s="137" t="str"/>
      <x:c r="N208" s="137" t="str"/>
      <x:c r="O208" s="137" t="str"/>
      <x:c r="P208" s="137" t="str"/>
      <x:c r="Q208" s="137" t="str"/>
      <x:c r="R208" s="137" t="str"/>
      <x:c r="S208" s="137" t="str"/>
      <x:c r="T208" s="138" t="str"/>
      <x:c r="U208" s="138" t="str"/>
      <x:c r="V208" s="137" t="str"/>
      <x:c r="W208" s="137" t="str"/>
      <x:c r="X208" s="199" t="str"/>
    </x:row>
    <x:row r="209">
      <x:c r="A209" s="137" t="str"/>
      <x:c r="B209" s="138" t="str"/>
      <x:c r="C209" s="137" t="str"/>
      <x:c r="D209" s="137" t="str"/>
      <x:c r="E209" s="137" t="str"/>
      <x:c r="F209" s="137" t="str"/>
      <x:c r="G209" s="137" t="str"/>
      <x:c r="H209" s="137" t="str"/>
      <x:c r="I209" s="137" t="str"/>
      <x:c r="J209" s="160" t="str"/>
      <x:c r="K209" s="160" t="str"/>
      <x:c r="L209" s="196" t="str">
        <x:f>IF(OR(J209="",K209=""),"",MOD(K209-J209,1)*1440)</x:f>
      </x:c>
      <x:c r="M209" s="137" t="str"/>
      <x:c r="N209" s="137" t="str"/>
      <x:c r="O209" s="137" t="str"/>
      <x:c r="P209" s="137" t="str"/>
      <x:c r="Q209" s="137" t="str"/>
      <x:c r="R209" s="137" t="str"/>
      <x:c r="S209" s="137" t="str"/>
      <x:c r="T209" s="138" t="str"/>
      <x:c r="U209" s="138" t="str"/>
      <x:c r="V209" s="137" t="str"/>
      <x:c r="W209" s="137" t="str"/>
      <x:c r="X209" s="199" t="str"/>
    </x:row>
    <x:row r="210">
      <x:c r="A210" s="137" t="str"/>
      <x:c r="B210" s="138" t="str"/>
      <x:c r="C210" s="137" t="str"/>
      <x:c r="D210" s="137" t="str"/>
      <x:c r="E210" s="137" t="str"/>
      <x:c r="F210" s="137" t="str"/>
      <x:c r="G210" s="137" t="str"/>
      <x:c r="H210" s="137" t="str"/>
      <x:c r="I210" s="137" t="str"/>
      <x:c r="J210" s="160" t="str"/>
      <x:c r="K210" s="160" t="str"/>
      <x:c r="L210" s="196" t="str">
        <x:f>IF(OR(J210="",K210=""),"",MOD(K210-J210,1)*1440)</x:f>
      </x:c>
      <x:c r="M210" s="137" t="str"/>
      <x:c r="N210" s="137" t="str"/>
      <x:c r="O210" s="137" t="str"/>
      <x:c r="P210" s="137" t="str"/>
      <x:c r="Q210" s="137" t="str"/>
      <x:c r="R210" s="137" t="str"/>
      <x:c r="S210" s="137" t="str"/>
      <x:c r="T210" s="138" t="str"/>
      <x:c r="U210" s="138" t="str"/>
      <x:c r="V210" s="137" t="str"/>
      <x:c r="W210" s="137" t="str"/>
      <x:c r="X210" s="199" t="str"/>
    </x:row>
    <x:row r="211">
      <x:c r="A211" s="137" t="str"/>
      <x:c r="B211" s="138" t="str"/>
      <x:c r="C211" s="137" t="str"/>
      <x:c r="D211" s="137" t="str"/>
      <x:c r="E211" s="137" t="str"/>
      <x:c r="F211" s="137" t="str"/>
      <x:c r="G211" s="137" t="str"/>
      <x:c r="H211" s="137" t="str"/>
      <x:c r="I211" s="137" t="str"/>
      <x:c r="J211" s="160" t="str"/>
      <x:c r="K211" s="160" t="str"/>
      <x:c r="L211" s="196" t="str">
        <x:f>IF(OR(J211="",K211=""),"",MOD(K211-J211,1)*1440)</x:f>
      </x:c>
      <x:c r="M211" s="137" t="str"/>
      <x:c r="N211" s="137" t="str"/>
      <x:c r="O211" s="137" t="str"/>
      <x:c r="P211" s="137" t="str"/>
      <x:c r="Q211" s="137" t="str"/>
      <x:c r="R211" s="137" t="str"/>
      <x:c r="S211" s="137" t="str"/>
      <x:c r="T211" s="138" t="str"/>
      <x:c r="U211" s="138" t="str"/>
      <x:c r="V211" s="137" t="str"/>
      <x:c r="W211" s="137" t="str"/>
      <x:c r="X211" s="199" t="str"/>
    </x:row>
    <x:row r="212">
      <x:c r="A212" s="137" t="str"/>
      <x:c r="B212" s="138" t="str"/>
      <x:c r="C212" s="137" t="str"/>
      <x:c r="D212" s="137" t="str"/>
      <x:c r="E212" s="137" t="str"/>
      <x:c r="F212" s="137" t="str"/>
      <x:c r="G212" s="137" t="str"/>
      <x:c r="H212" s="137" t="str"/>
      <x:c r="I212" s="137" t="str"/>
      <x:c r="J212" s="160" t="str"/>
      <x:c r="K212" s="160" t="str"/>
      <x:c r="L212" s="196" t="str">
        <x:f>IF(OR(J212="",K212=""),"",MOD(K212-J212,1)*1440)</x:f>
      </x:c>
      <x:c r="M212" s="137" t="str"/>
      <x:c r="N212" s="137" t="str"/>
      <x:c r="O212" s="137" t="str"/>
      <x:c r="P212" s="137" t="str"/>
      <x:c r="Q212" s="137" t="str"/>
      <x:c r="R212" s="137" t="str"/>
      <x:c r="S212" s="137" t="str"/>
      <x:c r="T212" s="138" t="str"/>
      <x:c r="U212" s="138" t="str"/>
      <x:c r="V212" s="137" t="str"/>
      <x:c r="W212" s="137" t="str"/>
      <x:c r="X212" s="199" t="str"/>
    </x:row>
    <x:row r="213">
      <x:c r="A213" s="137" t="str"/>
      <x:c r="B213" s="138" t="str"/>
      <x:c r="C213" s="137" t="str"/>
      <x:c r="D213" s="137" t="str"/>
      <x:c r="E213" s="137" t="str"/>
      <x:c r="F213" s="137" t="str"/>
      <x:c r="G213" s="137" t="str"/>
      <x:c r="H213" s="137" t="str"/>
      <x:c r="I213" s="137" t="str"/>
      <x:c r="J213" s="160" t="str"/>
      <x:c r="K213" s="160" t="str"/>
      <x:c r="L213" s="196" t="str">
        <x:f>IF(OR(J213="",K213=""),"",MOD(K213-J213,1)*1440)</x:f>
      </x:c>
      <x:c r="M213" s="137" t="str"/>
      <x:c r="N213" s="137" t="str"/>
      <x:c r="O213" s="137" t="str"/>
      <x:c r="P213" s="137" t="str"/>
      <x:c r="Q213" s="137" t="str"/>
      <x:c r="R213" s="137" t="str"/>
      <x:c r="S213" s="137" t="str"/>
      <x:c r="T213" s="138" t="str"/>
      <x:c r="U213" s="138" t="str"/>
      <x:c r="V213" s="137" t="str"/>
      <x:c r="W213" s="137" t="str"/>
      <x:c r="X213" s="199" t="str"/>
    </x:row>
    <x:row r="214">
      <x:c r="A214" s="137" t="str"/>
      <x:c r="B214" s="138" t="str"/>
      <x:c r="C214" s="137" t="str"/>
      <x:c r="D214" s="137" t="str"/>
      <x:c r="E214" s="137" t="str"/>
      <x:c r="F214" s="137" t="str"/>
      <x:c r="G214" s="137" t="str"/>
      <x:c r="H214" s="137" t="str"/>
      <x:c r="I214" s="137" t="str"/>
      <x:c r="J214" s="160" t="str"/>
      <x:c r="K214" s="160" t="str"/>
      <x:c r="L214" s="196" t="str">
        <x:f>IF(OR(J214="",K214=""),"",MOD(K214-J214,1)*1440)</x:f>
      </x:c>
      <x:c r="M214" s="137" t="str"/>
      <x:c r="N214" s="137" t="str"/>
      <x:c r="O214" s="137" t="str"/>
      <x:c r="P214" s="137" t="str"/>
      <x:c r="Q214" s="137" t="str"/>
      <x:c r="R214" s="137" t="str"/>
      <x:c r="S214" s="137" t="str"/>
      <x:c r="T214" s="138" t="str"/>
      <x:c r="U214" s="138" t="str"/>
      <x:c r="V214" s="137" t="str"/>
      <x:c r="W214" s="137" t="str"/>
      <x:c r="X214" s="199" t="str"/>
    </x:row>
    <x:row r="215">
      <x:c r="A215" s="137" t="str"/>
      <x:c r="B215" s="138" t="str"/>
      <x:c r="C215" s="137" t="str"/>
      <x:c r="D215" s="137" t="str"/>
      <x:c r="E215" s="137" t="str"/>
      <x:c r="F215" s="137" t="str"/>
      <x:c r="G215" s="137" t="str"/>
      <x:c r="H215" s="137" t="str"/>
      <x:c r="I215" s="137" t="str"/>
      <x:c r="J215" s="160" t="str"/>
      <x:c r="K215" s="160" t="str"/>
      <x:c r="L215" s="196" t="str">
        <x:f>IF(OR(J215="",K215=""),"",MOD(K215-J215,1)*1440)</x:f>
      </x:c>
      <x:c r="M215" s="137" t="str"/>
      <x:c r="N215" s="137" t="str"/>
      <x:c r="O215" s="137" t="str"/>
      <x:c r="P215" s="137" t="str"/>
      <x:c r="Q215" s="137" t="str"/>
      <x:c r="R215" s="137" t="str"/>
      <x:c r="S215" s="137" t="str"/>
      <x:c r="T215" s="138" t="str"/>
      <x:c r="U215" s="138" t="str"/>
      <x:c r="V215" s="137" t="str"/>
      <x:c r="W215" s="137" t="str"/>
      <x:c r="X215" s="199" t="str"/>
    </x:row>
    <x:row r="216">
      <x:c r="A216" s="137" t="str"/>
      <x:c r="B216" s="138" t="str"/>
      <x:c r="C216" s="137" t="str"/>
      <x:c r="D216" s="137" t="str"/>
      <x:c r="E216" s="137" t="str"/>
      <x:c r="F216" s="137" t="str"/>
      <x:c r="G216" s="137" t="str"/>
      <x:c r="H216" s="137" t="str"/>
      <x:c r="I216" s="137" t="str"/>
      <x:c r="J216" s="160" t="str"/>
      <x:c r="K216" s="160" t="str"/>
      <x:c r="L216" s="196" t="str">
        <x:f>IF(OR(J216="",K216=""),"",MOD(K216-J216,1)*1440)</x:f>
      </x:c>
      <x:c r="M216" s="137" t="str"/>
      <x:c r="N216" s="137" t="str"/>
      <x:c r="O216" s="137" t="str"/>
      <x:c r="P216" s="137" t="str"/>
      <x:c r="Q216" s="137" t="str"/>
      <x:c r="R216" s="137" t="str"/>
      <x:c r="S216" s="137" t="str"/>
      <x:c r="T216" s="138" t="str"/>
      <x:c r="U216" s="138" t="str"/>
      <x:c r="V216" s="137" t="str"/>
      <x:c r="W216" s="137" t="str"/>
      <x:c r="X216" s="199" t="str"/>
    </x:row>
    <x:row r="217">
      <x:c r="A217" s="137" t="str"/>
      <x:c r="B217" s="138" t="str"/>
      <x:c r="C217" s="137" t="str"/>
      <x:c r="D217" s="137" t="str"/>
      <x:c r="E217" s="137" t="str"/>
      <x:c r="F217" s="137" t="str"/>
      <x:c r="G217" s="137" t="str"/>
      <x:c r="H217" s="137" t="str"/>
      <x:c r="I217" s="137" t="str"/>
      <x:c r="J217" s="160" t="str"/>
      <x:c r="K217" s="160" t="str"/>
      <x:c r="L217" s="196" t="str">
        <x:f>IF(OR(J217="",K217=""),"",MOD(K217-J217,1)*1440)</x:f>
      </x:c>
      <x:c r="M217" s="137" t="str"/>
      <x:c r="N217" s="137" t="str"/>
      <x:c r="O217" s="137" t="str"/>
      <x:c r="P217" s="137" t="str"/>
      <x:c r="Q217" s="137" t="str"/>
      <x:c r="R217" s="137" t="str"/>
      <x:c r="S217" s="137" t="str"/>
      <x:c r="T217" s="138" t="str"/>
      <x:c r="U217" s="138" t="str"/>
      <x:c r="V217" s="137" t="str"/>
      <x:c r="W217" s="137" t="str"/>
      <x:c r="X217" s="199" t="str"/>
    </x:row>
    <x:row r="218">
      <x:c r="A218" s="137" t="str"/>
      <x:c r="B218" s="138" t="str"/>
      <x:c r="C218" s="137" t="str"/>
      <x:c r="D218" s="137" t="str"/>
      <x:c r="E218" s="137" t="str"/>
      <x:c r="F218" s="137" t="str"/>
      <x:c r="G218" s="137" t="str"/>
      <x:c r="H218" s="137" t="str"/>
      <x:c r="I218" s="137" t="str"/>
      <x:c r="J218" s="160" t="str"/>
      <x:c r="K218" s="160" t="str"/>
      <x:c r="L218" s="196" t="str">
        <x:f>IF(OR(J218="",K218=""),"",MOD(K218-J218,1)*1440)</x:f>
      </x:c>
      <x:c r="M218" s="137" t="str"/>
      <x:c r="N218" s="137" t="str"/>
      <x:c r="O218" s="137" t="str"/>
      <x:c r="P218" s="137" t="str"/>
      <x:c r="Q218" s="137" t="str"/>
      <x:c r="R218" s="137" t="str"/>
      <x:c r="S218" s="137" t="str"/>
      <x:c r="T218" s="138" t="str"/>
      <x:c r="U218" s="138" t="str"/>
      <x:c r="V218" s="137" t="str"/>
      <x:c r="W218" s="137" t="str"/>
      <x:c r="X218" s="199" t="str"/>
    </x:row>
    <x:row r="219">
      <x:c r="A219" s="137" t="str"/>
      <x:c r="B219" s="138" t="str"/>
      <x:c r="C219" s="137" t="str"/>
      <x:c r="D219" s="137" t="str"/>
      <x:c r="E219" s="137" t="str"/>
      <x:c r="F219" s="137" t="str"/>
      <x:c r="G219" s="137" t="str"/>
      <x:c r="H219" s="137" t="str"/>
      <x:c r="I219" s="137" t="str"/>
      <x:c r="J219" s="160" t="str"/>
      <x:c r="K219" s="160" t="str"/>
      <x:c r="L219" s="196" t="str">
        <x:f>IF(OR(J219="",K219=""),"",MOD(K219-J219,1)*1440)</x:f>
      </x:c>
      <x:c r="M219" s="137" t="str"/>
      <x:c r="N219" s="137" t="str"/>
      <x:c r="O219" s="137" t="str"/>
      <x:c r="P219" s="137" t="str"/>
      <x:c r="Q219" s="137" t="str"/>
      <x:c r="R219" s="137" t="str"/>
      <x:c r="S219" s="137" t="str"/>
      <x:c r="T219" s="138" t="str"/>
      <x:c r="U219" s="138" t="str"/>
      <x:c r="V219" s="137" t="str"/>
      <x:c r="W219" s="137" t="str"/>
      <x:c r="X219" s="199" t="str"/>
    </x:row>
    <x:row r="220">
      <x:c r="A220" s="137" t="str"/>
      <x:c r="B220" s="138" t="str"/>
      <x:c r="C220" s="137" t="str"/>
      <x:c r="D220" s="137" t="str"/>
      <x:c r="E220" s="137" t="str"/>
      <x:c r="F220" s="137" t="str"/>
      <x:c r="G220" s="137" t="str"/>
      <x:c r="H220" s="137" t="str"/>
      <x:c r="I220" s="137" t="str"/>
      <x:c r="J220" s="160" t="str"/>
      <x:c r="K220" s="160" t="str"/>
      <x:c r="L220" s="196" t="str">
        <x:f>IF(OR(J220="",K220=""),"",MOD(K220-J220,1)*1440)</x:f>
      </x:c>
      <x:c r="M220" s="137" t="str"/>
      <x:c r="N220" s="137" t="str"/>
      <x:c r="O220" s="137" t="str"/>
      <x:c r="P220" s="137" t="str"/>
      <x:c r="Q220" s="137" t="str"/>
      <x:c r="R220" s="137" t="str"/>
      <x:c r="S220" s="137" t="str"/>
      <x:c r="T220" s="138" t="str"/>
      <x:c r="U220" s="138" t="str"/>
      <x:c r="V220" s="137" t="str"/>
      <x:c r="W220" s="137" t="str"/>
      <x:c r="X220" s="199" t="str"/>
    </x:row>
    <x:row r="221">
      <x:c r="A221" s="137" t="str"/>
      <x:c r="B221" s="138" t="str"/>
      <x:c r="C221" s="137" t="str"/>
      <x:c r="D221" s="137" t="str"/>
      <x:c r="E221" s="137" t="str"/>
      <x:c r="F221" s="137" t="str"/>
      <x:c r="G221" s="137" t="str"/>
      <x:c r="H221" s="137" t="str"/>
      <x:c r="I221" s="137" t="str"/>
      <x:c r="J221" s="160" t="str"/>
      <x:c r="K221" s="160" t="str"/>
      <x:c r="L221" s="196" t="str">
        <x:f>IF(OR(J221="",K221=""),"",MOD(K221-J221,1)*1440)</x:f>
      </x:c>
      <x:c r="M221" s="137" t="str"/>
      <x:c r="N221" s="137" t="str"/>
      <x:c r="O221" s="137" t="str"/>
      <x:c r="P221" s="137" t="str"/>
      <x:c r="Q221" s="137" t="str"/>
      <x:c r="R221" s="137" t="str"/>
      <x:c r="S221" s="137" t="str"/>
      <x:c r="T221" s="138" t="str"/>
      <x:c r="U221" s="138" t="str"/>
      <x:c r="V221" s="137" t="str"/>
      <x:c r="W221" s="137" t="str"/>
      <x:c r="X221" s="199" t="str"/>
    </x:row>
    <x:row r="222">
      <x:c r="A222" s="137" t="str"/>
      <x:c r="B222" s="138" t="str"/>
      <x:c r="C222" s="137" t="str"/>
      <x:c r="D222" s="137" t="str"/>
      <x:c r="E222" s="137" t="str"/>
      <x:c r="F222" s="137" t="str"/>
      <x:c r="G222" s="137" t="str"/>
      <x:c r="H222" s="137" t="str"/>
      <x:c r="I222" s="137" t="str"/>
      <x:c r="J222" s="160" t="str"/>
      <x:c r="K222" s="160" t="str"/>
      <x:c r="L222" s="196" t="str">
        <x:f>IF(OR(J222="",K222=""),"",MOD(K222-J222,1)*1440)</x:f>
      </x:c>
      <x:c r="M222" s="137" t="str"/>
      <x:c r="N222" s="137" t="str"/>
      <x:c r="O222" s="137" t="str"/>
      <x:c r="P222" s="137" t="str"/>
      <x:c r="Q222" s="137" t="str"/>
      <x:c r="R222" s="137" t="str"/>
      <x:c r="S222" s="137" t="str"/>
      <x:c r="T222" s="138" t="str"/>
      <x:c r="U222" s="138" t="str"/>
      <x:c r="V222" s="137" t="str"/>
      <x:c r="W222" s="137" t="str"/>
      <x:c r="X222" s="199" t="str"/>
    </x:row>
    <x:row r="223">
      <x:c r="A223" s="137" t="str"/>
      <x:c r="B223" s="138" t="str"/>
      <x:c r="C223" s="137" t="str"/>
      <x:c r="D223" s="137" t="str"/>
      <x:c r="E223" s="137" t="str"/>
      <x:c r="F223" s="137" t="str"/>
      <x:c r="G223" s="137" t="str"/>
      <x:c r="H223" s="137" t="str"/>
      <x:c r="I223" s="137" t="str"/>
      <x:c r="J223" s="160" t="str"/>
      <x:c r="K223" s="160" t="str"/>
      <x:c r="L223" s="196" t="str">
        <x:f>IF(OR(J223="",K223=""),"",MOD(K223-J223,1)*1440)</x:f>
      </x:c>
      <x:c r="M223" s="137" t="str"/>
      <x:c r="N223" s="137" t="str"/>
      <x:c r="O223" s="137" t="str"/>
      <x:c r="P223" s="137" t="str"/>
      <x:c r="Q223" s="137" t="str"/>
      <x:c r="R223" s="137" t="str"/>
      <x:c r="S223" s="137" t="str"/>
      <x:c r="T223" s="138" t="str"/>
      <x:c r="U223" s="138" t="str"/>
      <x:c r="V223" s="137" t="str"/>
      <x:c r="W223" s="137" t="str"/>
      <x:c r="X223" s="199" t="str"/>
    </x:row>
    <x:row r="224">
      <x:c r="A224" s="137" t="str"/>
      <x:c r="B224" s="138" t="str"/>
      <x:c r="C224" s="137" t="str"/>
      <x:c r="D224" s="137" t="str"/>
      <x:c r="E224" s="137" t="str"/>
      <x:c r="F224" s="137" t="str"/>
      <x:c r="G224" s="137" t="str"/>
      <x:c r="H224" s="137" t="str"/>
      <x:c r="I224" s="137" t="str"/>
      <x:c r="J224" s="160" t="str"/>
      <x:c r="K224" s="160" t="str"/>
      <x:c r="L224" s="196" t="str">
        <x:f>IF(OR(J224="",K224=""),"",MOD(K224-J224,1)*1440)</x:f>
      </x:c>
      <x:c r="M224" s="137" t="str"/>
      <x:c r="N224" s="137" t="str"/>
      <x:c r="O224" s="137" t="str"/>
      <x:c r="P224" s="137" t="str"/>
      <x:c r="Q224" s="137" t="str"/>
      <x:c r="R224" s="137" t="str"/>
      <x:c r="S224" s="137" t="str"/>
      <x:c r="T224" s="138" t="str"/>
      <x:c r="U224" s="138" t="str"/>
      <x:c r="V224" s="137" t="str"/>
      <x:c r="W224" s="137" t="str"/>
      <x:c r="X224" s="199" t="str"/>
    </x:row>
    <x:row r="225">
      <x:c r="A225" s="137" t="str"/>
      <x:c r="B225" s="138" t="str"/>
      <x:c r="C225" s="137" t="str"/>
      <x:c r="D225" s="137" t="str"/>
      <x:c r="E225" s="137" t="str"/>
      <x:c r="F225" s="137" t="str"/>
      <x:c r="G225" s="137" t="str"/>
      <x:c r="H225" s="137" t="str"/>
      <x:c r="I225" s="137" t="str"/>
      <x:c r="J225" s="160" t="str"/>
      <x:c r="K225" s="160" t="str"/>
      <x:c r="L225" s="196" t="str">
        <x:f>IF(OR(J225="",K225=""),"",MOD(K225-J225,1)*1440)</x:f>
      </x:c>
      <x:c r="M225" s="137" t="str"/>
      <x:c r="N225" s="137" t="str"/>
      <x:c r="O225" s="137" t="str"/>
      <x:c r="P225" s="137" t="str"/>
      <x:c r="Q225" s="137" t="str"/>
      <x:c r="R225" s="137" t="str"/>
      <x:c r="S225" s="137" t="str"/>
      <x:c r="T225" s="138" t="str"/>
      <x:c r="U225" s="138" t="str"/>
      <x:c r="V225" s="137" t="str"/>
      <x:c r="W225" s="137" t="str"/>
      <x:c r="X225" s="199" t="str"/>
    </x:row>
    <x:row r="226">
      <x:c r="A226" s="137" t="str"/>
      <x:c r="B226" s="138" t="str"/>
      <x:c r="C226" s="137" t="str"/>
      <x:c r="D226" s="137" t="str"/>
      <x:c r="E226" s="137" t="str"/>
      <x:c r="F226" s="137" t="str"/>
      <x:c r="G226" s="137" t="str"/>
      <x:c r="H226" s="137" t="str"/>
      <x:c r="I226" s="137" t="str"/>
      <x:c r="J226" s="160" t="str"/>
      <x:c r="K226" s="160" t="str"/>
      <x:c r="L226" s="196" t="str">
        <x:f>IF(OR(J226="",K226=""),"",MOD(K226-J226,1)*1440)</x:f>
      </x:c>
      <x:c r="M226" s="137" t="str"/>
      <x:c r="N226" s="137" t="str"/>
      <x:c r="O226" s="137" t="str"/>
      <x:c r="P226" s="137" t="str"/>
      <x:c r="Q226" s="137" t="str"/>
      <x:c r="R226" s="137" t="str"/>
      <x:c r="S226" s="137" t="str"/>
      <x:c r="T226" s="138" t="str"/>
      <x:c r="U226" s="138" t="str"/>
      <x:c r="V226" s="137" t="str"/>
      <x:c r="W226" s="137" t="str"/>
      <x:c r="X226" s="199" t="str"/>
    </x:row>
    <x:row r="227">
      <x:c r="A227" s="137" t="str"/>
      <x:c r="B227" s="138" t="str"/>
      <x:c r="C227" s="137" t="str"/>
      <x:c r="D227" s="137" t="str"/>
      <x:c r="E227" s="137" t="str"/>
      <x:c r="F227" s="137" t="str"/>
      <x:c r="G227" s="137" t="str"/>
      <x:c r="H227" s="137" t="str"/>
      <x:c r="I227" s="137" t="str"/>
      <x:c r="J227" s="160" t="str"/>
      <x:c r="K227" s="160" t="str"/>
      <x:c r="L227" s="196" t="str">
        <x:f>IF(OR(J227="",K227=""),"",MOD(K227-J227,1)*1440)</x:f>
      </x:c>
      <x:c r="M227" s="137" t="str"/>
      <x:c r="N227" s="137" t="str"/>
      <x:c r="O227" s="137" t="str"/>
      <x:c r="P227" s="137" t="str"/>
      <x:c r="Q227" s="137" t="str"/>
      <x:c r="R227" s="137" t="str"/>
      <x:c r="S227" s="137" t="str"/>
      <x:c r="T227" s="138" t="str"/>
      <x:c r="U227" s="138" t="str"/>
      <x:c r="V227" s="137" t="str"/>
      <x:c r="W227" s="137" t="str"/>
      <x:c r="X227" s="199" t="str"/>
    </x:row>
    <x:row r="228">
      <x:c r="A228" s="137" t="str"/>
      <x:c r="B228" s="138" t="str"/>
      <x:c r="C228" s="137" t="str"/>
      <x:c r="D228" s="137" t="str"/>
      <x:c r="E228" s="137" t="str"/>
      <x:c r="F228" s="137" t="str"/>
      <x:c r="G228" s="137" t="str"/>
      <x:c r="H228" s="137" t="str"/>
      <x:c r="I228" s="137" t="str"/>
      <x:c r="J228" s="160" t="str"/>
      <x:c r="K228" s="160" t="str"/>
      <x:c r="L228" s="196" t="str">
        <x:f>IF(OR(J228="",K228=""),"",MOD(K228-J228,1)*1440)</x:f>
      </x:c>
      <x:c r="M228" s="137" t="str"/>
      <x:c r="N228" s="137" t="str"/>
      <x:c r="O228" s="137" t="str"/>
      <x:c r="P228" s="137" t="str"/>
      <x:c r="Q228" s="137" t="str"/>
      <x:c r="R228" s="137" t="str"/>
      <x:c r="S228" s="137" t="str"/>
      <x:c r="T228" s="138" t="str"/>
      <x:c r="U228" s="138" t="str"/>
      <x:c r="V228" s="137" t="str"/>
      <x:c r="W228" s="137" t="str"/>
      <x:c r="X228" s="199" t="str"/>
    </x:row>
    <x:row r="229">
      <x:c r="A229" s="137" t="str"/>
      <x:c r="B229" s="138" t="str"/>
      <x:c r="C229" s="137" t="str"/>
      <x:c r="D229" s="137" t="str"/>
      <x:c r="E229" s="137" t="str"/>
      <x:c r="F229" s="137" t="str"/>
      <x:c r="G229" s="137" t="str"/>
      <x:c r="H229" s="137" t="str"/>
      <x:c r="I229" s="137" t="str"/>
      <x:c r="J229" s="160" t="str"/>
      <x:c r="K229" s="160" t="str"/>
      <x:c r="L229" s="196" t="str">
        <x:f>IF(OR(J229="",K229=""),"",MOD(K229-J229,1)*1440)</x:f>
      </x:c>
      <x:c r="M229" s="137" t="str"/>
      <x:c r="N229" s="137" t="str"/>
      <x:c r="O229" s="137" t="str"/>
      <x:c r="P229" s="137" t="str"/>
      <x:c r="Q229" s="137" t="str"/>
      <x:c r="R229" s="137" t="str"/>
      <x:c r="S229" s="137" t="str"/>
      <x:c r="T229" s="138" t="str"/>
      <x:c r="U229" s="138" t="str"/>
      <x:c r="V229" s="137" t="str"/>
      <x:c r="W229" s="137" t="str"/>
      <x:c r="X229" s="199" t="str"/>
    </x:row>
    <x:row r="230">
      <x:c r="A230" s="137" t="str"/>
      <x:c r="B230" s="138" t="str"/>
      <x:c r="C230" s="137" t="str"/>
      <x:c r="D230" s="137" t="str"/>
      <x:c r="E230" s="137" t="str"/>
      <x:c r="F230" s="137" t="str"/>
      <x:c r="G230" s="137" t="str"/>
      <x:c r="H230" s="137" t="str"/>
      <x:c r="I230" s="137" t="str"/>
      <x:c r="J230" s="160" t="str"/>
      <x:c r="K230" s="160" t="str"/>
      <x:c r="L230" s="196" t="str">
        <x:f>IF(OR(J230="",K230=""),"",MOD(K230-J230,1)*1440)</x:f>
      </x:c>
      <x:c r="M230" s="137" t="str"/>
      <x:c r="N230" s="137" t="str"/>
      <x:c r="O230" s="137" t="str"/>
      <x:c r="P230" s="137" t="str"/>
      <x:c r="Q230" s="137" t="str"/>
      <x:c r="R230" s="137" t="str"/>
      <x:c r="S230" s="137" t="str"/>
      <x:c r="T230" s="138" t="str"/>
      <x:c r="U230" s="138" t="str"/>
      <x:c r="V230" s="137" t="str"/>
      <x:c r="W230" s="137" t="str"/>
      <x:c r="X230" s="199" t="str"/>
    </x:row>
    <x:row r="231">
      <x:c r="A231" s="137" t="str"/>
      <x:c r="B231" s="138" t="str"/>
      <x:c r="C231" s="137" t="str"/>
      <x:c r="D231" s="137" t="str"/>
      <x:c r="E231" s="137" t="str"/>
      <x:c r="F231" s="137" t="str"/>
      <x:c r="G231" s="137" t="str"/>
      <x:c r="H231" s="137" t="str"/>
      <x:c r="I231" s="137" t="str"/>
      <x:c r="J231" s="160" t="str"/>
      <x:c r="K231" s="160" t="str"/>
      <x:c r="L231" s="196" t="str">
        <x:f>IF(OR(J231="",K231=""),"",MOD(K231-J231,1)*1440)</x:f>
      </x:c>
      <x:c r="M231" s="137" t="str"/>
      <x:c r="N231" s="137" t="str"/>
      <x:c r="O231" s="137" t="str"/>
      <x:c r="P231" s="137" t="str"/>
      <x:c r="Q231" s="137" t="str"/>
      <x:c r="R231" s="137" t="str"/>
      <x:c r="S231" s="137" t="str"/>
      <x:c r="T231" s="138" t="str"/>
      <x:c r="U231" s="138" t="str"/>
      <x:c r="V231" s="137" t="str"/>
      <x:c r="W231" s="137" t="str"/>
      <x:c r="X231" s="199" t="str"/>
    </x:row>
    <x:row r="232">
      <x:c r="A232" s="137" t="str"/>
      <x:c r="B232" s="138" t="str"/>
      <x:c r="C232" s="137" t="str"/>
      <x:c r="D232" s="137" t="str"/>
      <x:c r="E232" s="137" t="str"/>
      <x:c r="F232" s="137" t="str"/>
      <x:c r="G232" s="137" t="str"/>
      <x:c r="H232" s="137" t="str"/>
      <x:c r="I232" s="137" t="str"/>
      <x:c r="J232" s="160" t="str"/>
      <x:c r="K232" s="160" t="str"/>
      <x:c r="L232" s="196" t="str">
        <x:f>IF(OR(J232="",K232=""),"",MOD(K232-J232,1)*1440)</x:f>
      </x:c>
      <x:c r="M232" s="137" t="str"/>
      <x:c r="N232" s="137" t="str"/>
      <x:c r="O232" s="137" t="str"/>
      <x:c r="P232" s="137" t="str"/>
      <x:c r="Q232" s="137" t="str"/>
      <x:c r="R232" s="137" t="str"/>
      <x:c r="S232" s="137" t="str"/>
      <x:c r="T232" s="138" t="str"/>
      <x:c r="U232" s="138" t="str"/>
      <x:c r="V232" s="137" t="str"/>
      <x:c r="W232" s="137" t="str"/>
      <x:c r="X232" s="199" t="str"/>
    </x:row>
    <x:row r="233">
      <x:c r="A233" s="137" t="str"/>
      <x:c r="B233" s="138" t="str"/>
      <x:c r="C233" s="137" t="str"/>
      <x:c r="D233" s="137" t="str"/>
      <x:c r="E233" s="137" t="str"/>
      <x:c r="F233" s="137" t="str"/>
      <x:c r="G233" s="137" t="str"/>
      <x:c r="H233" s="137" t="str"/>
      <x:c r="I233" s="137" t="str"/>
      <x:c r="J233" s="160" t="str"/>
      <x:c r="K233" s="160" t="str"/>
      <x:c r="L233" s="196" t="str">
        <x:f>IF(OR(J233="",K233=""),"",MOD(K233-J233,1)*1440)</x:f>
      </x:c>
      <x:c r="M233" s="137" t="str"/>
      <x:c r="N233" s="137" t="str"/>
      <x:c r="O233" s="137" t="str"/>
      <x:c r="P233" s="137" t="str"/>
      <x:c r="Q233" s="137" t="str"/>
      <x:c r="R233" s="137" t="str"/>
      <x:c r="S233" s="137" t="str"/>
      <x:c r="T233" s="138" t="str"/>
      <x:c r="U233" s="138" t="str"/>
      <x:c r="V233" s="137" t="str"/>
      <x:c r="W233" s="137" t="str"/>
      <x:c r="X233" s="199" t="str"/>
    </x:row>
    <x:row r="234">
      <x:c r="A234" s="137" t="str"/>
      <x:c r="B234" s="138" t="str"/>
      <x:c r="C234" s="137" t="str"/>
      <x:c r="D234" s="137" t="str"/>
      <x:c r="E234" s="137" t="str"/>
      <x:c r="F234" s="137" t="str"/>
      <x:c r="G234" s="137" t="str"/>
      <x:c r="H234" s="137" t="str"/>
      <x:c r="I234" s="137" t="str"/>
      <x:c r="J234" s="160" t="str"/>
      <x:c r="K234" s="160" t="str"/>
      <x:c r="L234" s="196" t="str">
        <x:f>IF(OR(J234="",K234=""),"",MOD(K234-J234,1)*1440)</x:f>
      </x:c>
      <x:c r="M234" s="137" t="str"/>
      <x:c r="N234" s="137" t="str"/>
      <x:c r="O234" s="137" t="str"/>
      <x:c r="P234" s="137" t="str"/>
      <x:c r="Q234" s="137" t="str"/>
      <x:c r="R234" s="137" t="str"/>
      <x:c r="S234" s="137" t="str"/>
      <x:c r="T234" s="138" t="str"/>
      <x:c r="U234" s="138" t="str"/>
      <x:c r="V234" s="137" t="str"/>
      <x:c r="W234" s="137" t="str"/>
      <x:c r="X234" s="199" t="str"/>
    </x:row>
    <x:row r="235">
      <x:c r="A235" s="137" t="str"/>
      <x:c r="B235" s="138" t="str"/>
      <x:c r="C235" s="137" t="str"/>
      <x:c r="D235" s="137" t="str"/>
      <x:c r="E235" s="137" t="str"/>
      <x:c r="F235" s="137" t="str"/>
      <x:c r="G235" s="137" t="str"/>
      <x:c r="H235" s="137" t="str"/>
      <x:c r="I235" s="137" t="str"/>
      <x:c r="J235" s="160" t="str"/>
      <x:c r="K235" s="160" t="str"/>
      <x:c r="L235" s="196" t="str">
        <x:f>IF(OR(J235="",K235=""),"",MOD(K235-J235,1)*1440)</x:f>
      </x:c>
      <x:c r="M235" s="137" t="str"/>
      <x:c r="N235" s="137" t="str"/>
      <x:c r="O235" s="137" t="str"/>
      <x:c r="P235" s="137" t="str"/>
      <x:c r="Q235" s="137" t="str"/>
      <x:c r="R235" s="137" t="str"/>
      <x:c r="S235" s="137" t="str"/>
      <x:c r="T235" s="138" t="str"/>
      <x:c r="U235" s="138" t="str"/>
      <x:c r="V235" s="137" t="str"/>
      <x:c r="W235" s="137" t="str"/>
      <x:c r="X235" s="199" t="str"/>
    </x:row>
    <x:row r="236">
      <x:c r="A236" s="137" t="str"/>
      <x:c r="B236" s="138" t="str"/>
      <x:c r="C236" s="137" t="str"/>
      <x:c r="D236" s="137" t="str"/>
      <x:c r="E236" s="137" t="str"/>
      <x:c r="F236" s="137" t="str"/>
      <x:c r="G236" s="137" t="str"/>
      <x:c r="H236" s="137" t="str"/>
      <x:c r="I236" s="137" t="str"/>
      <x:c r="J236" s="160" t="str"/>
      <x:c r="K236" s="160" t="str"/>
      <x:c r="L236" s="196" t="str">
        <x:f>IF(OR(J236="",K236=""),"",MOD(K236-J236,1)*1440)</x:f>
      </x:c>
      <x:c r="M236" s="137" t="str"/>
      <x:c r="N236" s="137" t="str"/>
      <x:c r="O236" s="137" t="str"/>
      <x:c r="P236" s="137" t="str"/>
      <x:c r="Q236" s="137" t="str"/>
      <x:c r="R236" s="137" t="str"/>
      <x:c r="S236" s="137" t="str"/>
      <x:c r="T236" s="138" t="str"/>
      <x:c r="U236" s="138" t="str"/>
      <x:c r="V236" s="137" t="str"/>
      <x:c r="W236" s="137" t="str"/>
      <x:c r="X236" s="199" t="str"/>
    </x:row>
    <x:row r="237">
      <x:c r="A237" s="137" t="str"/>
      <x:c r="B237" s="138" t="str"/>
      <x:c r="C237" s="137" t="str"/>
      <x:c r="D237" s="137" t="str"/>
      <x:c r="E237" s="137" t="str"/>
      <x:c r="F237" s="137" t="str"/>
      <x:c r="G237" s="137" t="str"/>
      <x:c r="H237" s="137" t="str"/>
      <x:c r="I237" s="137" t="str"/>
      <x:c r="J237" s="160" t="str"/>
      <x:c r="K237" s="160" t="str"/>
      <x:c r="L237" s="196" t="str">
        <x:f>IF(OR(J237="",K237=""),"",MOD(K237-J237,1)*1440)</x:f>
      </x:c>
      <x:c r="M237" s="137" t="str"/>
      <x:c r="N237" s="137" t="str"/>
      <x:c r="O237" s="137" t="str"/>
      <x:c r="P237" s="137" t="str"/>
      <x:c r="Q237" s="137" t="str"/>
      <x:c r="R237" s="137" t="str"/>
      <x:c r="S237" s="137" t="str"/>
      <x:c r="T237" s="138" t="str"/>
      <x:c r="U237" s="138" t="str"/>
      <x:c r="V237" s="137" t="str"/>
      <x:c r="W237" s="137" t="str"/>
      <x:c r="X237" s="199" t="str"/>
    </x:row>
    <x:row r="238">
      <x:c r="A238" s="137" t="str"/>
      <x:c r="B238" s="138" t="str"/>
      <x:c r="C238" s="137" t="str"/>
      <x:c r="D238" s="137" t="str"/>
      <x:c r="E238" s="137" t="str"/>
      <x:c r="F238" s="137" t="str"/>
      <x:c r="G238" s="137" t="str"/>
      <x:c r="H238" s="137" t="str"/>
      <x:c r="I238" s="137" t="str"/>
      <x:c r="J238" s="160" t="str"/>
      <x:c r="K238" s="160" t="str"/>
      <x:c r="L238" s="196" t="str">
        <x:f>IF(OR(J238="",K238=""),"",MOD(K238-J238,1)*1440)</x:f>
      </x:c>
      <x:c r="M238" s="137" t="str"/>
      <x:c r="N238" s="137" t="str"/>
      <x:c r="O238" s="137" t="str"/>
      <x:c r="P238" s="137" t="str"/>
      <x:c r="Q238" s="137" t="str"/>
      <x:c r="R238" s="137" t="str"/>
      <x:c r="S238" s="137" t="str"/>
      <x:c r="T238" s="138" t="str"/>
      <x:c r="U238" s="138" t="str"/>
      <x:c r="V238" s="137" t="str"/>
      <x:c r="W238" s="137" t="str"/>
      <x:c r="X238" s="199" t="str"/>
    </x:row>
    <x:row r="239">
      <x:c r="A239" s="137" t="str"/>
      <x:c r="B239" s="138" t="str"/>
      <x:c r="C239" s="137" t="str"/>
      <x:c r="D239" s="137" t="str"/>
      <x:c r="E239" s="137" t="str"/>
      <x:c r="F239" s="137" t="str"/>
      <x:c r="G239" s="137" t="str"/>
      <x:c r="H239" s="137" t="str"/>
      <x:c r="I239" s="137" t="str"/>
      <x:c r="J239" s="160" t="str"/>
      <x:c r="K239" s="160" t="str"/>
      <x:c r="L239" s="196" t="str">
        <x:f>IF(OR(J239="",K239=""),"",MOD(K239-J239,1)*1440)</x:f>
      </x:c>
      <x:c r="M239" s="137" t="str"/>
      <x:c r="N239" s="137" t="str"/>
      <x:c r="O239" s="137" t="str"/>
      <x:c r="P239" s="137" t="str"/>
      <x:c r="Q239" s="137" t="str"/>
      <x:c r="R239" s="137" t="str"/>
      <x:c r="S239" s="137" t="str"/>
      <x:c r="T239" s="138" t="str"/>
      <x:c r="U239" s="138" t="str"/>
      <x:c r="V239" s="137" t="str"/>
      <x:c r="W239" s="137" t="str"/>
      <x:c r="X239" s="199" t="str"/>
    </x:row>
    <x:row r="240">
      <x:c r="A240" s="137" t="str"/>
      <x:c r="B240" s="138" t="str"/>
      <x:c r="C240" s="137" t="str"/>
      <x:c r="D240" s="137" t="str"/>
      <x:c r="E240" s="137" t="str"/>
      <x:c r="F240" s="137" t="str"/>
      <x:c r="G240" s="137" t="str"/>
      <x:c r="H240" s="137" t="str"/>
      <x:c r="I240" s="137" t="str"/>
      <x:c r="J240" s="160" t="str"/>
      <x:c r="K240" s="160" t="str"/>
      <x:c r="L240" s="196" t="str">
        <x:f>IF(OR(J240="",K240=""),"",MOD(K240-J240,1)*1440)</x:f>
      </x:c>
      <x:c r="M240" s="137" t="str"/>
      <x:c r="N240" s="137" t="str"/>
      <x:c r="O240" s="137" t="str"/>
      <x:c r="P240" s="137" t="str"/>
      <x:c r="Q240" s="137" t="str"/>
      <x:c r="R240" s="137" t="str"/>
      <x:c r="S240" s="137" t="str"/>
      <x:c r="T240" s="138" t="str"/>
      <x:c r="U240" s="138" t="str"/>
      <x:c r="V240" s="137" t="str"/>
      <x:c r="W240" s="137" t="str"/>
      <x:c r="X240" s="199" t="str"/>
    </x:row>
    <x:row r="241">
      <x:c r="A241" s="137" t="str"/>
      <x:c r="B241" s="138" t="str"/>
      <x:c r="C241" s="137" t="str"/>
      <x:c r="D241" s="137" t="str"/>
      <x:c r="E241" s="137" t="str"/>
      <x:c r="F241" s="137" t="str"/>
      <x:c r="G241" s="137" t="str"/>
      <x:c r="H241" s="137" t="str"/>
      <x:c r="I241" s="137" t="str"/>
      <x:c r="J241" s="160" t="str"/>
      <x:c r="K241" s="160" t="str"/>
      <x:c r="L241" s="196" t="str">
        <x:f>IF(OR(J241="",K241=""),"",MOD(K241-J241,1)*1440)</x:f>
      </x:c>
      <x:c r="M241" s="137" t="str"/>
      <x:c r="N241" s="137" t="str"/>
      <x:c r="O241" s="137" t="str"/>
      <x:c r="P241" s="137" t="str"/>
      <x:c r="Q241" s="137" t="str"/>
      <x:c r="R241" s="137" t="str"/>
      <x:c r="S241" s="137" t="str"/>
      <x:c r="T241" s="138" t="str"/>
      <x:c r="U241" s="138" t="str"/>
      <x:c r="V241" s="137" t="str"/>
      <x:c r="W241" s="137" t="str"/>
      <x:c r="X241" s="199" t="str"/>
    </x:row>
    <x:row r="242">
      <x:c r="A242" s="137" t="str"/>
      <x:c r="B242" s="138" t="str"/>
      <x:c r="C242" s="137" t="str"/>
      <x:c r="D242" s="137" t="str"/>
      <x:c r="E242" s="137" t="str"/>
      <x:c r="F242" s="137" t="str"/>
      <x:c r="G242" s="137" t="str"/>
      <x:c r="H242" s="137" t="str"/>
      <x:c r="I242" s="137" t="str"/>
      <x:c r="J242" s="160" t="str"/>
      <x:c r="K242" s="160" t="str"/>
      <x:c r="L242" s="196" t="str">
        <x:f>IF(OR(J242="",K242=""),"",MOD(K242-J242,1)*1440)</x:f>
      </x:c>
      <x:c r="M242" s="137" t="str"/>
      <x:c r="N242" s="137" t="str"/>
      <x:c r="O242" s="137" t="str"/>
      <x:c r="P242" s="137" t="str"/>
      <x:c r="Q242" s="137" t="str"/>
      <x:c r="R242" s="137" t="str"/>
      <x:c r="S242" s="137" t="str"/>
      <x:c r="T242" s="138" t="str"/>
      <x:c r="U242" s="138" t="str"/>
      <x:c r="V242" s="137" t="str"/>
      <x:c r="W242" s="137" t="str"/>
      <x:c r="X242" s="199" t="str"/>
    </x:row>
    <x:row r="243">
      <x:c r="A243" s="137" t="str"/>
      <x:c r="B243" s="138" t="str"/>
      <x:c r="C243" s="137" t="str"/>
      <x:c r="D243" s="137" t="str"/>
      <x:c r="E243" s="137" t="str"/>
      <x:c r="F243" s="137" t="str"/>
      <x:c r="G243" s="137" t="str"/>
      <x:c r="H243" s="137" t="str"/>
      <x:c r="I243" s="137" t="str"/>
      <x:c r="J243" s="160" t="str"/>
      <x:c r="K243" s="160" t="str"/>
      <x:c r="L243" s="196" t="str">
        <x:f>IF(OR(J243="",K243=""),"",MOD(K243-J243,1)*1440)</x:f>
      </x:c>
      <x:c r="M243" s="137" t="str"/>
      <x:c r="N243" s="137" t="str"/>
      <x:c r="O243" s="137" t="str"/>
      <x:c r="P243" s="137" t="str"/>
      <x:c r="Q243" s="137" t="str"/>
      <x:c r="R243" s="137" t="str"/>
      <x:c r="S243" s="137" t="str"/>
      <x:c r="T243" s="138" t="str"/>
      <x:c r="U243" s="138" t="str"/>
      <x:c r="V243" s="137" t="str"/>
      <x:c r="W243" s="137" t="str"/>
      <x:c r="X243" s="199" t="str"/>
    </x:row>
    <x:row r="244">
      <x:c r="A244" s="137" t="str"/>
      <x:c r="B244" s="138" t="str"/>
      <x:c r="C244" s="137" t="str"/>
      <x:c r="D244" s="137" t="str"/>
      <x:c r="E244" s="137" t="str"/>
      <x:c r="F244" s="137" t="str"/>
      <x:c r="G244" s="137" t="str"/>
      <x:c r="H244" s="137" t="str"/>
      <x:c r="I244" s="137" t="str"/>
      <x:c r="J244" s="160" t="str"/>
      <x:c r="K244" s="160" t="str"/>
      <x:c r="L244" s="196" t="str">
        <x:f>IF(OR(J244="",K244=""),"",MOD(K244-J244,1)*1440)</x:f>
      </x:c>
      <x:c r="M244" s="137" t="str"/>
      <x:c r="N244" s="137" t="str"/>
      <x:c r="O244" s="137" t="str"/>
      <x:c r="P244" s="137" t="str"/>
      <x:c r="Q244" s="137" t="str"/>
      <x:c r="R244" s="137" t="str"/>
      <x:c r="S244" s="137" t="str"/>
      <x:c r="T244" s="138" t="str"/>
      <x:c r="U244" s="138" t="str"/>
      <x:c r="V244" s="137" t="str"/>
      <x:c r="W244" s="137" t="str"/>
      <x:c r="X244" s="199" t="str"/>
    </x:row>
    <x:row r="245">
      <x:c r="A245" s="137" t="str"/>
      <x:c r="B245" s="138" t="str"/>
      <x:c r="C245" s="137" t="str"/>
      <x:c r="D245" s="137" t="str"/>
      <x:c r="E245" s="137" t="str"/>
      <x:c r="F245" s="137" t="str"/>
      <x:c r="G245" s="137" t="str"/>
      <x:c r="H245" s="137" t="str"/>
      <x:c r="I245" s="137" t="str"/>
      <x:c r="J245" s="160" t="str"/>
      <x:c r="K245" s="160" t="str"/>
      <x:c r="L245" s="196" t="str">
        <x:f>IF(OR(J245="",K245=""),"",MOD(K245-J245,1)*1440)</x:f>
      </x:c>
      <x:c r="M245" s="137" t="str"/>
      <x:c r="N245" s="137" t="str"/>
      <x:c r="O245" s="137" t="str"/>
      <x:c r="P245" s="137" t="str"/>
      <x:c r="Q245" s="137" t="str"/>
      <x:c r="R245" s="137" t="str"/>
      <x:c r="S245" s="137" t="str"/>
      <x:c r="T245" s="138" t="str"/>
      <x:c r="U245" s="138" t="str"/>
      <x:c r="V245" s="137" t="str"/>
      <x:c r="W245" s="137" t="str"/>
      <x:c r="X245" s="199" t="str"/>
    </x:row>
    <x:row r="246">
      <x:c r="A246" s="137" t="str"/>
      <x:c r="B246" s="138" t="str"/>
      <x:c r="C246" s="137" t="str"/>
      <x:c r="D246" s="137" t="str"/>
      <x:c r="E246" s="137" t="str"/>
      <x:c r="F246" s="137" t="str"/>
      <x:c r="G246" s="137" t="str"/>
      <x:c r="H246" s="137" t="str"/>
      <x:c r="I246" s="137" t="str"/>
      <x:c r="J246" s="160" t="str"/>
      <x:c r="K246" s="160" t="str"/>
      <x:c r="L246" s="196" t="str">
        <x:f>IF(OR(J246="",K246=""),"",MOD(K246-J246,1)*1440)</x:f>
      </x:c>
      <x:c r="M246" s="137" t="str"/>
      <x:c r="N246" s="137" t="str"/>
      <x:c r="O246" s="137" t="str"/>
      <x:c r="P246" s="137" t="str"/>
      <x:c r="Q246" s="137" t="str"/>
      <x:c r="R246" s="137" t="str"/>
      <x:c r="S246" s="137" t="str"/>
      <x:c r="T246" s="138" t="str"/>
      <x:c r="U246" s="138" t="str"/>
      <x:c r="V246" s="137" t="str"/>
      <x:c r="W246" s="137" t="str"/>
      <x:c r="X246" s="199" t="str"/>
    </x:row>
    <x:row r="247">
      <x:c r="A247" s="137" t="str"/>
      <x:c r="B247" s="138" t="str"/>
      <x:c r="C247" s="137" t="str"/>
      <x:c r="D247" s="137" t="str"/>
      <x:c r="E247" s="137" t="str"/>
      <x:c r="F247" s="137" t="str"/>
      <x:c r="G247" s="137" t="str"/>
      <x:c r="H247" s="137" t="str"/>
      <x:c r="I247" s="137" t="str"/>
      <x:c r="J247" s="160" t="str"/>
      <x:c r="K247" s="160" t="str"/>
      <x:c r="L247" s="196" t="str">
        <x:f>IF(OR(J247="",K247=""),"",MOD(K247-J247,1)*1440)</x:f>
      </x:c>
      <x:c r="M247" s="137" t="str"/>
      <x:c r="N247" s="137" t="str"/>
      <x:c r="O247" s="137" t="str"/>
      <x:c r="P247" s="137" t="str"/>
      <x:c r="Q247" s="137" t="str"/>
      <x:c r="R247" s="137" t="str"/>
      <x:c r="S247" s="137" t="str"/>
      <x:c r="T247" s="138" t="str"/>
      <x:c r="U247" s="138" t="str"/>
      <x:c r="V247" s="137" t="str"/>
      <x:c r="W247" s="137" t="str"/>
      <x:c r="X247" s="199" t="str"/>
    </x:row>
    <x:row r="248">
      <x:c r="A248" s="137" t="str"/>
      <x:c r="B248" s="138" t="str"/>
      <x:c r="C248" s="137" t="str"/>
      <x:c r="D248" s="137" t="str"/>
      <x:c r="E248" s="137" t="str"/>
      <x:c r="F248" s="137" t="str"/>
      <x:c r="G248" s="137" t="str"/>
      <x:c r="H248" s="137" t="str"/>
      <x:c r="I248" s="137" t="str"/>
      <x:c r="J248" s="160" t="str"/>
      <x:c r="K248" s="160" t="str"/>
      <x:c r="L248" s="196" t="str">
        <x:f>IF(OR(J248="",K248=""),"",MOD(K248-J248,1)*1440)</x:f>
      </x:c>
      <x:c r="M248" s="137" t="str"/>
      <x:c r="N248" s="137" t="str"/>
      <x:c r="O248" s="137" t="str"/>
      <x:c r="P248" s="137" t="str"/>
      <x:c r="Q248" s="137" t="str"/>
      <x:c r="R248" s="137" t="str"/>
      <x:c r="S248" s="137" t="str"/>
      <x:c r="T248" s="138" t="str"/>
      <x:c r="U248" s="138" t="str"/>
      <x:c r="V248" s="137" t="str"/>
      <x:c r="W248" s="137" t="str"/>
      <x:c r="X248" s="199" t="str"/>
    </x:row>
    <x:row r="249">
      <x:c r="A249" s="137" t="str"/>
      <x:c r="B249" s="138" t="str"/>
      <x:c r="C249" s="137" t="str"/>
      <x:c r="D249" s="137" t="str"/>
      <x:c r="E249" s="137" t="str"/>
      <x:c r="F249" s="137" t="str"/>
      <x:c r="G249" s="137" t="str"/>
      <x:c r="H249" s="137" t="str"/>
      <x:c r="I249" s="137" t="str"/>
      <x:c r="J249" s="160" t="str"/>
      <x:c r="K249" s="160" t="str"/>
      <x:c r="L249" s="196" t="str">
        <x:f>IF(OR(J249="",K249=""),"",MOD(K249-J249,1)*1440)</x:f>
      </x:c>
      <x:c r="M249" s="137" t="str"/>
      <x:c r="N249" s="137" t="str"/>
      <x:c r="O249" s="137" t="str"/>
      <x:c r="P249" s="137" t="str"/>
      <x:c r="Q249" s="137" t="str"/>
      <x:c r="R249" s="137" t="str"/>
      <x:c r="S249" s="137" t="str"/>
      <x:c r="T249" s="138" t="str"/>
      <x:c r="U249" s="138" t="str"/>
      <x:c r="V249" s="137" t="str"/>
      <x:c r="W249" s="137" t="str"/>
      <x:c r="X249" s="199" t="str"/>
    </x:row>
    <x:row r="250">
      <x:c r="A250" s="137" t="str"/>
      <x:c r="B250" s="138" t="str"/>
      <x:c r="C250" s="137" t="str"/>
      <x:c r="D250" s="137" t="str"/>
      <x:c r="E250" s="137" t="str"/>
      <x:c r="F250" s="137" t="str"/>
      <x:c r="G250" s="137" t="str"/>
      <x:c r="H250" s="137" t="str"/>
      <x:c r="I250" s="137" t="str"/>
      <x:c r="J250" s="160" t="str"/>
      <x:c r="K250" s="160" t="str"/>
      <x:c r="L250" s="196" t="str">
        <x:f>IF(OR(J250="",K250=""),"",MOD(K250-J250,1)*1440)</x:f>
      </x:c>
      <x:c r="M250" s="137" t="str"/>
      <x:c r="N250" s="137" t="str"/>
      <x:c r="O250" s="137" t="str"/>
      <x:c r="P250" s="137" t="str"/>
      <x:c r="Q250" s="137" t="str"/>
      <x:c r="R250" s="137" t="str"/>
      <x:c r="S250" s="137" t="str"/>
      <x:c r="T250" s="138" t="str"/>
      <x:c r="U250" s="138" t="str"/>
      <x:c r="V250" s="137" t="str"/>
      <x:c r="W250" s="137" t="str"/>
      <x:c r="X250" s="199" t="str"/>
    </x:row>
    <x:row r="251">
      <x:c r="A251" s="137" t="str"/>
      <x:c r="B251" s="138" t="str"/>
      <x:c r="C251" s="137" t="str"/>
      <x:c r="D251" s="137" t="str"/>
      <x:c r="E251" s="137" t="str"/>
      <x:c r="F251" s="137" t="str"/>
      <x:c r="G251" s="137" t="str"/>
      <x:c r="H251" s="137" t="str"/>
      <x:c r="I251" s="137" t="str"/>
      <x:c r="J251" s="160" t="str"/>
      <x:c r="K251" s="160" t="str"/>
      <x:c r="L251" s="196" t="str">
        <x:f>IF(OR(J251="",K251=""),"",MOD(K251-J251,1)*1440)</x:f>
      </x:c>
      <x:c r="M251" s="137" t="str"/>
      <x:c r="N251" s="137" t="str"/>
      <x:c r="O251" s="137" t="str"/>
      <x:c r="P251" s="137" t="str"/>
      <x:c r="Q251" s="137" t="str"/>
      <x:c r="R251" s="137" t="str"/>
      <x:c r="S251" s="137" t="str"/>
      <x:c r="T251" s="138" t="str"/>
      <x:c r="U251" s="138" t="str"/>
      <x:c r="V251" s="137" t="str"/>
      <x:c r="W251" s="137" t="str"/>
      <x:c r="X251" s="199" t="str"/>
    </x:row>
    <x:row r="252">
      <x:c r="A252" s="137" t="str"/>
      <x:c r="B252" s="138" t="str"/>
      <x:c r="C252" s="137" t="str"/>
      <x:c r="D252" s="137" t="str"/>
      <x:c r="E252" s="137" t="str"/>
      <x:c r="F252" s="137" t="str"/>
      <x:c r="G252" s="137" t="str"/>
      <x:c r="H252" s="137" t="str"/>
      <x:c r="I252" s="137" t="str"/>
      <x:c r="J252" s="160" t="str"/>
      <x:c r="K252" s="160" t="str"/>
      <x:c r="L252" s="196" t="str">
        <x:f>IF(OR(J252="",K252=""),"",MOD(K252-J252,1)*1440)</x:f>
      </x:c>
      <x:c r="M252" s="137" t="str"/>
      <x:c r="N252" s="137" t="str"/>
      <x:c r="O252" s="137" t="str"/>
      <x:c r="P252" s="137" t="str"/>
      <x:c r="Q252" s="137" t="str"/>
      <x:c r="R252" s="137" t="str"/>
      <x:c r="S252" s="137" t="str"/>
      <x:c r="T252" s="138" t="str"/>
      <x:c r="U252" s="138" t="str"/>
      <x:c r="V252" s="137" t="str"/>
      <x:c r="W252" s="137" t="str"/>
      <x:c r="X252" s="199" t="str"/>
    </x:row>
    <x:row r="253">
      <x:c r="A253" s="137" t="str"/>
      <x:c r="B253" s="138" t="str"/>
      <x:c r="C253" s="137" t="str"/>
      <x:c r="D253" s="137" t="str"/>
      <x:c r="E253" s="137" t="str"/>
      <x:c r="F253" s="137" t="str"/>
      <x:c r="G253" s="137" t="str"/>
      <x:c r="H253" s="137" t="str"/>
      <x:c r="I253" s="137" t="str"/>
      <x:c r="J253" s="160" t="str"/>
      <x:c r="K253" s="160" t="str"/>
      <x:c r="L253" s="196" t="str">
        <x:f>IF(OR(J253="",K253=""),"",MOD(K253-J253,1)*1440)</x:f>
      </x:c>
      <x:c r="M253" s="137" t="str"/>
      <x:c r="N253" s="137" t="str"/>
      <x:c r="O253" s="137" t="str"/>
      <x:c r="P253" s="137" t="str"/>
      <x:c r="Q253" s="137" t="str"/>
      <x:c r="R253" s="137" t="str"/>
      <x:c r="S253" s="137" t="str"/>
      <x:c r="T253" s="138" t="str"/>
      <x:c r="U253" s="138" t="str"/>
      <x:c r="V253" s="137" t="str"/>
      <x:c r="W253" s="137" t="str"/>
      <x:c r="X253" s="199" t="str"/>
    </x:row>
    <x:row r="254">
      <x:c r="A254" s="137" t="str"/>
      <x:c r="B254" s="138" t="str"/>
      <x:c r="C254" s="137" t="str"/>
      <x:c r="D254" s="137" t="str"/>
      <x:c r="E254" s="137" t="str"/>
      <x:c r="F254" s="137" t="str"/>
      <x:c r="G254" s="137" t="str"/>
      <x:c r="H254" s="137" t="str"/>
      <x:c r="I254" s="137" t="str"/>
      <x:c r="J254" s="160" t="str"/>
      <x:c r="K254" s="160" t="str"/>
      <x:c r="L254" s="196" t="str">
        <x:f>IF(OR(J254="",K254=""),"",MOD(K254-J254,1)*1440)</x:f>
      </x:c>
      <x:c r="M254" s="137" t="str"/>
      <x:c r="N254" s="137" t="str"/>
      <x:c r="O254" s="137" t="str"/>
      <x:c r="P254" s="137" t="str"/>
      <x:c r="Q254" s="137" t="str"/>
      <x:c r="R254" s="137" t="str"/>
      <x:c r="S254" s="137" t="str"/>
      <x:c r="T254" s="138" t="str"/>
      <x:c r="U254" s="138" t="str"/>
      <x:c r="V254" s="137" t="str"/>
      <x:c r="W254" s="137" t="str"/>
      <x:c r="X254" s="199" t="str"/>
    </x:row>
    <x:row r="255">
      <x:c r="A255" s="137" t="str"/>
      <x:c r="B255" s="138" t="str"/>
      <x:c r="C255" s="137" t="str"/>
      <x:c r="D255" s="137" t="str"/>
      <x:c r="E255" s="137" t="str"/>
      <x:c r="F255" s="137" t="str"/>
      <x:c r="G255" s="137" t="str"/>
      <x:c r="H255" s="137" t="str"/>
      <x:c r="I255" s="137" t="str"/>
      <x:c r="J255" s="160" t="str"/>
      <x:c r="K255" s="160" t="str"/>
      <x:c r="L255" s="196" t="str">
        <x:f>IF(OR(J255="",K255=""),"",MOD(K255-J255,1)*1440)</x:f>
      </x:c>
      <x:c r="M255" s="137" t="str"/>
      <x:c r="N255" s="137" t="str"/>
      <x:c r="O255" s="137" t="str"/>
      <x:c r="P255" s="137" t="str"/>
      <x:c r="Q255" s="137" t="str"/>
      <x:c r="R255" s="137" t="str"/>
      <x:c r="S255" s="137" t="str"/>
      <x:c r="T255" s="138" t="str"/>
      <x:c r="U255" s="138" t="str"/>
      <x:c r="V255" s="137" t="str"/>
      <x:c r="W255" s="137" t="str"/>
      <x:c r="X255" s="199" t="str"/>
    </x:row>
    <x:row r="256">
      <x:c r="A256" s="137" t="str"/>
      <x:c r="B256" s="138" t="str"/>
      <x:c r="C256" s="137" t="str"/>
      <x:c r="D256" s="137" t="str"/>
      <x:c r="E256" s="137" t="str"/>
      <x:c r="F256" s="137" t="str"/>
      <x:c r="G256" s="137" t="str"/>
      <x:c r="H256" s="137" t="str"/>
      <x:c r="I256" s="137" t="str"/>
      <x:c r="J256" s="160" t="str"/>
      <x:c r="K256" s="160" t="str"/>
      <x:c r="L256" s="196" t="str">
        <x:f>IF(OR(J256="",K256=""),"",MOD(K256-J256,1)*1440)</x:f>
      </x:c>
      <x:c r="M256" s="137" t="str"/>
      <x:c r="N256" s="137" t="str"/>
      <x:c r="O256" s="137" t="str"/>
      <x:c r="P256" s="137" t="str"/>
      <x:c r="Q256" s="137" t="str"/>
      <x:c r="R256" s="137" t="str"/>
      <x:c r="S256" s="137" t="str"/>
      <x:c r="T256" s="138" t="str"/>
      <x:c r="U256" s="138" t="str"/>
      <x:c r="V256" s="137" t="str"/>
      <x:c r="W256" s="137" t="str"/>
      <x:c r="X256" s="199" t="str"/>
    </x:row>
    <x:row r="257">
      <x:c r="A257" s="137" t="str"/>
      <x:c r="B257" s="138" t="str"/>
      <x:c r="C257" s="137" t="str"/>
      <x:c r="D257" s="137" t="str"/>
      <x:c r="E257" s="137" t="str"/>
      <x:c r="F257" s="137" t="str"/>
      <x:c r="G257" s="137" t="str"/>
      <x:c r="H257" s="137" t="str"/>
      <x:c r="I257" s="137" t="str"/>
      <x:c r="J257" s="160" t="str"/>
      <x:c r="K257" s="160" t="str"/>
      <x:c r="L257" s="196" t="str">
        <x:f>IF(OR(J257="",K257=""),"",MOD(K257-J257,1)*1440)</x:f>
      </x:c>
      <x:c r="M257" s="137" t="str"/>
      <x:c r="N257" s="137" t="str"/>
      <x:c r="O257" s="137" t="str"/>
      <x:c r="P257" s="137" t="str"/>
      <x:c r="Q257" s="137" t="str"/>
      <x:c r="R257" s="137" t="str"/>
      <x:c r="S257" s="137" t="str"/>
      <x:c r="T257" s="138" t="str"/>
      <x:c r="U257" s="138" t="str"/>
      <x:c r="V257" s="137" t="str"/>
      <x:c r="W257" s="137" t="str"/>
      <x:c r="X257" s="199" t="str"/>
    </x:row>
    <x:row r="258">
      <x:c r="A258" s="137" t="str"/>
      <x:c r="B258" s="138" t="str"/>
      <x:c r="C258" s="137" t="str"/>
      <x:c r="D258" s="137" t="str"/>
      <x:c r="E258" s="137" t="str"/>
      <x:c r="F258" s="137" t="str"/>
      <x:c r="G258" s="137" t="str"/>
      <x:c r="H258" s="137" t="str"/>
      <x:c r="I258" s="137" t="str"/>
      <x:c r="J258" s="160" t="str"/>
      <x:c r="K258" s="160" t="str"/>
      <x:c r="L258" s="196" t="str">
        <x:f>IF(OR(J258="",K258=""),"",MOD(K258-J258,1)*1440)</x:f>
      </x:c>
      <x:c r="M258" s="137" t="str"/>
      <x:c r="N258" s="137" t="str"/>
      <x:c r="O258" s="137" t="str"/>
      <x:c r="P258" s="137" t="str"/>
      <x:c r="Q258" s="137" t="str"/>
      <x:c r="R258" s="137" t="str"/>
      <x:c r="S258" s="137" t="str"/>
      <x:c r="T258" s="138" t="str"/>
      <x:c r="U258" s="138" t="str"/>
      <x:c r="V258" s="137" t="str"/>
      <x:c r="W258" s="137" t="str"/>
      <x:c r="X258" s="199" t="str"/>
    </x:row>
    <x:row r="259">
      <x:c r="A259" s="137" t="str"/>
      <x:c r="B259" s="138" t="str"/>
      <x:c r="C259" s="137" t="str"/>
      <x:c r="D259" s="137" t="str"/>
      <x:c r="E259" s="137" t="str"/>
      <x:c r="F259" s="137" t="str"/>
      <x:c r="G259" s="137" t="str"/>
      <x:c r="H259" s="137" t="str"/>
      <x:c r="I259" s="137" t="str"/>
      <x:c r="J259" s="160" t="str"/>
      <x:c r="K259" s="160" t="str"/>
      <x:c r="L259" s="196" t="str">
        <x:f>IF(OR(J259="",K259=""),"",MOD(K259-J259,1)*1440)</x:f>
      </x:c>
      <x:c r="M259" s="137" t="str"/>
      <x:c r="N259" s="137" t="str"/>
      <x:c r="O259" s="137" t="str"/>
      <x:c r="P259" s="137" t="str"/>
      <x:c r="Q259" s="137" t="str"/>
      <x:c r="R259" s="137" t="str"/>
      <x:c r="S259" s="137" t="str"/>
      <x:c r="T259" s="138" t="str"/>
      <x:c r="U259" s="138" t="str"/>
      <x:c r="V259" s="137" t="str"/>
      <x:c r="W259" s="137" t="str"/>
      <x:c r="X259" s="199" t="str"/>
    </x:row>
    <x:row r="260">
      <x:c r="A260" s="137" t="str"/>
      <x:c r="B260" s="138" t="str"/>
      <x:c r="C260" s="137" t="str"/>
      <x:c r="D260" s="137" t="str"/>
      <x:c r="E260" s="137" t="str"/>
      <x:c r="F260" s="137" t="str"/>
      <x:c r="G260" s="137" t="str"/>
      <x:c r="H260" s="137" t="str"/>
      <x:c r="I260" s="137" t="str"/>
      <x:c r="J260" s="160" t="str"/>
      <x:c r="K260" s="160" t="str"/>
      <x:c r="L260" s="196" t="str">
        <x:f>IF(OR(J260="",K260=""),"",MOD(K260-J260,1)*1440)</x:f>
      </x:c>
      <x:c r="M260" s="137" t="str"/>
      <x:c r="N260" s="137" t="str"/>
      <x:c r="O260" s="137" t="str"/>
      <x:c r="P260" s="137" t="str"/>
      <x:c r="Q260" s="137" t="str"/>
      <x:c r="R260" s="137" t="str"/>
      <x:c r="S260" s="137" t="str"/>
      <x:c r="T260" s="138" t="str"/>
      <x:c r="U260" s="138" t="str"/>
      <x:c r="V260" s="137" t="str"/>
      <x:c r="W260" s="137" t="str"/>
      <x:c r="X260" s="199" t="str"/>
    </x:row>
    <x:row r="261">
      <x:c r="A261" s="137" t="str"/>
      <x:c r="B261" s="138" t="str"/>
      <x:c r="C261" s="137" t="str"/>
      <x:c r="D261" s="137" t="str"/>
      <x:c r="E261" s="137" t="str"/>
      <x:c r="F261" s="137" t="str"/>
      <x:c r="G261" s="137" t="str"/>
      <x:c r="H261" s="137" t="str"/>
      <x:c r="I261" s="137" t="str"/>
      <x:c r="J261" s="160" t="str"/>
      <x:c r="K261" s="160" t="str"/>
      <x:c r="L261" s="196" t="str">
        <x:f>IF(OR(J261="",K261=""),"",MOD(K261-J261,1)*1440)</x:f>
      </x:c>
      <x:c r="M261" s="137" t="str"/>
      <x:c r="N261" s="137" t="str"/>
      <x:c r="O261" s="137" t="str"/>
      <x:c r="P261" s="137" t="str"/>
      <x:c r="Q261" s="137" t="str"/>
      <x:c r="R261" s="137" t="str"/>
      <x:c r="S261" s="137" t="str"/>
      <x:c r="T261" s="138" t="str"/>
      <x:c r="U261" s="138" t="str"/>
      <x:c r="V261" s="137" t="str"/>
      <x:c r="W261" s="137" t="str"/>
      <x:c r="X261" s="199" t="str"/>
    </x:row>
    <x:row r="262">
      <x:c r="A262" s="137" t="str"/>
      <x:c r="B262" s="138" t="str"/>
      <x:c r="C262" s="137" t="str"/>
      <x:c r="D262" s="137" t="str"/>
      <x:c r="E262" s="137" t="str"/>
      <x:c r="F262" s="137" t="str"/>
      <x:c r="G262" s="137" t="str"/>
      <x:c r="H262" s="137" t="str"/>
      <x:c r="I262" s="137" t="str"/>
      <x:c r="J262" s="160" t="str"/>
      <x:c r="K262" s="160" t="str"/>
      <x:c r="L262" s="196" t="str">
        <x:f>IF(OR(J262="",K262=""),"",MOD(K262-J262,1)*1440)</x:f>
      </x:c>
      <x:c r="M262" s="137" t="str"/>
      <x:c r="N262" s="137" t="str"/>
      <x:c r="O262" s="137" t="str"/>
      <x:c r="P262" s="137" t="str"/>
      <x:c r="Q262" s="137" t="str"/>
      <x:c r="R262" s="137" t="str"/>
      <x:c r="S262" s="137" t="str"/>
      <x:c r="T262" s="138" t="str"/>
      <x:c r="U262" s="138" t="str"/>
      <x:c r="V262" s="137" t="str"/>
      <x:c r="W262" s="137" t="str"/>
      <x:c r="X262" s="199" t="str"/>
    </x:row>
    <x:row r="263">
      <x:c r="A263" s="137" t="str"/>
      <x:c r="B263" s="138" t="str"/>
      <x:c r="C263" s="137" t="str"/>
      <x:c r="D263" s="137" t="str"/>
      <x:c r="E263" s="137" t="str"/>
      <x:c r="F263" s="137" t="str"/>
      <x:c r="G263" s="137" t="str"/>
      <x:c r="H263" s="137" t="str"/>
      <x:c r="I263" s="137" t="str"/>
      <x:c r="J263" s="160" t="str"/>
      <x:c r="K263" s="160" t="str"/>
      <x:c r="L263" s="196" t="str">
        <x:f>IF(OR(J263="",K263=""),"",MOD(K263-J263,1)*1440)</x:f>
      </x:c>
      <x:c r="M263" s="137" t="str"/>
      <x:c r="N263" s="137" t="str"/>
      <x:c r="O263" s="137" t="str"/>
      <x:c r="P263" s="137" t="str"/>
      <x:c r="Q263" s="137" t="str"/>
      <x:c r="R263" s="137" t="str"/>
      <x:c r="S263" s="137" t="str"/>
      <x:c r="T263" s="138" t="str"/>
      <x:c r="U263" s="138" t="str"/>
      <x:c r="V263" s="137" t="str"/>
      <x:c r="W263" s="137" t="str"/>
      <x:c r="X263" s="199" t="str"/>
    </x:row>
    <x:row r="264">
      <x:c r="A264" s="137" t="str"/>
      <x:c r="B264" s="138" t="str"/>
      <x:c r="C264" s="137" t="str"/>
      <x:c r="D264" s="137" t="str"/>
      <x:c r="E264" s="137" t="str"/>
      <x:c r="F264" s="137" t="str"/>
      <x:c r="G264" s="137" t="str"/>
      <x:c r="H264" s="137" t="str"/>
      <x:c r="I264" s="137" t="str"/>
      <x:c r="J264" s="160" t="str"/>
      <x:c r="K264" s="160" t="str"/>
      <x:c r="L264" s="196" t="str">
        <x:f>IF(OR(J264="",K264=""),"",MOD(K264-J264,1)*1440)</x:f>
      </x:c>
      <x:c r="M264" s="137" t="str"/>
      <x:c r="N264" s="137" t="str"/>
      <x:c r="O264" s="137" t="str"/>
      <x:c r="P264" s="137" t="str"/>
      <x:c r="Q264" s="137" t="str"/>
      <x:c r="R264" s="137" t="str"/>
      <x:c r="S264" s="137" t="str"/>
      <x:c r="T264" s="138" t="str"/>
      <x:c r="U264" s="138" t="str"/>
      <x:c r="V264" s="137" t="str"/>
      <x:c r="W264" s="137" t="str"/>
      <x:c r="X264" s="199" t="str"/>
    </x:row>
    <x:row r="265">
      <x:c r="A265" s="137" t="str"/>
      <x:c r="B265" s="138" t="str"/>
      <x:c r="C265" s="137" t="str"/>
      <x:c r="D265" s="137" t="str"/>
      <x:c r="E265" s="137" t="str"/>
      <x:c r="F265" s="137" t="str"/>
      <x:c r="G265" s="137" t="str"/>
      <x:c r="H265" s="137" t="str"/>
      <x:c r="I265" s="137" t="str"/>
      <x:c r="J265" s="160" t="str"/>
      <x:c r="K265" s="160" t="str"/>
      <x:c r="L265" s="196" t="str">
        <x:f>IF(OR(J265="",K265=""),"",MOD(K265-J265,1)*1440)</x:f>
      </x:c>
      <x:c r="M265" s="137" t="str"/>
      <x:c r="N265" s="137" t="str"/>
      <x:c r="O265" s="137" t="str"/>
      <x:c r="P265" s="137" t="str"/>
      <x:c r="Q265" s="137" t="str"/>
      <x:c r="R265" s="137" t="str"/>
      <x:c r="S265" s="137" t="str"/>
      <x:c r="T265" s="138" t="str"/>
      <x:c r="U265" s="138" t="str"/>
      <x:c r="V265" s="137" t="str"/>
      <x:c r="W265" s="137" t="str"/>
      <x:c r="X265" s="199" t="str"/>
    </x:row>
    <x:row r="266">
      <x:c r="A266" s="137" t="str"/>
      <x:c r="B266" s="138" t="str"/>
      <x:c r="C266" s="137" t="str"/>
      <x:c r="D266" s="137" t="str"/>
      <x:c r="E266" s="137" t="str"/>
      <x:c r="F266" s="137" t="str"/>
      <x:c r="G266" s="137" t="str"/>
      <x:c r="H266" s="137" t="str"/>
      <x:c r="I266" s="137" t="str"/>
      <x:c r="J266" s="160" t="str"/>
      <x:c r="K266" s="160" t="str"/>
      <x:c r="L266" s="196" t="str">
        <x:f>IF(OR(J266="",K266=""),"",MOD(K266-J266,1)*1440)</x:f>
      </x:c>
      <x:c r="M266" s="137" t="str"/>
      <x:c r="N266" s="137" t="str"/>
      <x:c r="O266" s="137" t="str"/>
      <x:c r="P266" s="137" t="str"/>
      <x:c r="Q266" s="137" t="str"/>
      <x:c r="R266" s="137" t="str"/>
      <x:c r="S266" s="137" t="str"/>
      <x:c r="T266" s="138" t="str"/>
      <x:c r="U266" s="138" t="str"/>
      <x:c r="V266" s="137" t="str"/>
      <x:c r="W266" s="137" t="str"/>
      <x:c r="X266" s="199" t="str"/>
    </x:row>
    <x:row r="267">
      <x:c r="A267" s="137" t="str"/>
      <x:c r="B267" s="138" t="str"/>
      <x:c r="C267" s="137" t="str"/>
      <x:c r="D267" s="137" t="str"/>
      <x:c r="E267" s="137" t="str"/>
      <x:c r="F267" s="137" t="str"/>
      <x:c r="G267" s="137" t="str"/>
      <x:c r="H267" s="137" t="str"/>
      <x:c r="I267" s="137" t="str"/>
      <x:c r="J267" s="160" t="str"/>
      <x:c r="K267" s="160" t="str"/>
      <x:c r="L267" s="196" t="str">
        <x:f>IF(OR(J267="",K267=""),"",MOD(K267-J267,1)*1440)</x:f>
      </x:c>
      <x:c r="M267" s="137" t="str"/>
      <x:c r="N267" s="137" t="str"/>
      <x:c r="O267" s="137" t="str"/>
      <x:c r="P267" s="137" t="str"/>
      <x:c r="Q267" s="137" t="str"/>
      <x:c r="R267" s="137" t="str"/>
      <x:c r="S267" s="137" t="str"/>
      <x:c r="T267" s="138" t="str"/>
      <x:c r="U267" s="138" t="str"/>
      <x:c r="V267" s="137" t="str"/>
      <x:c r="W267" s="137" t="str"/>
      <x:c r="X267" s="199" t="str"/>
    </x:row>
    <x:row r="268">
      <x:c r="A268" s="137" t="str"/>
      <x:c r="B268" s="138" t="str"/>
      <x:c r="C268" s="137" t="str"/>
      <x:c r="D268" s="137" t="str"/>
      <x:c r="E268" s="137" t="str"/>
      <x:c r="F268" s="137" t="str"/>
      <x:c r="G268" s="137" t="str"/>
      <x:c r="H268" s="137" t="str"/>
      <x:c r="I268" s="137" t="str"/>
      <x:c r="J268" s="160" t="str"/>
      <x:c r="K268" s="160" t="str"/>
      <x:c r="L268" s="196" t="str">
        <x:f>IF(OR(J268="",K268=""),"",MOD(K268-J268,1)*1440)</x:f>
      </x:c>
      <x:c r="M268" s="137" t="str"/>
      <x:c r="N268" s="137" t="str"/>
      <x:c r="O268" s="137" t="str"/>
      <x:c r="P268" s="137" t="str"/>
      <x:c r="Q268" s="137" t="str"/>
      <x:c r="R268" s="137" t="str"/>
      <x:c r="S268" s="137" t="str"/>
      <x:c r="T268" s="138" t="str"/>
      <x:c r="U268" s="138" t="str"/>
      <x:c r="V268" s="137" t="str"/>
      <x:c r="W268" s="137" t="str"/>
      <x:c r="X268" s="199" t="str"/>
    </x:row>
    <x:row r="269">
      <x:c r="A269" s="137" t="str"/>
      <x:c r="B269" s="138" t="str"/>
      <x:c r="C269" s="137" t="str"/>
      <x:c r="D269" s="137" t="str"/>
      <x:c r="E269" s="137" t="str"/>
      <x:c r="F269" s="137" t="str"/>
      <x:c r="G269" s="137" t="str"/>
      <x:c r="H269" s="137" t="str"/>
      <x:c r="I269" s="137" t="str"/>
      <x:c r="J269" s="160" t="str"/>
      <x:c r="K269" s="160" t="str"/>
      <x:c r="L269" s="196" t="str">
        <x:f>IF(OR(J269="",K269=""),"",MOD(K269-J269,1)*1440)</x:f>
      </x:c>
      <x:c r="M269" s="137" t="str"/>
      <x:c r="N269" s="137" t="str"/>
      <x:c r="O269" s="137" t="str"/>
      <x:c r="P269" s="137" t="str"/>
      <x:c r="Q269" s="137" t="str"/>
      <x:c r="R269" s="137" t="str"/>
      <x:c r="S269" s="137" t="str"/>
      <x:c r="T269" s="138" t="str"/>
      <x:c r="U269" s="138" t="str"/>
      <x:c r="V269" s="137" t="str"/>
      <x:c r="W269" s="137" t="str"/>
      <x:c r="X269" s="199" t="str"/>
    </x:row>
    <x:row r="270">
      <x:c r="A270" s="137" t="str"/>
      <x:c r="B270" s="138" t="str"/>
      <x:c r="C270" s="137" t="str"/>
      <x:c r="D270" s="137" t="str"/>
      <x:c r="E270" s="137" t="str"/>
      <x:c r="F270" s="137" t="str"/>
      <x:c r="G270" s="137" t="str"/>
      <x:c r="H270" s="137" t="str"/>
      <x:c r="I270" s="137" t="str"/>
      <x:c r="J270" s="160" t="str"/>
      <x:c r="K270" s="160" t="str"/>
      <x:c r="L270" s="196" t="str">
        <x:f>IF(OR(J270="",K270=""),"",MOD(K270-J270,1)*1440)</x:f>
      </x:c>
      <x:c r="M270" s="137" t="str"/>
      <x:c r="N270" s="137" t="str"/>
      <x:c r="O270" s="137" t="str"/>
      <x:c r="P270" s="137" t="str"/>
      <x:c r="Q270" s="137" t="str"/>
      <x:c r="R270" s="137" t="str"/>
      <x:c r="S270" s="137" t="str"/>
      <x:c r="T270" s="138" t="str"/>
      <x:c r="U270" s="138" t="str"/>
      <x:c r="V270" s="137" t="str"/>
      <x:c r="W270" s="137" t="str"/>
      <x:c r="X270" s="199" t="str"/>
    </x:row>
    <x:row r="271">
      <x:c r="A271" s="137" t="str"/>
      <x:c r="B271" s="138" t="str"/>
      <x:c r="C271" s="137" t="str"/>
      <x:c r="D271" s="137" t="str"/>
      <x:c r="E271" s="137" t="str"/>
      <x:c r="F271" s="137" t="str"/>
      <x:c r="G271" s="137" t="str"/>
      <x:c r="H271" s="137" t="str"/>
      <x:c r="I271" s="137" t="str"/>
      <x:c r="J271" s="160" t="str"/>
      <x:c r="K271" s="160" t="str"/>
      <x:c r="L271" s="196" t="str">
        <x:f>IF(OR(J271="",K271=""),"",MOD(K271-J271,1)*1440)</x:f>
      </x:c>
      <x:c r="M271" s="137" t="str"/>
      <x:c r="N271" s="137" t="str"/>
      <x:c r="O271" s="137" t="str"/>
      <x:c r="P271" s="137" t="str"/>
      <x:c r="Q271" s="137" t="str"/>
      <x:c r="R271" s="137" t="str"/>
      <x:c r="S271" s="137" t="str"/>
      <x:c r="T271" s="138" t="str"/>
      <x:c r="U271" s="138" t="str"/>
      <x:c r="V271" s="137" t="str"/>
      <x:c r="W271" s="137" t="str"/>
      <x:c r="X271" s="199" t="str"/>
    </x:row>
    <x:row r="272">
      <x:c r="A272" s="137" t="str"/>
      <x:c r="B272" s="138" t="str"/>
      <x:c r="C272" s="137" t="str"/>
      <x:c r="D272" s="137" t="str"/>
      <x:c r="E272" s="137" t="str"/>
      <x:c r="F272" s="137" t="str"/>
      <x:c r="G272" s="137" t="str"/>
      <x:c r="H272" s="137" t="str"/>
      <x:c r="I272" s="137" t="str"/>
      <x:c r="J272" s="160" t="str"/>
      <x:c r="K272" s="160" t="str"/>
      <x:c r="L272" s="196" t="str">
        <x:f>IF(OR(J272="",K272=""),"",MOD(K272-J272,1)*1440)</x:f>
      </x:c>
      <x:c r="M272" s="137" t="str"/>
      <x:c r="N272" s="137" t="str"/>
      <x:c r="O272" s="137" t="str"/>
      <x:c r="P272" s="137" t="str"/>
      <x:c r="Q272" s="137" t="str"/>
      <x:c r="R272" s="137" t="str"/>
      <x:c r="S272" s="137" t="str"/>
      <x:c r="T272" s="138" t="str"/>
      <x:c r="U272" s="138" t="str"/>
      <x:c r="V272" s="137" t="str"/>
      <x:c r="W272" s="137" t="str"/>
      <x:c r="X272" s="199" t="str"/>
    </x:row>
    <x:row r="273">
      <x:c r="A273" s="137" t="str"/>
      <x:c r="B273" s="138" t="str"/>
      <x:c r="C273" s="137" t="str"/>
      <x:c r="D273" s="137" t="str"/>
      <x:c r="E273" s="137" t="str"/>
      <x:c r="F273" s="137" t="str"/>
      <x:c r="G273" s="137" t="str"/>
      <x:c r="H273" s="137" t="str"/>
      <x:c r="I273" s="137" t="str"/>
      <x:c r="J273" s="160" t="str"/>
      <x:c r="K273" s="160" t="str"/>
      <x:c r="L273" s="196" t="str">
        <x:f>IF(OR(J273="",K273=""),"",MOD(K273-J273,1)*1440)</x:f>
      </x:c>
      <x:c r="M273" s="137" t="str"/>
      <x:c r="N273" s="137" t="str"/>
      <x:c r="O273" s="137" t="str"/>
      <x:c r="P273" s="137" t="str"/>
      <x:c r="Q273" s="137" t="str"/>
      <x:c r="R273" s="137" t="str"/>
      <x:c r="S273" s="137" t="str"/>
      <x:c r="T273" s="138" t="str"/>
      <x:c r="U273" s="138" t="str"/>
      <x:c r="V273" s="137" t="str"/>
      <x:c r="W273" s="137" t="str"/>
      <x:c r="X273" s="199" t="str"/>
    </x:row>
    <x:row r="274">
      <x:c r="A274" s="137" t="str"/>
      <x:c r="B274" s="138" t="str"/>
      <x:c r="C274" s="137" t="str"/>
      <x:c r="D274" s="137" t="str"/>
      <x:c r="E274" s="137" t="str"/>
      <x:c r="F274" s="137" t="str"/>
      <x:c r="G274" s="137" t="str"/>
      <x:c r="H274" s="137" t="str"/>
      <x:c r="I274" s="137" t="str"/>
      <x:c r="J274" s="160" t="str"/>
      <x:c r="K274" s="160" t="str"/>
      <x:c r="L274" s="196" t="str">
        <x:f>IF(OR(J274="",K274=""),"",MOD(K274-J274,1)*1440)</x:f>
      </x:c>
      <x:c r="M274" s="137" t="str"/>
      <x:c r="N274" s="137" t="str"/>
      <x:c r="O274" s="137" t="str"/>
      <x:c r="P274" s="137" t="str"/>
      <x:c r="Q274" s="137" t="str"/>
      <x:c r="R274" s="137" t="str"/>
      <x:c r="S274" s="137" t="str"/>
      <x:c r="T274" s="138" t="str"/>
      <x:c r="U274" s="138" t="str"/>
      <x:c r="V274" s="137" t="str"/>
      <x:c r="W274" s="137" t="str"/>
      <x:c r="X274" s="199" t="str"/>
    </x:row>
    <x:row r="275">
      <x:c r="A275" s="137" t="str"/>
      <x:c r="B275" s="138" t="str"/>
      <x:c r="C275" s="137" t="str"/>
      <x:c r="D275" s="137" t="str"/>
      <x:c r="E275" s="137" t="str"/>
      <x:c r="F275" s="137" t="str"/>
      <x:c r="G275" s="137" t="str"/>
      <x:c r="H275" s="137" t="str"/>
      <x:c r="I275" s="137" t="str"/>
      <x:c r="J275" s="160" t="str"/>
      <x:c r="K275" s="160" t="str"/>
      <x:c r="L275" s="196" t="str">
        <x:f>IF(OR(J275="",K275=""),"",MOD(K275-J275,1)*1440)</x:f>
      </x:c>
      <x:c r="M275" s="137" t="str"/>
      <x:c r="N275" s="137" t="str"/>
      <x:c r="O275" s="137" t="str"/>
      <x:c r="P275" s="137" t="str"/>
      <x:c r="Q275" s="137" t="str"/>
      <x:c r="R275" s="137" t="str"/>
      <x:c r="S275" s="137" t="str"/>
      <x:c r="T275" s="138" t="str"/>
      <x:c r="U275" s="138" t="str"/>
      <x:c r="V275" s="137" t="str"/>
      <x:c r="W275" s="137" t="str"/>
      <x:c r="X275" s="199" t="str"/>
    </x:row>
    <x:row r="276">
      <x:c r="A276" s="137" t="str"/>
      <x:c r="B276" s="138" t="str"/>
      <x:c r="C276" s="137" t="str"/>
      <x:c r="D276" s="137" t="str"/>
      <x:c r="E276" s="137" t="str"/>
      <x:c r="F276" s="137" t="str"/>
      <x:c r="G276" s="137" t="str"/>
      <x:c r="H276" s="137" t="str"/>
      <x:c r="I276" s="137" t="str"/>
      <x:c r="J276" s="160" t="str"/>
      <x:c r="K276" s="160" t="str"/>
      <x:c r="L276" s="196" t="str">
        <x:f>IF(OR(J276="",K276=""),"",MOD(K276-J276,1)*1440)</x:f>
      </x:c>
      <x:c r="M276" s="137" t="str"/>
      <x:c r="N276" s="137" t="str"/>
      <x:c r="O276" s="137" t="str"/>
      <x:c r="P276" s="137" t="str"/>
      <x:c r="Q276" s="137" t="str"/>
      <x:c r="R276" s="137" t="str"/>
      <x:c r="S276" s="137" t="str"/>
      <x:c r="T276" s="138" t="str"/>
      <x:c r="U276" s="138" t="str"/>
      <x:c r="V276" s="137" t="str"/>
      <x:c r="W276" s="137" t="str"/>
      <x:c r="X276" s="199" t="str"/>
    </x:row>
    <x:row r="277">
      <x:c r="A277" s="137" t="str"/>
      <x:c r="B277" s="138" t="str"/>
      <x:c r="C277" s="137" t="str"/>
      <x:c r="D277" s="137" t="str"/>
      <x:c r="E277" s="137" t="str"/>
      <x:c r="F277" s="137" t="str"/>
      <x:c r="G277" s="137" t="str"/>
      <x:c r="H277" s="137" t="str"/>
      <x:c r="I277" s="137" t="str"/>
      <x:c r="J277" s="160" t="str"/>
      <x:c r="K277" s="160" t="str"/>
      <x:c r="L277" s="196" t="str">
        <x:f>IF(OR(J277="",K277=""),"",MOD(K277-J277,1)*1440)</x:f>
      </x:c>
      <x:c r="M277" s="137" t="str"/>
      <x:c r="N277" s="137" t="str"/>
      <x:c r="O277" s="137" t="str"/>
      <x:c r="P277" s="137" t="str"/>
      <x:c r="Q277" s="137" t="str"/>
      <x:c r="R277" s="137" t="str"/>
      <x:c r="S277" s="137" t="str"/>
      <x:c r="T277" s="138" t="str"/>
      <x:c r="U277" s="138" t="str"/>
      <x:c r="V277" s="137" t="str"/>
      <x:c r="W277" s="137" t="str"/>
      <x:c r="X277" s="199" t="str"/>
    </x:row>
    <x:row r="278">
      <x:c r="A278" s="137" t="str"/>
      <x:c r="B278" s="138" t="str"/>
      <x:c r="C278" s="137" t="str"/>
      <x:c r="D278" s="137" t="str"/>
      <x:c r="E278" s="137" t="str"/>
      <x:c r="F278" s="137" t="str"/>
      <x:c r="G278" s="137" t="str"/>
      <x:c r="H278" s="137" t="str"/>
      <x:c r="I278" s="137" t="str"/>
      <x:c r="J278" s="160" t="str"/>
      <x:c r="K278" s="160" t="str"/>
      <x:c r="L278" s="196" t="str">
        <x:f>IF(OR(J278="",K278=""),"",MOD(K278-J278,1)*1440)</x:f>
      </x:c>
      <x:c r="M278" s="137" t="str"/>
      <x:c r="N278" s="137" t="str"/>
      <x:c r="O278" s="137" t="str"/>
      <x:c r="P278" s="137" t="str"/>
      <x:c r="Q278" s="137" t="str"/>
      <x:c r="R278" s="137" t="str"/>
      <x:c r="S278" s="137" t="str"/>
      <x:c r="T278" s="138" t="str"/>
      <x:c r="U278" s="138" t="str"/>
      <x:c r="V278" s="137" t="str"/>
      <x:c r="W278" s="137" t="str"/>
      <x:c r="X278" s="199" t="str"/>
    </x:row>
    <x:row r="279">
      <x:c r="A279" s="137" t="str"/>
      <x:c r="B279" s="138" t="str"/>
      <x:c r="C279" s="137" t="str"/>
      <x:c r="D279" s="137" t="str"/>
      <x:c r="E279" s="137" t="str"/>
      <x:c r="F279" s="137" t="str"/>
      <x:c r="G279" s="137" t="str"/>
      <x:c r="H279" s="137" t="str"/>
      <x:c r="I279" s="137" t="str"/>
      <x:c r="J279" s="160" t="str"/>
      <x:c r="K279" s="160" t="str"/>
      <x:c r="L279" s="196" t="str">
        <x:f>IF(OR(J279="",K279=""),"",MOD(K279-J279,1)*1440)</x:f>
      </x:c>
      <x:c r="M279" s="137" t="str"/>
      <x:c r="N279" s="137" t="str"/>
      <x:c r="O279" s="137" t="str"/>
      <x:c r="P279" s="137" t="str"/>
      <x:c r="Q279" s="137" t="str"/>
      <x:c r="R279" s="137" t="str"/>
      <x:c r="S279" s="137" t="str"/>
      <x:c r="T279" s="138" t="str"/>
      <x:c r="U279" s="138" t="str"/>
      <x:c r="V279" s="137" t="str"/>
      <x:c r="W279" s="137" t="str"/>
      <x:c r="X279" s="199" t="str"/>
    </x:row>
    <x:row r="280">
      <x:c r="A280" s="137" t="str"/>
      <x:c r="B280" s="138" t="str"/>
      <x:c r="C280" s="137" t="str"/>
      <x:c r="D280" s="137" t="str"/>
      <x:c r="E280" s="137" t="str"/>
      <x:c r="F280" s="137" t="str"/>
      <x:c r="G280" s="137" t="str"/>
      <x:c r="H280" s="137" t="str"/>
      <x:c r="I280" s="137" t="str"/>
      <x:c r="J280" s="160" t="str"/>
      <x:c r="K280" s="160" t="str"/>
      <x:c r="L280" s="196" t="str">
        <x:f>IF(OR(J280="",K280=""),"",MOD(K280-J280,1)*1440)</x:f>
      </x:c>
      <x:c r="M280" s="137" t="str"/>
      <x:c r="N280" s="137" t="str"/>
      <x:c r="O280" s="137" t="str"/>
      <x:c r="P280" s="137" t="str"/>
      <x:c r="Q280" s="137" t="str"/>
      <x:c r="R280" s="137" t="str"/>
      <x:c r="S280" s="137" t="str"/>
      <x:c r="T280" s="138" t="str"/>
      <x:c r="U280" s="138" t="str"/>
      <x:c r="V280" s="137" t="str"/>
      <x:c r="W280" s="137" t="str"/>
      <x:c r="X280" s="199" t="str"/>
    </x:row>
    <x:row r="281">
      <x:c r="A281" s="137" t="str"/>
      <x:c r="B281" s="138" t="str"/>
      <x:c r="C281" s="137" t="str"/>
      <x:c r="D281" s="137" t="str"/>
      <x:c r="E281" s="137" t="str"/>
      <x:c r="F281" s="137" t="str"/>
      <x:c r="G281" s="137" t="str"/>
      <x:c r="H281" s="137" t="str"/>
      <x:c r="I281" s="137" t="str"/>
      <x:c r="J281" s="160" t="str"/>
      <x:c r="K281" s="160" t="str"/>
      <x:c r="L281" s="196" t="str">
        <x:f>IF(OR(J281="",K281=""),"",MOD(K281-J281,1)*1440)</x:f>
      </x:c>
      <x:c r="M281" s="137" t="str"/>
      <x:c r="N281" s="137" t="str"/>
      <x:c r="O281" s="137" t="str"/>
      <x:c r="P281" s="137" t="str"/>
      <x:c r="Q281" s="137" t="str"/>
      <x:c r="R281" s="137" t="str"/>
      <x:c r="S281" s="137" t="str"/>
      <x:c r="T281" s="138" t="str"/>
      <x:c r="U281" s="138" t="str"/>
      <x:c r="V281" s="137" t="str"/>
      <x:c r="W281" s="137" t="str"/>
      <x:c r="X281" s="199" t="str"/>
    </x:row>
    <x:row r="282">
      <x:c r="A282" s="137" t="str"/>
      <x:c r="B282" s="138" t="str"/>
      <x:c r="C282" s="137" t="str"/>
      <x:c r="D282" s="137" t="str"/>
      <x:c r="E282" s="137" t="str"/>
      <x:c r="F282" s="137" t="str"/>
      <x:c r="G282" s="137" t="str"/>
      <x:c r="H282" s="137" t="str"/>
      <x:c r="I282" s="137" t="str"/>
      <x:c r="J282" s="160" t="str"/>
      <x:c r="K282" s="160" t="str"/>
      <x:c r="L282" s="196" t="str">
        <x:f>IF(OR(J282="",K282=""),"",MOD(K282-J282,1)*1440)</x:f>
      </x:c>
      <x:c r="M282" s="137" t="str"/>
      <x:c r="N282" s="137" t="str"/>
      <x:c r="O282" s="137" t="str"/>
      <x:c r="P282" s="137" t="str"/>
      <x:c r="Q282" s="137" t="str"/>
      <x:c r="R282" s="137" t="str"/>
      <x:c r="S282" s="137" t="str"/>
      <x:c r="T282" s="138" t="str"/>
      <x:c r="U282" s="138" t="str"/>
      <x:c r="V282" s="137" t="str"/>
      <x:c r="W282" s="137" t="str"/>
      <x:c r="X282" s="199" t="str"/>
    </x:row>
    <x:row r="283">
      <x:c r="A283" s="137" t="str"/>
      <x:c r="B283" s="138" t="str"/>
      <x:c r="C283" s="137" t="str"/>
      <x:c r="D283" s="137" t="str"/>
      <x:c r="E283" s="137" t="str"/>
      <x:c r="F283" s="137" t="str"/>
      <x:c r="G283" s="137" t="str"/>
      <x:c r="H283" s="137" t="str"/>
      <x:c r="I283" s="137" t="str"/>
      <x:c r="J283" s="160" t="str"/>
      <x:c r="K283" s="160" t="str"/>
      <x:c r="L283" s="196" t="str">
        <x:f>IF(OR(J283="",K283=""),"",MOD(K283-J283,1)*1440)</x:f>
      </x:c>
      <x:c r="M283" s="137" t="str"/>
      <x:c r="N283" s="137" t="str"/>
      <x:c r="O283" s="137" t="str"/>
      <x:c r="P283" s="137" t="str"/>
      <x:c r="Q283" s="137" t="str"/>
      <x:c r="R283" s="137" t="str"/>
      <x:c r="S283" s="137" t="str"/>
      <x:c r="T283" s="138" t="str"/>
      <x:c r="U283" s="138" t="str"/>
      <x:c r="V283" s="137" t="str"/>
      <x:c r="W283" s="137" t="str"/>
      <x:c r="X283" s="199" t="str"/>
    </x:row>
    <x:row r="284">
      <x:c r="A284" s="137" t="str"/>
      <x:c r="B284" s="138" t="str"/>
      <x:c r="C284" s="137" t="str"/>
      <x:c r="D284" s="137" t="str"/>
      <x:c r="E284" s="137" t="str"/>
      <x:c r="F284" s="137" t="str"/>
      <x:c r="G284" s="137" t="str"/>
      <x:c r="H284" s="137" t="str"/>
      <x:c r="I284" s="137" t="str"/>
      <x:c r="J284" s="160" t="str"/>
      <x:c r="K284" s="160" t="str"/>
      <x:c r="L284" s="196" t="str">
        <x:f>IF(OR(J284="",K284=""),"",MOD(K284-J284,1)*1440)</x:f>
      </x:c>
      <x:c r="M284" s="137" t="str"/>
      <x:c r="N284" s="137" t="str"/>
      <x:c r="O284" s="137" t="str"/>
      <x:c r="P284" s="137" t="str"/>
      <x:c r="Q284" s="137" t="str"/>
      <x:c r="R284" s="137" t="str"/>
      <x:c r="S284" s="137" t="str"/>
      <x:c r="T284" s="138" t="str"/>
      <x:c r="U284" s="138" t="str"/>
      <x:c r="V284" s="137" t="str"/>
      <x:c r="W284" s="137" t="str"/>
      <x:c r="X284" s="199" t="str"/>
    </x:row>
    <x:row r="285">
      <x:c r="A285" s="137" t="str"/>
      <x:c r="B285" s="138" t="str"/>
      <x:c r="C285" s="137" t="str"/>
      <x:c r="D285" s="137" t="str"/>
      <x:c r="E285" s="137" t="str"/>
      <x:c r="F285" s="137" t="str"/>
      <x:c r="G285" s="137" t="str"/>
      <x:c r="H285" s="137" t="str"/>
      <x:c r="I285" s="137" t="str"/>
      <x:c r="J285" s="160" t="str"/>
      <x:c r="K285" s="160" t="str"/>
      <x:c r="L285" s="196" t="str">
        <x:f>IF(OR(J285="",K285=""),"",MOD(K285-J285,1)*1440)</x:f>
      </x:c>
      <x:c r="M285" s="137" t="str"/>
      <x:c r="N285" s="137" t="str"/>
      <x:c r="O285" s="137" t="str"/>
      <x:c r="P285" s="137" t="str"/>
      <x:c r="Q285" s="137" t="str"/>
      <x:c r="R285" s="137" t="str"/>
      <x:c r="S285" s="137" t="str"/>
      <x:c r="T285" s="138" t="str"/>
      <x:c r="U285" s="138" t="str"/>
      <x:c r="V285" s="137" t="str"/>
      <x:c r="W285" s="137" t="str"/>
      <x:c r="X285" s="199" t="str"/>
    </x:row>
    <x:row r="286">
      <x:c r="A286" s="137" t="str"/>
      <x:c r="B286" s="138" t="str"/>
      <x:c r="C286" s="137" t="str"/>
      <x:c r="D286" s="137" t="str"/>
      <x:c r="E286" s="137" t="str"/>
      <x:c r="F286" s="137" t="str"/>
      <x:c r="G286" s="137" t="str"/>
      <x:c r="H286" s="137" t="str"/>
      <x:c r="I286" s="137" t="str"/>
      <x:c r="J286" s="160" t="str"/>
      <x:c r="K286" s="160" t="str"/>
      <x:c r="L286" s="196" t="str">
        <x:f>IF(OR(J286="",K286=""),"",MOD(K286-J286,1)*1440)</x:f>
      </x:c>
      <x:c r="M286" s="137" t="str"/>
      <x:c r="N286" s="137" t="str"/>
      <x:c r="O286" s="137" t="str"/>
      <x:c r="P286" s="137" t="str"/>
      <x:c r="Q286" s="137" t="str"/>
      <x:c r="R286" s="137" t="str"/>
      <x:c r="S286" s="137" t="str"/>
      <x:c r="T286" s="138" t="str"/>
      <x:c r="U286" s="138" t="str"/>
      <x:c r="V286" s="137" t="str"/>
      <x:c r="W286" s="137" t="str"/>
      <x:c r="X286" s="199" t="str"/>
    </x:row>
    <x:row r="287">
      <x:c r="A287" s="137" t="str"/>
      <x:c r="B287" s="138" t="str"/>
      <x:c r="C287" s="137" t="str"/>
      <x:c r="D287" s="137" t="str"/>
      <x:c r="E287" s="137" t="str"/>
      <x:c r="F287" s="137" t="str"/>
      <x:c r="G287" s="137" t="str"/>
      <x:c r="H287" s="137" t="str"/>
      <x:c r="I287" s="137" t="str"/>
      <x:c r="J287" s="160" t="str"/>
      <x:c r="K287" s="160" t="str"/>
      <x:c r="L287" s="196" t="str">
        <x:f>IF(OR(J287="",K287=""),"",MOD(K287-J287,1)*1440)</x:f>
      </x:c>
      <x:c r="M287" s="137" t="str"/>
      <x:c r="N287" s="137" t="str"/>
      <x:c r="O287" s="137" t="str"/>
      <x:c r="P287" s="137" t="str"/>
      <x:c r="Q287" s="137" t="str"/>
      <x:c r="R287" s="137" t="str"/>
      <x:c r="S287" s="137" t="str"/>
      <x:c r="T287" s="138" t="str"/>
      <x:c r="U287" s="138" t="str"/>
      <x:c r="V287" s="137" t="str"/>
      <x:c r="W287" s="137" t="str"/>
      <x:c r="X287" s="199" t="str"/>
    </x:row>
    <x:row r="288">
      <x:c r="A288" s="137" t="str"/>
      <x:c r="B288" s="138" t="str"/>
      <x:c r="C288" s="137" t="str"/>
      <x:c r="D288" s="137" t="str"/>
      <x:c r="E288" s="137" t="str"/>
      <x:c r="F288" s="137" t="str"/>
      <x:c r="G288" s="137" t="str"/>
      <x:c r="H288" s="137" t="str"/>
      <x:c r="I288" s="137" t="str"/>
      <x:c r="J288" s="160" t="str"/>
      <x:c r="K288" s="160" t="str"/>
      <x:c r="L288" s="196" t="str">
        <x:f>IF(OR(J288="",K288=""),"",MOD(K288-J288,1)*1440)</x:f>
      </x:c>
      <x:c r="M288" s="137" t="str"/>
      <x:c r="N288" s="137" t="str"/>
      <x:c r="O288" s="137" t="str"/>
      <x:c r="P288" s="137" t="str"/>
      <x:c r="Q288" s="137" t="str"/>
      <x:c r="R288" s="137" t="str"/>
      <x:c r="S288" s="137" t="str"/>
      <x:c r="T288" s="138" t="str"/>
      <x:c r="U288" s="138" t="str"/>
      <x:c r="V288" s="137" t="str"/>
      <x:c r="W288" s="137" t="str"/>
      <x:c r="X288" s="199" t="str"/>
    </x:row>
    <x:row r="289">
      <x:c r="A289" s="137" t="str"/>
      <x:c r="B289" s="138" t="str"/>
      <x:c r="C289" s="137" t="str"/>
      <x:c r="D289" s="137" t="str"/>
      <x:c r="E289" s="137" t="str"/>
      <x:c r="F289" s="137" t="str"/>
      <x:c r="G289" s="137" t="str"/>
      <x:c r="H289" s="137" t="str"/>
      <x:c r="I289" s="137" t="str"/>
      <x:c r="J289" s="160" t="str"/>
      <x:c r="K289" s="160" t="str"/>
      <x:c r="L289" s="196" t="str">
        <x:f>IF(OR(J289="",K289=""),"",MOD(K289-J289,1)*1440)</x:f>
      </x:c>
      <x:c r="M289" s="137" t="str"/>
      <x:c r="N289" s="137" t="str"/>
      <x:c r="O289" s="137" t="str"/>
      <x:c r="P289" s="137" t="str"/>
      <x:c r="Q289" s="137" t="str"/>
      <x:c r="R289" s="137" t="str"/>
      <x:c r="S289" s="137" t="str"/>
      <x:c r="T289" s="138" t="str"/>
      <x:c r="U289" s="138" t="str"/>
      <x:c r="V289" s="137" t="str"/>
      <x:c r="W289" s="137" t="str"/>
      <x:c r="X289" s="199" t="str"/>
    </x:row>
    <x:row r="290">
      <x:c r="A290" s="137" t="str"/>
      <x:c r="B290" s="138" t="str"/>
      <x:c r="C290" s="137" t="str"/>
      <x:c r="D290" s="137" t="str"/>
      <x:c r="E290" s="137" t="str"/>
      <x:c r="F290" s="137" t="str"/>
      <x:c r="G290" s="137" t="str"/>
      <x:c r="H290" s="137" t="str"/>
      <x:c r="I290" s="137" t="str"/>
      <x:c r="J290" s="160" t="str"/>
      <x:c r="K290" s="160" t="str"/>
      <x:c r="L290" s="196" t="str">
        <x:f>IF(OR(J290="",K290=""),"",MOD(K290-J290,1)*1440)</x:f>
      </x:c>
      <x:c r="M290" s="137" t="str"/>
      <x:c r="N290" s="137" t="str"/>
      <x:c r="O290" s="137" t="str"/>
      <x:c r="P290" s="137" t="str"/>
      <x:c r="Q290" s="137" t="str"/>
      <x:c r="R290" s="137" t="str"/>
      <x:c r="S290" s="137" t="str"/>
      <x:c r="T290" s="138" t="str"/>
      <x:c r="U290" s="138" t="str"/>
      <x:c r="V290" s="137" t="str"/>
      <x:c r="W290" s="137" t="str"/>
      <x:c r="X290" s="199" t="str"/>
    </x:row>
    <x:row r="291">
      <x:c r="A291" s="137" t="str"/>
      <x:c r="B291" s="138" t="str"/>
      <x:c r="C291" s="137" t="str"/>
      <x:c r="D291" s="137" t="str"/>
      <x:c r="E291" s="137" t="str"/>
      <x:c r="F291" s="137" t="str"/>
      <x:c r="G291" s="137" t="str"/>
      <x:c r="H291" s="137" t="str"/>
      <x:c r="I291" s="137" t="str"/>
      <x:c r="J291" s="160" t="str"/>
      <x:c r="K291" s="160" t="str"/>
      <x:c r="L291" s="196" t="str">
        <x:f>IF(OR(J291="",K291=""),"",MOD(K291-J291,1)*1440)</x:f>
      </x:c>
      <x:c r="M291" s="137" t="str"/>
      <x:c r="N291" s="137" t="str"/>
      <x:c r="O291" s="137" t="str"/>
      <x:c r="P291" s="137" t="str"/>
      <x:c r="Q291" s="137" t="str"/>
      <x:c r="R291" s="137" t="str"/>
      <x:c r="S291" s="137" t="str"/>
      <x:c r="T291" s="138" t="str"/>
      <x:c r="U291" s="138" t="str"/>
      <x:c r="V291" s="137" t="str"/>
      <x:c r="W291" s="137" t="str"/>
      <x:c r="X291" s="199" t="str"/>
    </x:row>
    <x:row r="292">
      <x:c r="A292" s="137" t="str"/>
      <x:c r="B292" s="138" t="str"/>
      <x:c r="C292" s="137" t="str"/>
      <x:c r="D292" s="137" t="str"/>
      <x:c r="E292" s="137" t="str"/>
      <x:c r="F292" s="137" t="str"/>
      <x:c r="G292" s="137" t="str"/>
      <x:c r="H292" s="137" t="str"/>
      <x:c r="I292" s="137" t="str"/>
      <x:c r="J292" s="160" t="str"/>
      <x:c r="K292" s="160" t="str"/>
      <x:c r="L292" s="196" t="str">
        <x:f>IF(OR(J292="",K292=""),"",MOD(K292-J292,1)*1440)</x:f>
      </x:c>
      <x:c r="M292" s="137" t="str"/>
      <x:c r="N292" s="137" t="str"/>
      <x:c r="O292" s="137" t="str"/>
      <x:c r="P292" s="137" t="str"/>
      <x:c r="Q292" s="137" t="str"/>
      <x:c r="R292" s="137" t="str"/>
      <x:c r="S292" s="137" t="str"/>
      <x:c r="T292" s="138" t="str"/>
      <x:c r="U292" s="138" t="str"/>
      <x:c r="V292" s="137" t="str"/>
      <x:c r="W292" s="137" t="str"/>
      <x:c r="X292" s="199" t="str"/>
    </x:row>
    <x:row r="293">
      <x:c r="A293" s="137" t="str"/>
      <x:c r="B293" s="138" t="str"/>
      <x:c r="C293" s="137" t="str"/>
      <x:c r="D293" s="137" t="str"/>
      <x:c r="E293" s="137" t="str"/>
      <x:c r="F293" s="137" t="str"/>
      <x:c r="G293" s="137" t="str"/>
      <x:c r="H293" s="137" t="str"/>
      <x:c r="I293" s="137" t="str"/>
      <x:c r="J293" s="160" t="str"/>
      <x:c r="K293" s="160" t="str"/>
      <x:c r="L293" s="196" t="str">
        <x:f>IF(OR(J293="",K293=""),"",MOD(K293-J293,1)*1440)</x:f>
      </x:c>
      <x:c r="M293" s="137" t="str"/>
      <x:c r="N293" s="137" t="str"/>
      <x:c r="O293" s="137" t="str"/>
      <x:c r="P293" s="137" t="str"/>
      <x:c r="Q293" s="137" t="str"/>
      <x:c r="R293" s="137" t="str"/>
      <x:c r="S293" s="137" t="str"/>
      <x:c r="T293" s="138" t="str"/>
      <x:c r="U293" s="138" t="str"/>
      <x:c r="V293" s="137" t="str"/>
      <x:c r="W293" s="137" t="str"/>
      <x:c r="X293" s="199" t="str"/>
    </x:row>
    <x:row r="294">
      <x:c r="A294" s="137" t="str"/>
      <x:c r="B294" s="138" t="str"/>
      <x:c r="C294" s="137" t="str"/>
      <x:c r="D294" s="137" t="str"/>
      <x:c r="E294" s="137" t="str"/>
      <x:c r="F294" s="137" t="str"/>
      <x:c r="G294" s="137" t="str"/>
      <x:c r="H294" s="137" t="str"/>
      <x:c r="I294" s="137" t="str"/>
      <x:c r="J294" s="160" t="str"/>
      <x:c r="K294" s="160" t="str"/>
      <x:c r="L294" s="196" t="str">
        <x:f>IF(OR(J294="",K294=""),"",MOD(K294-J294,1)*1440)</x:f>
      </x:c>
      <x:c r="M294" s="137" t="str"/>
      <x:c r="N294" s="137" t="str"/>
      <x:c r="O294" s="137" t="str"/>
      <x:c r="P294" s="137" t="str"/>
      <x:c r="Q294" s="137" t="str"/>
      <x:c r="R294" s="137" t="str"/>
      <x:c r="S294" s="137" t="str"/>
      <x:c r="T294" s="138" t="str"/>
      <x:c r="U294" s="138" t="str"/>
      <x:c r="V294" s="137" t="str"/>
      <x:c r="W294" s="137" t="str"/>
      <x:c r="X294" s="199" t="str"/>
    </x:row>
    <x:row r="295">
      <x:c r="A295" s="137" t="str"/>
      <x:c r="B295" s="138" t="str"/>
      <x:c r="C295" s="137" t="str"/>
      <x:c r="D295" s="137" t="str"/>
      <x:c r="E295" s="137" t="str"/>
      <x:c r="F295" s="137" t="str"/>
      <x:c r="G295" s="137" t="str"/>
      <x:c r="H295" s="137" t="str"/>
      <x:c r="I295" s="137" t="str"/>
      <x:c r="J295" s="160" t="str"/>
      <x:c r="K295" s="160" t="str"/>
      <x:c r="L295" s="196" t="str">
        <x:f>IF(OR(J295="",K295=""),"",MOD(K295-J295,1)*1440)</x:f>
      </x:c>
      <x:c r="M295" s="137" t="str"/>
      <x:c r="N295" s="137" t="str"/>
      <x:c r="O295" s="137" t="str"/>
      <x:c r="P295" s="137" t="str"/>
      <x:c r="Q295" s="137" t="str"/>
      <x:c r="R295" s="137" t="str"/>
      <x:c r="S295" s="137" t="str"/>
      <x:c r="T295" s="138" t="str"/>
      <x:c r="U295" s="138" t="str"/>
      <x:c r="V295" s="137" t="str"/>
      <x:c r="W295" s="137" t="str"/>
      <x:c r="X295" s="199" t="str"/>
    </x:row>
    <x:row r="296">
      <x:c r="A296" s="137" t="str"/>
      <x:c r="B296" s="138" t="str"/>
      <x:c r="C296" s="137" t="str"/>
      <x:c r="D296" s="137" t="str"/>
      <x:c r="E296" s="137" t="str"/>
      <x:c r="F296" s="137" t="str"/>
      <x:c r="G296" s="137" t="str"/>
      <x:c r="H296" s="137" t="str"/>
      <x:c r="I296" s="137" t="str"/>
      <x:c r="J296" s="160" t="str"/>
      <x:c r="K296" s="160" t="str"/>
      <x:c r="L296" s="196" t="str">
        <x:f>IF(OR(J296="",K296=""),"",MOD(K296-J296,1)*1440)</x:f>
      </x:c>
      <x:c r="M296" s="137" t="str"/>
      <x:c r="N296" s="137" t="str"/>
      <x:c r="O296" s="137" t="str"/>
      <x:c r="P296" s="137" t="str"/>
      <x:c r="Q296" s="137" t="str"/>
      <x:c r="R296" s="137" t="str"/>
      <x:c r="S296" s="137" t="str"/>
      <x:c r="T296" s="138" t="str"/>
      <x:c r="U296" s="138" t="str"/>
      <x:c r="V296" s="137" t="str"/>
      <x:c r="W296" s="137" t="str"/>
      <x:c r="X296" s="199" t="str"/>
    </x:row>
    <x:row r="297">
      <x:c r="A297" s="137" t="str"/>
      <x:c r="B297" s="138" t="str"/>
      <x:c r="C297" s="137" t="str"/>
      <x:c r="D297" s="137" t="str"/>
      <x:c r="E297" s="137" t="str"/>
      <x:c r="F297" s="137" t="str"/>
      <x:c r="G297" s="137" t="str"/>
      <x:c r="H297" s="137" t="str"/>
      <x:c r="I297" s="137" t="str"/>
      <x:c r="J297" s="160" t="str"/>
      <x:c r="K297" s="160" t="str"/>
      <x:c r="L297" s="196" t="str">
        <x:f>IF(OR(J297="",K297=""),"",MOD(K297-J297,1)*1440)</x:f>
      </x:c>
      <x:c r="M297" s="137" t="str"/>
      <x:c r="N297" s="137" t="str"/>
      <x:c r="O297" s="137" t="str"/>
      <x:c r="P297" s="137" t="str"/>
      <x:c r="Q297" s="137" t="str"/>
      <x:c r="R297" s="137" t="str"/>
      <x:c r="S297" s="137" t="str"/>
      <x:c r="T297" s="138" t="str"/>
      <x:c r="U297" s="138" t="str"/>
      <x:c r="V297" s="137" t="str"/>
      <x:c r="W297" s="137" t="str"/>
      <x:c r="X297" s="199" t="str"/>
    </x:row>
    <x:row r="298">
      <x:c r="A298" s="137" t="str"/>
      <x:c r="B298" s="138" t="str"/>
      <x:c r="C298" s="137" t="str"/>
      <x:c r="D298" s="137" t="str"/>
      <x:c r="E298" s="137" t="str"/>
      <x:c r="F298" s="137" t="str"/>
      <x:c r="G298" s="137" t="str"/>
      <x:c r="H298" s="137" t="str"/>
      <x:c r="I298" s="137" t="str"/>
      <x:c r="J298" s="160" t="str"/>
      <x:c r="K298" s="160" t="str"/>
      <x:c r="L298" s="196" t="str">
        <x:f>IF(OR(J298="",K298=""),"",MOD(K298-J298,1)*1440)</x:f>
      </x:c>
      <x:c r="M298" s="137" t="str"/>
      <x:c r="N298" s="137" t="str"/>
      <x:c r="O298" s="137" t="str"/>
      <x:c r="P298" s="137" t="str"/>
      <x:c r="Q298" s="137" t="str"/>
      <x:c r="R298" s="137" t="str"/>
      <x:c r="S298" s="137" t="str"/>
      <x:c r="T298" s="138" t="str"/>
      <x:c r="U298" s="138" t="str"/>
      <x:c r="V298" s="137" t="str"/>
      <x:c r="W298" s="137" t="str"/>
      <x:c r="X298" s="199" t="str"/>
    </x:row>
    <x:row r="299">
      <x:c r="A299" s="137" t="str"/>
      <x:c r="B299" s="138" t="str"/>
      <x:c r="C299" s="137" t="str"/>
      <x:c r="D299" s="137" t="str"/>
      <x:c r="E299" s="137" t="str"/>
      <x:c r="F299" s="137" t="str"/>
      <x:c r="G299" s="137" t="str"/>
      <x:c r="H299" s="137" t="str"/>
      <x:c r="I299" s="137" t="str"/>
      <x:c r="J299" s="160" t="str"/>
      <x:c r="K299" s="160" t="str"/>
      <x:c r="L299" s="196" t="str">
        <x:f>IF(OR(J299="",K299=""),"",MOD(K299-J299,1)*1440)</x:f>
      </x:c>
      <x:c r="M299" s="137" t="str"/>
      <x:c r="N299" s="137" t="str"/>
      <x:c r="O299" s="137" t="str"/>
      <x:c r="P299" s="137" t="str"/>
      <x:c r="Q299" s="137" t="str"/>
      <x:c r="R299" s="137" t="str"/>
      <x:c r="S299" s="137" t="str"/>
      <x:c r="T299" s="138" t="str"/>
      <x:c r="U299" s="138" t="str"/>
      <x:c r="V299" s="137" t="str"/>
      <x:c r="W299" s="137" t="str"/>
      <x:c r="X299" s="199" t="str"/>
    </x:row>
    <x:row r="300">
      <x:c r="A300" s="137" t="str"/>
      <x:c r="B300" s="138" t="str"/>
      <x:c r="C300" s="137" t="str"/>
      <x:c r="D300" s="137" t="str"/>
      <x:c r="E300" s="137" t="str"/>
      <x:c r="F300" s="137" t="str"/>
      <x:c r="G300" s="137" t="str"/>
      <x:c r="H300" s="137" t="str"/>
      <x:c r="I300" s="137" t="str"/>
      <x:c r="J300" s="160" t="str"/>
      <x:c r="K300" s="160" t="str"/>
      <x:c r="L300" s="196" t="str">
        <x:f>IF(OR(J300="",K300=""),"",MOD(K300-J300,1)*1440)</x:f>
      </x:c>
      <x:c r="M300" s="137" t="str"/>
      <x:c r="N300" s="137" t="str"/>
      <x:c r="O300" s="137" t="str"/>
      <x:c r="P300" s="137" t="str"/>
      <x:c r="Q300" s="137" t="str"/>
      <x:c r="R300" s="137" t="str"/>
      <x:c r="S300" s="137" t="str"/>
      <x:c r="T300" s="138" t="str"/>
      <x:c r="U300" s="138" t="str"/>
      <x:c r="V300" s="137" t="str"/>
      <x:c r="W300" s="137" t="str"/>
      <x:c r="X300" s="199" t="str"/>
    </x:row>
    <x:row r="301">
      <x:c r="A301" s="137" t="str"/>
      <x:c r="B301" s="138" t="str"/>
      <x:c r="C301" s="137" t="str"/>
      <x:c r="D301" s="137" t="str"/>
      <x:c r="E301" s="137" t="str"/>
      <x:c r="F301" s="137" t="str"/>
      <x:c r="G301" s="137" t="str"/>
      <x:c r="H301" s="137" t="str"/>
      <x:c r="I301" s="137" t="str"/>
      <x:c r="J301" s="160" t="str"/>
      <x:c r="K301" s="160" t="str"/>
      <x:c r="L301" s="196" t="str">
        <x:f>IF(OR(J301="",K301=""),"",MOD(K301-J301,1)*1440)</x:f>
      </x:c>
      <x:c r="M301" s="137" t="str"/>
      <x:c r="N301" s="137" t="str"/>
      <x:c r="O301" s="137" t="str"/>
      <x:c r="P301" s="137" t="str"/>
      <x:c r="Q301" s="137" t="str"/>
      <x:c r="R301" s="137" t="str"/>
      <x:c r="S301" s="137" t="str"/>
      <x:c r="T301" s="138" t="str"/>
      <x:c r="U301" s="138" t="str"/>
      <x:c r="V301" s="137" t="str"/>
      <x:c r="W301" s="137" t="str"/>
      <x:c r="X301" s="199" t="str"/>
    </x:row>
    <x:row r="302">
      <x:c r="A302" s="137" t="str"/>
      <x:c r="B302" s="138" t="str"/>
      <x:c r="C302" s="137" t="str"/>
      <x:c r="D302" s="137" t="str"/>
      <x:c r="E302" s="137" t="str"/>
      <x:c r="F302" s="137" t="str"/>
      <x:c r="G302" s="137" t="str"/>
      <x:c r="H302" s="137" t="str"/>
      <x:c r="I302" s="137" t="str"/>
      <x:c r="J302" s="160" t="str"/>
      <x:c r="K302" s="160" t="str"/>
      <x:c r="L302" s="196" t="str">
        <x:f>IF(OR(J302="",K302=""),"",MOD(K302-J302,1)*1440)</x:f>
      </x:c>
      <x:c r="M302" s="137" t="str"/>
      <x:c r="N302" s="137" t="str"/>
      <x:c r="O302" s="137" t="str"/>
      <x:c r="P302" s="137" t="str"/>
      <x:c r="Q302" s="137" t="str"/>
      <x:c r="R302" s="137" t="str"/>
      <x:c r="S302" s="137" t="str"/>
      <x:c r="T302" s="138" t="str"/>
      <x:c r="U302" s="138" t="str"/>
      <x:c r="V302" s="137" t="str"/>
      <x:c r="W302" s="137" t="str"/>
      <x:c r="X302" s="199" t="str"/>
    </x:row>
    <x:row r="303">
      <x:c r="A303" s="137" t="str"/>
      <x:c r="B303" s="138" t="str"/>
      <x:c r="C303" s="137" t="str"/>
      <x:c r="D303" s="137" t="str"/>
      <x:c r="E303" s="137" t="str"/>
      <x:c r="F303" s="137" t="str"/>
      <x:c r="G303" s="137" t="str"/>
      <x:c r="H303" s="137" t="str"/>
      <x:c r="I303" s="137" t="str"/>
      <x:c r="J303" s="160" t="str"/>
      <x:c r="K303" s="160" t="str"/>
      <x:c r="L303" s="196" t="str">
        <x:f>IF(OR(J303="",K303=""),"",MOD(K303-J303,1)*1440)</x:f>
      </x:c>
      <x:c r="M303" s="137" t="str"/>
      <x:c r="N303" s="137" t="str"/>
      <x:c r="O303" s="137" t="str"/>
      <x:c r="P303" s="137" t="str"/>
      <x:c r="Q303" s="137" t="str"/>
      <x:c r="R303" s="137" t="str"/>
      <x:c r="S303" s="137" t="str"/>
      <x:c r="T303" s="138" t="str"/>
      <x:c r="U303" s="138" t="str"/>
      <x:c r="V303" s="137" t="str"/>
      <x:c r="W303" s="137" t="str"/>
      <x:c r="X303" s="199" t="str"/>
    </x:row>
    <x:row r="304">
      <x:c r="A304" s="137" t="str"/>
      <x:c r="B304" s="138" t="str"/>
      <x:c r="C304" s="137" t="str"/>
      <x:c r="D304" s="137" t="str"/>
      <x:c r="E304" s="137" t="str"/>
      <x:c r="F304" s="137" t="str"/>
      <x:c r="G304" s="137" t="str"/>
      <x:c r="H304" s="137" t="str"/>
      <x:c r="I304" s="137" t="str"/>
      <x:c r="J304" s="160" t="str"/>
      <x:c r="K304" s="160" t="str"/>
      <x:c r="L304" s="196" t="str">
        <x:f>IF(OR(J304="",K304=""),"",MOD(K304-J304,1)*1440)</x:f>
      </x:c>
      <x:c r="M304" s="137" t="str"/>
      <x:c r="N304" s="137" t="str"/>
      <x:c r="O304" s="137" t="str"/>
      <x:c r="P304" s="137" t="str"/>
      <x:c r="Q304" s="137" t="str"/>
      <x:c r="R304" s="137" t="str"/>
      <x:c r="S304" s="137" t="str"/>
      <x:c r="T304" s="138" t="str"/>
      <x:c r="U304" s="138" t="str"/>
      <x:c r="V304" s="137" t="str"/>
      <x:c r="W304" s="137" t="str"/>
      <x:c r="X304" s="199" t="str"/>
    </x:row>
    <x:row r="305">
      <x:c r="A305" s="137" t="str"/>
      <x:c r="B305" s="138" t="str"/>
      <x:c r="C305" s="137" t="str"/>
      <x:c r="D305" s="137" t="str"/>
      <x:c r="E305" s="137" t="str"/>
      <x:c r="F305" s="137" t="str"/>
      <x:c r="G305" s="137" t="str"/>
      <x:c r="H305" s="137" t="str"/>
      <x:c r="I305" s="137" t="str"/>
      <x:c r="J305" s="160" t="str"/>
      <x:c r="K305" s="160" t="str"/>
      <x:c r="L305" s="196" t="str">
        <x:f>IF(OR(J305="",K305=""),"",MOD(K305-J305,1)*1440)</x:f>
      </x:c>
      <x:c r="M305" s="137" t="str"/>
      <x:c r="N305" s="137" t="str"/>
      <x:c r="O305" s="137" t="str"/>
      <x:c r="P305" s="137" t="str"/>
      <x:c r="Q305" s="137" t="str"/>
      <x:c r="R305" s="137" t="str"/>
      <x:c r="S305" s="137" t="str"/>
      <x:c r="T305" s="138" t="str"/>
      <x:c r="U305" s="138" t="str"/>
      <x:c r="V305" s="137" t="str"/>
      <x:c r="W305" s="137" t="str"/>
      <x:c r="X305" s="199" t="str"/>
    </x:row>
    <x:row r="306">
      <x:c r="A306" s="137" t="str"/>
      <x:c r="B306" s="138" t="str"/>
      <x:c r="C306" s="137" t="str"/>
      <x:c r="D306" s="137" t="str"/>
      <x:c r="E306" s="137" t="str"/>
      <x:c r="F306" s="137" t="str"/>
      <x:c r="G306" s="137" t="str"/>
      <x:c r="H306" s="137" t="str"/>
      <x:c r="I306" s="137" t="str"/>
      <x:c r="J306" s="160" t="str"/>
      <x:c r="K306" s="160" t="str"/>
      <x:c r="L306" s="196" t="str">
        <x:f>IF(OR(J306="",K306=""),"",MOD(K306-J306,1)*1440)</x:f>
      </x:c>
      <x:c r="M306" s="137" t="str"/>
      <x:c r="N306" s="137" t="str"/>
      <x:c r="O306" s="137" t="str"/>
      <x:c r="P306" s="137" t="str"/>
      <x:c r="Q306" s="137" t="str"/>
      <x:c r="R306" s="137" t="str"/>
      <x:c r="S306" s="137" t="str"/>
      <x:c r="T306" s="138" t="str"/>
      <x:c r="U306" s="138" t="str"/>
      <x:c r="V306" s="137" t="str"/>
      <x:c r="W306" s="137" t="str"/>
      <x:c r="X306" s="199" t="str"/>
    </x:row>
    <x:row r="307">
      <x:c r="A307" s="137" t="str"/>
      <x:c r="B307" s="138" t="str"/>
      <x:c r="C307" s="137" t="str"/>
      <x:c r="D307" s="137" t="str"/>
      <x:c r="E307" s="137" t="str"/>
      <x:c r="F307" s="137" t="str"/>
      <x:c r="G307" s="137" t="str"/>
      <x:c r="H307" s="137" t="str"/>
      <x:c r="I307" s="137" t="str"/>
      <x:c r="J307" s="160" t="str"/>
      <x:c r="K307" s="160" t="str"/>
      <x:c r="L307" s="196" t="str">
        <x:f>IF(OR(J307="",K307=""),"",MOD(K307-J307,1)*1440)</x:f>
      </x:c>
      <x:c r="M307" s="137" t="str"/>
      <x:c r="N307" s="137" t="str"/>
      <x:c r="O307" s="137" t="str"/>
      <x:c r="P307" s="137" t="str"/>
      <x:c r="Q307" s="137" t="str"/>
      <x:c r="R307" s="137" t="str"/>
      <x:c r="S307" s="137" t="str"/>
      <x:c r="T307" s="138" t="str"/>
      <x:c r="U307" s="138" t="str"/>
      <x:c r="V307" s="137" t="str"/>
      <x:c r="W307" s="137" t="str"/>
      <x:c r="X307" s="199" t="str"/>
    </x:row>
    <x:row r="308">
      <x:c r="A308" s="137" t="str"/>
      <x:c r="B308" s="138" t="str"/>
      <x:c r="C308" s="137" t="str"/>
      <x:c r="D308" s="137" t="str"/>
      <x:c r="E308" s="137" t="str"/>
      <x:c r="F308" s="137" t="str"/>
      <x:c r="G308" s="137" t="str"/>
      <x:c r="H308" s="137" t="str"/>
      <x:c r="I308" s="137" t="str"/>
      <x:c r="J308" s="160" t="str"/>
      <x:c r="K308" s="160" t="str"/>
      <x:c r="L308" s="196" t="str">
        <x:f>IF(OR(J308="",K308=""),"",MOD(K308-J308,1)*1440)</x:f>
      </x:c>
      <x:c r="M308" s="137" t="str"/>
      <x:c r="N308" s="137" t="str"/>
      <x:c r="O308" s="137" t="str"/>
      <x:c r="P308" s="137" t="str"/>
      <x:c r="Q308" s="137" t="str"/>
      <x:c r="R308" s="137" t="str"/>
      <x:c r="S308" s="137" t="str"/>
      <x:c r="T308" s="138" t="str"/>
      <x:c r="U308" s="138" t="str"/>
      <x:c r="V308" s="137" t="str"/>
      <x:c r="W308" s="137" t="str"/>
      <x:c r="X308" s="199" t="str"/>
    </x:row>
    <x:row r="309">
      <x:c r="A309" s="137" t="str"/>
      <x:c r="B309" s="138" t="str"/>
      <x:c r="C309" s="137" t="str"/>
      <x:c r="D309" s="137" t="str"/>
      <x:c r="E309" s="137" t="str"/>
      <x:c r="F309" s="137" t="str"/>
      <x:c r="G309" s="137" t="str"/>
      <x:c r="H309" s="137" t="str"/>
      <x:c r="I309" s="137" t="str"/>
      <x:c r="J309" s="160" t="str"/>
      <x:c r="K309" s="160" t="str"/>
      <x:c r="L309" s="196" t="str">
        <x:f>IF(OR(J309="",K309=""),"",MOD(K309-J309,1)*1440)</x:f>
      </x:c>
      <x:c r="M309" s="137" t="str"/>
      <x:c r="N309" s="137" t="str"/>
      <x:c r="O309" s="137" t="str"/>
      <x:c r="P309" s="137" t="str"/>
      <x:c r="Q309" s="137" t="str"/>
      <x:c r="R309" s="137" t="str"/>
      <x:c r="S309" s="137" t="str"/>
      <x:c r="T309" s="138" t="str"/>
      <x:c r="U309" s="138" t="str"/>
      <x:c r="V309" s="137" t="str"/>
      <x:c r="W309" s="137" t="str"/>
      <x:c r="X309" s="199" t="str"/>
    </x:row>
    <x:row r="310">
      <x:c r="A310" s="137" t="str"/>
      <x:c r="B310" s="138" t="str"/>
      <x:c r="C310" s="137" t="str"/>
      <x:c r="D310" s="137" t="str"/>
      <x:c r="E310" s="137" t="str"/>
      <x:c r="F310" s="137" t="str"/>
      <x:c r="G310" s="137" t="str"/>
      <x:c r="H310" s="137" t="str"/>
      <x:c r="I310" s="137" t="str"/>
      <x:c r="J310" s="160" t="str"/>
      <x:c r="K310" s="160" t="str"/>
      <x:c r="L310" s="196" t="str">
        <x:f>IF(OR(J310="",K310=""),"",MOD(K310-J310,1)*1440)</x:f>
      </x:c>
      <x:c r="M310" s="137" t="str"/>
      <x:c r="N310" s="137" t="str"/>
      <x:c r="O310" s="137" t="str"/>
      <x:c r="P310" s="137" t="str"/>
      <x:c r="Q310" s="137" t="str"/>
      <x:c r="R310" s="137" t="str"/>
      <x:c r="S310" s="137" t="str"/>
      <x:c r="T310" s="138" t="str"/>
      <x:c r="U310" s="138" t="str"/>
      <x:c r="V310" s="137" t="str"/>
      <x:c r="W310" s="137" t="str"/>
      <x:c r="X310" s="199" t="str"/>
    </x:row>
    <x:row r="311">
      <x:c r="A311" s="137" t="str"/>
      <x:c r="B311" s="138" t="str"/>
      <x:c r="C311" s="137" t="str"/>
      <x:c r="D311" s="137" t="str"/>
      <x:c r="E311" s="137" t="str"/>
      <x:c r="F311" s="137" t="str"/>
      <x:c r="G311" s="137" t="str"/>
      <x:c r="H311" s="137" t="str"/>
      <x:c r="I311" s="137" t="str"/>
      <x:c r="J311" s="160" t="str"/>
      <x:c r="K311" s="160" t="str"/>
      <x:c r="L311" s="196" t="str">
        <x:f>IF(OR(J311="",K311=""),"",MOD(K311-J311,1)*1440)</x:f>
      </x:c>
      <x:c r="M311" s="137" t="str"/>
      <x:c r="N311" s="137" t="str"/>
      <x:c r="O311" s="137" t="str"/>
      <x:c r="P311" s="137" t="str"/>
      <x:c r="Q311" s="137" t="str"/>
      <x:c r="R311" s="137" t="str"/>
      <x:c r="S311" s="137" t="str"/>
      <x:c r="T311" s="138" t="str"/>
      <x:c r="U311" s="138" t="str"/>
      <x:c r="V311" s="137" t="str"/>
      <x:c r="W311" s="137" t="str"/>
      <x:c r="X311" s="199" t="str"/>
    </x:row>
    <x:row r="312">
      <x:c r="A312" s="137" t="str"/>
      <x:c r="B312" s="138" t="str"/>
      <x:c r="C312" s="137" t="str"/>
      <x:c r="D312" s="137" t="str"/>
      <x:c r="E312" s="137" t="str"/>
      <x:c r="F312" s="137" t="str"/>
      <x:c r="G312" s="137" t="str"/>
      <x:c r="H312" s="137" t="str"/>
      <x:c r="I312" s="137" t="str"/>
      <x:c r="J312" s="160" t="str"/>
      <x:c r="K312" s="160" t="str"/>
      <x:c r="L312" s="196" t="str">
        <x:f>IF(OR(J312="",K312=""),"",MOD(K312-J312,1)*1440)</x:f>
      </x:c>
      <x:c r="M312" s="137" t="str"/>
      <x:c r="N312" s="137" t="str"/>
      <x:c r="O312" s="137" t="str"/>
      <x:c r="P312" s="137" t="str"/>
      <x:c r="Q312" s="137" t="str"/>
      <x:c r="R312" s="137" t="str"/>
      <x:c r="S312" s="137" t="str"/>
      <x:c r="T312" s="138" t="str"/>
      <x:c r="U312" s="138" t="str"/>
      <x:c r="V312" s="137" t="str"/>
      <x:c r="W312" s="137" t="str"/>
      <x:c r="X312" s="199" t="str"/>
    </x:row>
    <x:row r="313">
      <x:c r="A313" s="137" t="str"/>
      <x:c r="B313" s="138" t="str"/>
      <x:c r="C313" s="137" t="str"/>
      <x:c r="D313" s="137" t="str"/>
      <x:c r="E313" s="137" t="str"/>
      <x:c r="F313" s="137" t="str"/>
      <x:c r="G313" s="137" t="str"/>
      <x:c r="H313" s="137" t="str"/>
      <x:c r="I313" s="137" t="str"/>
      <x:c r="J313" s="160" t="str"/>
      <x:c r="K313" s="160" t="str"/>
      <x:c r="L313" s="196" t="str">
        <x:f>IF(OR(J313="",K313=""),"",MOD(K313-J313,1)*1440)</x:f>
      </x:c>
      <x:c r="M313" s="137" t="str"/>
      <x:c r="N313" s="137" t="str"/>
      <x:c r="O313" s="137" t="str"/>
      <x:c r="P313" s="137" t="str"/>
      <x:c r="Q313" s="137" t="str"/>
      <x:c r="R313" s="137" t="str"/>
      <x:c r="S313" s="137" t="str"/>
      <x:c r="T313" s="138" t="str"/>
      <x:c r="U313" s="138" t="str"/>
      <x:c r="V313" s="137" t="str"/>
      <x:c r="W313" s="137" t="str"/>
      <x:c r="X313" s="199" t="str"/>
    </x:row>
    <x:row r="314">
      <x:c r="A314" s="137" t="str"/>
      <x:c r="B314" s="138" t="str"/>
      <x:c r="C314" s="137" t="str"/>
      <x:c r="D314" s="137" t="str"/>
      <x:c r="E314" s="137" t="str"/>
      <x:c r="F314" s="137" t="str"/>
      <x:c r="G314" s="137" t="str"/>
      <x:c r="H314" s="137" t="str"/>
      <x:c r="I314" s="137" t="str"/>
      <x:c r="J314" s="160" t="str"/>
      <x:c r="K314" s="160" t="str"/>
      <x:c r="L314" s="196" t="str">
        <x:f>IF(OR(J314="",K314=""),"",MOD(K314-J314,1)*1440)</x:f>
      </x:c>
      <x:c r="M314" s="137" t="str"/>
      <x:c r="N314" s="137" t="str"/>
      <x:c r="O314" s="137" t="str"/>
      <x:c r="P314" s="137" t="str"/>
      <x:c r="Q314" s="137" t="str"/>
      <x:c r="R314" s="137" t="str"/>
      <x:c r="S314" s="137" t="str"/>
      <x:c r="T314" s="138" t="str"/>
      <x:c r="U314" s="138" t="str"/>
      <x:c r="V314" s="137" t="str"/>
      <x:c r="W314" s="137" t="str"/>
      <x:c r="X314" s="199" t="str"/>
    </x:row>
    <x:row r="315">
      <x:c r="A315" s="137" t="str"/>
      <x:c r="B315" s="138" t="str"/>
      <x:c r="C315" s="137" t="str"/>
      <x:c r="D315" s="137" t="str"/>
      <x:c r="E315" s="137" t="str"/>
      <x:c r="F315" s="137" t="str"/>
      <x:c r="G315" s="137" t="str"/>
      <x:c r="H315" s="137" t="str"/>
      <x:c r="I315" s="137" t="str"/>
      <x:c r="J315" s="160" t="str"/>
      <x:c r="K315" s="160" t="str"/>
      <x:c r="L315" s="196" t="str">
        <x:f>IF(OR(J315="",K315=""),"",MOD(K315-J315,1)*1440)</x:f>
      </x:c>
      <x:c r="M315" s="137" t="str"/>
      <x:c r="N315" s="137" t="str"/>
      <x:c r="O315" s="137" t="str"/>
      <x:c r="P315" s="137" t="str"/>
      <x:c r="Q315" s="137" t="str"/>
      <x:c r="R315" s="137" t="str"/>
      <x:c r="S315" s="137" t="str"/>
      <x:c r="T315" s="138" t="str"/>
      <x:c r="U315" s="138" t="str"/>
      <x:c r="V315" s="137" t="str"/>
      <x:c r="W315" s="137" t="str"/>
      <x:c r="X315" s="199" t="str"/>
    </x:row>
    <x:row r="316">
      <x:c r="A316" s="137" t="str"/>
      <x:c r="B316" s="138" t="str"/>
      <x:c r="C316" s="137" t="str"/>
      <x:c r="D316" s="137" t="str"/>
      <x:c r="E316" s="137" t="str"/>
      <x:c r="F316" s="137" t="str"/>
      <x:c r="G316" s="137" t="str"/>
      <x:c r="H316" s="137" t="str"/>
      <x:c r="I316" s="137" t="str"/>
      <x:c r="J316" s="160" t="str"/>
      <x:c r="K316" s="160" t="str"/>
      <x:c r="L316" s="196" t="str">
        <x:f>IF(OR(J316="",K316=""),"",MOD(K316-J316,1)*1440)</x:f>
      </x:c>
      <x:c r="M316" s="137" t="str"/>
      <x:c r="N316" s="137" t="str"/>
      <x:c r="O316" s="137" t="str"/>
      <x:c r="P316" s="137" t="str"/>
      <x:c r="Q316" s="137" t="str"/>
      <x:c r="R316" s="137" t="str"/>
      <x:c r="S316" s="137" t="str"/>
      <x:c r="T316" s="138" t="str"/>
      <x:c r="U316" s="138" t="str"/>
      <x:c r="V316" s="137" t="str"/>
      <x:c r="W316" s="137" t="str"/>
      <x:c r="X316" s="199" t="str"/>
    </x:row>
    <x:row r="317">
      <x:c r="A317" s="137" t="str"/>
      <x:c r="B317" s="138" t="str"/>
      <x:c r="C317" s="137" t="str"/>
      <x:c r="D317" s="137" t="str"/>
      <x:c r="E317" s="137" t="str"/>
      <x:c r="F317" s="137" t="str"/>
      <x:c r="G317" s="137" t="str"/>
      <x:c r="H317" s="137" t="str"/>
      <x:c r="I317" s="137" t="str"/>
      <x:c r="J317" s="160" t="str"/>
      <x:c r="K317" s="160" t="str"/>
      <x:c r="L317" s="196" t="str">
        <x:f>IF(OR(J317="",K317=""),"",MOD(K317-J317,1)*1440)</x:f>
      </x:c>
      <x:c r="M317" s="137" t="str"/>
      <x:c r="N317" s="137" t="str"/>
      <x:c r="O317" s="137" t="str"/>
      <x:c r="P317" s="137" t="str"/>
      <x:c r="Q317" s="137" t="str"/>
      <x:c r="R317" s="137" t="str"/>
      <x:c r="S317" s="137" t="str"/>
      <x:c r="T317" s="138" t="str"/>
      <x:c r="U317" s="138" t="str"/>
      <x:c r="V317" s="137" t="str"/>
      <x:c r="W317" s="137" t="str"/>
      <x:c r="X317" s="199" t="str"/>
    </x:row>
    <x:row r="318">
      <x:c r="A318" s="137" t="str"/>
      <x:c r="B318" s="138" t="str"/>
      <x:c r="C318" s="137" t="str"/>
      <x:c r="D318" s="137" t="str"/>
      <x:c r="E318" s="137" t="str"/>
      <x:c r="F318" s="137" t="str"/>
      <x:c r="G318" s="137" t="str"/>
      <x:c r="H318" s="137" t="str"/>
      <x:c r="I318" s="137" t="str"/>
      <x:c r="J318" s="160" t="str"/>
      <x:c r="K318" s="160" t="str"/>
      <x:c r="L318" s="196" t="str">
        <x:f>IF(OR(J318="",K318=""),"",MOD(K318-J318,1)*1440)</x:f>
      </x:c>
      <x:c r="M318" s="137" t="str"/>
      <x:c r="N318" s="137" t="str"/>
      <x:c r="O318" s="137" t="str"/>
      <x:c r="P318" s="137" t="str"/>
      <x:c r="Q318" s="137" t="str"/>
      <x:c r="R318" s="137" t="str"/>
      <x:c r="S318" s="137" t="str"/>
      <x:c r="T318" s="138" t="str"/>
      <x:c r="U318" s="138" t="str"/>
      <x:c r="V318" s="137" t="str"/>
      <x:c r="W318" s="137" t="str"/>
      <x:c r="X318" s="199" t="str"/>
    </x:row>
    <x:row r="319">
      <x:c r="A319" s="137" t="str"/>
      <x:c r="B319" s="138" t="str"/>
      <x:c r="C319" s="137" t="str"/>
      <x:c r="D319" s="137" t="str"/>
      <x:c r="E319" s="137" t="str"/>
      <x:c r="F319" s="137" t="str"/>
      <x:c r="G319" s="137" t="str"/>
      <x:c r="H319" s="137" t="str"/>
      <x:c r="I319" s="137" t="str"/>
      <x:c r="J319" s="160" t="str"/>
      <x:c r="K319" s="160" t="str"/>
      <x:c r="L319" s="196" t="str">
        <x:f>IF(OR(J319="",K319=""),"",MOD(K319-J319,1)*1440)</x:f>
      </x:c>
      <x:c r="M319" s="137" t="str"/>
      <x:c r="N319" s="137" t="str"/>
      <x:c r="O319" s="137" t="str"/>
      <x:c r="P319" s="137" t="str"/>
      <x:c r="Q319" s="137" t="str"/>
      <x:c r="R319" s="137" t="str"/>
      <x:c r="S319" s="137" t="str"/>
      <x:c r="T319" s="138" t="str"/>
      <x:c r="U319" s="138" t="str"/>
      <x:c r="V319" s="137" t="str"/>
      <x:c r="W319" s="137" t="str"/>
      <x:c r="X319" s="199" t="str"/>
    </x:row>
    <x:row r="320">
      <x:c r="A320" s="137" t="str"/>
      <x:c r="B320" s="138" t="str"/>
      <x:c r="C320" s="137" t="str"/>
      <x:c r="D320" s="137" t="str"/>
      <x:c r="E320" s="137" t="str"/>
      <x:c r="F320" s="137" t="str"/>
      <x:c r="G320" s="137" t="str"/>
      <x:c r="H320" s="137" t="str"/>
      <x:c r="I320" s="137" t="str"/>
      <x:c r="J320" s="160" t="str"/>
      <x:c r="K320" s="160" t="str"/>
      <x:c r="L320" s="196" t="str">
        <x:f>IF(OR(J320="",K320=""),"",MOD(K320-J320,1)*1440)</x:f>
      </x:c>
      <x:c r="M320" s="137" t="str"/>
      <x:c r="N320" s="137" t="str"/>
      <x:c r="O320" s="137" t="str"/>
      <x:c r="P320" s="137" t="str"/>
      <x:c r="Q320" s="137" t="str"/>
      <x:c r="R320" s="137" t="str"/>
      <x:c r="S320" s="137" t="str"/>
      <x:c r="T320" s="138" t="str"/>
      <x:c r="U320" s="138" t="str"/>
      <x:c r="V320" s="137" t="str"/>
      <x:c r="W320" s="137" t="str"/>
      <x:c r="X320" s="199" t="str"/>
    </x:row>
    <x:row r="321">
      <x:c r="A321" s="137" t="str"/>
      <x:c r="B321" s="138" t="str"/>
      <x:c r="C321" s="137" t="str"/>
      <x:c r="D321" s="137" t="str"/>
      <x:c r="E321" s="137" t="str"/>
      <x:c r="F321" s="137" t="str"/>
      <x:c r="G321" s="137" t="str"/>
      <x:c r="H321" s="137" t="str"/>
      <x:c r="I321" s="137" t="str"/>
      <x:c r="J321" s="160" t="str"/>
      <x:c r="K321" s="160" t="str"/>
      <x:c r="L321" s="196" t="str">
        <x:f>IF(OR(J321="",K321=""),"",MOD(K321-J321,1)*1440)</x:f>
      </x:c>
      <x:c r="M321" s="137" t="str"/>
      <x:c r="N321" s="137" t="str"/>
      <x:c r="O321" s="137" t="str"/>
      <x:c r="P321" s="137" t="str"/>
      <x:c r="Q321" s="137" t="str"/>
      <x:c r="R321" s="137" t="str"/>
      <x:c r="S321" s="137" t="str"/>
      <x:c r="T321" s="138" t="str"/>
      <x:c r="U321" s="138" t="str"/>
      <x:c r="V321" s="137" t="str"/>
      <x:c r="W321" s="137" t="str"/>
      <x:c r="X321" s="199" t="str"/>
    </x:row>
    <x:row r="322">
      <x:c r="A322" s="137" t="str"/>
      <x:c r="B322" s="138" t="str"/>
      <x:c r="C322" s="137" t="str"/>
      <x:c r="D322" s="137" t="str"/>
      <x:c r="E322" s="137" t="str"/>
      <x:c r="F322" s="137" t="str"/>
      <x:c r="G322" s="137" t="str"/>
      <x:c r="H322" s="137" t="str"/>
      <x:c r="I322" s="137" t="str"/>
      <x:c r="J322" s="160" t="str"/>
      <x:c r="K322" s="160" t="str"/>
      <x:c r="L322" s="196" t="str">
        <x:f>IF(OR(J322="",K322=""),"",MOD(K322-J322,1)*1440)</x:f>
      </x:c>
      <x:c r="M322" s="137" t="str"/>
      <x:c r="N322" s="137" t="str"/>
      <x:c r="O322" s="137" t="str"/>
      <x:c r="P322" s="137" t="str"/>
      <x:c r="Q322" s="137" t="str"/>
      <x:c r="R322" s="137" t="str"/>
      <x:c r="S322" s="137" t="str"/>
      <x:c r="T322" s="138" t="str"/>
      <x:c r="U322" s="138" t="str"/>
      <x:c r="V322" s="137" t="str"/>
      <x:c r="W322" s="137" t="str"/>
      <x:c r="X322" s="199" t="str"/>
    </x:row>
    <x:row r="323">
      <x:c r="A323" s="137" t="str"/>
      <x:c r="B323" s="138" t="str"/>
      <x:c r="C323" s="137" t="str"/>
      <x:c r="D323" s="137" t="str"/>
      <x:c r="E323" s="137" t="str"/>
      <x:c r="F323" s="137" t="str"/>
      <x:c r="G323" s="137" t="str"/>
      <x:c r="H323" s="137" t="str"/>
      <x:c r="I323" s="137" t="str"/>
      <x:c r="J323" s="160" t="str"/>
      <x:c r="K323" s="160" t="str"/>
      <x:c r="L323" s="196" t="str">
        <x:f>IF(OR(J323="",K323=""),"",MOD(K323-J323,1)*1440)</x:f>
      </x:c>
      <x:c r="M323" s="137" t="str"/>
      <x:c r="N323" s="137" t="str"/>
      <x:c r="O323" s="137" t="str"/>
      <x:c r="P323" s="137" t="str"/>
      <x:c r="Q323" s="137" t="str"/>
      <x:c r="R323" s="137" t="str"/>
      <x:c r="S323" s="137" t="str"/>
      <x:c r="T323" s="138" t="str"/>
      <x:c r="U323" s="138" t="str"/>
      <x:c r="V323" s="137" t="str"/>
      <x:c r="W323" s="137" t="str"/>
      <x:c r="X323" s="199" t="str"/>
    </x:row>
    <x:row r="324">
      <x:c r="A324" s="137" t="str"/>
      <x:c r="B324" s="138" t="str"/>
      <x:c r="C324" s="137" t="str"/>
      <x:c r="D324" s="137" t="str"/>
      <x:c r="E324" s="137" t="str"/>
      <x:c r="F324" s="137" t="str"/>
      <x:c r="G324" s="137" t="str"/>
      <x:c r="H324" s="137" t="str"/>
      <x:c r="I324" s="137" t="str"/>
      <x:c r="J324" s="160" t="str"/>
      <x:c r="K324" s="160" t="str"/>
      <x:c r="L324" s="196" t="str">
        <x:f>IF(OR(J324="",K324=""),"",MOD(K324-J324,1)*1440)</x:f>
      </x:c>
      <x:c r="M324" s="137" t="str"/>
      <x:c r="N324" s="137" t="str"/>
      <x:c r="O324" s="137" t="str"/>
      <x:c r="P324" s="137" t="str"/>
      <x:c r="Q324" s="137" t="str"/>
      <x:c r="R324" s="137" t="str"/>
      <x:c r="S324" s="137" t="str"/>
      <x:c r="T324" s="138" t="str"/>
      <x:c r="U324" s="138" t="str"/>
      <x:c r="V324" s="137" t="str"/>
      <x:c r="W324" s="137" t="str"/>
      <x:c r="X324" s="199" t="str"/>
    </x:row>
    <x:row r="325">
      <x:c r="A325" s="137" t="str"/>
      <x:c r="B325" s="138" t="str"/>
      <x:c r="C325" s="137" t="str"/>
      <x:c r="D325" s="137" t="str"/>
      <x:c r="E325" s="137" t="str"/>
      <x:c r="F325" s="137" t="str"/>
      <x:c r="G325" s="137" t="str"/>
      <x:c r="H325" s="137" t="str"/>
      <x:c r="I325" s="137" t="str"/>
      <x:c r="J325" s="160" t="str"/>
      <x:c r="K325" s="160" t="str"/>
      <x:c r="L325" s="196" t="str">
        <x:f>IF(OR(J325="",K325=""),"",MOD(K325-J325,1)*1440)</x:f>
      </x:c>
      <x:c r="M325" s="137" t="str"/>
      <x:c r="N325" s="137" t="str"/>
      <x:c r="O325" s="137" t="str"/>
      <x:c r="P325" s="137" t="str"/>
      <x:c r="Q325" s="137" t="str"/>
      <x:c r="R325" s="137" t="str"/>
      <x:c r="S325" s="137" t="str"/>
      <x:c r="T325" s="138" t="str"/>
      <x:c r="U325" s="138" t="str"/>
      <x:c r="V325" s="137" t="str"/>
      <x:c r="W325" s="137" t="str"/>
      <x:c r="X325" s="199" t="str"/>
    </x:row>
    <x:row r="326">
      <x:c r="A326" s="137" t="str"/>
      <x:c r="B326" s="138" t="str"/>
      <x:c r="C326" s="137" t="str"/>
      <x:c r="D326" s="137" t="str"/>
      <x:c r="E326" s="137" t="str"/>
      <x:c r="F326" s="137" t="str"/>
      <x:c r="G326" s="137" t="str"/>
      <x:c r="H326" s="137" t="str"/>
      <x:c r="I326" s="137" t="str"/>
      <x:c r="J326" s="160" t="str"/>
      <x:c r="K326" s="160" t="str"/>
      <x:c r="L326" s="196" t="str">
        <x:f>IF(OR(J326="",K326=""),"",MOD(K326-J326,1)*1440)</x:f>
      </x:c>
      <x:c r="M326" s="137" t="str"/>
      <x:c r="N326" s="137" t="str"/>
      <x:c r="O326" s="137" t="str"/>
      <x:c r="P326" s="137" t="str"/>
      <x:c r="Q326" s="137" t="str"/>
      <x:c r="R326" s="137" t="str"/>
      <x:c r="S326" s="137" t="str"/>
      <x:c r="T326" s="138" t="str"/>
      <x:c r="U326" s="138" t="str"/>
      <x:c r="V326" s="137" t="str"/>
      <x:c r="W326" s="137" t="str"/>
      <x:c r="X326" s="199" t="str"/>
    </x:row>
    <x:row r="327">
      <x:c r="A327" s="137" t="str"/>
      <x:c r="B327" s="138" t="str"/>
      <x:c r="C327" s="137" t="str"/>
      <x:c r="D327" s="137" t="str"/>
      <x:c r="E327" s="137" t="str"/>
      <x:c r="F327" s="137" t="str"/>
      <x:c r="G327" s="137" t="str"/>
      <x:c r="H327" s="137" t="str"/>
      <x:c r="I327" s="137" t="str"/>
      <x:c r="J327" s="160" t="str"/>
      <x:c r="K327" s="160" t="str"/>
      <x:c r="L327" s="196" t="str">
        <x:f>IF(OR(J327="",K327=""),"",MOD(K327-J327,1)*1440)</x:f>
      </x:c>
      <x:c r="M327" s="137" t="str"/>
      <x:c r="N327" s="137" t="str"/>
      <x:c r="O327" s="137" t="str"/>
      <x:c r="P327" s="137" t="str"/>
      <x:c r="Q327" s="137" t="str"/>
      <x:c r="R327" s="137" t="str"/>
      <x:c r="S327" s="137" t="str"/>
      <x:c r="T327" s="138" t="str"/>
      <x:c r="U327" s="138" t="str"/>
      <x:c r="V327" s="137" t="str"/>
      <x:c r="W327" s="137" t="str"/>
      <x:c r="X327" s="199" t="str"/>
    </x:row>
    <x:row r="328">
      <x:c r="A328" s="137" t="str"/>
      <x:c r="B328" s="138" t="str"/>
      <x:c r="C328" s="137" t="str"/>
      <x:c r="D328" s="137" t="str"/>
      <x:c r="E328" s="137" t="str"/>
      <x:c r="F328" s="137" t="str"/>
      <x:c r="G328" s="137" t="str"/>
      <x:c r="H328" s="137" t="str"/>
      <x:c r="I328" s="137" t="str"/>
      <x:c r="J328" s="160" t="str"/>
      <x:c r="K328" s="160" t="str"/>
      <x:c r="L328" s="196" t="str">
        <x:f>IF(OR(J328="",K328=""),"",MOD(K328-J328,1)*1440)</x:f>
      </x:c>
      <x:c r="M328" s="137" t="str"/>
      <x:c r="N328" s="137" t="str"/>
      <x:c r="O328" s="137" t="str"/>
      <x:c r="P328" s="137" t="str"/>
      <x:c r="Q328" s="137" t="str"/>
      <x:c r="R328" s="137" t="str"/>
      <x:c r="S328" s="137" t="str"/>
      <x:c r="T328" s="138" t="str"/>
      <x:c r="U328" s="138" t="str"/>
      <x:c r="V328" s="137" t="str"/>
      <x:c r="W328" s="137" t="str"/>
      <x:c r="X328" s="199" t="str"/>
    </x:row>
    <x:row r="329">
      <x:c r="A329" s="137" t="str"/>
      <x:c r="B329" s="138" t="str"/>
      <x:c r="C329" s="137" t="str"/>
      <x:c r="D329" s="137" t="str"/>
      <x:c r="E329" s="137" t="str"/>
      <x:c r="F329" s="137" t="str"/>
      <x:c r="G329" s="137" t="str"/>
      <x:c r="H329" s="137" t="str"/>
      <x:c r="I329" s="137" t="str"/>
      <x:c r="J329" s="160" t="str"/>
      <x:c r="K329" s="160" t="str"/>
      <x:c r="L329" s="196" t="str">
        <x:f>IF(OR(J329="",K329=""),"",MOD(K329-J329,1)*1440)</x:f>
      </x:c>
      <x:c r="M329" s="137" t="str"/>
      <x:c r="N329" s="137" t="str"/>
      <x:c r="O329" s="137" t="str"/>
      <x:c r="P329" s="137" t="str"/>
      <x:c r="Q329" s="137" t="str"/>
      <x:c r="R329" s="137" t="str"/>
      <x:c r="S329" s="137" t="str"/>
      <x:c r="T329" s="138" t="str"/>
      <x:c r="U329" s="138" t="str"/>
      <x:c r="V329" s="137" t="str"/>
      <x:c r="W329" s="137" t="str"/>
      <x:c r="X329" s="199" t="str"/>
    </x:row>
    <x:row r="330">
      <x:c r="A330" s="137" t="str"/>
      <x:c r="B330" s="138" t="str"/>
      <x:c r="C330" s="137" t="str"/>
      <x:c r="D330" s="137" t="str"/>
      <x:c r="E330" s="137" t="str"/>
      <x:c r="F330" s="137" t="str"/>
      <x:c r="G330" s="137" t="str"/>
      <x:c r="H330" s="137" t="str"/>
      <x:c r="I330" s="137" t="str"/>
      <x:c r="J330" s="160" t="str"/>
      <x:c r="K330" s="160" t="str"/>
      <x:c r="L330" s="196" t="str">
        <x:f>IF(OR(J330="",K330=""),"",MOD(K330-J330,1)*1440)</x:f>
      </x:c>
      <x:c r="M330" s="137" t="str"/>
      <x:c r="N330" s="137" t="str"/>
      <x:c r="O330" s="137" t="str"/>
      <x:c r="P330" s="137" t="str"/>
      <x:c r="Q330" s="137" t="str"/>
      <x:c r="R330" s="137" t="str"/>
      <x:c r="S330" s="137" t="str"/>
      <x:c r="T330" s="138" t="str"/>
      <x:c r="U330" s="138" t="str"/>
      <x:c r="V330" s="137" t="str"/>
      <x:c r="W330" s="137" t="str"/>
      <x:c r="X330" s="199" t="str"/>
    </x:row>
    <x:row r="331">
      <x:c r="A331" s="137" t="str"/>
      <x:c r="B331" s="138" t="str"/>
      <x:c r="C331" s="137" t="str"/>
      <x:c r="D331" s="137" t="str"/>
      <x:c r="E331" s="137" t="str"/>
      <x:c r="F331" s="137" t="str"/>
      <x:c r="G331" s="137" t="str"/>
      <x:c r="H331" s="137" t="str"/>
      <x:c r="I331" s="137" t="str"/>
      <x:c r="J331" s="160" t="str"/>
      <x:c r="K331" s="160" t="str"/>
      <x:c r="L331" s="196" t="str">
        <x:f>IF(OR(J331="",K331=""),"",MOD(K331-J331,1)*1440)</x:f>
      </x:c>
      <x:c r="M331" s="137" t="str"/>
      <x:c r="N331" s="137" t="str"/>
      <x:c r="O331" s="137" t="str"/>
      <x:c r="P331" s="137" t="str"/>
      <x:c r="Q331" s="137" t="str"/>
      <x:c r="R331" s="137" t="str"/>
      <x:c r="S331" s="137" t="str"/>
      <x:c r="T331" s="138" t="str"/>
      <x:c r="U331" s="138" t="str"/>
      <x:c r="V331" s="137" t="str"/>
      <x:c r="W331" s="137" t="str"/>
      <x:c r="X331" s="199" t="str"/>
    </x:row>
    <x:row r="332">
      <x:c r="A332" s="137" t="str"/>
      <x:c r="B332" s="138" t="str"/>
      <x:c r="C332" s="137" t="str"/>
      <x:c r="D332" s="137" t="str"/>
      <x:c r="E332" s="137" t="str"/>
      <x:c r="F332" s="137" t="str"/>
      <x:c r="G332" s="137" t="str"/>
      <x:c r="H332" s="137" t="str"/>
      <x:c r="I332" s="137" t="str"/>
      <x:c r="J332" s="160" t="str"/>
      <x:c r="K332" s="160" t="str"/>
      <x:c r="L332" s="196" t="str">
        <x:f>IF(OR(J332="",K332=""),"",MOD(K332-J332,1)*1440)</x:f>
      </x:c>
      <x:c r="M332" s="137" t="str"/>
      <x:c r="N332" s="137" t="str"/>
      <x:c r="O332" s="137" t="str"/>
      <x:c r="P332" s="137" t="str"/>
      <x:c r="Q332" s="137" t="str"/>
      <x:c r="R332" s="137" t="str"/>
      <x:c r="S332" s="137" t="str"/>
      <x:c r="T332" s="138" t="str"/>
      <x:c r="U332" s="138" t="str"/>
      <x:c r="V332" s="137" t="str"/>
      <x:c r="W332" s="137" t="str"/>
      <x:c r="X332" s="199" t="str"/>
    </x:row>
    <x:row r="333">
      <x:c r="A333" s="137" t="str"/>
      <x:c r="B333" s="138" t="str"/>
      <x:c r="C333" s="137" t="str"/>
      <x:c r="D333" s="137" t="str"/>
      <x:c r="E333" s="137" t="str"/>
      <x:c r="F333" s="137" t="str"/>
      <x:c r="G333" s="137" t="str"/>
      <x:c r="H333" s="137" t="str"/>
      <x:c r="I333" s="137" t="str"/>
      <x:c r="J333" s="160" t="str"/>
      <x:c r="K333" s="160" t="str"/>
      <x:c r="L333" s="196" t="str">
        <x:f>IF(OR(J333="",K333=""),"",MOD(K333-J333,1)*1440)</x:f>
      </x:c>
      <x:c r="M333" s="137" t="str"/>
      <x:c r="N333" s="137" t="str"/>
      <x:c r="O333" s="137" t="str"/>
      <x:c r="P333" s="137" t="str"/>
      <x:c r="Q333" s="137" t="str"/>
      <x:c r="R333" s="137" t="str"/>
      <x:c r="S333" s="137" t="str"/>
      <x:c r="T333" s="138" t="str"/>
      <x:c r="U333" s="138" t="str"/>
      <x:c r="V333" s="137" t="str"/>
      <x:c r="W333" s="137" t="str"/>
      <x:c r="X333" s="199" t="str"/>
    </x:row>
    <x:row r="334">
      <x:c r="A334" s="137" t="str"/>
      <x:c r="B334" s="138" t="str"/>
      <x:c r="C334" s="137" t="str"/>
      <x:c r="D334" s="137" t="str"/>
      <x:c r="E334" s="137" t="str"/>
      <x:c r="F334" s="137" t="str"/>
      <x:c r="G334" s="137" t="str"/>
      <x:c r="H334" s="137" t="str"/>
      <x:c r="I334" s="137" t="str"/>
      <x:c r="J334" s="160" t="str"/>
      <x:c r="K334" s="160" t="str"/>
      <x:c r="L334" s="196" t="str">
        <x:f>IF(OR(J334="",K334=""),"",MOD(K334-J334,1)*1440)</x:f>
      </x:c>
      <x:c r="M334" s="137" t="str"/>
      <x:c r="N334" s="137" t="str"/>
      <x:c r="O334" s="137" t="str"/>
      <x:c r="P334" s="137" t="str"/>
      <x:c r="Q334" s="137" t="str"/>
      <x:c r="R334" s="137" t="str"/>
      <x:c r="S334" s="137" t="str"/>
      <x:c r="T334" s="138" t="str"/>
      <x:c r="U334" s="138" t="str"/>
      <x:c r="V334" s="137" t="str"/>
      <x:c r="W334" s="137" t="str"/>
      <x:c r="X334" s="199" t="str"/>
    </x:row>
    <x:row r="335">
      <x:c r="A335" s="137" t="str"/>
      <x:c r="B335" s="138" t="str"/>
      <x:c r="C335" s="137" t="str"/>
      <x:c r="D335" s="137" t="str"/>
      <x:c r="E335" s="137" t="str"/>
      <x:c r="F335" s="137" t="str"/>
      <x:c r="G335" s="137" t="str"/>
      <x:c r="H335" s="137" t="str"/>
      <x:c r="I335" s="137" t="str"/>
      <x:c r="J335" s="160" t="str"/>
      <x:c r="K335" s="160" t="str"/>
      <x:c r="L335" s="196" t="str">
        <x:f>IF(OR(J335="",K335=""),"",MOD(K335-J335,1)*1440)</x:f>
      </x:c>
      <x:c r="M335" s="137" t="str"/>
      <x:c r="N335" s="137" t="str"/>
      <x:c r="O335" s="137" t="str"/>
      <x:c r="P335" s="137" t="str"/>
      <x:c r="Q335" s="137" t="str"/>
      <x:c r="R335" s="137" t="str"/>
      <x:c r="S335" s="137" t="str"/>
      <x:c r="T335" s="138" t="str"/>
      <x:c r="U335" s="138" t="str"/>
      <x:c r="V335" s="137" t="str"/>
      <x:c r="W335" s="137" t="str"/>
      <x:c r="X335" s="199" t="str"/>
    </x:row>
    <x:row r="336">
      <x:c r="A336" s="137" t="str"/>
      <x:c r="B336" s="138" t="str"/>
      <x:c r="C336" s="137" t="str"/>
      <x:c r="D336" s="137" t="str"/>
      <x:c r="E336" s="137" t="str"/>
      <x:c r="F336" s="137" t="str"/>
      <x:c r="G336" s="137" t="str"/>
      <x:c r="H336" s="137" t="str"/>
      <x:c r="I336" s="137" t="str"/>
      <x:c r="J336" s="160" t="str"/>
      <x:c r="K336" s="160" t="str"/>
      <x:c r="L336" s="196" t="str">
        <x:f>IF(OR(J336="",K336=""),"",MOD(K336-J336,1)*1440)</x:f>
      </x:c>
      <x:c r="M336" s="137" t="str"/>
      <x:c r="N336" s="137" t="str"/>
      <x:c r="O336" s="137" t="str"/>
      <x:c r="P336" s="137" t="str"/>
      <x:c r="Q336" s="137" t="str"/>
      <x:c r="R336" s="137" t="str"/>
      <x:c r="S336" s="137" t="str"/>
      <x:c r="T336" s="138" t="str"/>
      <x:c r="U336" s="138" t="str"/>
      <x:c r="V336" s="137" t="str"/>
      <x:c r="W336" s="137" t="str"/>
      <x:c r="X336" s="199" t="str"/>
    </x:row>
    <x:row r="337">
      <x:c r="A337" s="137" t="str"/>
      <x:c r="B337" s="138" t="str"/>
      <x:c r="C337" s="137" t="str"/>
      <x:c r="D337" s="137" t="str"/>
      <x:c r="E337" s="137" t="str"/>
      <x:c r="F337" s="137" t="str"/>
      <x:c r="G337" s="137" t="str"/>
      <x:c r="H337" s="137" t="str"/>
      <x:c r="I337" s="137" t="str"/>
      <x:c r="J337" s="160" t="str"/>
      <x:c r="K337" s="160" t="str"/>
      <x:c r="L337" s="196" t="str">
        <x:f>IF(OR(J337="",K337=""),"",MOD(K337-J337,1)*1440)</x:f>
      </x:c>
      <x:c r="M337" s="137" t="str"/>
      <x:c r="N337" s="137" t="str"/>
      <x:c r="O337" s="137" t="str"/>
      <x:c r="P337" s="137" t="str"/>
      <x:c r="Q337" s="137" t="str"/>
      <x:c r="R337" s="137" t="str"/>
      <x:c r="S337" s="137" t="str"/>
      <x:c r="T337" s="138" t="str"/>
      <x:c r="U337" s="138" t="str"/>
      <x:c r="V337" s="137" t="str"/>
      <x:c r="W337" s="137" t="str"/>
      <x:c r="X337" s="199" t="str"/>
    </x:row>
    <x:row r="338">
      <x:c r="A338" s="137" t="str"/>
      <x:c r="B338" s="138" t="str"/>
      <x:c r="C338" s="137" t="str"/>
      <x:c r="D338" s="137" t="str"/>
      <x:c r="E338" s="137" t="str"/>
      <x:c r="F338" s="137" t="str"/>
      <x:c r="G338" s="137" t="str"/>
      <x:c r="H338" s="137" t="str"/>
      <x:c r="I338" s="137" t="str"/>
      <x:c r="J338" s="160" t="str"/>
      <x:c r="K338" s="160" t="str"/>
      <x:c r="L338" s="196" t="str">
        <x:f>IF(OR(J338="",K338=""),"",MOD(K338-J338,1)*1440)</x:f>
      </x:c>
      <x:c r="M338" s="137" t="str"/>
      <x:c r="N338" s="137" t="str"/>
      <x:c r="O338" s="137" t="str"/>
      <x:c r="P338" s="137" t="str"/>
      <x:c r="Q338" s="137" t="str"/>
      <x:c r="R338" s="137" t="str"/>
      <x:c r="S338" s="137" t="str"/>
      <x:c r="T338" s="138" t="str"/>
      <x:c r="U338" s="138" t="str"/>
      <x:c r="V338" s="137" t="str"/>
      <x:c r="W338" s="137" t="str"/>
      <x:c r="X338" s="199" t="str"/>
    </x:row>
    <x:row r="339">
      <x:c r="A339" s="137" t="str"/>
      <x:c r="B339" s="138" t="str"/>
      <x:c r="C339" s="137" t="str"/>
      <x:c r="D339" s="137" t="str"/>
      <x:c r="E339" s="137" t="str"/>
      <x:c r="F339" s="137" t="str"/>
      <x:c r="G339" s="137" t="str"/>
      <x:c r="H339" s="137" t="str"/>
      <x:c r="I339" s="137" t="str"/>
      <x:c r="J339" s="160" t="str"/>
      <x:c r="K339" s="160" t="str"/>
      <x:c r="L339" s="196" t="str">
        <x:f>IF(OR(J339="",K339=""),"",MOD(K339-J339,1)*1440)</x:f>
      </x:c>
      <x:c r="M339" s="137" t="str"/>
      <x:c r="N339" s="137" t="str"/>
      <x:c r="O339" s="137" t="str"/>
      <x:c r="P339" s="137" t="str"/>
      <x:c r="Q339" s="137" t="str"/>
      <x:c r="R339" s="137" t="str"/>
      <x:c r="S339" s="137" t="str"/>
      <x:c r="T339" s="138" t="str"/>
      <x:c r="U339" s="138" t="str"/>
      <x:c r="V339" s="137" t="str"/>
      <x:c r="W339" s="137" t="str"/>
      <x:c r="X339" s="199" t="str"/>
    </x:row>
    <x:row r="340">
      <x:c r="A340" s="137" t="str"/>
      <x:c r="B340" s="138" t="str"/>
      <x:c r="C340" s="137" t="str"/>
      <x:c r="D340" s="137" t="str"/>
      <x:c r="E340" s="137" t="str"/>
      <x:c r="F340" s="137" t="str"/>
      <x:c r="G340" s="137" t="str"/>
      <x:c r="H340" s="137" t="str"/>
      <x:c r="I340" s="137" t="str"/>
      <x:c r="J340" s="160" t="str"/>
      <x:c r="K340" s="160" t="str"/>
      <x:c r="L340" s="196" t="str">
        <x:f>IF(OR(J340="",K340=""),"",MOD(K340-J340,1)*1440)</x:f>
      </x:c>
      <x:c r="M340" s="137" t="str"/>
      <x:c r="N340" s="137" t="str"/>
      <x:c r="O340" s="137" t="str"/>
      <x:c r="P340" s="137" t="str"/>
      <x:c r="Q340" s="137" t="str"/>
      <x:c r="R340" s="137" t="str"/>
      <x:c r="S340" s="137" t="str"/>
      <x:c r="T340" s="138" t="str"/>
      <x:c r="U340" s="138" t="str"/>
      <x:c r="V340" s="137" t="str"/>
      <x:c r="W340" s="137" t="str"/>
      <x:c r="X340" s="199" t="str"/>
    </x:row>
    <x:row r="341">
      <x:c r="A341" s="137" t="str"/>
      <x:c r="B341" s="138" t="str"/>
      <x:c r="C341" s="137" t="str"/>
      <x:c r="D341" s="137" t="str"/>
      <x:c r="E341" s="137" t="str"/>
      <x:c r="F341" s="137" t="str"/>
      <x:c r="G341" s="137" t="str"/>
      <x:c r="H341" s="137" t="str"/>
      <x:c r="I341" s="137" t="str"/>
      <x:c r="J341" s="160" t="str"/>
      <x:c r="K341" s="160" t="str"/>
      <x:c r="L341" s="196" t="str">
        <x:f>IF(OR(J341="",K341=""),"",MOD(K341-J341,1)*1440)</x:f>
      </x:c>
      <x:c r="M341" s="137" t="str"/>
      <x:c r="N341" s="137" t="str"/>
      <x:c r="O341" s="137" t="str"/>
      <x:c r="P341" s="137" t="str"/>
      <x:c r="Q341" s="137" t="str"/>
      <x:c r="R341" s="137" t="str"/>
      <x:c r="S341" s="137" t="str"/>
      <x:c r="T341" s="138" t="str"/>
      <x:c r="U341" s="138" t="str"/>
      <x:c r="V341" s="137" t="str"/>
      <x:c r="W341" s="137" t="str"/>
      <x:c r="X341" s="199" t="str"/>
    </x:row>
    <x:row r="342">
      <x:c r="A342" s="137" t="str"/>
      <x:c r="B342" s="138" t="str"/>
      <x:c r="C342" s="137" t="str"/>
      <x:c r="D342" s="137" t="str"/>
      <x:c r="E342" s="137" t="str"/>
      <x:c r="F342" s="137" t="str"/>
      <x:c r="G342" s="137" t="str"/>
      <x:c r="H342" s="137" t="str"/>
      <x:c r="I342" s="137" t="str"/>
      <x:c r="J342" s="160" t="str"/>
      <x:c r="K342" s="160" t="str"/>
      <x:c r="L342" s="196" t="str">
        <x:f>IF(OR(J342="",K342=""),"",MOD(K342-J342,1)*1440)</x:f>
      </x:c>
      <x:c r="M342" s="137" t="str"/>
      <x:c r="N342" s="137" t="str"/>
      <x:c r="O342" s="137" t="str"/>
      <x:c r="P342" s="137" t="str"/>
      <x:c r="Q342" s="137" t="str"/>
      <x:c r="R342" s="137" t="str"/>
      <x:c r="S342" s="137" t="str"/>
      <x:c r="T342" s="138" t="str"/>
      <x:c r="U342" s="138" t="str"/>
      <x:c r="V342" s="137" t="str"/>
      <x:c r="W342" s="137" t="str"/>
      <x:c r="X342" s="199" t="str"/>
    </x:row>
    <x:row r="343">
      <x:c r="A343" s="137" t="str"/>
      <x:c r="B343" s="138" t="str"/>
      <x:c r="C343" s="137" t="str"/>
      <x:c r="D343" s="137" t="str"/>
      <x:c r="E343" s="137" t="str"/>
      <x:c r="F343" s="137" t="str"/>
      <x:c r="G343" s="137" t="str"/>
      <x:c r="H343" s="137" t="str"/>
      <x:c r="I343" s="137" t="str"/>
      <x:c r="J343" s="160" t="str"/>
      <x:c r="K343" s="160" t="str"/>
      <x:c r="L343" s="196" t="str">
        <x:f>IF(OR(J343="",K343=""),"",MOD(K343-J343,1)*1440)</x:f>
      </x:c>
      <x:c r="M343" s="137" t="str"/>
      <x:c r="N343" s="137" t="str"/>
      <x:c r="O343" s="137" t="str"/>
      <x:c r="P343" s="137" t="str"/>
      <x:c r="Q343" s="137" t="str"/>
      <x:c r="R343" s="137" t="str"/>
      <x:c r="S343" s="137" t="str"/>
      <x:c r="T343" s="138" t="str"/>
      <x:c r="U343" s="138" t="str"/>
      <x:c r="V343" s="137" t="str"/>
      <x:c r="W343" s="137" t="str"/>
      <x:c r="X343" s="199" t="str"/>
    </x:row>
    <x:row r="344">
      <x:c r="A344" s="137" t="str"/>
      <x:c r="B344" s="138" t="str"/>
      <x:c r="C344" s="137" t="str"/>
      <x:c r="D344" s="137" t="str"/>
      <x:c r="E344" s="137" t="str"/>
      <x:c r="F344" s="137" t="str"/>
      <x:c r="G344" s="137" t="str"/>
      <x:c r="H344" s="137" t="str"/>
      <x:c r="I344" s="137" t="str"/>
      <x:c r="J344" s="160" t="str"/>
      <x:c r="K344" s="160" t="str"/>
      <x:c r="L344" s="196" t="str">
        <x:f>IF(OR(J344="",K344=""),"",MOD(K344-J344,1)*1440)</x:f>
      </x:c>
      <x:c r="M344" s="137" t="str"/>
      <x:c r="N344" s="137" t="str"/>
      <x:c r="O344" s="137" t="str"/>
      <x:c r="P344" s="137" t="str"/>
      <x:c r="Q344" s="137" t="str"/>
      <x:c r="R344" s="137" t="str"/>
      <x:c r="S344" s="137" t="str"/>
      <x:c r="T344" s="138" t="str"/>
      <x:c r="U344" s="138" t="str"/>
      <x:c r="V344" s="137" t="str"/>
      <x:c r="W344" s="137" t="str"/>
      <x:c r="X344" s="199" t="str"/>
    </x:row>
    <x:row r="345">
      <x:c r="A345" s="137" t="str"/>
      <x:c r="B345" s="138" t="str"/>
      <x:c r="C345" s="137" t="str"/>
      <x:c r="D345" s="137" t="str"/>
      <x:c r="E345" s="137" t="str"/>
      <x:c r="F345" s="137" t="str"/>
      <x:c r="G345" s="137" t="str"/>
      <x:c r="H345" s="137" t="str"/>
      <x:c r="I345" s="137" t="str"/>
      <x:c r="J345" s="160" t="str"/>
      <x:c r="K345" s="160" t="str"/>
      <x:c r="L345" s="196" t="str">
        <x:f>IF(OR(J345="",K345=""),"",MOD(K345-J345,1)*1440)</x:f>
      </x:c>
      <x:c r="M345" s="137" t="str"/>
      <x:c r="N345" s="137" t="str"/>
      <x:c r="O345" s="137" t="str"/>
      <x:c r="P345" s="137" t="str"/>
      <x:c r="Q345" s="137" t="str"/>
      <x:c r="R345" s="137" t="str"/>
      <x:c r="S345" s="137" t="str"/>
      <x:c r="T345" s="138" t="str"/>
      <x:c r="U345" s="138" t="str"/>
      <x:c r="V345" s="137" t="str"/>
      <x:c r="W345" s="137" t="str"/>
      <x:c r="X345" s="199" t="str"/>
    </x:row>
    <x:row r="346">
      <x:c r="A346" s="137" t="str"/>
      <x:c r="B346" s="138" t="str"/>
      <x:c r="C346" s="137" t="str"/>
      <x:c r="D346" s="137" t="str"/>
      <x:c r="E346" s="137" t="str"/>
      <x:c r="F346" s="137" t="str"/>
      <x:c r="G346" s="137" t="str"/>
      <x:c r="H346" s="137" t="str"/>
      <x:c r="I346" s="137" t="str"/>
      <x:c r="J346" s="160" t="str"/>
      <x:c r="K346" s="160" t="str"/>
      <x:c r="L346" s="196" t="str">
        <x:f>IF(OR(J346="",K346=""),"",MOD(K346-J346,1)*1440)</x:f>
      </x:c>
      <x:c r="M346" s="137" t="str"/>
      <x:c r="N346" s="137" t="str"/>
      <x:c r="O346" s="137" t="str"/>
      <x:c r="P346" s="137" t="str"/>
      <x:c r="Q346" s="137" t="str"/>
      <x:c r="R346" s="137" t="str"/>
      <x:c r="S346" s="137" t="str"/>
      <x:c r="T346" s="138" t="str"/>
      <x:c r="U346" s="138" t="str"/>
      <x:c r="V346" s="137" t="str"/>
      <x:c r="W346" s="137" t="str"/>
      <x:c r="X346" s="199" t="str"/>
    </x:row>
    <x:row r="347">
      <x:c r="A347" s="137" t="str"/>
      <x:c r="B347" s="138" t="str"/>
      <x:c r="C347" s="137" t="str"/>
      <x:c r="D347" s="137" t="str"/>
      <x:c r="E347" s="137" t="str"/>
      <x:c r="F347" s="137" t="str"/>
      <x:c r="G347" s="137" t="str"/>
      <x:c r="H347" s="137" t="str"/>
      <x:c r="I347" s="137" t="str"/>
      <x:c r="J347" s="160" t="str"/>
      <x:c r="K347" s="160" t="str"/>
      <x:c r="L347" s="196" t="str">
        <x:f>IF(OR(J347="",K347=""),"",MOD(K347-J347,1)*1440)</x:f>
      </x:c>
      <x:c r="M347" s="137" t="str"/>
      <x:c r="N347" s="137" t="str"/>
      <x:c r="O347" s="137" t="str"/>
      <x:c r="P347" s="137" t="str"/>
      <x:c r="Q347" s="137" t="str"/>
      <x:c r="R347" s="137" t="str"/>
      <x:c r="S347" s="137" t="str"/>
      <x:c r="T347" s="138" t="str"/>
      <x:c r="U347" s="138" t="str"/>
      <x:c r="V347" s="137" t="str"/>
      <x:c r="W347" s="137" t="str"/>
      <x:c r="X347" s="199" t="str"/>
    </x:row>
    <x:row r="348">
      <x:c r="A348" s="137" t="str"/>
      <x:c r="B348" s="138" t="str"/>
      <x:c r="C348" s="137" t="str"/>
      <x:c r="D348" s="137" t="str"/>
      <x:c r="E348" s="137" t="str"/>
      <x:c r="F348" s="137" t="str"/>
      <x:c r="G348" s="137" t="str"/>
      <x:c r="H348" s="137" t="str"/>
      <x:c r="I348" s="137" t="str"/>
      <x:c r="J348" s="160" t="str"/>
      <x:c r="K348" s="160" t="str"/>
      <x:c r="L348" s="196" t="str">
        <x:f>IF(OR(J348="",K348=""),"",MOD(K348-J348,1)*1440)</x:f>
      </x:c>
      <x:c r="M348" s="137" t="str"/>
      <x:c r="N348" s="137" t="str"/>
      <x:c r="O348" s="137" t="str"/>
      <x:c r="P348" s="137" t="str"/>
      <x:c r="Q348" s="137" t="str"/>
      <x:c r="R348" s="137" t="str"/>
      <x:c r="S348" s="137" t="str"/>
      <x:c r="T348" s="138" t="str"/>
      <x:c r="U348" s="138" t="str"/>
      <x:c r="V348" s="137" t="str"/>
      <x:c r="W348" s="137" t="str"/>
      <x:c r="X348" s="199" t="str"/>
    </x:row>
    <x:row r="349">
      <x:c r="A349" s="137" t="str"/>
      <x:c r="B349" s="138" t="str"/>
      <x:c r="C349" s="137" t="str"/>
      <x:c r="D349" s="137" t="str"/>
      <x:c r="E349" s="137" t="str"/>
      <x:c r="F349" s="137" t="str"/>
      <x:c r="G349" s="137" t="str"/>
      <x:c r="H349" s="137" t="str"/>
      <x:c r="I349" s="137" t="str"/>
      <x:c r="J349" s="160" t="str"/>
      <x:c r="K349" s="160" t="str"/>
      <x:c r="L349" s="196" t="str">
        <x:f>IF(OR(J349="",K349=""),"",MOD(K349-J349,1)*1440)</x:f>
      </x:c>
      <x:c r="M349" s="137" t="str"/>
      <x:c r="N349" s="137" t="str"/>
      <x:c r="O349" s="137" t="str"/>
      <x:c r="P349" s="137" t="str"/>
      <x:c r="Q349" s="137" t="str"/>
      <x:c r="R349" s="137" t="str"/>
      <x:c r="S349" s="137" t="str"/>
      <x:c r="T349" s="138" t="str"/>
      <x:c r="U349" s="138" t="str"/>
      <x:c r="V349" s="137" t="str"/>
      <x:c r="W349" s="137" t="str"/>
      <x:c r="X349" s="199" t="str"/>
    </x:row>
    <x:row r="350">
      <x:c r="A350" s="137" t="str"/>
      <x:c r="B350" s="138" t="str"/>
      <x:c r="C350" s="137" t="str"/>
      <x:c r="D350" s="137" t="str"/>
      <x:c r="E350" s="137" t="str"/>
      <x:c r="F350" s="137" t="str"/>
      <x:c r="G350" s="137" t="str"/>
      <x:c r="H350" s="137" t="str"/>
      <x:c r="I350" s="137" t="str"/>
      <x:c r="J350" s="160" t="str"/>
      <x:c r="K350" s="160" t="str"/>
      <x:c r="L350" s="196" t="str">
        <x:f>IF(OR(J350="",K350=""),"",MOD(K350-J350,1)*1440)</x:f>
      </x:c>
      <x:c r="M350" s="137" t="str"/>
      <x:c r="N350" s="137" t="str"/>
      <x:c r="O350" s="137" t="str"/>
      <x:c r="P350" s="137" t="str"/>
      <x:c r="Q350" s="137" t="str"/>
      <x:c r="R350" s="137" t="str"/>
      <x:c r="S350" s="137" t="str"/>
      <x:c r="T350" s="138" t="str"/>
      <x:c r="U350" s="138" t="str"/>
      <x:c r="V350" s="137" t="str"/>
      <x:c r="W350" s="137" t="str"/>
      <x:c r="X350" s="199" t="str"/>
    </x:row>
    <x:row r="351">
      <x:c r="A351" s="137" t="str"/>
      <x:c r="B351" s="138" t="str"/>
      <x:c r="C351" s="137" t="str"/>
      <x:c r="D351" s="137" t="str"/>
      <x:c r="E351" s="137" t="str"/>
      <x:c r="F351" s="137" t="str"/>
      <x:c r="G351" s="137" t="str"/>
      <x:c r="H351" s="137" t="str"/>
      <x:c r="I351" s="137" t="str"/>
      <x:c r="J351" s="160" t="str"/>
      <x:c r="K351" s="160" t="str"/>
      <x:c r="L351" s="196" t="str">
        <x:f>IF(OR(J351="",K351=""),"",MOD(K351-J351,1)*1440)</x:f>
      </x:c>
      <x:c r="M351" s="137" t="str"/>
      <x:c r="N351" s="137" t="str"/>
      <x:c r="O351" s="137" t="str"/>
      <x:c r="P351" s="137" t="str"/>
      <x:c r="Q351" s="137" t="str"/>
      <x:c r="R351" s="137" t="str"/>
      <x:c r="S351" s="137" t="str"/>
      <x:c r="T351" s="138" t="str"/>
      <x:c r="U351" s="138" t="str"/>
      <x:c r="V351" s="137" t="str"/>
      <x:c r="W351" s="137" t="str"/>
      <x:c r="X351" s="199" t="str"/>
    </x:row>
    <x:row r="352">
      <x:c r="A352" s="137" t="str"/>
      <x:c r="B352" s="138" t="str"/>
      <x:c r="C352" s="137" t="str"/>
      <x:c r="D352" s="137" t="str"/>
      <x:c r="E352" s="137" t="str"/>
      <x:c r="F352" s="137" t="str"/>
      <x:c r="G352" s="137" t="str"/>
      <x:c r="H352" s="137" t="str"/>
      <x:c r="I352" s="137" t="str"/>
      <x:c r="J352" s="160" t="str"/>
      <x:c r="K352" s="160" t="str"/>
      <x:c r="L352" s="196" t="str">
        <x:f>IF(OR(J352="",K352=""),"",MOD(K352-J352,1)*1440)</x:f>
      </x:c>
      <x:c r="M352" s="137" t="str"/>
      <x:c r="N352" s="137" t="str"/>
      <x:c r="O352" s="137" t="str"/>
      <x:c r="P352" s="137" t="str"/>
      <x:c r="Q352" s="137" t="str"/>
      <x:c r="R352" s="137" t="str"/>
      <x:c r="S352" s="137" t="str"/>
      <x:c r="T352" s="138" t="str"/>
      <x:c r="U352" s="138" t="str"/>
      <x:c r="V352" s="137" t="str"/>
      <x:c r="W352" s="137" t="str"/>
      <x:c r="X352" s="199" t="str"/>
    </x:row>
    <x:row r="353">
      <x:c r="A353" s="137" t="str"/>
      <x:c r="B353" s="138" t="str"/>
      <x:c r="C353" s="137" t="str"/>
      <x:c r="D353" s="137" t="str"/>
      <x:c r="E353" s="137" t="str"/>
      <x:c r="F353" s="137" t="str"/>
      <x:c r="G353" s="137" t="str"/>
      <x:c r="H353" s="137" t="str"/>
      <x:c r="I353" s="137" t="str"/>
      <x:c r="J353" s="160" t="str"/>
      <x:c r="K353" s="160" t="str"/>
      <x:c r="L353" s="196" t="str">
        <x:f>IF(OR(J353="",K353=""),"",MOD(K353-J353,1)*1440)</x:f>
      </x:c>
      <x:c r="M353" s="137" t="str"/>
      <x:c r="N353" s="137" t="str"/>
      <x:c r="O353" s="137" t="str"/>
      <x:c r="P353" s="137" t="str"/>
      <x:c r="Q353" s="137" t="str"/>
      <x:c r="R353" s="137" t="str"/>
      <x:c r="S353" s="137" t="str"/>
      <x:c r="T353" s="138" t="str"/>
      <x:c r="U353" s="138" t="str"/>
      <x:c r="V353" s="137" t="str"/>
      <x:c r="W353" s="137" t="str"/>
      <x:c r="X353" s="199" t="str"/>
    </x:row>
    <x:row r="354">
      <x:c r="A354" s="137" t="str"/>
      <x:c r="B354" s="138" t="str"/>
      <x:c r="C354" s="137" t="str"/>
      <x:c r="D354" s="137" t="str"/>
      <x:c r="E354" s="137" t="str"/>
      <x:c r="F354" s="137" t="str"/>
      <x:c r="G354" s="137" t="str"/>
      <x:c r="H354" s="137" t="str"/>
      <x:c r="I354" s="137" t="str"/>
      <x:c r="J354" s="160" t="str"/>
      <x:c r="K354" s="160" t="str"/>
      <x:c r="L354" s="196" t="str">
        <x:f>IF(OR(J354="",K354=""),"",MOD(K354-J354,1)*1440)</x:f>
      </x:c>
      <x:c r="M354" s="137" t="str"/>
      <x:c r="N354" s="137" t="str"/>
      <x:c r="O354" s="137" t="str"/>
      <x:c r="P354" s="137" t="str"/>
      <x:c r="Q354" s="137" t="str"/>
      <x:c r="R354" s="137" t="str"/>
      <x:c r="S354" s="137" t="str"/>
      <x:c r="T354" s="138" t="str"/>
      <x:c r="U354" s="138" t="str"/>
      <x:c r="V354" s="137" t="str"/>
      <x:c r="W354" s="137" t="str"/>
      <x:c r="X354" s="199" t="str"/>
    </x:row>
    <x:row r="355">
      <x:c r="A355" s="137" t="str"/>
      <x:c r="B355" s="138" t="str"/>
      <x:c r="C355" s="137" t="str"/>
      <x:c r="D355" s="137" t="str"/>
      <x:c r="E355" s="137" t="str"/>
      <x:c r="F355" s="137" t="str"/>
      <x:c r="G355" s="137" t="str"/>
      <x:c r="H355" s="137" t="str"/>
      <x:c r="I355" s="137" t="str"/>
      <x:c r="J355" s="160" t="str"/>
      <x:c r="K355" s="160" t="str"/>
      <x:c r="L355" s="196" t="str">
        <x:f>IF(OR(J355="",K355=""),"",MOD(K355-J355,1)*1440)</x:f>
      </x:c>
      <x:c r="M355" s="137" t="str"/>
      <x:c r="N355" s="137" t="str"/>
      <x:c r="O355" s="137" t="str"/>
      <x:c r="P355" s="137" t="str"/>
      <x:c r="Q355" s="137" t="str"/>
      <x:c r="R355" s="137" t="str"/>
      <x:c r="S355" s="137" t="str"/>
      <x:c r="T355" s="138" t="str"/>
      <x:c r="U355" s="138" t="str"/>
      <x:c r="V355" s="137" t="str"/>
      <x:c r="W355" s="137" t="str"/>
      <x:c r="X355" s="199" t="str"/>
    </x:row>
    <x:row r="356">
      <x:c r="A356" s="137" t="str"/>
      <x:c r="B356" s="138" t="str"/>
      <x:c r="C356" s="137" t="str"/>
      <x:c r="D356" s="137" t="str"/>
      <x:c r="E356" s="137" t="str"/>
      <x:c r="F356" s="137" t="str"/>
      <x:c r="G356" s="137" t="str"/>
      <x:c r="H356" s="137" t="str"/>
      <x:c r="I356" s="137" t="str"/>
      <x:c r="J356" s="160" t="str"/>
      <x:c r="K356" s="160" t="str"/>
      <x:c r="L356" s="196" t="str">
        <x:f>IF(OR(J356="",K356=""),"",MOD(K356-J356,1)*1440)</x:f>
      </x:c>
      <x:c r="M356" s="137" t="str"/>
      <x:c r="N356" s="137" t="str"/>
      <x:c r="O356" s="137" t="str"/>
      <x:c r="P356" s="137" t="str"/>
      <x:c r="Q356" s="137" t="str"/>
      <x:c r="R356" s="137" t="str"/>
      <x:c r="S356" s="137" t="str"/>
      <x:c r="T356" s="138" t="str"/>
      <x:c r="U356" s="138" t="str"/>
      <x:c r="V356" s="137" t="str"/>
      <x:c r="W356" s="137" t="str"/>
      <x:c r="X356" s="199" t="str"/>
    </x:row>
    <x:row r="357">
      <x:c r="A357" s="137" t="str"/>
      <x:c r="B357" s="138" t="str"/>
      <x:c r="C357" s="137" t="str"/>
      <x:c r="D357" s="137" t="str"/>
      <x:c r="E357" s="137" t="str"/>
      <x:c r="F357" s="137" t="str"/>
      <x:c r="G357" s="137" t="str"/>
      <x:c r="H357" s="137" t="str"/>
      <x:c r="I357" s="137" t="str"/>
      <x:c r="J357" s="160" t="str"/>
      <x:c r="K357" s="160" t="str"/>
      <x:c r="L357" s="196" t="str">
        <x:f>IF(OR(J357="",K357=""),"",MOD(K357-J357,1)*1440)</x:f>
      </x:c>
      <x:c r="M357" s="137" t="str"/>
      <x:c r="N357" s="137" t="str"/>
      <x:c r="O357" s="137" t="str"/>
      <x:c r="P357" s="137" t="str"/>
      <x:c r="Q357" s="137" t="str"/>
      <x:c r="R357" s="137" t="str"/>
      <x:c r="S357" s="137" t="str"/>
      <x:c r="T357" s="138" t="str"/>
      <x:c r="U357" s="138" t="str"/>
      <x:c r="V357" s="137" t="str"/>
      <x:c r="W357" s="137" t="str"/>
      <x:c r="X357" s="199" t="str"/>
    </x:row>
    <x:row r="358">
      <x:c r="A358" s="137" t="str"/>
      <x:c r="B358" s="138" t="str"/>
      <x:c r="C358" s="137" t="str"/>
      <x:c r="D358" s="137" t="str"/>
      <x:c r="E358" s="137" t="str"/>
      <x:c r="F358" s="137" t="str"/>
      <x:c r="G358" s="137" t="str"/>
      <x:c r="H358" s="137" t="str"/>
      <x:c r="I358" s="137" t="str"/>
      <x:c r="J358" s="160" t="str"/>
      <x:c r="K358" s="160" t="str"/>
      <x:c r="L358" s="196" t="str">
        <x:f>IF(OR(J358="",K358=""),"",MOD(K358-J358,1)*1440)</x:f>
      </x:c>
      <x:c r="M358" s="137" t="str"/>
      <x:c r="N358" s="137" t="str"/>
      <x:c r="O358" s="137" t="str"/>
      <x:c r="P358" s="137" t="str"/>
      <x:c r="Q358" s="137" t="str"/>
      <x:c r="R358" s="137" t="str"/>
      <x:c r="S358" s="137" t="str"/>
      <x:c r="T358" s="138" t="str"/>
      <x:c r="U358" s="138" t="str"/>
      <x:c r="V358" s="137" t="str"/>
      <x:c r="W358" s="137" t="str"/>
      <x:c r="X358" s="199" t="str"/>
    </x:row>
    <x:row r="359">
      <x:c r="A359" s="137" t="str"/>
      <x:c r="B359" s="138" t="str"/>
      <x:c r="C359" s="137" t="str"/>
      <x:c r="D359" s="137" t="str"/>
      <x:c r="E359" s="137" t="str"/>
      <x:c r="F359" s="137" t="str"/>
      <x:c r="G359" s="137" t="str"/>
      <x:c r="H359" s="137" t="str"/>
      <x:c r="I359" s="137" t="str"/>
      <x:c r="J359" s="160" t="str"/>
      <x:c r="K359" s="160" t="str"/>
      <x:c r="L359" s="196" t="str">
        <x:f>IF(OR(J359="",K359=""),"",MOD(K359-J359,1)*1440)</x:f>
      </x:c>
      <x:c r="M359" s="137" t="str"/>
      <x:c r="N359" s="137" t="str"/>
      <x:c r="O359" s="137" t="str"/>
      <x:c r="P359" s="137" t="str"/>
      <x:c r="Q359" s="137" t="str"/>
      <x:c r="R359" s="137" t="str"/>
      <x:c r="S359" s="137" t="str"/>
      <x:c r="T359" s="138" t="str"/>
      <x:c r="U359" s="138" t="str"/>
      <x:c r="V359" s="137" t="str"/>
      <x:c r="W359" s="137" t="str"/>
      <x:c r="X359" s="199" t="str"/>
    </x:row>
    <x:row r="360">
      <x:c r="A360" s="137" t="str"/>
      <x:c r="B360" s="138" t="str"/>
      <x:c r="C360" s="137" t="str"/>
      <x:c r="D360" s="137" t="str"/>
      <x:c r="E360" s="137" t="str"/>
      <x:c r="F360" s="137" t="str"/>
      <x:c r="G360" s="137" t="str"/>
      <x:c r="H360" s="137" t="str"/>
      <x:c r="I360" s="137" t="str"/>
      <x:c r="J360" s="160" t="str"/>
      <x:c r="K360" s="160" t="str"/>
      <x:c r="L360" s="196" t="str">
        <x:f>IF(OR(J360="",K360=""),"",MOD(K360-J360,1)*1440)</x:f>
      </x:c>
      <x:c r="M360" s="137" t="str"/>
      <x:c r="N360" s="137" t="str"/>
      <x:c r="O360" s="137" t="str"/>
      <x:c r="P360" s="137" t="str"/>
      <x:c r="Q360" s="137" t="str"/>
      <x:c r="R360" s="137" t="str"/>
      <x:c r="S360" s="137" t="str"/>
      <x:c r="T360" s="138" t="str"/>
      <x:c r="U360" s="138" t="str"/>
      <x:c r="V360" s="137" t="str"/>
      <x:c r="W360" s="137" t="str"/>
      <x:c r="X360" s="199" t="str"/>
    </x:row>
    <x:row r="361">
      <x:c r="A361" s="137" t="str"/>
      <x:c r="B361" s="138" t="str"/>
      <x:c r="C361" s="137" t="str"/>
      <x:c r="D361" s="137" t="str"/>
      <x:c r="E361" s="137" t="str"/>
      <x:c r="F361" s="137" t="str"/>
      <x:c r="G361" s="137" t="str"/>
      <x:c r="H361" s="137" t="str"/>
      <x:c r="I361" s="137" t="str"/>
      <x:c r="J361" s="160" t="str"/>
      <x:c r="K361" s="160" t="str"/>
      <x:c r="L361" s="196" t="str">
        <x:f>IF(OR(J361="",K361=""),"",MOD(K361-J361,1)*1440)</x:f>
      </x:c>
      <x:c r="M361" s="137" t="str"/>
      <x:c r="N361" s="137" t="str"/>
      <x:c r="O361" s="137" t="str"/>
      <x:c r="P361" s="137" t="str"/>
      <x:c r="Q361" s="137" t="str"/>
      <x:c r="R361" s="137" t="str"/>
      <x:c r="S361" s="137" t="str"/>
      <x:c r="T361" s="138" t="str"/>
      <x:c r="U361" s="138" t="str"/>
      <x:c r="V361" s="137" t="str"/>
      <x:c r="W361" s="137" t="str"/>
      <x:c r="X361" s="199" t="str"/>
    </x:row>
    <x:row r="362">
      <x:c r="A362" s="137" t="str"/>
      <x:c r="B362" s="138" t="str"/>
      <x:c r="C362" s="137" t="str"/>
      <x:c r="D362" s="137" t="str"/>
      <x:c r="E362" s="137" t="str"/>
      <x:c r="F362" s="137" t="str"/>
      <x:c r="G362" s="137" t="str"/>
      <x:c r="H362" s="137" t="str"/>
      <x:c r="I362" s="137" t="str"/>
      <x:c r="J362" s="160" t="str"/>
      <x:c r="K362" s="160" t="str"/>
      <x:c r="L362" s="196" t="str">
        <x:f>IF(OR(J362="",K362=""),"",MOD(K362-J362,1)*1440)</x:f>
      </x:c>
      <x:c r="M362" s="137" t="str"/>
      <x:c r="N362" s="137" t="str"/>
      <x:c r="O362" s="137" t="str"/>
      <x:c r="P362" s="137" t="str"/>
      <x:c r="Q362" s="137" t="str"/>
      <x:c r="R362" s="137" t="str"/>
      <x:c r="S362" s="137" t="str"/>
      <x:c r="T362" s="138" t="str"/>
      <x:c r="U362" s="138" t="str"/>
      <x:c r="V362" s="137" t="str"/>
      <x:c r="W362" s="137" t="str"/>
      <x:c r="X362" s="199" t="str"/>
    </x:row>
    <x:row r="363">
      <x:c r="A363" s="137" t="str"/>
      <x:c r="B363" s="138" t="str"/>
      <x:c r="C363" s="137" t="str"/>
      <x:c r="D363" s="137" t="str"/>
      <x:c r="E363" s="137" t="str"/>
      <x:c r="F363" s="137" t="str"/>
      <x:c r="G363" s="137" t="str"/>
      <x:c r="H363" s="137" t="str"/>
      <x:c r="I363" s="137" t="str"/>
      <x:c r="J363" s="160" t="str"/>
      <x:c r="K363" s="160" t="str"/>
      <x:c r="L363" s="196" t="str">
        <x:f>IF(OR(J363="",K363=""),"",MOD(K363-J363,1)*1440)</x:f>
      </x:c>
      <x:c r="M363" s="137" t="str"/>
      <x:c r="N363" s="137" t="str"/>
      <x:c r="O363" s="137" t="str"/>
      <x:c r="P363" s="137" t="str"/>
      <x:c r="Q363" s="137" t="str"/>
      <x:c r="R363" s="137" t="str"/>
      <x:c r="S363" s="137" t="str"/>
      <x:c r="T363" s="138" t="str"/>
      <x:c r="U363" s="138" t="str"/>
      <x:c r="V363" s="137" t="str"/>
      <x:c r="W363" s="137" t="str"/>
      <x:c r="X363" s="199" t="str"/>
    </x:row>
    <x:row r="364">
      <x:c r="A364" s="137" t="str"/>
      <x:c r="B364" s="138" t="str"/>
      <x:c r="C364" s="137" t="str"/>
      <x:c r="D364" s="137" t="str"/>
      <x:c r="E364" s="137" t="str"/>
      <x:c r="F364" s="137" t="str"/>
      <x:c r="G364" s="137" t="str"/>
      <x:c r="H364" s="137" t="str"/>
      <x:c r="I364" s="137" t="str"/>
      <x:c r="J364" s="160" t="str"/>
      <x:c r="K364" s="160" t="str"/>
      <x:c r="L364" s="196" t="str">
        <x:f>IF(OR(J364="",K364=""),"",MOD(K364-J364,1)*1440)</x:f>
      </x:c>
      <x:c r="M364" s="137" t="str"/>
      <x:c r="N364" s="137" t="str"/>
      <x:c r="O364" s="137" t="str"/>
      <x:c r="P364" s="137" t="str"/>
      <x:c r="Q364" s="137" t="str"/>
      <x:c r="R364" s="137" t="str"/>
      <x:c r="S364" s="137" t="str"/>
      <x:c r="T364" s="138" t="str"/>
      <x:c r="U364" s="138" t="str"/>
      <x:c r="V364" s="137" t="str"/>
      <x:c r="W364" s="137" t="str"/>
      <x:c r="X364" s="199" t="str"/>
    </x:row>
    <x:row r="365">
      <x:c r="A365" s="137" t="str"/>
      <x:c r="B365" s="138" t="str"/>
      <x:c r="C365" s="137" t="str"/>
      <x:c r="D365" s="137" t="str"/>
      <x:c r="E365" s="137" t="str"/>
      <x:c r="F365" s="137" t="str"/>
      <x:c r="G365" s="137" t="str"/>
      <x:c r="H365" s="137" t="str"/>
      <x:c r="I365" s="137" t="str"/>
      <x:c r="J365" s="160" t="str"/>
      <x:c r="K365" s="160" t="str"/>
      <x:c r="L365" s="196" t="str">
        <x:f>IF(OR(J365="",K365=""),"",MOD(K365-J365,1)*1440)</x:f>
      </x:c>
      <x:c r="M365" s="137" t="str"/>
      <x:c r="N365" s="137" t="str"/>
      <x:c r="O365" s="137" t="str"/>
      <x:c r="P365" s="137" t="str"/>
      <x:c r="Q365" s="137" t="str"/>
      <x:c r="R365" s="137" t="str"/>
      <x:c r="S365" s="137" t="str"/>
      <x:c r="T365" s="138" t="str"/>
      <x:c r="U365" s="138" t="str"/>
      <x:c r="V365" s="137" t="str"/>
      <x:c r="W365" s="137" t="str"/>
      <x:c r="X365" s="199" t="str"/>
    </x:row>
    <x:row r="366">
      <x:c r="A366" s="137" t="str"/>
      <x:c r="B366" s="138" t="str"/>
      <x:c r="C366" s="137" t="str"/>
      <x:c r="D366" s="137" t="str"/>
      <x:c r="E366" s="137" t="str"/>
      <x:c r="F366" s="137" t="str"/>
      <x:c r="G366" s="137" t="str"/>
      <x:c r="H366" s="137" t="str"/>
      <x:c r="I366" s="137" t="str"/>
      <x:c r="J366" s="160" t="str"/>
      <x:c r="K366" s="160" t="str"/>
      <x:c r="L366" s="196" t="str">
        <x:f>IF(OR(J366="",K366=""),"",MOD(K366-J366,1)*1440)</x:f>
      </x:c>
      <x:c r="M366" s="137" t="str"/>
      <x:c r="N366" s="137" t="str"/>
      <x:c r="O366" s="137" t="str"/>
      <x:c r="P366" s="137" t="str"/>
      <x:c r="Q366" s="137" t="str"/>
      <x:c r="R366" s="137" t="str"/>
      <x:c r="S366" s="137" t="str"/>
      <x:c r="T366" s="138" t="str"/>
      <x:c r="U366" s="138" t="str"/>
      <x:c r="V366" s="137" t="str"/>
      <x:c r="W366" s="137" t="str"/>
      <x:c r="X366" s="199" t="str"/>
    </x:row>
    <x:row r="367">
      <x:c r="A367" s="137" t="str"/>
      <x:c r="B367" s="138" t="str"/>
      <x:c r="C367" s="137" t="str"/>
      <x:c r="D367" s="137" t="str"/>
      <x:c r="E367" s="137" t="str"/>
      <x:c r="F367" s="137" t="str"/>
      <x:c r="G367" s="137" t="str"/>
      <x:c r="H367" s="137" t="str"/>
      <x:c r="I367" s="137" t="str"/>
      <x:c r="J367" s="160" t="str"/>
      <x:c r="K367" s="160" t="str"/>
      <x:c r="L367" s="196" t="str">
        <x:f>IF(OR(J367="",K367=""),"",MOD(K367-J367,1)*1440)</x:f>
      </x:c>
      <x:c r="M367" s="137" t="str"/>
      <x:c r="N367" s="137" t="str"/>
      <x:c r="O367" s="137" t="str"/>
      <x:c r="P367" s="137" t="str"/>
      <x:c r="Q367" s="137" t="str"/>
      <x:c r="R367" s="137" t="str"/>
      <x:c r="S367" s="137" t="str"/>
      <x:c r="T367" s="138" t="str"/>
      <x:c r="U367" s="138" t="str"/>
      <x:c r="V367" s="137" t="str"/>
      <x:c r="W367" s="137" t="str"/>
      <x:c r="X367" s="199" t="str"/>
    </x:row>
    <x:row r="368">
      <x:c r="A368" s="137" t="str"/>
      <x:c r="B368" s="138" t="str"/>
      <x:c r="C368" s="137" t="str"/>
      <x:c r="D368" s="137" t="str"/>
      <x:c r="E368" s="137" t="str"/>
      <x:c r="F368" s="137" t="str"/>
      <x:c r="G368" s="137" t="str"/>
      <x:c r="H368" s="137" t="str"/>
      <x:c r="I368" s="137" t="str"/>
      <x:c r="J368" s="160" t="str"/>
      <x:c r="K368" s="160" t="str"/>
      <x:c r="L368" s="196" t="str">
        <x:f>IF(OR(J368="",K368=""),"",MOD(K368-J368,1)*1440)</x:f>
      </x:c>
      <x:c r="M368" s="137" t="str"/>
      <x:c r="N368" s="137" t="str"/>
      <x:c r="O368" s="137" t="str"/>
      <x:c r="P368" s="137" t="str"/>
      <x:c r="Q368" s="137" t="str"/>
      <x:c r="R368" s="137" t="str"/>
      <x:c r="S368" s="137" t="str"/>
      <x:c r="T368" s="138" t="str"/>
      <x:c r="U368" s="138" t="str"/>
      <x:c r="V368" s="137" t="str"/>
      <x:c r="W368" s="137" t="str"/>
      <x:c r="X368" s="199" t="str"/>
    </x:row>
    <x:row r="369">
      <x:c r="A369" s="137" t="str"/>
      <x:c r="B369" s="138" t="str"/>
      <x:c r="C369" s="137" t="str"/>
      <x:c r="D369" s="137" t="str"/>
      <x:c r="E369" s="137" t="str"/>
      <x:c r="F369" s="137" t="str"/>
      <x:c r="G369" s="137" t="str"/>
      <x:c r="H369" s="137" t="str"/>
      <x:c r="I369" s="137" t="str"/>
      <x:c r="J369" s="160" t="str"/>
      <x:c r="K369" s="160" t="str"/>
      <x:c r="L369" s="196" t="str">
        <x:f>IF(OR(J369="",K369=""),"",MOD(K369-J369,1)*1440)</x:f>
      </x:c>
      <x:c r="M369" s="137" t="str"/>
      <x:c r="N369" s="137" t="str"/>
      <x:c r="O369" s="137" t="str"/>
      <x:c r="P369" s="137" t="str"/>
      <x:c r="Q369" s="137" t="str"/>
      <x:c r="R369" s="137" t="str"/>
      <x:c r="S369" s="137" t="str"/>
      <x:c r="T369" s="138" t="str"/>
      <x:c r="U369" s="138" t="str"/>
      <x:c r="V369" s="137" t="str"/>
      <x:c r="W369" s="137" t="str"/>
      <x:c r="X369" s="199" t="str"/>
    </x:row>
    <x:row r="370">
      <x:c r="A370" s="137" t="str"/>
      <x:c r="B370" s="138" t="str"/>
      <x:c r="C370" s="137" t="str"/>
      <x:c r="D370" s="137" t="str"/>
      <x:c r="E370" s="137" t="str"/>
      <x:c r="F370" s="137" t="str"/>
      <x:c r="G370" s="137" t="str"/>
      <x:c r="H370" s="137" t="str"/>
      <x:c r="I370" s="137" t="str"/>
      <x:c r="J370" s="160" t="str"/>
      <x:c r="K370" s="160" t="str"/>
      <x:c r="L370" s="196" t="str">
        <x:f>IF(OR(J370="",K370=""),"",MOD(K370-J370,1)*1440)</x:f>
      </x:c>
      <x:c r="M370" s="137" t="str"/>
      <x:c r="N370" s="137" t="str"/>
      <x:c r="O370" s="137" t="str"/>
      <x:c r="P370" s="137" t="str"/>
      <x:c r="Q370" s="137" t="str"/>
      <x:c r="R370" s="137" t="str"/>
      <x:c r="S370" s="137" t="str"/>
      <x:c r="T370" s="138" t="str"/>
      <x:c r="U370" s="138" t="str"/>
      <x:c r="V370" s="137" t="str"/>
      <x:c r="W370" s="137" t="str"/>
      <x:c r="X370" s="199" t="str"/>
    </x:row>
    <x:row r="371">
      <x:c r="A371" s="137" t="str"/>
      <x:c r="B371" s="138" t="str"/>
      <x:c r="C371" s="137" t="str"/>
      <x:c r="D371" s="137" t="str"/>
      <x:c r="E371" s="137" t="str"/>
      <x:c r="F371" s="137" t="str"/>
      <x:c r="G371" s="137" t="str"/>
      <x:c r="H371" s="137" t="str"/>
      <x:c r="I371" s="137" t="str"/>
      <x:c r="J371" s="160" t="str"/>
      <x:c r="K371" s="160" t="str"/>
      <x:c r="L371" s="196" t="str">
        <x:f>IF(OR(J371="",K371=""),"",MOD(K371-J371,1)*1440)</x:f>
      </x:c>
      <x:c r="M371" s="137" t="str"/>
      <x:c r="N371" s="137" t="str"/>
      <x:c r="O371" s="137" t="str"/>
      <x:c r="P371" s="137" t="str"/>
      <x:c r="Q371" s="137" t="str"/>
      <x:c r="R371" s="137" t="str"/>
      <x:c r="S371" s="137" t="str"/>
      <x:c r="T371" s="138" t="str"/>
      <x:c r="U371" s="138" t="str"/>
      <x:c r="V371" s="137" t="str"/>
      <x:c r="W371" s="137" t="str"/>
      <x:c r="X371" s="199" t="str"/>
    </x:row>
    <x:row r="372">
      <x:c r="A372" s="137" t="str"/>
      <x:c r="B372" s="138" t="str"/>
      <x:c r="C372" s="137" t="str"/>
      <x:c r="D372" s="137" t="str"/>
      <x:c r="E372" s="137" t="str"/>
      <x:c r="F372" s="137" t="str"/>
      <x:c r="G372" s="137" t="str"/>
      <x:c r="H372" s="137" t="str"/>
      <x:c r="I372" s="137" t="str"/>
      <x:c r="J372" s="160" t="str"/>
      <x:c r="K372" s="160" t="str"/>
      <x:c r="L372" s="196" t="str">
        <x:f>IF(OR(J372="",K372=""),"",MOD(K372-J372,1)*1440)</x:f>
      </x:c>
      <x:c r="M372" s="137" t="str"/>
      <x:c r="N372" s="137" t="str"/>
      <x:c r="O372" s="137" t="str"/>
      <x:c r="P372" s="137" t="str"/>
      <x:c r="Q372" s="137" t="str"/>
      <x:c r="R372" s="137" t="str"/>
      <x:c r="S372" s="137" t="str"/>
      <x:c r="T372" s="138" t="str"/>
      <x:c r="U372" s="138" t="str"/>
      <x:c r="V372" s="137" t="str"/>
      <x:c r="W372" s="137" t="str"/>
      <x:c r="X372" s="199" t="str"/>
    </x:row>
    <x:row r="373">
      <x:c r="A373" s="137" t="str"/>
      <x:c r="B373" s="138" t="str"/>
      <x:c r="C373" s="137" t="str"/>
      <x:c r="D373" s="137" t="str"/>
      <x:c r="E373" s="137" t="str"/>
      <x:c r="F373" s="137" t="str"/>
      <x:c r="G373" s="137" t="str"/>
      <x:c r="H373" s="137" t="str"/>
      <x:c r="I373" s="137" t="str"/>
      <x:c r="J373" s="160" t="str"/>
      <x:c r="K373" s="160" t="str"/>
      <x:c r="L373" s="196" t="str">
        <x:f>IF(OR(J373="",K373=""),"",MOD(K373-J373,1)*1440)</x:f>
      </x:c>
      <x:c r="M373" s="137" t="str"/>
      <x:c r="N373" s="137" t="str"/>
      <x:c r="O373" s="137" t="str"/>
      <x:c r="P373" s="137" t="str"/>
      <x:c r="Q373" s="137" t="str"/>
      <x:c r="R373" s="137" t="str"/>
      <x:c r="S373" s="137" t="str"/>
      <x:c r="T373" s="138" t="str"/>
      <x:c r="U373" s="138" t="str"/>
      <x:c r="V373" s="137" t="str"/>
      <x:c r="W373" s="137" t="str"/>
      <x:c r="X373" s="199" t="str"/>
    </x:row>
    <x:row r="374">
      <x:c r="A374" s="137" t="str"/>
      <x:c r="B374" s="138" t="str"/>
      <x:c r="C374" s="137" t="str"/>
      <x:c r="D374" s="137" t="str"/>
      <x:c r="E374" s="137" t="str"/>
      <x:c r="F374" s="137" t="str"/>
      <x:c r="G374" s="137" t="str"/>
      <x:c r="H374" s="137" t="str"/>
      <x:c r="I374" s="137" t="str"/>
      <x:c r="J374" s="160" t="str"/>
      <x:c r="K374" s="160" t="str"/>
      <x:c r="L374" s="196" t="str">
        <x:f>IF(OR(J374="",K374=""),"",MOD(K374-J374,1)*1440)</x:f>
      </x:c>
      <x:c r="M374" s="137" t="str"/>
      <x:c r="N374" s="137" t="str"/>
      <x:c r="O374" s="137" t="str"/>
      <x:c r="P374" s="137" t="str"/>
      <x:c r="Q374" s="137" t="str"/>
      <x:c r="R374" s="137" t="str"/>
      <x:c r="S374" s="137" t="str"/>
      <x:c r="T374" s="138" t="str"/>
      <x:c r="U374" s="138" t="str"/>
      <x:c r="V374" s="137" t="str"/>
      <x:c r="W374" s="137" t="str"/>
      <x:c r="X374" s="199" t="str"/>
    </x:row>
    <x:row r="375">
      <x:c r="A375" s="137" t="str"/>
      <x:c r="B375" s="138" t="str"/>
      <x:c r="C375" s="137" t="str"/>
      <x:c r="D375" s="137" t="str"/>
      <x:c r="E375" s="137" t="str"/>
      <x:c r="F375" s="137" t="str"/>
      <x:c r="G375" s="137" t="str"/>
      <x:c r="H375" s="137" t="str"/>
      <x:c r="I375" s="137" t="str"/>
      <x:c r="J375" s="160" t="str"/>
      <x:c r="K375" s="160" t="str"/>
      <x:c r="L375" s="196" t="str">
        <x:f>IF(OR(J375="",K375=""),"",MOD(K375-J375,1)*1440)</x:f>
      </x:c>
      <x:c r="M375" s="137" t="str"/>
      <x:c r="N375" s="137" t="str"/>
      <x:c r="O375" s="137" t="str"/>
      <x:c r="P375" s="137" t="str"/>
      <x:c r="Q375" s="137" t="str"/>
      <x:c r="R375" s="137" t="str"/>
      <x:c r="S375" s="137" t="str"/>
      <x:c r="T375" s="138" t="str"/>
      <x:c r="U375" s="138" t="str"/>
      <x:c r="V375" s="137" t="str"/>
      <x:c r="W375" s="137" t="str"/>
      <x:c r="X375" s="199" t="str"/>
    </x:row>
    <x:row r="376">
      <x:c r="A376" s="137" t="str"/>
      <x:c r="B376" s="138" t="str"/>
      <x:c r="C376" s="137" t="str"/>
      <x:c r="D376" s="137" t="str"/>
      <x:c r="E376" s="137" t="str"/>
      <x:c r="F376" s="137" t="str"/>
      <x:c r="G376" s="137" t="str"/>
      <x:c r="H376" s="137" t="str"/>
      <x:c r="I376" s="137" t="str"/>
      <x:c r="J376" s="160" t="str"/>
      <x:c r="K376" s="160" t="str"/>
      <x:c r="L376" s="196" t="str">
        <x:f>IF(OR(J376="",K376=""),"",MOD(K376-J376,1)*1440)</x:f>
      </x:c>
      <x:c r="M376" s="137" t="str"/>
      <x:c r="N376" s="137" t="str"/>
      <x:c r="O376" s="137" t="str"/>
      <x:c r="P376" s="137" t="str"/>
      <x:c r="Q376" s="137" t="str"/>
      <x:c r="R376" s="137" t="str"/>
      <x:c r="S376" s="137" t="str"/>
      <x:c r="T376" s="138" t="str"/>
      <x:c r="U376" s="138" t="str"/>
      <x:c r="V376" s="137" t="str"/>
      <x:c r="W376" s="137" t="str"/>
      <x:c r="X376" s="199" t="str"/>
    </x:row>
    <x:row r="377">
      <x:c r="A377" s="137" t="str"/>
      <x:c r="B377" s="138" t="str"/>
      <x:c r="C377" s="137" t="str"/>
      <x:c r="D377" s="137" t="str"/>
      <x:c r="E377" s="137" t="str"/>
      <x:c r="F377" s="137" t="str"/>
      <x:c r="G377" s="137" t="str"/>
      <x:c r="H377" s="137" t="str"/>
      <x:c r="I377" s="137" t="str"/>
      <x:c r="J377" s="160" t="str"/>
      <x:c r="K377" s="160" t="str"/>
      <x:c r="L377" s="196" t="str">
        <x:f>IF(OR(J377="",K377=""),"",MOD(K377-J377,1)*1440)</x:f>
      </x:c>
      <x:c r="M377" s="137" t="str"/>
      <x:c r="N377" s="137" t="str"/>
      <x:c r="O377" s="137" t="str"/>
      <x:c r="P377" s="137" t="str"/>
      <x:c r="Q377" s="137" t="str"/>
      <x:c r="R377" s="137" t="str"/>
      <x:c r="S377" s="137" t="str"/>
      <x:c r="T377" s="138" t="str"/>
      <x:c r="U377" s="138" t="str"/>
      <x:c r="V377" s="137" t="str"/>
      <x:c r="W377" s="137" t="str"/>
      <x:c r="X377" s="199" t="str"/>
    </x:row>
    <x:row r="378">
      <x:c r="A378" s="137" t="str"/>
      <x:c r="B378" s="138" t="str"/>
      <x:c r="C378" s="137" t="str"/>
      <x:c r="D378" s="137" t="str"/>
      <x:c r="E378" s="137" t="str"/>
      <x:c r="F378" s="137" t="str"/>
      <x:c r="G378" s="137" t="str"/>
      <x:c r="H378" s="137" t="str"/>
      <x:c r="I378" s="137" t="str"/>
      <x:c r="J378" s="160" t="str"/>
      <x:c r="K378" s="160" t="str"/>
      <x:c r="L378" s="196" t="str">
        <x:f>IF(OR(J378="",K378=""),"",MOD(K378-J378,1)*1440)</x:f>
      </x:c>
      <x:c r="M378" s="137" t="str"/>
      <x:c r="N378" s="137" t="str"/>
      <x:c r="O378" s="137" t="str"/>
      <x:c r="P378" s="137" t="str"/>
      <x:c r="Q378" s="137" t="str"/>
      <x:c r="R378" s="137" t="str"/>
      <x:c r="S378" s="137" t="str"/>
      <x:c r="T378" s="138" t="str"/>
      <x:c r="U378" s="138" t="str"/>
      <x:c r="V378" s="137" t="str"/>
      <x:c r="W378" s="137" t="str"/>
      <x:c r="X378" s="199" t="str"/>
    </x:row>
    <x:row r="379">
      <x:c r="A379" s="137" t="str"/>
      <x:c r="B379" s="138" t="str"/>
      <x:c r="C379" s="137" t="str"/>
      <x:c r="D379" s="137" t="str"/>
      <x:c r="E379" s="137" t="str"/>
      <x:c r="F379" s="137" t="str"/>
      <x:c r="G379" s="137" t="str"/>
      <x:c r="H379" s="137" t="str"/>
      <x:c r="I379" s="137" t="str"/>
      <x:c r="J379" s="160" t="str"/>
      <x:c r="K379" s="160" t="str"/>
      <x:c r="L379" s="196" t="str">
        <x:f>IF(OR(J379="",K379=""),"",MOD(K379-J379,1)*1440)</x:f>
      </x:c>
      <x:c r="M379" s="137" t="str"/>
      <x:c r="N379" s="137" t="str"/>
      <x:c r="O379" s="137" t="str"/>
      <x:c r="P379" s="137" t="str"/>
      <x:c r="Q379" s="137" t="str"/>
      <x:c r="R379" s="137" t="str"/>
      <x:c r="S379" s="137" t="str"/>
      <x:c r="T379" s="138" t="str"/>
      <x:c r="U379" s="138" t="str"/>
      <x:c r="V379" s="137" t="str"/>
      <x:c r="W379" s="137" t="str"/>
      <x:c r="X379" s="199" t="str"/>
    </x:row>
    <x:row r="380">
      <x:c r="A380" s="137" t="str"/>
      <x:c r="B380" s="138" t="str"/>
      <x:c r="C380" s="137" t="str"/>
      <x:c r="D380" s="137" t="str"/>
      <x:c r="E380" s="137" t="str"/>
      <x:c r="F380" s="137" t="str"/>
      <x:c r="G380" s="137" t="str"/>
      <x:c r="H380" s="137" t="str"/>
      <x:c r="I380" s="137" t="str"/>
      <x:c r="J380" s="160" t="str"/>
      <x:c r="K380" s="160" t="str"/>
      <x:c r="L380" s="196" t="str">
        <x:f>IF(OR(J380="",K380=""),"",MOD(K380-J380,1)*1440)</x:f>
      </x:c>
      <x:c r="M380" s="137" t="str"/>
      <x:c r="N380" s="137" t="str"/>
      <x:c r="O380" s="137" t="str"/>
      <x:c r="P380" s="137" t="str"/>
      <x:c r="Q380" s="137" t="str"/>
      <x:c r="R380" s="137" t="str"/>
      <x:c r="S380" s="137" t="str"/>
      <x:c r="T380" s="138" t="str"/>
      <x:c r="U380" s="138" t="str"/>
      <x:c r="V380" s="137" t="str"/>
      <x:c r="W380" s="137" t="str"/>
      <x:c r="X380" s="199" t="str"/>
    </x:row>
    <x:row r="381">
      <x:c r="A381" s="137" t="str"/>
      <x:c r="B381" s="138" t="str"/>
      <x:c r="C381" s="137" t="str"/>
      <x:c r="D381" s="137" t="str"/>
      <x:c r="E381" s="137" t="str"/>
      <x:c r="F381" s="137" t="str"/>
      <x:c r="G381" s="137" t="str"/>
      <x:c r="H381" s="137" t="str"/>
      <x:c r="I381" s="137" t="str"/>
      <x:c r="J381" s="160" t="str"/>
      <x:c r="K381" s="160" t="str"/>
      <x:c r="L381" s="196" t="str">
        <x:f>IF(OR(J381="",K381=""),"",MOD(K381-J381,1)*1440)</x:f>
      </x:c>
      <x:c r="M381" s="137" t="str"/>
      <x:c r="N381" s="137" t="str"/>
      <x:c r="O381" s="137" t="str"/>
      <x:c r="P381" s="137" t="str"/>
      <x:c r="Q381" s="137" t="str"/>
      <x:c r="R381" s="137" t="str"/>
      <x:c r="S381" s="137" t="str"/>
      <x:c r="T381" s="138" t="str"/>
      <x:c r="U381" s="138" t="str"/>
      <x:c r="V381" s="137" t="str"/>
      <x:c r="W381" s="137" t="str"/>
      <x:c r="X381" s="199" t="str"/>
    </x:row>
    <x:row r="382">
      <x:c r="A382" s="137" t="str"/>
      <x:c r="B382" s="138" t="str"/>
      <x:c r="C382" s="137" t="str"/>
      <x:c r="D382" s="137" t="str"/>
      <x:c r="E382" s="137" t="str"/>
      <x:c r="F382" s="137" t="str"/>
      <x:c r="G382" s="137" t="str"/>
      <x:c r="H382" s="137" t="str"/>
      <x:c r="I382" s="137" t="str"/>
      <x:c r="J382" s="160" t="str"/>
      <x:c r="K382" s="160" t="str"/>
      <x:c r="L382" s="196" t="str">
        <x:f>IF(OR(J382="",K382=""),"",MOD(K382-J382,1)*1440)</x:f>
      </x:c>
      <x:c r="M382" s="137" t="str"/>
      <x:c r="N382" s="137" t="str"/>
      <x:c r="O382" s="137" t="str"/>
      <x:c r="P382" s="137" t="str"/>
      <x:c r="Q382" s="137" t="str"/>
      <x:c r="R382" s="137" t="str"/>
      <x:c r="S382" s="137" t="str"/>
      <x:c r="T382" s="138" t="str"/>
      <x:c r="U382" s="138" t="str"/>
      <x:c r="V382" s="137" t="str"/>
      <x:c r="W382" s="137" t="str"/>
      <x:c r="X382" s="199" t="str"/>
    </x:row>
    <x:row r="383">
      <x:c r="A383" s="137" t="str"/>
      <x:c r="B383" s="138" t="str"/>
      <x:c r="C383" s="137" t="str"/>
      <x:c r="D383" s="137" t="str"/>
      <x:c r="E383" s="137" t="str"/>
      <x:c r="F383" s="137" t="str"/>
      <x:c r="G383" s="137" t="str"/>
      <x:c r="H383" s="137" t="str"/>
      <x:c r="I383" s="137" t="str"/>
      <x:c r="J383" s="160" t="str"/>
      <x:c r="K383" s="160" t="str"/>
      <x:c r="L383" s="196" t="str">
        <x:f>IF(OR(J383="",K383=""),"",MOD(K383-J383,1)*1440)</x:f>
      </x:c>
      <x:c r="M383" s="137" t="str"/>
      <x:c r="N383" s="137" t="str"/>
      <x:c r="O383" s="137" t="str"/>
      <x:c r="P383" s="137" t="str"/>
      <x:c r="Q383" s="137" t="str"/>
      <x:c r="R383" s="137" t="str"/>
      <x:c r="S383" s="137" t="str"/>
      <x:c r="T383" s="138" t="str"/>
      <x:c r="U383" s="138" t="str"/>
      <x:c r="V383" s="137" t="str"/>
      <x:c r="W383" s="137" t="str"/>
      <x:c r="X383" s="199" t="str"/>
    </x:row>
    <x:row r="384">
      <x:c r="A384" s="137" t="str"/>
      <x:c r="B384" s="138" t="str"/>
      <x:c r="C384" s="137" t="str"/>
      <x:c r="D384" s="137" t="str"/>
      <x:c r="E384" s="137" t="str"/>
      <x:c r="F384" s="137" t="str"/>
      <x:c r="G384" s="137" t="str"/>
      <x:c r="H384" s="137" t="str"/>
      <x:c r="I384" s="137" t="str"/>
      <x:c r="J384" s="160" t="str"/>
      <x:c r="K384" s="160" t="str"/>
      <x:c r="L384" s="196" t="str">
        <x:f>IF(OR(J384="",K384=""),"",MOD(K384-J384,1)*1440)</x:f>
      </x:c>
      <x:c r="M384" s="137" t="str"/>
      <x:c r="N384" s="137" t="str"/>
      <x:c r="O384" s="137" t="str"/>
      <x:c r="P384" s="137" t="str"/>
      <x:c r="Q384" s="137" t="str"/>
      <x:c r="R384" s="137" t="str"/>
      <x:c r="S384" s="137" t="str"/>
      <x:c r="T384" s="138" t="str"/>
      <x:c r="U384" s="138" t="str"/>
      <x:c r="V384" s="137" t="str"/>
      <x:c r="W384" s="137" t="str"/>
      <x:c r="X384" s="199" t="str"/>
    </x:row>
    <x:row r="385">
      <x:c r="A385" s="137" t="str"/>
      <x:c r="B385" s="138" t="str"/>
      <x:c r="C385" s="137" t="str"/>
      <x:c r="D385" s="137" t="str"/>
      <x:c r="E385" s="137" t="str"/>
      <x:c r="F385" s="137" t="str"/>
      <x:c r="G385" s="137" t="str"/>
      <x:c r="H385" s="137" t="str"/>
      <x:c r="I385" s="137" t="str"/>
      <x:c r="J385" s="160" t="str"/>
      <x:c r="K385" s="160" t="str"/>
      <x:c r="L385" s="196" t="str">
        <x:f>IF(OR(J385="",K385=""),"",MOD(K385-J385,1)*1440)</x:f>
      </x:c>
      <x:c r="M385" s="137" t="str"/>
      <x:c r="N385" s="137" t="str"/>
      <x:c r="O385" s="137" t="str"/>
      <x:c r="P385" s="137" t="str"/>
      <x:c r="Q385" s="137" t="str"/>
      <x:c r="R385" s="137" t="str"/>
      <x:c r="S385" s="137" t="str"/>
      <x:c r="T385" s="138" t="str"/>
      <x:c r="U385" s="138" t="str"/>
      <x:c r="V385" s="137" t="str"/>
      <x:c r="W385" s="137" t="str"/>
      <x:c r="X385" s="199" t="str"/>
    </x:row>
    <x:row r="386">
      <x:c r="A386" s="137" t="str"/>
      <x:c r="B386" s="138" t="str"/>
      <x:c r="C386" s="137" t="str"/>
      <x:c r="D386" s="137" t="str"/>
      <x:c r="E386" s="137" t="str"/>
      <x:c r="F386" s="137" t="str"/>
      <x:c r="G386" s="137" t="str"/>
      <x:c r="H386" s="137" t="str"/>
      <x:c r="I386" s="137" t="str"/>
      <x:c r="J386" s="160" t="str"/>
      <x:c r="K386" s="160" t="str"/>
      <x:c r="L386" s="196" t="str">
        <x:f>IF(OR(J386="",K386=""),"",MOD(K386-J386,1)*1440)</x:f>
      </x:c>
      <x:c r="M386" s="137" t="str"/>
      <x:c r="N386" s="137" t="str"/>
      <x:c r="O386" s="137" t="str"/>
      <x:c r="P386" s="137" t="str"/>
      <x:c r="Q386" s="137" t="str"/>
      <x:c r="R386" s="137" t="str"/>
      <x:c r="S386" s="137" t="str"/>
      <x:c r="T386" s="138" t="str"/>
      <x:c r="U386" s="138" t="str"/>
      <x:c r="V386" s="137" t="str"/>
      <x:c r="W386" s="137" t="str"/>
      <x:c r="X386" s="199" t="str"/>
    </x:row>
    <x:row r="387">
      <x:c r="A387" s="137" t="str"/>
      <x:c r="B387" s="138" t="str"/>
      <x:c r="C387" s="137" t="str"/>
      <x:c r="D387" s="137" t="str"/>
      <x:c r="E387" s="137" t="str"/>
      <x:c r="F387" s="137" t="str"/>
      <x:c r="G387" s="137" t="str"/>
      <x:c r="H387" s="137" t="str"/>
      <x:c r="I387" s="137" t="str"/>
      <x:c r="J387" s="160" t="str"/>
      <x:c r="K387" s="160" t="str"/>
      <x:c r="L387" s="196" t="str">
        <x:f>IF(OR(J387="",K387=""),"",MOD(K387-J387,1)*1440)</x:f>
      </x:c>
      <x:c r="M387" s="137" t="str"/>
      <x:c r="N387" s="137" t="str"/>
      <x:c r="O387" s="137" t="str"/>
      <x:c r="P387" s="137" t="str"/>
      <x:c r="Q387" s="137" t="str"/>
      <x:c r="R387" s="137" t="str"/>
      <x:c r="S387" s="137" t="str"/>
      <x:c r="T387" s="138" t="str"/>
      <x:c r="U387" s="138" t="str"/>
      <x:c r="V387" s="137" t="str"/>
      <x:c r="W387" s="137" t="str"/>
      <x:c r="X387" s="199" t="str"/>
    </x:row>
    <x:row r="388">
      <x:c r="A388" s="137" t="str"/>
      <x:c r="B388" s="138" t="str"/>
      <x:c r="C388" s="137" t="str"/>
      <x:c r="D388" s="137" t="str"/>
      <x:c r="E388" s="137" t="str"/>
      <x:c r="F388" s="137" t="str"/>
      <x:c r="G388" s="137" t="str"/>
      <x:c r="H388" s="137" t="str"/>
      <x:c r="I388" s="137" t="str"/>
      <x:c r="J388" s="160" t="str"/>
      <x:c r="K388" s="160" t="str"/>
      <x:c r="L388" s="196" t="str">
        <x:f>IF(OR(J388="",K388=""),"",MOD(K388-J388,1)*1440)</x:f>
      </x:c>
      <x:c r="M388" s="137" t="str"/>
      <x:c r="N388" s="137" t="str"/>
      <x:c r="O388" s="137" t="str"/>
      <x:c r="P388" s="137" t="str"/>
      <x:c r="Q388" s="137" t="str"/>
      <x:c r="R388" s="137" t="str"/>
      <x:c r="S388" s="137" t="str"/>
      <x:c r="T388" s="138" t="str"/>
      <x:c r="U388" s="138" t="str"/>
      <x:c r="V388" s="137" t="str"/>
      <x:c r="W388" s="137" t="str"/>
      <x:c r="X388" s="199" t="str"/>
    </x:row>
    <x:row r="389">
      <x:c r="A389" s="137" t="str"/>
      <x:c r="B389" s="138" t="str"/>
      <x:c r="C389" s="137" t="str"/>
      <x:c r="D389" s="137" t="str"/>
      <x:c r="E389" s="137" t="str"/>
      <x:c r="F389" s="137" t="str"/>
      <x:c r="G389" s="137" t="str"/>
      <x:c r="H389" s="137" t="str"/>
      <x:c r="I389" s="137" t="str"/>
      <x:c r="J389" s="160" t="str"/>
      <x:c r="K389" s="160" t="str"/>
      <x:c r="L389" s="196" t="str">
        <x:f>IF(OR(J389="",K389=""),"",MOD(K389-J389,1)*1440)</x:f>
      </x:c>
      <x:c r="M389" s="137" t="str"/>
      <x:c r="N389" s="137" t="str"/>
      <x:c r="O389" s="137" t="str"/>
      <x:c r="P389" s="137" t="str"/>
      <x:c r="Q389" s="137" t="str"/>
      <x:c r="R389" s="137" t="str"/>
      <x:c r="S389" s="137" t="str"/>
      <x:c r="T389" s="138" t="str"/>
      <x:c r="U389" s="138" t="str"/>
      <x:c r="V389" s="137" t="str"/>
      <x:c r="W389" s="137" t="str"/>
      <x:c r="X389" s="199" t="str"/>
    </x:row>
    <x:row r="390">
      <x:c r="A390" s="137" t="str"/>
      <x:c r="B390" s="138" t="str"/>
      <x:c r="C390" s="137" t="str"/>
      <x:c r="D390" s="137" t="str"/>
      <x:c r="E390" s="137" t="str"/>
      <x:c r="F390" s="137" t="str"/>
      <x:c r="G390" s="137" t="str"/>
      <x:c r="H390" s="137" t="str"/>
      <x:c r="I390" s="137" t="str"/>
      <x:c r="J390" s="160" t="str"/>
      <x:c r="K390" s="160" t="str"/>
      <x:c r="L390" s="196" t="str">
        <x:f>IF(OR(J390="",K390=""),"",MOD(K390-J390,1)*1440)</x:f>
      </x:c>
      <x:c r="M390" s="137" t="str"/>
      <x:c r="N390" s="137" t="str"/>
      <x:c r="O390" s="137" t="str"/>
      <x:c r="P390" s="137" t="str"/>
      <x:c r="Q390" s="137" t="str"/>
      <x:c r="R390" s="137" t="str"/>
      <x:c r="S390" s="137" t="str"/>
      <x:c r="T390" s="138" t="str"/>
      <x:c r="U390" s="138" t="str"/>
      <x:c r="V390" s="137" t="str"/>
      <x:c r="W390" s="137" t="str"/>
      <x:c r="X390" s="199" t="str"/>
    </x:row>
    <x:row r="391">
      <x:c r="A391" s="137" t="str"/>
      <x:c r="B391" s="138" t="str"/>
      <x:c r="C391" s="137" t="str"/>
      <x:c r="D391" s="137" t="str"/>
      <x:c r="E391" s="137" t="str"/>
      <x:c r="F391" s="137" t="str"/>
      <x:c r="G391" s="137" t="str"/>
      <x:c r="H391" s="137" t="str"/>
      <x:c r="I391" s="137" t="str"/>
      <x:c r="J391" s="160" t="str"/>
      <x:c r="K391" s="160" t="str"/>
      <x:c r="L391" s="196" t="str">
        <x:f>IF(OR(J391="",K391=""),"",MOD(K391-J391,1)*1440)</x:f>
      </x:c>
      <x:c r="M391" s="137" t="str"/>
      <x:c r="N391" s="137" t="str"/>
      <x:c r="O391" s="137" t="str"/>
      <x:c r="P391" s="137" t="str"/>
      <x:c r="Q391" s="137" t="str"/>
      <x:c r="R391" s="137" t="str"/>
      <x:c r="S391" s="137" t="str"/>
      <x:c r="T391" s="138" t="str"/>
      <x:c r="U391" s="138" t="str"/>
      <x:c r="V391" s="137" t="str"/>
      <x:c r="W391" s="137" t="str"/>
      <x:c r="X391" s="199" t="str"/>
    </x:row>
    <x:row r="392">
      <x:c r="A392" s="137" t="str"/>
      <x:c r="B392" s="138" t="str"/>
      <x:c r="C392" s="137" t="str"/>
      <x:c r="D392" s="137" t="str"/>
      <x:c r="E392" s="137" t="str"/>
      <x:c r="F392" s="137" t="str"/>
      <x:c r="G392" s="137" t="str"/>
      <x:c r="H392" s="137" t="str"/>
      <x:c r="I392" s="137" t="str"/>
      <x:c r="J392" s="160" t="str"/>
      <x:c r="K392" s="160" t="str"/>
      <x:c r="L392" s="196" t="str">
        <x:f>IF(OR(J392="",K392=""),"",MOD(K392-J392,1)*1440)</x:f>
      </x:c>
      <x:c r="M392" s="137" t="str"/>
      <x:c r="N392" s="137" t="str"/>
      <x:c r="O392" s="137" t="str"/>
      <x:c r="P392" s="137" t="str"/>
      <x:c r="Q392" s="137" t="str"/>
      <x:c r="R392" s="137" t="str"/>
      <x:c r="S392" s="137" t="str"/>
      <x:c r="T392" s="138" t="str"/>
      <x:c r="U392" s="138" t="str"/>
      <x:c r="V392" s="137" t="str"/>
      <x:c r="W392" s="137" t="str"/>
      <x:c r="X392" s="199" t="str"/>
    </x:row>
    <x:row r="393">
      <x:c r="A393" s="137" t="str"/>
      <x:c r="B393" s="138" t="str"/>
      <x:c r="C393" s="137" t="str"/>
      <x:c r="D393" s="137" t="str"/>
      <x:c r="E393" s="137" t="str"/>
      <x:c r="F393" s="137" t="str"/>
      <x:c r="G393" s="137" t="str"/>
      <x:c r="H393" s="137" t="str"/>
      <x:c r="I393" s="137" t="str"/>
      <x:c r="J393" s="160" t="str"/>
      <x:c r="K393" s="160" t="str"/>
      <x:c r="L393" s="196" t="str">
        <x:f>IF(OR(J393="",K393=""),"",MOD(K393-J393,1)*1440)</x:f>
      </x:c>
      <x:c r="M393" s="137" t="str"/>
      <x:c r="N393" s="137" t="str"/>
      <x:c r="O393" s="137" t="str"/>
      <x:c r="P393" s="137" t="str"/>
      <x:c r="Q393" s="137" t="str"/>
      <x:c r="R393" s="137" t="str"/>
      <x:c r="S393" s="137" t="str"/>
      <x:c r="T393" s="138" t="str"/>
      <x:c r="U393" s="138" t="str"/>
      <x:c r="V393" s="137" t="str"/>
      <x:c r="W393" s="137" t="str"/>
      <x:c r="X393" s="199" t="str"/>
    </x:row>
    <x:row r="394">
      <x:c r="A394" s="137" t="str"/>
      <x:c r="B394" s="138" t="str"/>
      <x:c r="C394" s="137" t="str"/>
      <x:c r="D394" s="137" t="str"/>
      <x:c r="E394" s="137" t="str"/>
      <x:c r="F394" s="137" t="str"/>
      <x:c r="G394" s="137" t="str"/>
      <x:c r="H394" s="137" t="str"/>
      <x:c r="I394" s="137" t="str"/>
      <x:c r="J394" s="160" t="str"/>
      <x:c r="K394" s="160" t="str"/>
      <x:c r="L394" s="196" t="str">
        <x:f>IF(OR(J394="",K394=""),"",MOD(K394-J394,1)*1440)</x:f>
      </x:c>
      <x:c r="M394" s="137" t="str"/>
      <x:c r="N394" s="137" t="str"/>
      <x:c r="O394" s="137" t="str"/>
      <x:c r="P394" s="137" t="str"/>
      <x:c r="Q394" s="137" t="str"/>
      <x:c r="R394" s="137" t="str"/>
      <x:c r="S394" s="137" t="str"/>
      <x:c r="T394" s="138" t="str"/>
      <x:c r="U394" s="138" t="str"/>
      <x:c r="V394" s="137" t="str"/>
      <x:c r="W394" s="137" t="str"/>
      <x:c r="X394" s="199" t="str"/>
    </x:row>
    <x:row r="395">
      <x:c r="A395" s="137" t="str"/>
      <x:c r="B395" s="138" t="str"/>
      <x:c r="C395" s="137" t="str"/>
      <x:c r="D395" s="137" t="str"/>
      <x:c r="E395" s="137" t="str"/>
      <x:c r="F395" s="137" t="str"/>
      <x:c r="G395" s="137" t="str"/>
      <x:c r="H395" s="137" t="str"/>
      <x:c r="I395" s="137" t="str"/>
      <x:c r="J395" s="160" t="str"/>
      <x:c r="K395" s="160" t="str"/>
      <x:c r="L395" s="196" t="str">
        <x:f>IF(OR(J395="",K395=""),"",MOD(K395-J395,1)*1440)</x:f>
      </x:c>
      <x:c r="M395" s="137" t="str"/>
      <x:c r="N395" s="137" t="str"/>
      <x:c r="O395" s="137" t="str"/>
      <x:c r="P395" s="137" t="str"/>
      <x:c r="Q395" s="137" t="str"/>
      <x:c r="R395" s="137" t="str"/>
      <x:c r="S395" s="137" t="str"/>
      <x:c r="T395" s="138" t="str"/>
      <x:c r="U395" s="138" t="str"/>
      <x:c r="V395" s="137" t="str"/>
      <x:c r="W395" s="137" t="str"/>
      <x:c r="X395" s="199" t="str"/>
    </x:row>
    <x:row r="396">
      <x:c r="A396" s="137" t="str"/>
      <x:c r="B396" s="138" t="str"/>
      <x:c r="C396" s="137" t="str"/>
      <x:c r="D396" s="137" t="str"/>
      <x:c r="E396" s="137" t="str"/>
      <x:c r="F396" s="137" t="str"/>
      <x:c r="G396" s="137" t="str"/>
      <x:c r="H396" s="137" t="str"/>
      <x:c r="I396" s="137" t="str"/>
      <x:c r="J396" s="160" t="str"/>
      <x:c r="K396" s="160" t="str"/>
      <x:c r="L396" s="196" t="str">
        <x:f>IF(OR(J396="",K396=""),"",MOD(K396-J396,1)*1440)</x:f>
      </x:c>
      <x:c r="M396" s="137" t="str"/>
      <x:c r="N396" s="137" t="str"/>
      <x:c r="O396" s="137" t="str"/>
      <x:c r="P396" s="137" t="str"/>
      <x:c r="Q396" s="137" t="str"/>
      <x:c r="R396" s="137" t="str"/>
      <x:c r="S396" s="137" t="str"/>
      <x:c r="T396" s="138" t="str"/>
      <x:c r="U396" s="138" t="str"/>
      <x:c r="V396" s="137" t="str"/>
      <x:c r="W396" s="137" t="str"/>
      <x:c r="X396" s="199" t="str"/>
    </x:row>
    <x:row r="397">
      <x:c r="A397" s="137" t="str"/>
      <x:c r="B397" s="138" t="str"/>
      <x:c r="C397" s="137" t="str"/>
      <x:c r="D397" s="137" t="str"/>
      <x:c r="E397" s="137" t="str"/>
      <x:c r="F397" s="137" t="str"/>
      <x:c r="G397" s="137" t="str"/>
      <x:c r="H397" s="137" t="str"/>
      <x:c r="I397" s="137" t="str"/>
      <x:c r="J397" s="160" t="str"/>
      <x:c r="K397" s="160" t="str"/>
      <x:c r="L397" s="196" t="str">
        <x:f>IF(OR(J397="",K397=""),"",MOD(K397-J397,1)*1440)</x:f>
      </x:c>
      <x:c r="M397" s="137" t="str"/>
      <x:c r="N397" s="137" t="str"/>
      <x:c r="O397" s="137" t="str"/>
      <x:c r="P397" s="137" t="str"/>
      <x:c r="Q397" s="137" t="str"/>
      <x:c r="R397" s="137" t="str"/>
      <x:c r="S397" s="137" t="str"/>
      <x:c r="T397" s="138" t="str"/>
      <x:c r="U397" s="138" t="str"/>
      <x:c r="V397" s="137" t="str"/>
      <x:c r="W397" s="137" t="str"/>
      <x:c r="X397" s="199" t="str"/>
    </x:row>
    <x:row r="398">
      <x:c r="A398" s="137" t="str"/>
      <x:c r="B398" s="138" t="str"/>
      <x:c r="C398" s="137" t="str"/>
      <x:c r="D398" s="137" t="str"/>
      <x:c r="E398" s="137" t="str"/>
      <x:c r="F398" s="137" t="str"/>
      <x:c r="G398" s="137" t="str"/>
      <x:c r="H398" s="137" t="str"/>
      <x:c r="I398" s="137" t="str"/>
      <x:c r="J398" s="160" t="str"/>
      <x:c r="K398" s="160" t="str"/>
      <x:c r="L398" s="196" t="str">
        <x:f>IF(OR(J398="",K398=""),"",MOD(K398-J398,1)*1440)</x:f>
      </x:c>
      <x:c r="M398" s="137" t="str"/>
      <x:c r="N398" s="137" t="str"/>
      <x:c r="O398" s="137" t="str"/>
      <x:c r="P398" s="137" t="str"/>
      <x:c r="Q398" s="137" t="str"/>
      <x:c r="R398" s="137" t="str"/>
      <x:c r="S398" s="137" t="str"/>
      <x:c r="T398" s="138" t="str"/>
      <x:c r="U398" s="138" t="str"/>
      <x:c r="V398" s="137" t="str"/>
      <x:c r="W398" s="137" t="str"/>
      <x:c r="X398" s="199" t="str"/>
    </x:row>
    <x:row r="399">
      <x:c r="A399" s="137" t="str"/>
      <x:c r="B399" s="138" t="str"/>
      <x:c r="C399" s="137" t="str"/>
      <x:c r="D399" s="137" t="str"/>
      <x:c r="E399" s="137" t="str"/>
      <x:c r="F399" s="137" t="str"/>
      <x:c r="G399" s="137" t="str"/>
      <x:c r="H399" s="137" t="str"/>
      <x:c r="I399" s="137" t="str"/>
      <x:c r="J399" s="160" t="str"/>
      <x:c r="K399" s="160" t="str"/>
      <x:c r="L399" s="196" t="str">
        <x:f>IF(OR(J399="",K399=""),"",MOD(K399-J399,1)*1440)</x:f>
      </x:c>
      <x:c r="M399" s="137" t="str"/>
      <x:c r="N399" s="137" t="str"/>
      <x:c r="O399" s="137" t="str"/>
      <x:c r="P399" s="137" t="str"/>
      <x:c r="Q399" s="137" t="str"/>
      <x:c r="R399" s="137" t="str"/>
      <x:c r="S399" s="137" t="str"/>
      <x:c r="T399" s="138" t="str"/>
      <x:c r="U399" s="138" t="str"/>
      <x:c r="V399" s="137" t="str"/>
      <x:c r="W399" s="137" t="str"/>
      <x:c r="X399" s="199" t="str"/>
    </x:row>
    <x:row r="400">
      <x:c r="A400" s="137" t="str"/>
      <x:c r="B400" s="138" t="str"/>
      <x:c r="C400" s="137" t="str"/>
      <x:c r="D400" s="137" t="str"/>
      <x:c r="E400" s="137" t="str"/>
      <x:c r="F400" s="137" t="str"/>
      <x:c r="G400" s="137" t="str"/>
      <x:c r="H400" s="137" t="str"/>
      <x:c r="I400" s="137" t="str"/>
      <x:c r="J400" s="160" t="str"/>
      <x:c r="K400" s="160" t="str"/>
      <x:c r="L400" s="196" t="str">
        <x:f>IF(OR(J400="",K400=""),"",MOD(K400-J400,1)*1440)</x:f>
      </x:c>
      <x:c r="M400" s="137" t="str"/>
      <x:c r="N400" s="137" t="str"/>
      <x:c r="O400" s="137" t="str"/>
      <x:c r="P400" s="137" t="str"/>
      <x:c r="Q400" s="137" t="str"/>
      <x:c r="R400" s="137" t="str"/>
      <x:c r="S400" s="137" t="str"/>
      <x:c r="T400" s="138" t="str"/>
      <x:c r="U400" s="138" t="str"/>
      <x:c r="V400" s="137" t="str"/>
      <x:c r="W400" s="137" t="str"/>
      <x:c r="X400" s="199" t="str"/>
    </x:row>
    <x:row r="401">
      <x:c r="A401" s="137" t="str"/>
      <x:c r="B401" s="138" t="str"/>
      <x:c r="C401" s="137" t="str"/>
      <x:c r="D401" s="137" t="str"/>
      <x:c r="E401" s="137" t="str"/>
      <x:c r="F401" s="137" t="str"/>
      <x:c r="G401" s="137" t="str"/>
      <x:c r="H401" s="137" t="str"/>
      <x:c r="I401" s="137" t="str"/>
      <x:c r="J401" s="160" t="str"/>
      <x:c r="K401" s="160" t="str"/>
      <x:c r="L401" s="196" t="str">
        <x:f>IF(OR(J401="",K401=""),"",MOD(K401-J401,1)*1440)</x:f>
      </x:c>
      <x:c r="M401" s="137" t="str"/>
      <x:c r="N401" s="137" t="str"/>
      <x:c r="O401" s="137" t="str"/>
      <x:c r="P401" s="137" t="str"/>
      <x:c r="Q401" s="137" t="str"/>
      <x:c r="R401" s="137" t="str"/>
      <x:c r="S401" s="137" t="str"/>
      <x:c r="T401" s="138" t="str"/>
      <x:c r="U401" s="138" t="str"/>
      <x:c r="V401" s="137" t="str"/>
      <x:c r="W401" s="137" t="str"/>
      <x:c r="X401" s="199" t="str"/>
    </x:row>
    <x:row r="402">
      <x:c r="A402" s="137" t="str"/>
      <x:c r="B402" s="138" t="str"/>
      <x:c r="C402" s="137" t="str"/>
      <x:c r="D402" s="137" t="str"/>
      <x:c r="E402" s="137" t="str"/>
      <x:c r="F402" s="137" t="str"/>
      <x:c r="G402" s="137" t="str"/>
      <x:c r="H402" s="137" t="str"/>
      <x:c r="I402" s="137" t="str"/>
      <x:c r="J402" s="160" t="str"/>
      <x:c r="K402" s="160" t="str"/>
      <x:c r="L402" s="196" t="str">
        <x:f>IF(OR(J402="",K402=""),"",MOD(K402-J402,1)*1440)</x:f>
      </x:c>
      <x:c r="M402" s="137" t="str"/>
      <x:c r="N402" s="137" t="str"/>
      <x:c r="O402" s="137" t="str"/>
      <x:c r="P402" s="137" t="str"/>
      <x:c r="Q402" s="137" t="str"/>
      <x:c r="R402" s="137" t="str"/>
      <x:c r="S402" s="137" t="str"/>
      <x:c r="T402" s="138" t="str"/>
      <x:c r="U402" s="138" t="str"/>
      <x:c r="V402" s="137" t="str"/>
      <x:c r="W402" s="137" t="str"/>
      <x:c r="X402" s="199" t="str"/>
    </x:row>
    <x:row r="403">
      <x:c r="A403" s="137" t="str"/>
      <x:c r="B403" s="138" t="str"/>
      <x:c r="C403" s="137" t="str"/>
      <x:c r="D403" s="137" t="str"/>
      <x:c r="E403" s="137" t="str"/>
      <x:c r="F403" s="137" t="str"/>
      <x:c r="G403" s="137" t="str"/>
      <x:c r="H403" s="137" t="str"/>
      <x:c r="I403" s="137" t="str"/>
      <x:c r="J403" s="160" t="str"/>
      <x:c r="K403" s="160" t="str"/>
      <x:c r="L403" s="196" t="str">
        <x:f>IF(OR(J403="",K403=""),"",MOD(K403-J403,1)*1440)</x:f>
      </x:c>
      <x:c r="M403" s="137" t="str"/>
      <x:c r="N403" s="137" t="str"/>
      <x:c r="O403" s="137" t="str"/>
      <x:c r="P403" s="137" t="str"/>
      <x:c r="Q403" s="137" t="str"/>
      <x:c r="R403" s="137" t="str"/>
      <x:c r="S403" s="137" t="str"/>
      <x:c r="T403" s="138" t="str"/>
      <x:c r="U403" s="138" t="str"/>
      <x:c r="V403" s="137" t="str"/>
      <x:c r="W403" s="137" t="str"/>
      <x:c r="X403" s="199" t="str"/>
    </x:row>
    <x:row r="404">
      <x:c r="A404" s="139" t="str"/>
      <x:c r="B404" s="145" t="str"/>
      <x:c r="C404" s="139" t="str"/>
      <x:c r="D404" s="139" t="str"/>
      <x:c r="E404" s="139" t="str"/>
      <x:c r="F404" s="139" t="str"/>
      <x:c r="G404" s="139" t="str"/>
      <x:c r="H404" s="139" t="str"/>
      <x:c r="I404" s="139" t="str"/>
      <x:c r="J404" s="162" t="str"/>
      <x:c r="K404" s="162" t="str"/>
      <x:c r="L404" s="197" t="str">
        <x:f>IF(OR(J404="",K404=""),"",MOD(K404-J404,1)*1440)</x:f>
      </x:c>
      <x:c r="M404" s="139" t="str"/>
      <x:c r="N404" s="139" t="str"/>
      <x:c r="O404" s="139" t="str"/>
      <x:c r="P404" s="139" t="str"/>
      <x:c r="Q404" s="139" t="str"/>
      <x:c r="R404" s="139" t="str"/>
      <x:c r="S404" s="139" t="str"/>
      <x:c r="T404" s="145" t="str"/>
      <x:c r="U404" s="145" t="str"/>
      <x:c r="V404" s="139" t="str"/>
      <x:c r="W404" s="139" t="str"/>
      <x:c r="X404" s="200" t="str"/>
    </x:row>
  </x:sheetData>
  <x:mergeCells>
    <x:mergeCell ref="A1:X1"/>
    <x:mergeCell ref="A2:X2"/>
    <x:mergeCell ref="A3:X3"/>
  </x:mergeCells>
  <x:dataValidations count="5">
    <x:dataValidation type="list" sqref="C5:C404">
      <x:formula1>"General,A,B,C"</x:formula1>
    </x:dataValidation>
    <x:dataValidation type="list" sqref="D5:D404">
      <x:formula1>'Lists - Do Not Edit'!$A$2:$A$14</x:formula1>
    </x:dataValidation>
    <x:dataValidation type="list" sqref="H5:H404">
      <x:formula1>"Breakdown,Power,Mould Change,Material Shortage,Labour Shortage,Quality Hold,Planned Maintenance,No Plan,Other"</x:formula1>
    </x:dataValidation>
    <x:dataValidation type="list" sqref="I5:I404">
      <x:formula1>"Planned,Unplanned"</x:formula1>
    </x:dataValidation>
    <x:dataValidation type="list" sqref="S5:S404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603bd2740640b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26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4" hidden="0" customWidth="1"/>
    <x:col min="13" max="13" width="20" hidden="0" customWidth="1"/>
    <x:col min="14" max="14" width="20" hidden="0" customWidth="1"/>
    <x:col min="15" max="15" width="20" hidden="0" customWidth="1"/>
    <x:col min="16" max="16" width="16" hidden="0" customWidth="1"/>
    <x:col min="17" max="17" width="22" hidden="0" customWidth="1"/>
    <x:col min="18" max="18" width="22" hidden="0" customWidth="1"/>
    <x:col min="19" max="19" width="24" hidden="0" customWidth="1"/>
    <x:col min="20" max="20" width="24" hidden="0" customWidth="1"/>
    <x:col min="21" max="21" width="16" hidden="0" customWidth="1"/>
    <x:col min="22" max="22" width="36" hidden="0" customWidth="1"/>
    <x:col min="23" max="23" width="20" hidden="0" customWidth="1"/>
    <x:col min="24" max="24" width="20" hidden="0" customWidth="1"/>
  </x:cols>
  <x:sheetData>
    <x:row r="1" ht="30" customHeight="1">
      <x:c r="A1" s="140" t="str">
        <x:v>Packing Reports &amp; Dispatch Events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  <x:c r="U1" s="122"/>
      <x:c r="V1" s="122"/>
      <x:c r="W1" s="122"/>
      <x:c r="X1" s="122"/>
    </x:row>
    <x:row r="2" ht="34" customHeight="1">
      <x:c r="A2" s="123" t="str">
        <x:v>Record packing and dispatch separately. Partial, full and shortage closure must remain distinct so pending order quantity is calculated correctly.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  <x:c r="W2" s="123"/>
      <x:c r="X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  <x:c r="T3" s="124"/>
      <x:c r="U3" s="124"/>
      <x:c r="V3" s="124"/>
      <x:c r="W3" s="124"/>
      <x:c r="X3" s="124"/>
    </x:row>
    <x:row r="4" ht="34" customHeight="1">
      <x:c r="A4" s="141" t="str">
        <x:v>Event ID</x:v>
      </x:c>
      <x:c r="B4" s="142" t="str">
        <x:v>Packing Date</x:v>
      </x:c>
      <x:c r="C4" s="142" t="str">
        <x:v>Dispatch Date</x:v>
      </x:c>
      <x:c r="D4" s="142" t="str">
        <x:v>PI No</x:v>
      </x:c>
      <x:c r="E4" s="142" t="str">
        <x:v>Order ID</x:v>
      </x:c>
      <x:c r="F4" s="142" t="str">
        <x:v>Customer</x:v>
      </x:c>
      <x:c r="G4" s="142" t="str">
        <x:v>Article Code</x:v>
      </x:c>
      <x:c r="H4" s="142" t="str">
        <x:v>Article Type</x:v>
      </x:c>
      <x:c r="I4" s="142" t="str">
        <x:v>Size / Range</x:v>
      </x:c>
      <x:c r="J4" s="142" t="str">
        <x:v>Pairs Packed</x:v>
      </x:c>
      <x:c r="K4" s="142" t="str">
        <x:v>Pairs / Carton</x:v>
      </x:c>
      <x:c r="L4" s="142" t="str">
        <x:v>Cartons</x:v>
      </x:c>
      <x:c r="M4" s="142" t="str">
        <x:v>Pairs Dispatched</x:v>
      </x:c>
      <x:c r="N4" s="142" t="str">
        <x:v>Dispatch Status</x:v>
      </x:c>
      <x:c r="O4" s="142" t="str">
        <x:v>Shortage Pairs Closed</x:v>
      </x:c>
      <x:c r="P4" s="142" t="str">
        <x:v>Close Order?</x:v>
      </x:c>
      <x:c r="Q4" s="142" t="str">
        <x:v>Packing Report No</x:v>
      </x:c>
      <x:c r="R4" s="142" t="str">
        <x:v>Challan / Invoice No</x:v>
      </x:c>
      <x:c r="S4" s="142" t="str">
        <x:v>Transporter</x:v>
      </x:c>
      <x:c r="T4" s="142" t="str">
        <x:v>Vehicle / Tracking</x:v>
      </x:c>
      <x:c r="U4" s="142" t="str">
        <x:v>Quality Hold</x:v>
      </x:c>
      <x:c r="V4" s="142" t="str">
        <x:v>Reason / Note</x:v>
      </x:c>
      <x:c r="W4" s="142" t="str">
        <x:v>Updated By</x:v>
      </x:c>
      <x:c r="X4" s="143" t="str">
        <x:v>Updated Timestamp</x:v>
      </x:c>
    </x:row>
    <x:row r="5">
      <x:c r="A5" s="136" t="str"/>
      <x:c r="B5" s="144" t="str"/>
      <x:c r="C5" s="144" t="str"/>
      <x:c r="D5" s="136" t="str"/>
      <x:c r="E5" s="136" t="str"/>
      <x:c r="F5" s="136" t="str"/>
      <x:c r="G5" s="136" t="str"/>
      <x:c r="H5" s="136" t="str"/>
      <x:c r="I5" s="136" t="str"/>
      <x:c r="J5" s="147" t="str"/>
      <x:c r="K5" s="147" t="str"/>
      <x:c r="L5" s="148" t="str">
        <x:f>IF(OR(J5="",K5=""),"",ROUNDUP(J5/K5,0))</x:f>
      </x:c>
      <x:c r="M5" s="147" t="str"/>
      <x:c r="N5" s="136" t="str"/>
      <x:c r="O5" s="136" t="str"/>
      <x:c r="P5" s="136" t="str"/>
      <x:c r="Q5" s="136" t="str"/>
      <x:c r="R5" s="136" t="str"/>
      <x:c r="S5" s="136" t="str"/>
      <x:c r="T5" s="136" t="str"/>
      <x:c r="U5" s="136" t="str"/>
      <x:c r="V5" s="136" t="str"/>
      <x:c r="W5" s="136" t="str"/>
      <x:c r="X5" s="198" t="str"/>
    </x:row>
    <x:row r="6">
      <x:c r="A6" s="137" t="str"/>
      <x:c r="B6" s="138" t="str"/>
      <x:c r="C6" s="138" t="str"/>
      <x:c r="D6" s="137" t="str"/>
      <x:c r="E6" s="137" t="str"/>
      <x:c r="F6" s="137" t="str"/>
      <x:c r="G6" s="137" t="str"/>
      <x:c r="H6" s="137" t="str"/>
      <x:c r="I6" s="137" t="str"/>
      <x:c r="J6" s="151" t="str"/>
      <x:c r="K6" s="151" t="str"/>
      <x:c r="L6" s="152" t="str">
        <x:f>IF(OR(J6="",K6=""),"",ROUNDUP(J6/K6,0))</x:f>
      </x:c>
      <x:c r="M6" s="151" t="str"/>
      <x:c r="N6" s="137" t="str"/>
      <x:c r="O6" s="137" t="str"/>
      <x:c r="P6" s="137" t="str"/>
      <x:c r="Q6" s="137" t="str"/>
      <x:c r="R6" s="137" t="str"/>
      <x:c r="S6" s="137" t="str"/>
      <x:c r="T6" s="137" t="str"/>
      <x:c r="U6" s="137" t="str"/>
      <x:c r="V6" s="137" t="str"/>
      <x:c r="W6" s="137" t="str"/>
      <x:c r="X6" s="199" t="str"/>
    </x:row>
    <x:row r="7">
      <x:c r="A7" s="137" t="str"/>
      <x:c r="B7" s="138" t="str"/>
      <x:c r="C7" s="138" t="str"/>
      <x:c r="D7" s="137" t="str"/>
      <x:c r="E7" s="137" t="str"/>
      <x:c r="F7" s="137" t="str"/>
      <x:c r="G7" s="137" t="str"/>
      <x:c r="H7" s="137" t="str"/>
      <x:c r="I7" s="137" t="str"/>
      <x:c r="J7" s="151" t="str"/>
      <x:c r="K7" s="151" t="str"/>
      <x:c r="L7" s="152" t="str">
        <x:f>IF(OR(J7="",K7=""),"",ROUNDUP(J7/K7,0))</x:f>
      </x:c>
      <x:c r="M7" s="151" t="str"/>
      <x:c r="N7" s="137" t="str"/>
      <x:c r="O7" s="137" t="str"/>
      <x:c r="P7" s="137" t="str"/>
      <x:c r="Q7" s="137" t="str"/>
      <x:c r="R7" s="137" t="str"/>
      <x:c r="S7" s="137" t="str"/>
      <x:c r="T7" s="137" t="str"/>
      <x:c r="U7" s="137" t="str"/>
      <x:c r="V7" s="137" t="str"/>
      <x:c r="W7" s="137" t="str"/>
      <x:c r="X7" s="199" t="str"/>
    </x:row>
    <x:row r="8">
      <x:c r="A8" s="137" t="str"/>
      <x:c r="B8" s="138" t="str"/>
      <x:c r="C8" s="138" t="str"/>
      <x:c r="D8" s="137" t="str"/>
      <x:c r="E8" s="137" t="str"/>
      <x:c r="F8" s="137" t="str"/>
      <x:c r="G8" s="137" t="str"/>
      <x:c r="H8" s="137" t="str"/>
      <x:c r="I8" s="137" t="str"/>
      <x:c r="J8" s="151" t="str"/>
      <x:c r="K8" s="151" t="str"/>
      <x:c r="L8" s="152" t="str">
        <x:f>IF(OR(J8="",K8=""),"",ROUNDUP(J8/K8,0))</x:f>
      </x:c>
      <x:c r="M8" s="151" t="str"/>
      <x:c r="N8" s="137" t="str"/>
      <x:c r="O8" s="137" t="str"/>
      <x:c r="P8" s="137" t="str"/>
      <x:c r="Q8" s="137" t="str"/>
      <x:c r="R8" s="137" t="str"/>
      <x:c r="S8" s="137" t="str"/>
      <x:c r="T8" s="137" t="str"/>
      <x:c r="U8" s="137" t="str"/>
      <x:c r="V8" s="137" t="str"/>
      <x:c r="W8" s="137" t="str"/>
      <x:c r="X8" s="199" t="str"/>
    </x:row>
    <x:row r="9">
      <x:c r="A9" s="137" t="str"/>
      <x:c r="B9" s="138" t="str"/>
      <x:c r="C9" s="138" t="str"/>
      <x:c r="D9" s="137" t="str"/>
      <x:c r="E9" s="137" t="str"/>
      <x:c r="F9" s="137" t="str"/>
      <x:c r="G9" s="137" t="str"/>
      <x:c r="H9" s="137" t="str"/>
      <x:c r="I9" s="137" t="str"/>
      <x:c r="J9" s="151" t="str"/>
      <x:c r="K9" s="151" t="str"/>
      <x:c r="L9" s="152" t="str">
        <x:f>IF(OR(J9="",K9=""),"",ROUNDUP(J9/K9,0))</x:f>
      </x:c>
      <x:c r="M9" s="151" t="str"/>
      <x:c r="N9" s="137" t="str"/>
      <x:c r="O9" s="137" t="str"/>
      <x:c r="P9" s="137" t="str"/>
      <x:c r="Q9" s="137" t="str"/>
      <x:c r="R9" s="137" t="str"/>
      <x:c r="S9" s="137" t="str"/>
      <x:c r="T9" s="137" t="str"/>
      <x:c r="U9" s="137" t="str"/>
      <x:c r="V9" s="137" t="str"/>
      <x:c r="W9" s="137" t="str"/>
      <x:c r="X9" s="199" t="str"/>
    </x:row>
    <x:row r="10">
      <x:c r="A10" s="137" t="str"/>
      <x:c r="B10" s="138" t="str"/>
      <x:c r="C10" s="138" t="str"/>
      <x:c r="D10" s="137" t="str"/>
      <x:c r="E10" s="137" t="str"/>
      <x:c r="F10" s="137" t="str"/>
      <x:c r="G10" s="137" t="str"/>
      <x:c r="H10" s="137" t="str"/>
      <x:c r="I10" s="137" t="str"/>
      <x:c r="J10" s="151" t="str"/>
      <x:c r="K10" s="151" t="str"/>
      <x:c r="L10" s="152" t="str">
        <x:f>IF(OR(J10="",K10=""),"",ROUNDUP(J10/K10,0))</x:f>
      </x:c>
      <x:c r="M10" s="151" t="str"/>
      <x:c r="N10" s="137" t="str"/>
      <x:c r="O10" s="137" t="str"/>
      <x:c r="P10" s="137" t="str"/>
      <x:c r="Q10" s="137" t="str"/>
      <x:c r="R10" s="137" t="str"/>
      <x:c r="S10" s="137" t="str"/>
      <x:c r="T10" s="137" t="str"/>
      <x:c r="U10" s="137" t="str"/>
      <x:c r="V10" s="137" t="str"/>
      <x:c r="W10" s="137" t="str"/>
      <x:c r="X10" s="199" t="str"/>
    </x:row>
    <x:row r="11">
      <x:c r="A11" s="137" t="str"/>
      <x:c r="B11" s="138" t="str"/>
      <x:c r="C11" s="138" t="str"/>
      <x:c r="D11" s="137" t="str"/>
      <x:c r="E11" s="137" t="str"/>
      <x:c r="F11" s="137" t="str"/>
      <x:c r="G11" s="137" t="str"/>
      <x:c r="H11" s="137" t="str"/>
      <x:c r="I11" s="137" t="str"/>
      <x:c r="J11" s="151" t="str"/>
      <x:c r="K11" s="151" t="str"/>
      <x:c r="L11" s="152" t="str">
        <x:f>IF(OR(J11="",K11=""),"",ROUNDUP(J11/K11,0))</x:f>
      </x:c>
      <x:c r="M11" s="151" t="str"/>
      <x:c r="N11" s="137" t="str"/>
      <x:c r="O11" s="137" t="str"/>
      <x:c r="P11" s="137" t="str"/>
      <x:c r="Q11" s="137" t="str"/>
      <x:c r="R11" s="137" t="str"/>
      <x:c r="S11" s="137" t="str"/>
      <x:c r="T11" s="137" t="str"/>
      <x:c r="U11" s="137" t="str"/>
      <x:c r="V11" s="137" t="str"/>
      <x:c r="W11" s="137" t="str"/>
      <x:c r="X11" s="199" t="str"/>
    </x:row>
    <x:row r="12">
      <x:c r="A12" s="137" t="str"/>
      <x:c r="B12" s="138" t="str"/>
      <x:c r="C12" s="138" t="str"/>
      <x:c r="D12" s="137" t="str"/>
      <x:c r="E12" s="137" t="str"/>
      <x:c r="F12" s="137" t="str"/>
      <x:c r="G12" s="137" t="str"/>
      <x:c r="H12" s="137" t="str"/>
      <x:c r="I12" s="137" t="str"/>
      <x:c r="J12" s="151" t="str"/>
      <x:c r="K12" s="151" t="str"/>
      <x:c r="L12" s="152" t="str">
        <x:f>IF(OR(J12="",K12=""),"",ROUNDUP(J12/K12,0))</x:f>
      </x:c>
      <x:c r="M12" s="151" t="str"/>
      <x:c r="N12" s="137" t="str"/>
      <x:c r="O12" s="137" t="str"/>
      <x:c r="P12" s="137" t="str"/>
      <x:c r="Q12" s="137" t="str"/>
      <x:c r="R12" s="137" t="str"/>
      <x:c r="S12" s="137" t="str"/>
      <x:c r="T12" s="137" t="str"/>
      <x:c r="U12" s="137" t="str"/>
      <x:c r="V12" s="137" t="str"/>
      <x:c r="W12" s="137" t="str"/>
      <x:c r="X12" s="199" t="str"/>
    </x:row>
    <x:row r="13">
      <x:c r="A13" s="137" t="str"/>
      <x:c r="B13" s="138" t="str"/>
      <x:c r="C13" s="138" t="str"/>
      <x:c r="D13" s="137" t="str"/>
      <x:c r="E13" s="137" t="str"/>
      <x:c r="F13" s="137" t="str"/>
      <x:c r="G13" s="137" t="str"/>
      <x:c r="H13" s="137" t="str"/>
      <x:c r="I13" s="137" t="str"/>
      <x:c r="J13" s="151" t="str"/>
      <x:c r="K13" s="151" t="str"/>
      <x:c r="L13" s="152" t="str">
        <x:f>IF(OR(J13="",K13=""),"",ROUNDUP(J13/K13,0))</x:f>
      </x:c>
      <x:c r="M13" s="151" t="str"/>
      <x:c r="N13" s="137" t="str"/>
      <x:c r="O13" s="137" t="str"/>
      <x:c r="P13" s="137" t="str"/>
      <x:c r="Q13" s="137" t="str"/>
      <x:c r="R13" s="137" t="str"/>
      <x:c r="S13" s="137" t="str"/>
      <x:c r="T13" s="137" t="str"/>
      <x:c r="U13" s="137" t="str"/>
      <x:c r="V13" s="137" t="str"/>
      <x:c r="W13" s="137" t="str"/>
      <x:c r="X13" s="199" t="str"/>
    </x:row>
    <x:row r="14">
      <x:c r="A14" s="137" t="str"/>
      <x:c r="B14" s="138" t="str"/>
      <x:c r="C14" s="138" t="str"/>
      <x:c r="D14" s="137" t="str"/>
      <x:c r="E14" s="137" t="str"/>
      <x:c r="F14" s="137" t="str"/>
      <x:c r="G14" s="137" t="str"/>
      <x:c r="H14" s="137" t="str"/>
      <x:c r="I14" s="137" t="str"/>
      <x:c r="J14" s="151" t="str"/>
      <x:c r="K14" s="151" t="str"/>
      <x:c r="L14" s="152" t="str">
        <x:f>IF(OR(J14="",K14=""),"",ROUNDUP(J14/K14,0))</x:f>
      </x:c>
      <x:c r="M14" s="151" t="str"/>
      <x:c r="N14" s="137" t="str"/>
      <x:c r="O14" s="137" t="str"/>
      <x:c r="P14" s="137" t="str"/>
      <x:c r="Q14" s="137" t="str"/>
      <x:c r="R14" s="137" t="str"/>
      <x:c r="S14" s="137" t="str"/>
      <x:c r="T14" s="137" t="str"/>
      <x:c r="U14" s="137" t="str"/>
      <x:c r="V14" s="137" t="str"/>
      <x:c r="W14" s="137" t="str"/>
      <x:c r="X14" s="199" t="str"/>
    </x:row>
    <x:row r="15">
      <x:c r="A15" s="137" t="str"/>
      <x:c r="B15" s="138" t="str"/>
      <x:c r="C15" s="138" t="str"/>
      <x:c r="D15" s="137" t="str"/>
      <x:c r="E15" s="137" t="str"/>
      <x:c r="F15" s="137" t="str"/>
      <x:c r="G15" s="137" t="str"/>
      <x:c r="H15" s="137" t="str"/>
      <x:c r="I15" s="137" t="str"/>
      <x:c r="J15" s="151" t="str"/>
      <x:c r="K15" s="151" t="str"/>
      <x:c r="L15" s="152" t="str">
        <x:f>IF(OR(J15="",K15=""),"",ROUNDUP(J15/K15,0))</x:f>
      </x:c>
      <x:c r="M15" s="151" t="str"/>
      <x:c r="N15" s="137" t="str"/>
      <x:c r="O15" s="137" t="str"/>
      <x:c r="P15" s="137" t="str"/>
      <x:c r="Q15" s="137" t="str"/>
      <x:c r="R15" s="137" t="str"/>
      <x:c r="S15" s="137" t="str"/>
      <x:c r="T15" s="137" t="str"/>
      <x:c r="U15" s="137" t="str"/>
      <x:c r="V15" s="137" t="str"/>
      <x:c r="W15" s="137" t="str"/>
      <x:c r="X15" s="199" t="str"/>
    </x:row>
    <x:row r="16">
      <x:c r="A16" s="137" t="str"/>
      <x:c r="B16" s="138" t="str"/>
      <x:c r="C16" s="138" t="str"/>
      <x:c r="D16" s="137" t="str"/>
      <x:c r="E16" s="137" t="str"/>
      <x:c r="F16" s="137" t="str"/>
      <x:c r="G16" s="137" t="str"/>
      <x:c r="H16" s="137" t="str"/>
      <x:c r="I16" s="137" t="str"/>
      <x:c r="J16" s="151" t="str"/>
      <x:c r="K16" s="151" t="str"/>
      <x:c r="L16" s="152" t="str">
        <x:f>IF(OR(J16="",K16=""),"",ROUNDUP(J16/K16,0))</x:f>
      </x:c>
      <x:c r="M16" s="151" t="str"/>
      <x:c r="N16" s="137" t="str"/>
      <x:c r="O16" s="137" t="str"/>
      <x:c r="P16" s="137" t="str"/>
      <x:c r="Q16" s="137" t="str"/>
      <x:c r="R16" s="137" t="str"/>
      <x:c r="S16" s="137" t="str"/>
      <x:c r="T16" s="137" t="str"/>
      <x:c r="U16" s="137" t="str"/>
      <x:c r="V16" s="137" t="str"/>
      <x:c r="W16" s="137" t="str"/>
      <x:c r="X16" s="199" t="str"/>
    </x:row>
    <x:row r="17">
      <x:c r="A17" s="137" t="str"/>
      <x:c r="B17" s="138" t="str"/>
      <x:c r="C17" s="138" t="str"/>
      <x:c r="D17" s="137" t="str"/>
      <x:c r="E17" s="137" t="str"/>
      <x:c r="F17" s="137" t="str"/>
      <x:c r="G17" s="137" t="str"/>
      <x:c r="H17" s="137" t="str"/>
      <x:c r="I17" s="137" t="str"/>
      <x:c r="J17" s="151" t="str"/>
      <x:c r="K17" s="151" t="str"/>
      <x:c r="L17" s="152" t="str">
        <x:f>IF(OR(J17="",K17=""),"",ROUNDUP(J17/K17,0))</x:f>
      </x:c>
      <x:c r="M17" s="151" t="str"/>
      <x:c r="N17" s="137" t="str"/>
      <x:c r="O17" s="137" t="str"/>
      <x:c r="P17" s="137" t="str"/>
      <x:c r="Q17" s="137" t="str"/>
      <x:c r="R17" s="137" t="str"/>
      <x:c r="S17" s="137" t="str"/>
      <x:c r="T17" s="137" t="str"/>
      <x:c r="U17" s="137" t="str"/>
      <x:c r="V17" s="137" t="str"/>
      <x:c r="W17" s="137" t="str"/>
      <x:c r="X17" s="199" t="str"/>
    </x:row>
    <x:row r="18">
      <x:c r="A18" s="137" t="str"/>
      <x:c r="B18" s="138" t="str"/>
      <x:c r="C18" s="138" t="str"/>
      <x:c r="D18" s="137" t="str"/>
      <x:c r="E18" s="137" t="str"/>
      <x:c r="F18" s="137" t="str"/>
      <x:c r="G18" s="137" t="str"/>
      <x:c r="H18" s="137" t="str"/>
      <x:c r="I18" s="137" t="str"/>
      <x:c r="J18" s="151" t="str"/>
      <x:c r="K18" s="151" t="str"/>
      <x:c r="L18" s="152" t="str">
        <x:f>IF(OR(J18="",K18=""),"",ROUNDUP(J18/K18,0))</x:f>
      </x:c>
      <x:c r="M18" s="151" t="str"/>
      <x:c r="N18" s="137" t="str"/>
      <x:c r="O18" s="137" t="str"/>
      <x:c r="P18" s="137" t="str"/>
      <x:c r="Q18" s="137" t="str"/>
      <x:c r="R18" s="137" t="str"/>
      <x:c r="S18" s="137" t="str"/>
      <x:c r="T18" s="137" t="str"/>
      <x:c r="U18" s="137" t="str"/>
      <x:c r="V18" s="137" t="str"/>
      <x:c r="W18" s="137" t="str"/>
      <x:c r="X18" s="199" t="str"/>
    </x:row>
    <x:row r="19">
      <x:c r="A19" s="137" t="str"/>
      <x:c r="B19" s="138" t="str"/>
      <x:c r="C19" s="138" t="str"/>
      <x:c r="D19" s="137" t="str"/>
      <x:c r="E19" s="137" t="str"/>
      <x:c r="F19" s="137" t="str"/>
      <x:c r="G19" s="137" t="str"/>
      <x:c r="H19" s="137" t="str"/>
      <x:c r="I19" s="137" t="str"/>
      <x:c r="J19" s="151" t="str"/>
      <x:c r="K19" s="151" t="str"/>
      <x:c r="L19" s="152" t="str">
        <x:f>IF(OR(J19="",K19=""),"",ROUNDUP(J19/K19,0))</x:f>
      </x:c>
      <x:c r="M19" s="151" t="str"/>
      <x:c r="N19" s="137" t="str"/>
      <x:c r="O19" s="137" t="str"/>
      <x:c r="P19" s="137" t="str"/>
      <x:c r="Q19" s="137" t="str"/>
      <x:c r="R19" s="137" t="str"/>
      <x:c r="S19" s="137" t="str"/>
      <x:c r="T19" s="137" t="str"/>
      <x:c r="U19" s="137" t="str"/>
      <x:c r="V19" s="137" t="str"/>
      <x:c r="W19" s="137" t="str"/>
      <x:c r="X19" s="199" t="str"/>
    </x:row>
    <x:row r="20">
      <x:c r="A20" s="137" t="str"/>
      <x:c r="B20" s="138" t="str"/>
      <x:c r="C20" s="138" t="str"/>
      <x:c r="D20" s="137" t="str"/>
      <x:c r="E20" s="137" t="str"/>
      <x:c r="F20" s="137" t="str"/>
      <x:c r="G20" s="137" t="str"/>
      <x:c r="H20" s="137" t="str"/>
      <x:c r="I20" s="137" t="str"/>
      <x:c r="J20" s="151" t="str"/>
      <x:c r="K20" s="151" t="str"/>
      <x:c r="L20" s="152" t="str">
        <x:f>IF(OR(J20="",K20=""),"",ROUNDUP(J20/K20,0))</x:f>
      </x:c>
      <x:c r="M20" s="151" t="str"/>
      <x:c r="N20" s="137" t="str"/>
      <x:c r="O20" s="137" t="str"/>
      <x:c r="P20" s="137" t="str"/>
      <x:c r="Q20" s="137" t="str"/>
      <x:c r="R20" s="137" t="str"/>
      <x:c r="S20" s="137" t="str"/>
      <x:c r="T20" s="137" t="str"/>
      <x:c r="U20" s="137" t="str"/>
      <x:c r="V20" s="137" t="str"/>
      <x:c r="W20" s="137" t="str"/>
      <x:c r="X20" s="199" t="str"/>
    </x:row>
    <x:row r="21">
      <x:c r="A21" s="137" t="str"/>
      <x:c r="B21" s="138" t="str"/>
      <x:c r="C21" s="138" t="str"/>
      <x:c r="D21" s="137" t="str"/>
      <x:c r="E21" s="137" t="str"/>
      <x:c r="F21" s="137" t="str"/>
      <x:c r="G21" s="137" t="str"/>
      <x:c r="H21" s="137" t="str"/>
      <x:c r="I21" s="137" t="str"/>
      <x:c r="J21" s="151" t="str"/>
      <x:c r="K21" s="151" t="str"/>
      <x:c r="L21" s="152" t="str">
        <x:f>IF(OR(J21="",K21=""),"",ROUNDUP(J21/K21,0))</x:f>
      </x:c>
      <x:c r="M21" s="151" t="str"/>
      <x:c r="N21" s="137" t="str"/>
      <x:c r="O21" s="137" t="str"/>
      <x:c r="P21" s="137" t="str"/>
      <x:c r="Q21" s="137" t="str"/>
      <x:c r="R21" s="137" t="str"/>
      <x:c r="S21" s="137" t="str"/>
      <x:c r="T21" s="137" t="str"/>
      <x:c r="U21" s="137" t="str"/>
      <x:c r="V21" s="137" t="str"/>
      <x:c r="W21" s="137" t="str"/>
      <x:c r="X21" s="199" t="str"/>
    </x:row>
    <x:row r="22">
      <x:c r="A22" s="137" t="str"/>
      <x:c r="B22" s="138" t="str"/>
      <x:c r="C22" s="138" t="str"/>
      <x:c r="D22" s="137" t="str"/>
      <x:c r="E22" s="137" t="str"/>
      <x:c r="F22" s="137" t="str"/>
      <x:c r="G22" s="137" t="str"/>
      <x:c r="H22" s="137" t="str"/>
      <x:c r="I22" s="137" t="str"/>
      <x:c r="J22" s="151" t="str"/>
      <x:c r="K22" s="151" t="str"/>
      <x:c r="L22" s="152" t="str">
        <x:f>IF(OR(J22="",K22=""),"",ROUNDUP(J22/K22,0))</x:f>
      </x:c>
      <x:c r="M22" s="151" t="str"/>
      <x:c r="N22" s="137" t="str"/>
      <x:c r="O22" s="137" t="str"/>
      <x:c r="P22" s="137" t="str"/>
      <x:c r="Q22" s="137" t="str"/>
      <x:c r="R22" s="137" t="str"/>
      <x:c r="S22" s="137" t="str"/>
      <x:c r="T22" s="137" t="str"/>
      <x:c r="U22" s="137" t="str"/>
      <x:c r="V22" s="137" t="str"/>
      <x:c r="W22" s="137" t="str"/>
      <x:c r="X22" s="199" t="str"/>
    </x:row>
    <x:row r="23">
      <x:c r="A23" s="137" t="str"/>
      <x:c r="B23" s="138" t="str"/>
      <x:c r="C23" s="138" t="str"/>
      <x:c r="D23" s="137" t="str"/>
      <x:c r="E23" s="137" t="str"/>
      <x:c r="F23" s="137" t="str"/>
      <x:c r="G23" s="137" t="str"/>
      <x:c r="H23" s="137" t="str"/>
      <x:c r="I23" s="137" t="str"/>
      <x:c r="J23" s="151" t="str"/>
      <x:c r="K23" s="151" t="str"/>
      <x:c r="L23" s="152" t="str">
        <x:f>IF(OR(J23="",K23=""),"",ROUNDUP(J23/K23,0))</x:f>
      </x:c>
      <x:c r="M23" s="151" t="str"/>
      <x:c r="N23" s="137" t="str"/>
      <x:c r="O23" s="137" t="str"/>
      <x:c r="P23" s="137" t="str"/>
      <x:c r="Q23" s="137" t="str"/>
      <x:c r="R23" s="137" t="str"/>
      <x:c r="S23" s="137" t="str"/>
      <x:c r="T23" s="137" t="str"/>
      <x:c r="U23" s="137" t="str"/>
      <x:c r="V23" s="137" t="str"/>
      <x:c r="W23" s="137" t="str"/>
      <x:c r="X23" s="199" t="str"/>
    </x:row>
    <x:row r="24">
      <x:c r="A24" s="137" t="str"/>
      <x:c r="B24" s="138" t="str"/>
      <x:c r="C24" s="138" t="str"/>
      <x:c r="D24" s="137" t="str"/>
      <x:c r="E24" s="137" t="str"/>
      <x:c r="F24" s="137" t="str"/>
      <x:c r="G24" s="137" t="str"/>
      <x:c r="H24" s="137" t="str"/>
      <x:c r="I24" s="137" t="str"/>
      <x:c r="J24" s="151" t="str"/>
      <x:c r="K24" s="151" t="str"/>
      <x:c r="L24" s="152" t="str">
        <x:f>IF(OR(J24="",K24=""),"",ROUNDUP(J24/K24,0))</x:f>
      </x:c>
      <x:c r="M24" s="151" t="str"/>
      <x:c r="N24" s="137" t="str"/>
      <x:c r="O24" s="137" t="str"/>
      <x:c r="P24" s="137" t="str"/>
      <x:c r="Q24" s="137" t="str"/>
      <x:c r="R24" s="137" t="str"/>
      <x:c r="S24" s="137" t="str"/>
      <x:c r="T24" s="137" t="str"/>
      <x:c r="U24" s="137" t="str"/>
      <x:c r="V24" s="137" t="str"/>
      <x:c r="W24" s="137" t="str"/>
      <x:c r="X24" s="199" t="str"/>
    </x:row>
    <x:row r="25">
      <x:c r="A25" s="137" t="str"/>
      <x:c r="B25" s="138" t="str"/>
      <x:c r="C25" s="138" t="str"/>
      <x:c r="D25" s="137" t="str"/>
      <x:c r="E25" s="137" t="str"/>
      <x:c r="F25" s="137" t="str"/>
      <x:c r="G25" s="137" t="str"/>
      <x:c r="H25" s="137" t="str"/>
      <x:c r="I25" s="137" t="str"/>
      <x:c r="J25" s="151" t="str"/>
      <x:c r="K25" s="151" t="str"/>
      <x:c r="L25" s="152" t="str">
        <x:f>IF(OR(J25="",K25=""),"",ROUNDUP(J25/K25,0))</x:f>
      </x:c>
      <x:c r="M25" s="151" t="str"/>
      <x:c r="N25" s="137" t="str"/>
      <x:c r="O25" s="137" t="str"/>
      <x:c r="P25" s="137" t="str"/>
      <x:c r="Q25" s="137" t="str"/>
      <x:c r="R25" s="137" t="str"/>
      <x:c r="S25" s="137" t="str"/>
      <x:c r="T25" s="137" t="str"/>
      <x:c r="U25" s="137" t="str"/>
      <x:c r="V25" s="137" t="str"/>
      <x:c r="W25" s="137" t="str"/>
      <x:c r="X25" s="199" t="str"/>
    </x:row>
    <x:row r="26">
      <x:c r="A26" s="137" t="str"/>
      <x:c r="B26" s="138" t="str"/>
      <x:c r="C26" s="138" t="str"/>
      <x:c r="D26" s="137" t="str"/>
      <x:c r="E26" s="137" t="str"/>
      <x:c r="F26" s="137" t="str"/>
      <x:c r="G26" s="137" t="str"/>
      <x:c r="H26" s="137" t="str"/>
      <x:c r="I26" s="137" t="str"/>
      <x:c r="J26" s="151" t="str"/>
      <x:c r="K26" s="151" t="str"/>
      <x:c r="L26" s="152" t="str">
        <x:f>IF(OR(J26="",K26=""),"",ROUNDUP(J26/K26,0))</x:f>
      </x:c>
      <x:c r="M26" s="151" t="str"/>
      <x:c r="N26" s="137" t="str"/>
      <x:c r="O26" s="137" t="str"/>
      <x:c r="P26" s="137" t="str"/>
      <x:c r="Q26" s="137" t="str"/>
      <x:c r="R26" s="137" t="str"/>
      <x:c r="S26" s="137" t="str"/>
      <x:c r="T26" s="137" t="str"/>
      <x:c r="U26" s="137" t="str"/>
      <x:c r="V26" s="137" t="str"/>
      <x:c r="W26" s="137" t="str"/>
      <x:c r="X26" s="199" t="str"/>
    </x:row>
    <x:row r="27">
      <x:c r="A27" s="137" t="str"/>
      <x:c r="B27" s="138" t="str"/>
      <x:c r="C27" s="138" t="str"/>
      <x:c r="D27" s="137" t="str"/>
      <x:c r="E27" s="137" t="str"/>
      <x:c r="F27" s="137" t="str"/>
      <x:c r="G27" s="137" t="str"/>
      <x:c r="H27" s="137" t="str"/>
      <x:c r="I27" s="137" t="str"/>
      <x:c r="J27" s="151" t="str"/>
      <x:c r="K27" s="151" t="str"/>
      <x:c r="L27" s="152" t="str">
        <x:f>IF(OR(J27="",K27=""),"",ROUNDUP(J27/K27,0))</x:f>
      </x:c>
      <x:c r="M27" s="151" t="str"/>
      <x:c r="N27" s="137" t="str"/>
      <x:c r="O27" s="137" t="str"/>
      <x:c r="P27" s="137" t="str"/>
      <x:c r="Q27" s="137" t="str"/>
      <x:c r="R27" s="137" t="str"/>
      <x:c r="S27" s="137" t="str"/>
      <x:c r="T27" s="137" t="str"/>
      <x:c r="U27" s="137" t="str"/>
      <x:c r="V27" s="137" t="str"/>
      <x:c r="W27" s="137" t="str"/>
      <x:c r="X27" s="199" t="str"/>
    </x:row>
    <x:row r="28">
      <x:c r="A28" s="137" t="str"/>
      <x:c r="B28" s="138" t="str"/>
      <x:c r="C28" s="138" t="str"/>
      <x:c r="D28" s="137" t="str"/>
      <x:c r="E28" s="137" t="str"/>
      <x:c r="F28" s="137" t="str"/>
      <x:c r="G28" s="137" t="str"/>
      <x:c r="H28" s="137" t="str"/>
      <x:c r="I28" s="137" t="str"/>
      <x:c r="J28" s="151" t="str"/>
      <x:c r="K28" s="151" t="str"/>
      <x:c r="L28" s="152" t="str">
        <x:f>IF(OR(J28="",K28=""),"",ROUNDUP(J28/K28,0))</x:f>
      </x:c>
      <x:c r="M28" s="151" t="str"/>
      <x:c r="N28" s="137" t="str"/>
      <x:c r="O28" s="137" t="str"/>
      <x:c r="P28" s="137" t="str"/>
      <x:c r="Q28" s="137" t="str"/>
      <x:c r="R28" s="137" t="str"/>
      <x:c r="S28" s="137" t="str"/>
      <x:c r="T28" s="137" t="str"/>
      <x:c r="U28" s="137" t="str"/>
      <x:c r="V28" s="137" t="str"/>
      <x:c r="W28" s="137" t="str"/>
      <x:c r="X28" s="199" t="str"/>
    </x:row>
    <x:row r="29">
      <x:c r="A29" s="137" t="str"/>
      <x:c r="B29" s="138" t="str"/>
      <x:c r="C29" s="138" t="str"/>
      <x:c r="D29" s="137" t="str"/>
      <x:c r="E29" s="137" t="str"/>
      <x:c r="F29" s="137" t="str"/>
      <x:c r="G29" s="137" t="str"/>
      <x:c r="H29" s="137" t="str"/>
      <x:c r="I29" s="137" t="str"/>
      <x:c r="J29" s="151" t="str"/>
      <x:c r="K29" s="151" t="str"/>
      <x:c r="L29" s="152" t="str">
        <x:f>IF(OR(J29="",K29=""),"",ROUNDUP(J29/K29,0))</x:f>
      </x:c>
      <x:c r="M29" s="151" t="str"/>
      <x:c r="N29" s="137" t="str"/>
      <x:c r="O29" s="137" t="str"/>
      <x:c r="P29" s="137" t="str"/>
      <x:c r="Q29" s="137" t="str"/>
      <x:c r="R29" s="137" t="str"/>
      <x:c r="S29" s="137" t="str"/>
      <x:c r="T29" s="137" t="str"/>
      <x:c r="U29" s="137" t="str"/>
      <x:c r="V29" s="137" t="str"/>
      <x:c r="W29" s="137" t="str"/>
      <x:c r="X29" s="199" t="str"/>
    </x:row>
    <x:row r="30">
      <x:c r="A30" s="137" t="str"/>
      <x:c r="B30" s="138" t="str"/>
      <x:c r="C30" s="138" t="str"/>
      <x:c r="D30" s="137" t="str"/>
      <x:c r="E30" s="137" t="str"/>
      <x:c r="F30" s="137" t="str"/>
      <x:c r="G30" s="137" t="str"/>
      <x:c r="H30" s="137" t="str"/>
      <x:c r="I30" s="137" t="str"/>
      <x:c r="J30" s="151" t="str"/>
      <x:c r="K30" s="151" t="str"/>
      <x:c r="L30" s="152" t="str">
        <x:f>IF(OR(J30="",K30=""),"",ROUNDUP(J30/K30,0))</x:f>
      </x:c>
      <x:c r="M30" s="151" t="str"/>
      <x:c r="N30" s="137" t="str"/>
      <x:c r="O30" s="137" t="str"/>
      <x:c r="P30" s="137" t="str"/>
      <x:c r="Q30" s="137" t="str"/>
      <x:c r="R30" s="137" t="str"/>
      <x:c r="S30" s="137" t="str"/>
      <x:c r="T30" s="137" t="str"/>
      <x:c r="U30" s="137" t="str"/>
      <x:c r="V30" s="137" t="str"/>
      <x:c r="W30" s="137" t="str"/>
      <x:c r="X30" s="199" t="str"/>
    </x:row>
    <x:row r="31">
      <x:c r="A31" s="137" t="str"/>
      <x:c r="B31" s="138" t="str"/>
      <x:c r="C31" s="138" t="str"/>
      <x:c r="D31" s="137" t="str"/>
      <x:c r="E31" s="137" t="str"/>
      <x:c r="F31" s="137" t="str"/>
      <x:c r="G31" s="137" t="str"/>
      <x:c r="H31" s="137" t="str"/>
      <x:c r="I31" s="137" t="str"/>
      <x:c r="J31" s="151" t="str"/>
      <x:c r="K31" s="151" t="str"/>
      <x:c r="L31" s="152" t="str">
        <x:f>IF(OR(J31="",K31=""),"",ROUNDUP(J31/K31,0))</x:f>
      </x:c>
      <x:c r="M31" s="151" t="str"/>
      <x:c r="N31" s="137" t="str"/>
      <x:c r="O31" s="137" t="str"/>
      <x:c r="P31" s="137" t="str"/>
      <x:c r="Q31" s="137" t="str"/>
      <x:c r="R31" s="137" t="str"/>
      <x:c r="S31" s="137" t="str"/>
      <x:c r="T31" s="137" t="str"/>
      <x:c r="U31" s="137" t="str"/>
      <x:c r="V31" s="137" t="str"/>
      <x:c r="W31" s="137" t="str"/>
      <x:c r="X31" s="199" t="str"/>
    </x:row>
    <x:row r="32">
      <x:c r="A32" s="137" t="str"/>
      <x:c r="B32" s="138" t="str"/>
      <x:c r="C32" s="138" t="str"/>
      <x:c r="D32" s="137" t="str"/>
      <x:c r="E32" s="137" t="str"/>
      <x:c r="F32" s="137" t="str"/>
      <x:c r="G32" s="137" t="str"/>
      <x:c r="H32" s="137" t="str"/>
      <x:c r="I32" s="137" t="str"/>
      <x:c r="J32" s="151" t="str"/>
      <x:c r="K32" s="151" t="str"/>
      <x:c r="L32" s="152" t="str">
        <x:f>IF(OR(J32="",K32=""),"",ROUNDUP(J32/K32,0))</x:f>
      </x:c>
      <x:c r="M32" s="151" t="str"/>
      <x:c r="N32" s="137" t="str"/>
      <x:c r="O32" s="137" t="str"/>
      <x:c r="P32" s="137" t="str"/>
      <x:c r="Q32" s="137" t="str"/>
      <x:c r="R32" s="137" t="str"/>
      <x:c r="S32" s="137" t="str"/>
      <x:c r="T32" s="137" t="str"/>
      <x:c r="U32" s="137" t="str"/>
      <x:c r="V32" s="137" t="str"/>
      <x:c r="W32" s="137" t="str"/>
      <x:c r="X32" s="199" t="str"/>
    </x:row>
    <x:row r="33">
      <x:c r="A33" s="137" t="str"/>
      <x:c r="B33" s="138" t="str"/>
      <x:c r="C33" s="138" t="str"/>
      <x:c r="D33" s="137" t="str"/>
      <x:c r="E33" s="137" t="str"/>
      <x:c r="F33" s="137" t="str"/>
      <x:c r="G33" s="137" t="str"/>
      <x:c r="H33" s="137" t="str"/>
      <x:c r="I33" s="137" t="str"/>
      <x:c r="J33" s="151" t="str"/>
      <x:c r="K33" s="151" t="str"/>
      <x:c r="L33" s="152" t="str">
        <x:f>IF(OR(J33="",K33=""),"",ROUNDUP(J33/K33,0))</x:f>
      </x:c>
      <x:c r="M33" s="151" t="str"/>
      <x:c r="N33" s="137" t="str"/>
      <x:c r="O33" s="137" t="str"/>
      <x:c r="P33" s="137" t="str"/>
      <x:c r="Q33" s="137" t="str"/>
      <x:c r="R33" s="137" t="str"/>
      <x:c r="S33" s="137" t="str"/>
      <x:c r="T33" s="137" t="str"/>
      <x:c r="U33" s="137" t="str"/>
      <x:c r="V33" s="137" t="str"/>
      <x:c r="W33" s="137" t="str"/>
      <x:c r="X33" s="199" t="str"/>
    </x:row>
    <x:row r="34">
      <x:c r="A34" s="137" t="str"/>
      <x:c r="B34" s="138" t="str"/>
      <x:c r="C34" s="138" t="str"/>
      <x:c r="D34" s="137" t="str"/>
      <x:c r="E34" s="137" t="str"/>
      <x:c r="F34" s="137" t="str"/>
      <x:c r="G34" s="137" t="str"/>
      <x:c r="H34" s="137" t="str"/>
      <x:c r="I34" s="137" t="str"/>
      <x:c r="J34" s="151" t="str"/>
      <x:c r="K34" s="151" t="str"/>
      <x:c r="L34" s="152" t="str">
        <x:f>IF(OR(J34="",K34=""),"",ROUNDUP(J34/K34,0))</x:f>
      </x:c>
      <x:c r="M34" s="151" t="str"/>
      <x:c r="N34" s="137" t="str"/>
      <x:c r="O34" s="137" t="str"/>
      <x:c r="P34" s="137" t="str"/>
      <x:c r="Q34" s="137" t="str"/>
      <x:c r="R34" s="137" t="str"/>
      <x:c r="S34" s="137" t="str"/>
      <x:c r="T34" s="137" t="str"/>
      <x:c r="U34" s="137" t="str"/>
      <x:c r="V34" s="137" t="str"/>
      <x:c r="W34" s="137" t="str"/>
      <x:c r="X34" s="199" t="str"/>
    </x:row>
    <x:row r="35">
      <x:c r="A35" s="137" t="str"/>
      <x:c r="B35" s="138" t="str"/>
      <x:c r="C35" s="138" t="str"/>
      <x:c r="D35" s="137" t="str"/>
      <x:c r="E35" s="137" t="str"/>
      <x:c r="F35" s="137" t="str"/>
      <x:c r="G35" s="137" t="str"/>
      <x:c r="H35" s="137" t="str"/>
      <x:c r="I35" s="137" t="str"/>
      <x:c r="J35" s="151" t="str"/>
      <x:c r="K35" s="151" t="str"/>
      <x:c r="L35" s="152" t="str">
        <x:f>IF(OR(J35="",K35=""),"",ROUNDUP(J35/K35,0))</x:f>
      </x:c>
      <x:c r="M35" s="151" t="str"/>
      <x:c r="N35" s="137" t="str"/>
      <x:c r="O35" s="137" t="str"/>
      <x:c r="P35" s="137" t="str"/>
      <x:c r="Q35" s="137" t="str"/>
      <x:c r="R35" s="137" t="str"/>
      <x:c r="S35" s="137" t="str"/>
      <x:c r="T35" s="137" t="str"/>
      <x:c r="U35" s="137" t="str"/>
      <x:c r="V35" s="137" t="str"/>
      <x:c r="W35" s="137" t="str"/>
      <x:c r="X35" s="199" t="str"/>
    </x:row>
    <x:row r="36">
      <x:c r="A36" s="137" t="str"/>
      <x:c r="B36" s="138" t="str"/>
      <x:c r="C36" s="138" t="str"/>
      <x:c r="D36" s="137" t="str"/>
      <x:c r="E36" s="137" t="str"/>
      <x:c r="F36" s="137" t="str"/>
      <x:c r="G36" s="137" t="str"/>
      <x:c r="H36" s="137" t="str"/>
      <x:c r="I36" s="137" t="str"/>
      <x:c r="J36" s="151" t="str"/>
      <x:c r="K36" s="151" t="str"/>
      <x:c r="L36" s="152" t="str">
        <x:f>IF(OR(J36="",K36=""),"",ROUNDUP(J36/K36,0))</x:f>
      </x:c>
      <x:c r="M36" s="151" t="str"/>
      <x:c r="N36" s="137" t="str"/>
      <x:c r="O36" s="137" t="str"/>
      <x:c r="P36" s="137" t="str"/>
      <x:c r="Q36" s="137" t="str"/>
      <x:c r="R36" s="137" t="str"/>
      <x:c r="S36" s="137" t="str"/>
      <x:c r="T36" s="137" t="str"/>
      <x:c r="U36" s="137" t="str"/>
      <x:c r="V36" s="137" t="str"/>
      <x:c r="W36" s="137" t="str"/>
      <x:c r="X36" s="199" t="str"/>
    </x:row>
    <x:row r="37">
      <x:c r="A37" s="137" t="str"/>
      <x:c r="B37" s="138" t="str"/>
      <x:c r="C37" s="138" t="str"/>
      <x:c r="D37" s="137" t="str"/>
      <x:c r="E37" s="137" t="str"/>
      <x:c r="F37" s="137" t="str"/>
      <x:c r="G37" s="137" t="str"/>
      <x:c r="H37" s="137" t="str"/>
      <x:c r="I37" s="137" t="str"/>
      <x:c r="J37" s="151" t="str"/>
      <x:c r="K37" s="151" t="str"/>
      <x:c r="L37" s="152" t="str">
        <x:f>IF(OR(J37="",K37=""),"",ROUNDUP(J37/K37,0))</x:f>
      </x:c>
      <x:c r="M37" s="151" t="str"/>
      <x:c r="N37" s="137" t="str"/>
      <x:c r="O37" s="137" t="str"/>
      <x:c r="P37" s="137" t="str"/>
      <x:c r="Q37" s="137" t="str"/>
      <x:c r="R37" s="137" t="str"/>
      <x:c r="S37" s="137" t="str"/>
      <x:c r="T37" s="137" t="str"/>
      <x:c r="U37" s="137" t="str"/>
      <x:c r="V37" s="137" t="str"/>
      <x:c r="W37" s="137" t="str"/>
      <x:c r="X37" s="199" t="str"/>
    </x:row>
    <x:row r="38">
      <x:c r="A38" s="137" t="str"/>
      <x:c r="B38" s="138" t="str"/>
      <x:c r="C38" s="138" t="str"/>
      <x:c r="D38" s="137" t="str"/>
      <x:c r="E38" s="137" t="str"/>
      <x:c r="F38" s="137" t="str"/>
      <x:c r="G38" s="137" t="str"/>
      <x:c r="H38" s="137" t="str"/>
      <x:c r="I38" s="137" t="str"/>
      <x:c r="J38" s="151" t="str"/>
      <x:c r="K38" s="151" t="str"/>
      <x:c r="L38" s="152" t="str">
        <x:f>IF(OR(J38="",K38=""),"",ROUNDUP(J38/K38,0))</x:f>
      </x:c>
      <x:c r="M38" s="151" t="str"/>
      <x:c r="N38" s="137" t="str"/>
      <x:c r="O38" s="137" t="str"/>
      <x:c r="P38" s="137" t="str"/>
      <x:c r="Q38" s="137" t="str"/>
      <x:c r="R38" s="137" t="str"/>
      <x:c r="S38" s="137" t="str"/>
      <x:c r="T38" s="137" t="str"/>
      <x:c r="U38" s="137" t="str"/>
      <x:c r="V38" s="137" t="str"/>
      <x:c r="W38" s="137" t="str"/>
      <x:c r="X38" s="199" t="str"/>
    </x:row>
    <x:row r="39">
      <x:c r="A39" s="137" t="str"/>
      <x:c r="B39" s="138" t="str"/>
      <x:c r="C39" s="138" t="str"/>
      <x:c r="D39" s="137" t="str"/>
      <x:c r="E39" s="137" t="str"/>
      <x:c r="F39" s="137" t="str"/>
      <x:c r="G39" s="137" t="str"/>
      <x:c r="H39" s="137" t="str"/>
      <x:c r="I39" s="137" t="str"/>
      <x:c r="J39" s="151" t="str"/>
      <x:c r="K39" s="151" t="str"/>
      <x:c r="L39" s="152" t="str">
        <x:f>IF(OR(J39="",K39=""),"",ROUNDUP(J39/K39,0))</x:f>
      </x:c>
      <x:c r="M39" s="151" t="str"/>
      <x:c r="N39" s="137" t="str"/>
      <x:c r="O39" s="137" t="str"/>
      <x:c r="P39" s="137" t="str"/>
      <x:c r="Q39" s="137" t="str"/>
      <x:c r="R39" s="137" t="str"/>
      <x:c r="S39" s="137" t="str"/>
      <x:c r="T39" s="137" t="str"/>
      <x:c r="U39" s="137" t="str"/>
      <x:c r="V39" s="137" t="str"/>
      <x:c r="W39" s="137" t="str"/>
      <x:c r="X39" s="199" t="str"/>
    </x:row>
    <x:row r="40">
      <x:c r="A40" s="137" t="str"/>
      <x:c r="B40" s="138" t="str"/>
      <x:c r="C40" s="138" t="str"/>
      <x:c r="D40" s="137" t="str"/>
      <x:c r="E40" s="137" t="str"/>
      <x:c r="F40" s="137" t="str"/>
      <x:c r="G40" s="137" t="str"/>
      <x:c r="H40" s="137" t="str"/>
      <x:c r="I40" s="137" t="str"/>
      <x:c r="J40" s="151" t="str"/>
      <x:c r="K40" s="151" t="str"/>
      <x:c r="L40" s="152" t="str">
        <x:f>IF(OR(J40="",K40=""),"",ROUNDUP(J40/K40,0))</x:f>
      </x:c>
      <x:c r="M40" s="151" t="str"/>
      <x:c r="N40" s="137" t="str"/>
      <x:c r="O40" s="137" t="str"/>
      <x:c r="P40" s="137" t="str"/>
      <x:c r="Q40" s="137" t="str"/>
      <x:c r="R40" s="137" t="str"/>
      <x:c r="S40" s="137" t="str"/>
      <x:c r="T40" s="137" t="str"/>
      <x:c r="U40" s="137" t="str"/>
      <x:c r="V40" s="137" t="str"/>
      <x:c r="W40" s="137" t="str"/>
      <x:c r="X40" s="199" t="str"/>
    </x:row>
    <x:row r="41">
      <x:c r="A41" s="137" t="str"/>
      <x:c r="B41" s="138" t="str"/>
      <x:c r="C41" s="138" t="str"/>
      <x:c r="D41" s="137" t="str"/>
      <x:c r="E41" s="137" t="str"/>
      <x:c r="F41" s="137" t="str"/>
      <x:c r="G41" s="137" t="str"/>
      <x:c r="H41" s="137" t="str"/>
      <x:c r="I41" s="137" t="str"/>
      <x:c r="J41" s="151" t="str"/>
      <x:c r="K41" s="151" t="str"/>
      <x:c r="L41" s="152" t="str">
        <x:f>IF(OR(J41="",K41=""),"",ROUNDUP(J41/K41,0))</x:f>
      </x:c>
      <x:c r="M41" s="151" t="str"/>
      <x:c r="N41" s="137" t="str"/>
      <x:c r="O41" s="137" t="str"/>
      <x:c r="P41" s="137" t="str"/>
      <x:c r="Q41" s="137" t="str"/>
      <x:c r="R41" s="137" t="str"/>
      <x:c r="S41" s="137" t="str"/>
      <x:c r="T41" s="137" t="str"/>
      <x:c r="U41" s="137" t="str"/>
      <x:c r="V41" s="137" t="str"/>
      <x:c r="W41" s="137" t="str"/>
      <x:c r="X41" s="199" t="str"/>
    </x:row>
    <x:row r="42">
      <x:c r="A42" s="137" t="str"/>
      <x:c r="B42" s="138" t="str"/>
      <x:c r="C42" s="138" t="str"/>
      <x:c r="D42" s="137" t="str"/>
      <x:c r="E42" s="137" t="str"/>
      <x:c r="F42" s="137" t="str"/>
      <x:c r="G42" s="137" t="str"/>
      <x:c r="H42" s="137" t="str"/>
      <x:c r="I42" s="137" t="str"/>
      <x:c r="J42" s="151" t="str"/>
      <x:c r="K42" s="151" t="str"/>
      <x:c r="L42" s="152" t="str">
        <x:f>IF(OR(J42="",K42=""),"",ROUNDUP(J42/K42,0))</x:f>
      </x:c>
      <x:c r="M42" s="151" t="str"/>
      <x:c r="N42" s="137" t="str"/>
      <x:c r="O42" s="137" t="str"/>
      <x:c r="P42" s="137" t="str"/>
      <x:c r="Q42" s="137" t="str"/>
      <x:c r="R42" s="137" t="str"/>
      <x:c r="S42" s="137" t="str"/>
      <x:c r="T42" s="137" t="str"/>
      <x:c r="U42" s="137" t="str"/>
      <x:c r="V42" s="137" t="str"/>
      <x:c r="W42" s="137" t="str"/>
      <x:c r="X42" s="199" t="str"/>
    </x:row>
    <x:row r="43">
      <x:c r="A43" s="137" t="str"/>
      <x:c r="B43" s="138" t="str"/>
      <x:c r="C43" s="138" t="str"/>
      <x:c r="D43" s="137" t="str"/>
      <x:c r="E43" s="137" t="str"/>
      <x:c r="F43" s="137" t="str"/>
      <x:c r="G43" s="137" t="str"/>
      <x:c r="H43" s="137" t="str"/>
      <x:c r="I43" s="137" t="str"/>
      <x:c r="J43" s="151" t="str"/>
      <x:c r="K43" s="151" t="str"/>
      <x:c r="L43" s="152" t="str">
        <x:f>IF(OR(J43="",K43=""),"",ROUNDUP(J43/K43,0))</x:f>
      </x:c>
      <x:c r="M43" s="151" t="str"/>
      <x:c r="N43" s="137" t="str"/>
      <x:c r="O43" s="137" t="str"/>
      <x:c r="P43" s="137" t="str"/>
      <x:c r="Q43" s="137" t="str"/>
      <x:c r="R43" s="137" t="str"/>
      <x:c r="S43" s="137" t="str"/>
      <x:c r="T43" s="137" t="str"/>
      <x:c r="U43" s="137" t="str"/>
      <x:c r="V43" s="137" t="str"/>
      <x:c r="W43" s="137" t="str"/>
      <x:c r="X43" s="199" t="str"/>
    </x:row>
    <x:row r="44">
      <x:c r="A44" s="137" t="str"/>
      <x:c r="B44" s="138" t="str"/>
      <x:c r="C44" s="138" t="str"/>
      <x:c r="D44" s="137" t="str"/>
      <x:c r="E44" s="137" t="str"/>
      <x:c r="F44" s="137" t="str"/>
      <x:c r="G44" s="137" t="str"/>
      <x:c r="H44" s="137" t="str"/>
      <x:c r="I44" s="137" t="str"/>
      <x:c r="J44" s="151" t="str"/>
      <x:c r="K44" s="151" t="str"/>
      <x:c r="L44" s="152" t="str">
        <x:f>IF(OR(J44="",K44=""),"",ROUNDUP(J44/K44,0))</x:f>
      </x:c>
      <x:c r="M44" s="151" t="str"/>
      <x:c r="N44" s="137" t="str"/>
      <x:c r="O44" s="137" t="str"/>
      <x:c r="P44" s="137" t="str"/>
      <x:c r="Q44" s="137" t="str"/>
      <x:c r="R44" s="137" t="str"/>
      <x:c r="S44" s="137" t="str"/>
      <x:c r="T44" s="137" t="str"/>
      <x:c r="U44" s="137" t="str"/>
      <x:c r="V44" s="137" t="str"/>
      <x:c r="W44" s="137" t="str"/>
      <x:c r="X44" s="199" t="str"/>
    </x:row>
    <x:row r="45">
      <x:c r="A45" s="137" t="str"/>
      <x:c r="B45" s="138" t="str"/>
      <x:c r="C45" s="138" t="str"/>
      <x:c r="D45" s="137" t="str"/>
      <x:c r="E45" s="137" t="str"/>
      <x:c r="F45" s="137" t="str"/>
      <x:c r="G45" s="137" t="str"/>
      <x:c r="H45" s="137" t="str"/>
      <x:c r="I45" s="137" t="str"/>
      <x:c r="J45" s="151" t="str"/>
      <x:c r="K45" s="151" t="str"/>
      <x:c r="L45" s="152" t="str">
        <x:f>IF(OR(J45="",K45=""),"",ROUNDUP(J45/K45,0))</x:f>
      </x:c>
      <x:c r="M45" s="151" t="str"/>
      <x:c r="N45" s="137" t="str"/>
      <x:c r="O45" s="137" t="str"/>
      <x:c r="P45" s="137" t="str"/>
      <x:c r="Q45" s="137" t="str"/>
      <x:c r="R45" s="137" t="str"/>
      <x:c r="S45" s="137" t="str"/>
      <x:c r="T45" s="137" t="str"/>
      <x:c r="U45" s="137" t="str"/>
      <x:c r="V45" s="137" t="str"/>
      <x:c r="W45" s="137" t="str"/>
      <x:c r="X45" s="199" t="str"/>
    </x:row>
    <x:row r="46">
      <x:c r="A46" s="137" t="str"/>
      <x:c r="B46" s="138" t="str"/>
      <x:c r="C46" s="138" t="str"/>
      <x:c r="D46" s="137" t="str"/>
      <x:c r="E46" s="137" t="str"/>
      <x:c r="F46" s="137" t="str"/>
      <x:c r="G46" s="137" t="str"/>
      <x:c r="H46" s="137" t="str"/>
      <x:c r="I46" s="137" t="str"/>
      <x:c r="J46" s="151" t="str"/>
      <x:c r="K46" s="151" t="str"/>
      <x:c r="L46" s="152" t="str">
        <x:f>IF(OR(J46="",K46=""),"",ROUNDUP(J46/K46,0))</x:f>
      </x:c>
      <x:c r="M46" s="151" t="str"/>
      <x:c r="N46" s="137" t="str"/>
      <x:c r="O46" s="137" t="str"/>
      <x:c r="P46" s="137" t="str"/>
      <x:c r="Q46" s="137" t="str"/>
      <x:c r="R46" s="137" t="str"/>
      <x:c r="S46" s="137" t="str"/>
      <x:c r="T46" s="137" t="str"/>
      <x:c r="U46" s="137" t="str"/>
      <x:c r="V46" s="137" t="str"/>
      <x:c r="W46" s="137" t="str"/>
      <x:c r="X46" s="199" t="str"/>
    </x:row>
    <x:row r="47">
      <x:c r="A47" s="137" t="str"/>
      <x:c r="B47" s="138" t="str"/>
      <x:c r="C47" s="138" t="str"/>
      <x:c r="D47" s="137" t="str"/>
      <x:c r="E47" s="137" t="str"/>
      <x:c r="F47" s="137" t="str"/>
      <x:c r="G47" s="137" t="str"/>
      <x:c r="H47" s="137" t="str"/>
      <x:c r="I47" s="137" t="str"/>
      <x:c r="J47" s="151" t="str"/>
      <x:c r="K47" s="151" t="str"/>
      <x:c r="L47" s="152" t="str">
        <x:f>IF(OR(J47="",K47=""),"",ROUNDUP(J47/K47,0))</x:f>
      </x:c>
      <x:c r="M47" s="151" t="str"/>
      <x:c r="N47" s="137" t="str"/>
      <x:c r="O47" s="137" t="str"/>
      <x:c r="P47" s="137" t="str"/>
      <x:c r="Q47" s="137" t="str"/>
      <x:c r="R47" s="137" t="str"/>
      <x:c r="S47" s="137" t="str"/>
      <x:c r="T47" s="137" t="str"/>
      <x:c r="U47" s="137" t="str"/>
      <x:c r="V47" s="137" t="str"/>
      <x:c r="W47" s="137" t="str"/>
      <x:c r="X47" s="199" t="str"/>
    </x:row>
    <x:row r="48">
      <x:c r="A48" s="137" t="str"/>
      <x:c r="B48" s="138" t="str"/>
      <x:c r="C48" s="138" t="str"/>
      <x:c r="D48" s="137" t="str"/>
      <x:c r="E48" s="137" t="str"/>
      <x:c r="F48" s="137" t="str"/>
      <x:c r="G48" s="137" t="str"/>
      <x:c r="H48" s="137" t="str"/>
      <x:c r="I48" s="137" t="str"/>
      <x:c r="J48" s="151" t="str"/>
      <x:c r="K48" s="151" t="str"/>
      <x:c r="L48" s="152" t="str">
        <x:f>IF(OR(J48="",K48=""),"",ROUNDUP(J48/K48,0))</x:f>
      </x:c>
      <x:c r="M48" s="151" t="str"/>
      <x:c r="N48" s="137" t="str"/>
      <x:c r="O48" s="137" t="str"/>
      <x:c r="P48" s="137" t="str"/>
      <x:c r="Q48" s="137" t="str"/>
      <x:c r="R48" s="137" t="str"/>
      <x:c r="S48" s="137" t="str"/>
      <x:c r="T48" s="137" t="str"/>
      <x:c r="U48" s="137" t="str"/>
      <x:c r="V48" s="137" t="str"/>
      <x:c r="W48" s="137" t="str"/>
      <x:c r="X48" s="199" t="str"/>
    </x:row>
    <x:row r="49">
      <x:c r="A49" s="137" t="str"/>
      <x:c r="B49" s="138" t="str"/>
      <x:c r="C49" s="138" t="str"/>
      <x:c r="D49" s="137" t="str"/>
      <x:c r="E49" s="137" t="str"/>
      <x:c r="F49" s="137" t="str"/>
      <x:c r="G49" s="137" t="str"/>
      <x:c r="H49" s="137" t="str"/>
      <x:c r="I49" s="137" t="str"/>
      <x:c r="J49" s="151" t="str"/>
      <x:c r="K49" s="151" t="str"/>
      <x:c r="L49" s="152" t="str">
        <x:f>IF(OR(J49="",K49=""),"",ROUNDUP(J49/K49,0))</x:f>
      </x:c>
      <x:c r="M49" s="151" t="str"/>
      <x:c r="N49" s="137" t="str"/>
      <x:c r="O49" s="137" t="str"/>
      <x:c r="P49" s="137" t="str"/>
      <x:c r="Q49" s="137" t="str"/>
      <x:c r="R49" s="137" t="str"/>
      <x:c r="S49" s="137" t="str"/>
      <x:c r="T49" s="137" t="str"/>
      <x:c r="U49" s="137" t="str"/>
      <x:c r="V49" s="137" t="str"/>
      <x:c r="W49" s="137" t="str"/>
      <x:c r="X49" s="199" t="str"/>
    </x:row>
    <x:row r="50">
      <x:c r="A50" s="137" t="str"/>
      <x:c r="B50" s="138" t="str"/>
      <x:c r="C50" s="138" t="str"/>
      <x:c r="D50" s="137" t="str"/>
      <x:c r="E50" s="137" t="str"/>
      <x:c r="F50" s="137" t="str"/>
      <x:c r="G50" s="137" t="str"/>
      <x:c r="H50" s="137" t="str"/>
      <x:c r="I50" s="137" t="str"/>
      <x:c r="J50" s="151" t="str"/>
      <x:c r="K50" s="151" t="str"/>
      <x:c r="L50" s="152" t="str">
        <x:f>IF(OR(J50="",K50=""),"",ROUNDUP(J50/K50,0))</x:f>
      </x:c>
      <x:c r="M50" s="151" t="str"/>
      <x:c r="N50" s="137" t="str"/>
      <x:c r="O50" s="137" t="str"/>
      <x:c r="P50" s="137" t="str"/>
      <x:c r="Q50" s="137" t="str"/>
      <x:c r="R50" s="137" t="str"/>
      <x:c r="S50" s="137" t="str"/>
      <x:c r="T50" s="137" t="str"/>
      <x:c r="U50" s="137" t="str"/>
      <x:c r="V50" s="137" t="str"/>
      <x:c r="W50" s="137" t="str"/>
      <x:c r="X50" s="199" t="str"/>
    </x:row>
    <x:row r="51">
      <x:c r="A51" s="137" t="str"/>
      <x:c r="B51" s="138" t="str"/>
      <x:c r="C51" s="138" t="str"/>
      <x:c r="D51" s="137" t="str"/>
      <x:c r="E51" s="137" t="str"/>
      <x:c r="F51" s="137" t="str"/>
      <x:c r="G51" s="137" t="str"/>
      <x:c r="H51" s="137" t="str"/>
      <x:c r="I51" s="137" t="str"/>
      <x:c r="J51" s="151" t="str"/>
      <x:c r="K51" s="151" t="str"/>
      <x:c r="L51" s="152" t="str">
        <x:f>IF(OR(J51="",K51=""),"",ROUNDUP(J51/K51,0))</x:f>
      </x:c>
      <x:c r="M51" s="151" t="str"/>
      <x:c r="N51" s="137" t="str"/>
      <x:c r="O51" s="137" t="str"/>
      <x:c r="P51" s="137" t="str"/>
      <x:c r="Q51" s="137" t="str"/>
      <x:c r="R51" s="137" t="str"/>
      <x:c r="S51" s="137" t="str"/>
      <x:c r="T51" s="137" t="str"/>
      <x:c r="U51" s="137" t="str"/>
      <x:c r="V51" s="137" t="str"/>
      <x:c r="W51" s="137" t="str"/>
      <x:c r="X51" s="199" t="str"/>
    </x:row>
    <x:row r="52">
      <x:c r="A52" s="137" t="str"/>
      <x:c r="B52" s="138" t="str"/>
      <x:c r="C52" s="138" t="str"/>
      <x:c r="D52" s="137" t="str"/>
      <x:c r="E52" s="137" t="str"/>
      <x:c r="F52" s="137" t="str"/>
      <x:c r="G52" s="137" t="str"/>
      <x:c r="H52" s="137" t="str"/>
      <x:c r="I52" s="137" t="str"/>
      <x:c r="J52" s="151" t="str"/>
      <x:c r="K52" s="151" t="str"/>
      <x:c r="L52" s="152" t="str">
        <x:f>IF(OR(J52="",K52=""),"",ROUNDUP(J52/K52,0))</x:f>
      </x:c>
      <x:c r="M52" s="151" t="str"/>
      <x:c r="N52" s="137" t="str"/>
      <x:c r="O52" s="137" t="str"/>
      <x:c r="P52" s="137" t="str"/>
      <x:c r="Q52" s="137" t="str"/>
      <x:c r="R52" s="137" t="str"/>
      <x:c r="S52" s="137" t="str"/>
      <x:c r="T52" s="137" t="str"/>
      <x:c r="U52" s="137" t="str"/>
      <x:c r="V52" s="137" t="str"/>
      <x:c r="W52" s="137" t="str"/>
      <x:c r="X52" s="199" t="str"/>
    </x:row>
    <x:row r="53">
      <x:c r="A53" s="137" t="str"/>
      <x:c r="B53" s="138" t="str"/>
      <x:c r="C53" s="138" t="str"/>
      <x:c r="D53" s="137" t="str"/>
      <x:c r="E53" s="137" t="str"/>
      <x:c r="F53" s="137" t="str"/>
      <x:c r="G53" s="137" t="str"/>
      <x:c r="H53" s="137" t="str"/>
      <x:c r="I53" s="137" t="str"/>
      <x:c r="J53" s="151" t="str"/>
      <x:c r="K53" s="151" t="str"/>
      <x:c r="L53" s="152" t="str">
        <x:f>IF(OR(J53="",K53=""),"",ROUNDUP(J53/K53,0))</x:f>
      </x:c>
      <x:c r="M53" s="151" t="str"/>
      <x:c r="N53" s="137" t="str"/>
      <x:c r="O53" s="137" t="str"/>
      <x:c r="P53" s="137" t="str"/>
      <x:c r="Q53" s="137" t="str"/>
      <x:c r="R53" s="137" t="str"/>
      <x:c r="S53" s="137" t="str"/>
      <x:c r="T53" s="137" t="str"/>
      <x:c r="U53" s="137" t="str"/>
      <x:c r="V53" s="137" t="str"/>
      <x:c r="W53" s="137" t="str"/>
      <x:c r="X53" s="199" t="str"/>
    </x:row>
    <x:row r="54">
      <x:c r="A54" s="137" t="str"/>
      <x:c r="B54" s="138" t="str"/>
      <x:c r="C54" s="138" t="str"/>
      <x:c r="D54" s="137" t="str"/>
      <x:c r="E54" s="137" t="str"/>
      <x:c r="F54" s="137" t="str"/>
      <x:c r="G54" s="137" t="str"/>
      <x:c r="H54" s="137" t="str"/>
      <x:c r="I54" s="137" t="str"/>
      <x:c r="J54" s="151" t="str"/>
      <x:c r="K54" s="151" t="str"/>
      <x:c r="L54" s="152" t="str">
        <x:f>IF(OR(J54="",K54=""),"",ROUNDUP(J54/K54,0))</x:f>
      </x:c>
      <x:c r="M54" s="151" t="str"/>
      <x:c r="N54" s="137" t="str"/>
      <x:c r="O54" s="137" t="str"/>
      <x:c r="P54" s="137" t="str"/>
      <x:c r="Q54" s="137" t="str"/>
      <x:c r="R54" s="137" t="str"/>
      <x:c r="S54" s="137" t="str"/>
      <x:c r="T54" s="137" t="str"/>
      <x:c r="U54" s="137" t="str"/>
      <x:c r="V54" s="137" t="str"/>
      <x:c r="W54" s="137" t="str"/>
      <x:c r="X54" s="199" t="str"/>
    </x:row>
    <x:row r="55">
      <x:c r="A55" s="137" t="str"/>
      <x:c r="B55" s="138" t="str"/>
      <x:c r="C55" s="138" t="str"/>
      <x:c r="D55" s="137" t="str"/>
      <x:c r="E55" s="137" t="str"/>
      <x:c r="F55" s="137" t="str"/>
      <x:c r="G55" s="137" t="str"/>
      <x:c r="H55" s="137" t="str"/>
      <x:c r="I55" s="137" t="str"/>
      <x:c r="J55" s="151" t="str"/>
      <x:c r="K55" s="151" t="str"/>
      <x:c r="L55" s="152" t="str">
        <x:f>IF(OR(J55="",K55=""),"",ROUNDUP(J55/K55,0))</x:f>
      </x:c>
      <x:c r="M55" s="151" t="str"/>
      <x:c r="N55" s="137" t="str"/>
      <x:c r="O55" s="137" t="str"/>
      <x:c r="P55" s="137" t="str"/>
      <x:c r="Q55" s="137" t="str"/>
      <x:c r="R55" s="137" t="str"/>
      <x:c r="S55" s="137" t="str"/>
      <x:c r="T55" s="137" t="str"/>
      <x:c r="U55" s="137" t="str"/>
      <x:c r="V55" s="137" t="str"/>
      <x:c r="W55" s="137" t="str"/>
      <x:c r="X55" s="199" t="str"/>
    </x:row>
    <x:row r="56">
      <x:c r="A56" s="137" t="str"/>
      <x:c r="B56" s="138" t="str"/>
      <x:c r="C56" s="138" t="str"/>
      <x:c r="D56" s="137" t="str"/>
      <x:c r="E56" s="137" t="str"/>
      <x:c r="F56" s="137" t="str"/>
      <x:c r="G56" s="137" t="str"/>
      <x:c r="H56" s="137" t="str"/>
      <x:c r="I56" s="137" t="str"/>
      <x:c r="J56" s="151" t="str"/>
      <x:c r="K56" s="151" t="str"/>
      <x:c r="L56" s="152" t="str">
        <x:f>IF(OR(J56="",K56=""),"",ROUNDUP(J56/K56,0))</x:f>
      </x:c>
      <x:c r="M56" s="151" t="str"/>
      <x:c r="N56" s="137" t="str"/>
      <x:c r="O56" s="137" t="str"/>
      <x:c r="P56" s="137" t="str"/>
      <x:c r="Q56" s="137" t="str"/>
      <x:c r="R56" s="137" t="str"/>
      <x:c r="S56" s="137" t="str"/>
      <x:c r="T56" s="137" t="str"/>
      <x:c r="U56" s="137" t="str"/>
      <x:c r="V56" s="137" t="str"/>
      <x:c r="W56" s="137" t="str"/>
      <x:c r="X56" s="199" t="str"/>
    </x:row>
    <x:row r="57">
      <x:c r="A57" s="137" t="str"/>
      <x:c r="B57" s="138" t="str"/>
      <x:c r="C57" s="138" t="str"/>
      <x:c r="D57" s="137" t="str"/>
      <x:c r="E57" s="137" t="str"/>
      <x:c r="F57" s="137" t="str"/>
      <x:c r="G57" s="137" t="str"/>
      <x:c r="H57" s="137" t="str"/>
      <x:c r="I57" s="137" t="str"/>
      <x:c r="J57" s="151" t="str"/>
      <x:c r="K57" s="151" t="str"/>
      <x:c r="L57" s="152" t="str">
        <x:f>IF(OR(J57="",K57=""),"",ROUNDUP(J57/K57,0))</x:f>
      </x:c>
      <x:c r="M57" s="151" t="str"/>
      <x:c r="N57" s="137" t="str"/>
      <x:c r="O57" s="137" t="str"/>
      <x:c r="P57" s="137" t="str"/>
      <x:c r="Q57" s="137" t="str"/>
      <x:c r="R57" s="137" t="str"/>
      <x:c r="S57" s="137" t="str"/>
      <x:c r="T57" s="137" t="str"/>
      <x:c r="U57" s="137" t="str"/>
      <x:c r="V57" s="137" t="str"/>
      <x:c r="W57" s="137" t="str"/>
      <x:c r="X57" s="199" t="str"/>
    </x:row>
    <x:row r="58">
      <x:c r="A58" s="137" t="str"/>
      <x:c r="B58" s="138" t="str"/>
      <x:c r="C58" s="138" t="str"/>
      <x:c r="D58" s="137" t="str"/>
      <x:c r="E58" s="137" t="str"/>
      <x:c r="F58" s="137" t="str"/>
      <x:c r="G58" s="137" t="str"/>
      <x:c r="H58" s="137" t="str"/>
      <x:c r="I58" s="137" t="str"/>
      <x:c r="J58" s="151" t="str"/>
      <x:c r="K58" s="151" t="str"/>
      <x:c r="L58" s="152" t="str">
        <x:f>IF(OR(J58="",K58=""),"",ROUNDUP(J58/K58,0))</x:f>
      </x:c>
      <x:c r="M58" s="151" t="str"/>
      <x:c r="N58" s="137" t="str"/>
      <x:c r="O58" s="137" t="str"/>
      <x:c r="P58" s="137" t="str"/>
      <x:c r="Q58" s="137" t="str"/>
      <x:c r="R58" s="137" t="str"/>
      <x:c r="S58" s="137" t="str"/>
      <x:c r="T58" s="137" t="str"/>
      <x:c r="U58" s="137" t="str"/>
      <x:c r="V58" s="137" t="str"/>
      <x:c r="W58" s="137" t="str"/>
      <x:c r="X58" s="199" t="str"/>
    </x:row>
    <x:row r="59">
      <x:c r="A59" s="137" t="str"/>
      <x:c r="B59" s="138" t="str"/>
      <x:c r="C59" s="138" t="str"/>
      <x:c r="D59" s="137" t="str"/>
      <x:c r="E59" s="137" t="str"/>
      <x:c r="F59" s="137" t="str"/>
      <x:c r="G59" s="137" t="str"/>
      <x:c r="H59" s="137" t="str"/>
      <x:c r="I59" s="137" t="str"/>
      <x:c r="J59" s="151" t="str"/>
      <x:c r="K59" s="151" t="str"/>
      <x:c r="L59" s="152" t="str">
        <x:f>IF(OR(J59="",K59=""),"",ROUNDUP(J59/K59,0))</x:f>
      </x:c>
      <x:c r="M59" s="151" t="str"/>
      <x:c r="N59" s="137" t="str"/>
      <x:c r="O59" s="137" t="str"/>
      <x:c r="P59" s="137" t="str"/>
      <x:c r="Q59" s="137" t="str"/>
      <x:c r="R59" s="137" t="str"/>
      <x:c r="S59" s="137" t="str"/>
      <x:c r="T59" s="137" t="str"/>
      <x:c r="U59" s="137" t="str"/>
      <x:c r="V59" s="137" t="str"/>
      <x:c r="W59" s="137" t="str"/>
      <x:c r="X59" s="199" t="str"/>
    </x:row>
    <x:row r="60">
      <x:c r="A60" s="137" t="str"/>
      <x:c r="B60" s="138" t="str"/>
      <x:c r="C60" s="138" t="str"/>
      <x:c r="D60" s="137" t="str"/>
      <x:c r="E60" s="137" t="str"/>
      <x:c r="F60" s="137" t="str"/>
      <x:c r="G60" s="137" t="str"/>
      <x:c r="H60" s="137" t="str"/>
      <x:c r="I60" s="137" t="str"/>
      <x:c r="J60" s="151" t="str"/>
      <x:c r="K60" s="151" t="str"/>
      <x:c r="L60" s="152" t="str">
        <x:f>IF(OR(J60="",K60=""),"",ROUNDUP(J60/K60,0))</x:f>
      </x:c>
      <x:c r="M60" s="151" t="str"/>
      <x:c r="N60" s="137" t="str"/>
      <x:c r="O60" s="137" t="str"/>
      <x:c r="P60" s="137" t="str"/>
      <x:c r="Q60" s="137" t="str"/>
      <x:c r="R60" s="137" t="str"/>
      <x:c r="S60" s="137" t="str"/>
      <x:c r="T60" s="137" t="str"/>
      <x:c r="U60" s="137" t="str"/>
      <x:c r="V60" s="137" t="str"/>
      <x:c r="W60" s="137" t="str"/>
      <x:c r="X60" s="199" t="str"/>
    </x:row>
    <x:row r="61">
      <x:c r="A61" s="137" t="str"/>
      <x:c r="B61" s="138" t="str"/>
      <x:c r="C61" s="138" t="str"/>
      <x:c r="D61" s="137" t="str"/>
      <x:c r="E61" s="137" t="str"/>
      <x:c r="F61" s="137" t="str"/>
      <x:c r="G61" s="137" t="str"/>
      <x:c r="H61" s="137" t="str"/>
      <x:c r="I61" s="137" t="str"/>
      <x:c r="J61" s="151" t="str"/>
      <x:c r="K61" s="151" t="str"/>
      <x:c r="L61" s="152" t="str">
        <x:f>IF(OR(J61="",K61=""),"",ROUNDUP(J61/K61,0))</x:f>
      </x:c>
      <x:c r="M61" s="151" t="str"/>
      <x:c r="N61" s="137" t="str"/>
      <x:c r="O61" s="137" t="str"/>
      <x:c r="P61" s="137" t="str"/>
      <x:c r="Q61" s="137" t="str"/>
      <x:c r="R61" s="137" t="str"/>
      <x:c r="S61" s="137" t="str"/>
      <x:c r="T61" s="137" t="str"/>
      <x:c r="U61" s="137" t="str"/>
      <x:c r="V61" s="137" t="str"/>
      <x:c r="W61" s="137" t="str"/>
      <x:c r="X61" s="199" t="str"/>
    </x:row>
    <x:row r="62">
      <x:c r="A62" s="137" t="str"/>
      <x:c r="B62" s="138" t="str"/>
      <x:c r="C62" s="138" t="str"/>
      <x:c r="D62" s="137" t="str"/>
      <x:c r="E62" s="137" t="str"/>
      <x:c r="F62" s="137" t="str"/>
      <x:c r="G62" s="137" t="str"/>
      <x:c r="H62" s="137" t="str"/>
      <x:c r="I62" s="137" t="str"/>
      <x:c r="J62" s="151" t="str"/>
      <x:c r="K62" s="151" t="str"/>
      <x:c r="L62" s="152" t="str">
        <x:f>IF(OR(J62="",K62=""),"",ROUNDUP(J62/K62,0))</x:f>
      </x:c>
      <x:c r="M62" s="151" t="str"/>
      <x:c r="N62" s="137" t="str"/>
      <x:c r="O62" s="137" t="str"/>
      <x:c r="P62" s="137" t="str"/>
      <x:c r="Q62" s="137" t="str"/>
      <x:c r="R62" s="137" t="str"/>
      <x:c r="S62" s="137" t="str"/>
      <x:c r="T62" s="137" t="str"/>
      <x:c r="U62" s="137" t="str"/>
      <x:c r="V62" s="137" t="str"/>
      <x:c r="W62" s="137" t="str"/>
      <x:c r="X62" s="199" t="str"/>
    </x:row>
    <x:row r="63">
      <x:c r="A63" s="137" t="str"/>
      <x:c r="B63" s="138" t="str"/>
      <x:c r="C63" s="138" t="str"/>
      <x:c r="D63" s="137" t="str"/>
      <x:c r="E63" s="137" t="str"/>
      <x:c r="F63" s="137" t="str"/>
      <x:c r="G63" s="137" t="str"/>
      <x:c r="H63" s="137" t="str"/>
      <x:c r="I63" s="137" t="str"/>
      <x:c r="J63" s="151" t="str"/>
      <x:c r="K63" s="151" t="str"/>
      <x:c r="L63" s="152" t="str">
        <x:f>IF(OR(J63="",K63=""),"",ROUNDUP(J63/K63,0))</x:f>
      </x:c>
      <x:c r="M63" s="151" t="str"/>
      <x:c r="N63" s="137" t="str"/>
      <x:c r="O63" s="137" t="str"/>
      <x:c r="P63" s="137" t="str"/>
      <x:c r="Q63" s="137" t="str"/>
      <x:c r="R63" s="137" t="str"/>
      <x:c r="S63" s="137" t="str"/>
      <x:c r="T63" s="137" t="str"/>
      <x:c r="U63" s="137" t="str"/>
      <x:c r="V63" s="137" t="str"/>
      <x:c r="W63" s="137" t="str"/>
      <x:c r="X63" s="199" t="str"/>
    </x:row>
    <x:row r="64">
      <x:c r="A64" s="137" t="str"/>
      <x:c r="B64" s="138" t="str"/>
      <x:c r="C64" s="138" t="str"/>
      <x:c r="D64" s="137" t="str"/>
      <x:c r="E64" s="137" t="str"/>
      <x:c r="F64" s="137" t="str"/>
      <x:c r="G64" s="137" t="str"/>
      <x:c r="H64" s="137" t="str"/>
      <x:c r="I64" s="137" t="str"/>
      <x:c r="J64" s="151" t="str"/>
      <x:c r="K64" s="151" t="str"/>
      <x:c r="L64" s="152" t="str">
        <x:f>IF(OR(J64="",K64=""),"",ROUNDUP(J64/K64,0))</x:f>
      </x:c>
      <x:c r="M64" s="151" t="str"/>
      <x:c r="N64" s="137" t="str"/>
      <x:c r="O64" s="137" t="str"/>
      <x:c r="P64" s="137" t="str"/>
      <x:c r="Q64" s="137" t="str"/>
      <x:c r="R64" s="137" t="str"/>
      <x:c r="S64" s="137" t="str"/>
      <x:c r="T64" s="137" t="str"/>
      <x:c r="U64" s="137" t="str"/>
      <x:c r="V64" s="137" t="str"/>
      <x:c r="W64" s="137" t="str"/>
      <x:c r="X64" s="199" t="str"/>
    </x:row>
    <x:row r="65">
      <x:c r="A65" s="137" t="str"/>
      <x:c r="B65" s="138" t="str"/>
      <x:c r="C65" s="138" t="str"/>
      <x:c r="D65" s="137" t="str"/>
      <x:c r="E65" s="137" t="str"/>
      <x:c r="F65" s="137" t="str"/>
      <x:c r="G65" s="137" t="str"/>
      <x:c r="H65" s="137" t="str"/>
      <x:c r="I65" s="137" t="str"/>
      <x:c r="J65" s="151" t="str"/>
      <x:c r="K65" s="151" t="str"/>
      <x:c r="L65" s="152" t="str">
        <x:f>IF(OR(J65="",K65=""),"",ROUNDUP(J65/K65,0))</x:f>
      </x:c>
      <x:c r="M65" s="151" t="str"/>
      <x:c r="N65" s="137" t="str"/>
      <x:c r="O65" s="137" t="str"/>
      <x:c r="P65" s="137" t="str"/>
      <x:c r="Q65" s="137" t="str"/>
      <x:c r="R65" s="137" t="str"/>
      <x:c r="S65" s="137" t="str"/>
      <x:c r="T65" s="137" t="str"/>
      <x:c r="U65" s="137" t="str"/>
      <x:c r="V65" s="137" t="str"/>
      <x:c r="W65" s="137" t="str"/>
      <x:c r="X65" s="199" t="str"/>
    </x:row>
    <x:row r="66">
      <x:c r="A66" s="137" t="str"/>
      <x:c r="B66" s="138" t="str"/>
      <x:c r="C66" s="138" t="str"/>
      <x:c r="D66" s="137" t="str"/>
      <x:c r="E66" s="137" t="str"/>
      <x:c r="F66" s="137" t="str"/>
      <x:c r="G66" s="137" t="str"/>
      <x:c r="H66" s="137" t="str"/>
      <x:c r="I66" s="137" t="str"/>
      <x:c r="J66" s="151" t="str"/>
      <x:c r="K66" s="151" t="str"/>
      <x:c r="L66" s="152" t="str">
        <x:f>IF(OR(J66="",K66=""),"",ROUNDUP(J66/K66,0))</x:f>
      </x:c>
      <x:c r="M66" s="151" t="str"/>
      <x:c r="N66" s="137" t="str"/>
      <x:c r="O66" s="137" t="str"/>
      <x:c r="P66" s="137" t="str"/>
      <x:c r="Q66" s="137" t="str"/>
      <x:c r="R66" s="137" t="str"/>
      <x:c r="S66" s="137" t="str"/>
      <x:c r="T66" s="137" t="str"/>
      <x:c r="U66" s="137" t="str"/>
      <x:c r="V66" s="137" t="str"/>
      <x:c r="W66" s="137" t="str"/>
      <x:c r="X66" s="199" t="str"/>
    </x:row>
    <x:row r="67">
      <x:c r="A67" s="137" t="str"/>
      <x:c r="B67" s="138" t="str"/>
      <x:c r="C67" s="138" t="str"/>
      <x:c r="D67" s="137" t="str"/>
      <x:c r="E67" s="137" t="str"/>
      <x:c r="F67" s="137" t="str"/>
      <x:c r="G67" s="137" t="str"/>
      <x:c r="H67" s="137" t="str"/>
      <x:c r="I67" s="137" t="str"/>
      <x:c r="J67" s="151" t="str"/>
      <x:c r="K67" s="151" t="str"/>
      <x:c r="L67" s="152" t="str">
        <x:f>IF(OR(J67="",K67=""),"",ROUNDUP(J67/K67,0))</x:f>
      </x:c>
      <x:c r="M67" s="151" t="str"/>
      <x:c r="N67" s="137" t="str"/>
      <x:c r="O67" s="137" t="str"/>
      <x:c r="P67" s="137" t="str"/>
      <x:c r="Q67" s="137" t="str"/>
      <x:c r="R67" s="137" t="str"/>
      <x:c r="S67" s="137" t="str"/>
      <x:c r="T67" s="137" t="str"/>
      <x:c r="U67" s="137" t="str"/>
      <x:c r="V67" s="137" t="str"/>
      <x:c r="W67" s="137" t="str"/>
      <x:c r="X67" s="199" t="str"/>
    </x:row>
    <x:row r="68">
      <x:c r="A68" s="137" t="str"/>
      <x:c r="B68" s="138" t="str"/>
      <x:c r="C68" s="138" t="str"/>
      <x:c r="D68" s="137" t="str"/>
      <x:c r="E68" s="137" t="str"/>
      <x:c r="F68" s="137" t="str"/>
      <x:c r="G68" s="137" t="str"/>
      <x:c r="H68" s="137" t="str"/>
      <x:c r="I68" s="137" t="str"/>
      <x:c r="J68" s="151" t="str"/>
      <x:c r="K68" s="151" t="str"/>
      <x:c r="L68" s="152" t="str">
        <x:f>IF(OR(J68="",K68=""),"",ROUNDUP(J68/K68,0))</x:f>
      </x:c>
      <x:c r="M68" s="151" t="str"/>
      <x:c r="N68" s="137" t="str"/>
      <x:c r="O68" s="137" t="str"/>
      <x:c r="P68" s="137" t="str"/>
      <x:c r="Q68" s="137" t="str"/>
      <x:c r="R68" s="137" t="str"/>
      <x:c r="S68" s="137" t="str"/>
      <x:c r="T68" s="137" t="str"/>
      <x:c r="U68" s="137" t="str"/>
      <x:c r="V68" s="137" t="str"/>
      <x:c r="W68" s="137" t="str"/>
      <x:c r="X68" s="199" t="str"/>
    </x:row>
    <x:row r="69">
      <x:c r="A69" s="137" t="str"/>
      <x:c r="B69" s="138" t="str"/>
      <x:c r="C69" s="138" t="str"/>
      <x:c r="D69" s="137" t="str"/>
      <x:c r="E69" s="137" t="str"/>
      <x:c r="F69" s="137" t="str"/>
      <x:c r="G69" s="137" t="str"/>
      <x:c r="H69" s="137" t="str"/>
      <x:c r="I69" s="137" t="str"/>
      <x:c r="J69" s="151" t="str"/>
      <x:c r="K69" s="151" t="str"/>
      <x:c r="L69" s="152" t="str">
        <x:f>IF(OR(J69="",K69=""),"",ROUNDUP(J69/K69,0))</x:f>
      </x:c>
      <x:c r="M69" s="151" t="str"/>
      <x:c r="N69" s="137" t="str"/>
      <x:c r="O69" s="137" t="str"/>
      <x:c r="P69" s="137" t="str"/>
      <x:c r="Q69" s="137" t="str"/>
      <x:c r="R69" s="137" t="str"/>
      <x:c r="S69" s="137" t="str"/>
      <x:c r="T69" s="137" t="str"/>
      <x:c r="U69" s="137" t="str"/>
      <x:c r="V69" s="137" t="str"/>
      <x:c r="W69" s="137" t="str"/>
      <x:c r="X69" s="199" t="str"/>
    </x:row>
    <x:row r="70">
      <x:c r="A70" s="137" t="str"/>
      <x:c r="B70" s="138" t="str"/>
      <x:c r="C70" s="138" t="str"/>
      <x:c r="D70" s="137" t="str"/>
      <x:c r="E70" s="137" t="str"/>
      <x:c r="F70" s="137" t="str"/>
      <x:c r="G70" s="137" t="str"/>
      <x:c r="H70" s="137" t="str"/>
      <x:c r="I70" s="137" t="str"/>
      <x:c r="J70" s="151" t="str"/>
      <x:c r="K70" s="151" t="str"/>
      <x:c r="L70" s="152" t="str">
        <x:f>IF(OR(J70="",K70=""),"",ROUNDUP(J70/K70,0))</x:f>
      </x:c>
      <x:c r="M70" s="151" t="str"/>
      <x:c r="N70" s="137" t="str"/>
      <x:c r="O70" s="137" t="str"/>
      <x:c r="P70" s="137" t="str"/>
      <x:c r="Q70" s="137" t="str"/>
      <x:c r="R70" s="137" t="str"/>
      <x:c r="S70" s="137" t="str"/>
      <x:c r="T70" s="137" t="str"/>
      <x:c r="U70" s="137" t="str"/>
      <x:c r="V70" s="137" t="str"/>
      <x:c r="W70" s="137" t="str"/>
      <x:c r="X70" s="199" t="str"/>
    </x:row>
    <x:row r="71">
      <x:c r="A71" s="137" t="str"/>
      <x:c r="B71" s="138" t="str"/>
      <x:c r="C71" s="138" t="str"/>
      <x:c r="D71" s="137" t="str"/>
      <x:c r="E71" s="137" t="str"/>
      <x:c r="F71" s="137" t="str"/>
      <x:c r="G71" s="137" t="str"/>
      <x:c r="H71" s="137" t="str"/>
      <x:c r="I71" s="137" t="str"/>
      <x:c r="J71" s="151" t="str"/>
      <x:c r="K71" s="151" t="str"/>
      <x:c r="L71" s="152" t="str">
        <x:f>IF(OR(J71="",K71=""),"",ROUNDUP(J71/K71,0))</x:f>
      </x:c>
      <x:c r="M71" s="151" t="str"/>
      <x:c r="N71" s="137" t="str"/>
      <x:c r="O71" s="137" t="str"/>
      <x:c r="P71" s="137" t="str"/>
      <x:c r="Q71" s="137" t="str"/>
      <x:c r="R71" s="137" t="str"/>
      <x:c r="S71" s="137" t="str"/>
      <x:c r="T71" s="137" t="str"/>
      <x:c r="U71" s="137" t="str"/>
      <x:c r="V71" s="137" t="str"/>
      <x:c r="W71" s="137" t="str"/>
      <x:c r="X71" s="199" t="str"/>
    </x:row>
    <x:row r="72">
      <x:c r="A72" s="137" t="str"/>
      <x:c r="B72" s="138" t="str"/>
      <x:c r="C72" s="138" t="str"/>
      <x:c r="D72" s="137" t="str"/>
      <x:c r="E72" s="137" t="str"/>
      <x:c r="F72" s="137" t="str"/>
      <x:c r="G72" s="137" t="str"/>
      <x:c r="H72" s="137" t="str"/>
      <x:c r="I72" s="137" t="str"/>
      <x:c r="J72" s="151" t="str"/>
      <x:c r="K72" s="151" t="str"/>
      <x:c r="L72" s="152" t="str">
        <x:f>IF(OR(J72="",K72=""),"",ROUNDUP(J72/K72,0))</x:f>
      </x:c>
      <x:c r="M72" s="151" t="str"/>
      <x:c r="N72" s="137" t="str"/>
      <x:c r="O72" s="137" t="str"/>
      <x:c r="P72" s="137" t="str"/>
      <x:c r="Q72" s="137" t="str"/>
      <x:c r="R72" s="137" t="str"/>
      <x:c r="S72" s="137" t="str"/>
      <x:c r="T72" s="137" t="str"/>
      <x:c r="U72" s="137" t="str"/>
      <x:c r="V72" s="137" t="str"/>
      <x:c r="W72" s="137" t="str"/>
      <x:c r="X72" s="199" t="str"/>
    </x:row>
    <x:row r="73">
      <x:c r="A73" s="137" t="str"/>
      <x:c r="B73" s="138" t="str"/>
      <x:c r="C73" s="138" t="str"/>
      <x:c r="D73" s="137" t="str"/>
      <x:c r="E73" s="137" t="str"/>
      <x:c r="F73" s="137" t="str"/>
      <x:c r="G73" s="137" t="str"/>
      <x:c r="H73" s="137" t="str"/>
      <x:c r="I73" s="137" t="str"/>
      <x:c r="J73" s="151" t="str"/>
      <x:c r="K73" s="151" t="str"/>
      <x:c r="L73" s="152" t="str">
        <x:f>IF(OR(J73="",K73=""),"",ROUNDUP(J73/K73,0))</x:f>
      </x:c>
      <x:c r="M73" s="151" t="str"/>
      <x:c r="N73" s="137" t="str"/>
      <x:c r="O73" s="137" t="str"/>
      <x:c r="P73" s="137" t="str"/>
      <x:c r="Q73" s="137" t="str"/>
      <x:c r="R73" s="137" t="str"/>
      <x:c r="S73" s="137" t="str"/>
      <x:c r="T73" s="137" t="str"/>
      <x:c r="U73" s="137" t="str"/>
      <x:c r="V73" s="137" t="str"/>
      <x:c r="W73" s="137" t="str"/>
      <x:c r="X73" s="199" t="str"/>
    </x:row>
    <x:row r="74">
      <x:c r="A74" s="137" t="str"/>
      <x:c r="B74" s="138" t="str"/>
      <x:c r="C74" s="138" t="str"/>
      <x:c r="D74" s="137" t="str"/>
      <x:c r="E74" s="137" t="str"/>
      <x:c r="F74" s="137" t="str"/>
      <x:c r="G74" s="137" t="str"/>
      <x:c r="H74" s="137" t="str"/>
      <x:c r="I74" s="137" t="str"/>
      <x:c r="J74" s="151" t="str"/>
      <x:c r="K74" s="151" t="str"/>
      <x:c r="L74" s="152" t="str">
        <x:f>IF(OR(J74="",K74=""),"",ROUNDUP(J74/K74,0))</x:f>
      </x:c>
      <x:c r="M74" s="151" t="str"/>
      <x:c r="N74" s="137" t="str"/>
      <x:c r="O74" s="137" t="str"/>
      <x:c r="P74" s="137" t="str"/>
      <x:c r="Q74" s="137" t="str"/>
      <x:c r="R74" s="137" t="str"/>
      <x:c r="S74" s="137" t="str"/>
      <x:c r="T74" s="137" t="str"/>
      <x:c r="U74" s="137" t="str"/>
      <x:c r="V74" s="137" t="str"/>
      <x:c r="W74" s="137" t="str"/>
      <x:c r="X74" s="199" t="str"/>
    </x:row>
    <x:row r="75">
      <x:c r="A75" s="137" t="str"/>
      <x:c r="B75" s="138" t="str"/>
      <x:c r="C75" s="138" t="str"/>
      <x:c r="D75" s="137" t="str"/>
      <x:c r="E75" s="137" t="str"/>
      <x:c r="F75" s="137" t="str"/>
      <x:c r="G75" s="137" t="str"/>
      <x:c r="H75" s="137" t="str"/>
      <x:c r="I75" s="137" t="str"/>
      <x:c r="J75" s="151" t="str"/>
      <x:c r="K75" s="151" t="str"/>
      <x:c r="L75" s="152" t="str">
        <x:f>IF(OR(J75="",K75=""),"",ROUNDUP(J75/K75,0))</x:f>
      </x:c>
      <x:c r="M75" s="151" t="str"/>
      <x:c r="N75" s="137" t="str"/>
      <x:c r="O75" s="137" t="str"/>
      <x:c r="P75" s="137" t="str"/>
      <x:c r="Q75" s="137" t="str"/>
      <x:c r="R75" s="137" t="str"/>
      <x:c r="S75" s="137" t="str"/>
      <x:c r="T75" s="137" t="str"/>
      <x:c r="U75" s="137" t="str"/>
      <x:c r="V75" s="137" t="str"/>
      <x:c r="W75" s="137" t="str"/>
      <x:c r="X75" s="199" t="str"/>
    </x:row>
    <x:row r="76">
      <x:c r="A76" s="137" t="str"/>
      <x:c r="B76" s="138" t="str"/>
      <x:c r="C76" s="138" t="str"/>
      <x:c r="D76" s="137" t="str"/>
      <x:c r="E76" s="137" t="str"/>
      <x:c r="F76" s="137" t="str"/>
      <x:c r="G76" s="137" t="str"/>
      <x:c r="H76" s="137" t="str"/>
      <x:c r="I76" s="137" t="str"/>
      <x:c r="J76" s="151" t="str"/>
      <x:c r="K76" s="151" t="str"/>
      <x:c r="L76" s="152" t="str">
        <x:f>IF(OR(J76="",K76=""),"",ROUNDUP(J76/K76,0))</x:f>
      </x:c>
      <x:c r="M76" s="151" t="str"/>
      <x:c r="N76" s="137" t="str"/>
      <x:c r="O76" s="137" t="str"/>
      <x:c r="P76" s="137" t="str"/>
      <x:c r="Q76" s="137" t="str"/>
      <x:c r="R76" s="137" t="str"/>
      <x:c r="S76" s="137" t="str"/>
      <x:c r="T76" s="137" t="str"/>
      <x:c r="U76" s="137" t="str"/>
      <x:c r="V76" s="137" t="str"/>
      <x:c r="W76" s="137" t="str"/>
      <x:c r="X76" s="199" t="str"/>
    </x:row>
    <x:row r="77">
      <x:c r="A77" s="137" t="str"/>
      <x:c r="B77" s="138" t="str"/>
      <x:c r="C77" s="138" t="str"/>
      <x:c r="D77" s="137" t="str"/>
      <x:c r="E77" s="137" t="str"/>
      <x:c r="F77" s="137" t="str"/>
      <x:c r="G77" s="137" t="str"/>
      <x:c r="H77" s="137" t="str"/>
      <x:c r="I77" s="137" t="str"/>
      <x:c r="J77" s="151" t="str"/>
      <x:c r="K77" s="151" t="str"/>
      <x:c r="L77" s="152" t="str">
        <x:f>IF(OR(J77="",K77=""),"",ROUNDUP(J77/K77,0))</x:f>
      </x:c>
      <x:c r="M77" s="151" t="str"/>
      <x:c r="N77" s="137" t="str"/>
      <x:c r="O77" s="137" t="str"/>
      <x:c r="P77" s="137" t="str"/>
      <x:c r="Q77" s="137" t="str"/>
      <x:c r="R77" s="137" t="str"/>
      <x:c r="S77" s="137" t="str"/>
      <x:c r="T77" s="137" t="str"/>
      <x:c r="U77" s="137" t="str"/>
      <x:c r="V77" s="137" t="str"/>
      <x:c r="W77" s="137" t="str"/>
      <x:c r="X77" s="199" t="str"/>
    </x:row>
    <x:row r="78">
      <x:c r="A78" s="137" t="str"/>
      <x:c r="B78" s="138" t="str"/>
      <x:c r="C78" s="138" t="str"/>
      <x:c r="D78" s="137" t="str"/>
      <x:c r="E78" s="137" t="str"/>
      <x:c r="F78" s="137" t="str"/>
      <x:c r="G78" s="137" t="str"/>
      <x:c r="H78" s="137" t="str"/>
      <x:c r="I78" s="137" t="str"/>
      <x:c r="J78" s="151" t="str"/>
      <x:c r="K78" s="151" t="str"/>
      <x:c r="L78" s="152" t="str">
        <x:f>IF(OR(J78="",K78=""),"",ROUNDUP(J78/K78,0))</x:f>
      </x:c>
      <x:c r="M78" s="151" t="str"/>
      <x:c r="N78" s="137" t="str"/>
      <x:c r="O78" s="137" t="str"/>
      <x:c r="P78" s="137" t="str"/>
      <x:c r="Q78" s="137" t="str"/>
      <x:c r="R78" s="137" t="str"/>
      <x:c r="S78" s="137" t="str"/>
      <x:c r="T78" s="137" t="str"/>
      <x:c r="U78" s="137" t="str"/>
      <x:c r="V78" s="137" t="str"/>
      <x:c r="W78" s="137" t="str"/>
      <x:c r="X78" s="199" t="str"/>
    </x:row>
    <x:row r="79">
      <x:c r="A79" s="137" t="str"/>
      <x:c r="B79" s="138" t="str"/>
      <x:c r="C79" s="138" t="str"/>
      <x:c r="D79" s="137" t="str"/>
      <x:c r="E79" s="137" t="str"/>
      <x:c r="F79" s="137" t="str"/>
      <x:c r="G79" s="137" t="str"/>
      <x:c r="H79" s="137" t="str"/>
      <x:c r="I79" s="137" t="str"/>
      <x:c r="J79" s="151" t="str"/>
      <x:c r="K79" s="151" t="str"/>
      <x:c r="L79" s="152" t="str">
        <x:f>IF(OR(J79="",K79=""),"",ROUNDUP(J79/K79,0))</x:f>
      </x:c>
      <x:c r="M79" s="151" t="str"/>
      <x:c r="N79" s="137" t="str"/>
      <x:c r="O79" s="137" t="str"/>
      <x:c r="P79" s="137" t="str"/>
      <x:c r="Q79" s="137" t="str"/>
      <x:c r="R79" s="137" t="str"/>
      <x:c r="S79" s="137" t="str"/>
      <x:c r="T79" s="137" t="str"/>
      <x:c r="U79" s="137" t="str"/>
      <x:c r="V79" s="137" t="str"/>
      <x:c r="W79" s="137" t="str"/>
      <x:c r="X79" s="199" t="str"/>
    </x:row>
    <x:row r="80">
      <x:c r="A80" s="137" t="str"/>
      <x:c r="B80" s="138" t="str"/>
      <x:c r="C80" s="138" t="str"/>
      <x:c r="D80" s="137" t="str"/>
      <x:c r="E80" s="137" t="str"/>
      <x:c r="F80" s="137" t="str"/>
      <x:c r="G80" s="137" t="str"/>
      <x:c r="H80" s="137" t="str"/>
      <x:c r="I80" s="137" t="str"/>
      <x:c r="J80" s="151" t="str"/>
      <x:c r="K80" s="151" t="str"/>
      <x:c r="L80" s="152" t="str">
        <x:f>IF(OR(J80="",K80=""),"",ROUNDUP(J80/K80,0))</x:f>
      </x:c>
      <x:c r="M80" s="151" t="str"/>
      <x:c r="N80" s="137" t="str"/>
      <x:c r="O80" s="137" t="str"/>
      <x:c r="P80" s="137" t="str"/>
      <x:c r="Q80" s="137" t="str"/>
      <x:c r="R80" s="137" t="str"/>
      <x:c r="S80" s="137" t="str"/>
      <x:c r="T80" s="137" t="str"/>
      <x:c r="U80" s="137" t="str"/>
      <x:c r="V80" s="137" t="str"/>
      <x:c r="W80" s="137" t="str"/>
      <x:c r="X80" s="199" t="str"/>
    </x:row>
    <x:row r="81">
      <x:c r="A81" s="137" t="str"/>
      <x:c r="B81" s="138" t="str"/>
      <x:c r="C81" s="138" t="str"/>
      <x:c r="D81" s="137" t="str"/>
      <x:c r="E81" s="137" t="str"/>
      <x:c r="F81" s="137" t="str"/>
      <x:c r="G81" s="137" t="str"/>
      <x:c r="H81" s="137" t="str"/>
      <x:c r="I81" s="137" t="str"/>
      <x:c r="J81" s="151" t="str"/>
      <x:c r="K81" s="151" t="str"/>
      <x:c r="L81" s="152" t="str">
        <x:f>IF(OR(J81="",K81=""),"",ROUNDUP(J81/K81,0))</x:f>
      </x:c>
      <x:c r="M81" s="151" t="str"/>
      <x:c r="N81" s="137" t="str"/>
      <x:c r="O81" s="137" t="str"/>
      <x:c r="P81" s="137" t="str"/>
      <x:c r="Q81" s="137" t="str"/>
      <x:c r="R81" s="137" t="str"/>
      <x:c r="S81" s="137" t="str"/>
      <x:c r="T81" s="137" t="str"/>
      <x:c r="U81" s="137" t="str"/>
      <x:c r="V81" s="137" t="str"/>
      <x:c r="W81" s="137" t="str"/>
      <x:c r="X81" s="199" t="str"/>
    </x:row>
    <x:row r="82">
      <x:c r="A82" s="137" t="str"/>
      <x:c r="B82" s="138" t="str"/>
      <x:c r="C82" s="138" t="str"/>
      <x:c r="D82" s="137" t="str"/>
      <x:c r="E82" s="137" t="str"/>
      <x:c r="F82" s="137" t="str"/>
      <x:c r="G82" s="137" t="str"/>
      <x:c r="H82" s="137" t="str"/>
      <x:c r="I82" s="137" t="str"/>
      <x:c r="J82" s="151" t="str"/>
      <x:c r="K82" s="151" t="str"/>
      <x:c r="L82" s="152" t="str">
        <x:f>IF(OR(J82="",K82=""),"",ROUNDUP(J82/K82,0))</x:f>
      </x:c>
      <x:c r="M82" s="151" t="str"/>
      <x:c r="N82" s="137" t="str"/>
      <x:c r="O82" s="137" t="str"/>
      <x:c r="P82" s="137" t="str"/>
      <x:c r="Q82" s="137" t="str"/>
      <x:c r="R82" s="137" t="str"/>
      <x:c r="S82" s="137" t="str"/>
      <x:c r="T82" s="137" t="str"/>
      <x:c r="U82" s="137" t="str"/>
      <x:c r="V82" s="137" t="str"/>
      <x:c r="W82" s="137" t="str"/>
      <x:c r="X82" s="199" t="str"/>
    </x:row>
    <x:row r="83">
      <x:c r="A83" s="137" t="str"/>
      <x:c r="B83" s="138" t="str"/>
      <x:c r="C83" s="138" t="str"/>
      <x:c r="D83" s="137" t="str"/>
      <x:c r="E83" s="137" t="str"/>
      <x:c r="F83" s="137" t="str"/>
      <x:c r="G83" s="137" t="str"/>
      <x:c r="H83" s="137" t="str"/>
      <x:c r="I83" s="137" t="str"/>
      <x:c r="J83" s="151" t="str"/>
      <x:c r="K83" s="151" t="str"/>
      <x:c r="L83" s="152" t="str">
        <x:f>IF(OR(J83="",K83=""),"",ROUNDUP(J83/K83,0))</x:f>
      </x:c>
      <x:c r="M83" s="151" t="str"/>
      <x:c r="N83" s="137" t="str"/>
      <x:c r="O83" s="137" t="str"/>
      <x:c r="P83" s="137" t="str"/>
      <x:c r="Q83" s="137" t="str"/>
      <x:c r="R83" s="137" t="str"/>
      <x:c r="S83" s="137" t="str"/>
      <x:c r="T83" s="137" t="str"/>
      <x:c r="U83" s="137" t="str"/>
      <x:c r="V83" s="137" t="str"/>
      <x:c r="W83" s="137" t="str"/>
      <x:c r="X83" s="199" t="str"/>
    </x:row>
    <x:row r="84">
      <x:c r="A84" s="137" t="str"/>
      <x:c r="B84" s="138" t="str"/>
      <x:c r="C84" s="138" t="str"/>
      <x:c r="D84" s="137" t="str"/>
      <x:c r="E84" s="137" t="str"/>
      <x:c r="F84" s="137" t="str"/>
      <x:c r="G84" s="137" t="str"/>
      <x:c r="H84" s="137" t="str"/>
      <x:c r="I84" s="137" t="str"/>
      <x:c r="J84" s="151" t="str"/>
      <x:c r="K84" s="151" t="str"/>
      <x:c r="L84" s="152" t="str">
        <x:f>IF(OR(J84="",K84=""),"",ROUNDUP(J84/K84,0))</x:f>
      </x:c>
      <x:c r="M84" s="151" t="str"/>
      <x:c r="N84" s="137" t="str"/>
      <x:c r="O84" s="137" t="str"/>
      <x:c r="P84" s="137" t="str"/>
      <x:c r="Q84" s="137" t="str"/>
      <x:c r="R84" s="137" t="str"/>
      <x:c r="S84" s="137" t="str"/>
      <x:c r="T84" s="137" t="str"/>
      <x:c r="U84" s="137" t="str"/>
      <x:c r="V84" s="137" t="str"/>
      <x:c r="W84" s="137" t="str"/>
      <x:c r="X84" s="199" t="str"/>
    </x:row>
    <x:row r="85">
      <x:c r="A85" s="137" t="str"/>
      <x:c r="B85" s="138" t="str"/>
      <x:c r="C85" s="138" t="str"/>
      <x:c r="D85" s="137" t="str"/>
      <x:c r="E85" s="137" t="str"/>
      <x:c r="F85" s="137" t="str"/>
      <x:c r="G85" s="137" t="str"/>
      <x:c r="H85" s="137" t="str"/>
      <x:c r="I85" s="137" t="str"/>
      <x:c r="J85" s="151" t="str"/>
      <x:c r="K85" s="151" t="str"/>
      <x:c r="L85" s="152" t="str">
        <x:f>IF(OR(J85="",K85=""),"",ROUNDUP(J85/K85,0))</x:f>
      </x:c>
      <x:c r="M85" s="151" t="str"/>
      <x:c r="N85" s="137" t="str"/>
      <x:c r="O85" s="137" t="str"/>
      <x:c r="P85" s="137" t="str"/>
      <x:c r="Q85" s="137" t="str"/>
      <x:c r="R85" s="137" t="str"/>
      <x:c r="S85" s="137" t="str"/>
      <x:c r="T85" s="137" t="str"/>
      <x:c r="U85" s="137" t="str"/>
      <x:c r="V85" s="137" t="str"/>
      <x:c r="W85" s="137" t="str"/>
      <x:c r="X85" s="199" t="str"/>
    </x:row>
    <x:row r="86">
      <x:c r="A86" s="137" t="str"/>
      <x:c r="B86" s="138" t="str"/>
      <x:c r="C86" s="138" t="str"/>
      <x:c r="D86" s="137" t="str"/>
      <x:c r="E86" s="137" t="str"/>
      <x:c r="F86" s="137" t="str"/>
      <x:c r="G86" s="137" t="str"/>
      <x:c r="H86" s="137" t="str"/>
      <x:c r="I86" s="137" t="str"/>
      <x:c r="J86" s="151" t="str"/>
      <x:c r="K86" s="151" t="str"/>
      <x:c r="L86" s="152" t="str">
        <x:f>IF(OR(J86="",K86=""),"",ROUNDUP(J86/K86,0))</x:f>
      </x:c>
      <x:c r="M86" s="151" t="str"/>
      <x:c r="N86" s="137" t="str"/>
      <x:c r="O86" s="137" t="str"/>
      <x:c r="P86" s="137" t="str"/>
      <x:c r="Q86" s="137" t="str"/>
      <x:c r="R86" s="137" t="str"/>
      <x:c r="S86" s="137" t="str"/>
      <x:c r="T86" s="137" t="str"/>
      <x:c r="U86" s="137" t="str"/>
      <x:c r="V86" s="137" t="str"/>
      <x:c r="W86" s="137" t="str"/>
      <x:c r="X86" s="199" t="str"/>
    </x:row>
    <x:row r="87">
      <x:c r="A87" s="137" t="str"/>
      <x:c r="B87" s="138" t="str"/>
      <x:c r="C87" s="138" t="str"/>
      <x:c r="D87" s="137" t="str"/>
      <x:c r="E87" s="137" t="str"/>
      <x:c r="F87" s="137" t="str"/>
      <x:c r="G87" s="137" t="str"/>
      <x:c r="H87" s="137" t="str"/>
      <x:c r="I87" s="137" t="str"/>
      <x:c r="J87" s="151" t="str"/>
      <x:c r="K87" s="151" t="str"/>
      <x:c r="L87" s="152" t="str">
        <x:f>IF(OR(J87="",K87=""),"",ROUNDUP(J87/K87,0))</x:f>
      </x:c>
      <x:c r="M87" s="151" t="str"/>
      <x:c r="N87" s="137" t="str"/>
      <x:c r="O87" s="137" t="str"/>
      <x:c r="P87" s="137" t="str"/>
      <x:c r="Q87" s="137" t="str"/>
      <x:c r="R87" s="137" t="str"/>
      <x:c r="S87" s="137" t="str"/>
      <x:c r="T87" s="137" t="str"/>
      <x:c r="U87" s="137" t="str"/>
      <x:c r="V87" s="137" t="str"/>
      <x:c r="W87" s="137" t="str"/>
      <x:c r="X87" s="199" t="str"/>
    </x:row>
    <x:row r="88">
      <x:c r="A88" s="137" t="str"/>
      <x:c r="B88" s="138" t="str"/>
      <x:c r="C88" s="138" t="str"/>
      <x:c r="D88" s="137" t="str"/>
      <x:c r="E88" s="137" t="str"/>
      <x:c r="F88" s="137" t="str"/>
      <x:c r="G88" s="137" t="str"/>
      <x:c r="H88" s="137" t="str"/>
      <x:c r="I88" s="137" t="str"/>
      <x:c r="J88" s="151" t="str"/>
      <x:c r="K88" s="151" t="str"/>
      <x:c r="L88" s="152" t="str">
        <x:f>IF(OR(J88="",K88=""),"",ROUNDUP(J88/K88,0))</x:f>
      </x:c>
      <x:c r="M88" s="151" t="str"/>
      <x:c r="N88" s="137" t="str"/>
      <x:c r="O88" s="137" t="str"/>
      <x:c r="P88" s="137" t="str"/>
      <x:c r="Q88" s="137" t="str"/>
      <x:c r="R88" s="137" t="str"/>
      <x:c r="S88" s="137" t="str"/>
      <x:c r="T88" s="137" t="str"/>
      <x:c r="U88" s="137" t="str"/>
      <x:c r="V88" s="137" t="str"/>
      <x:c r="W88" s="137" t="str"/>
      <x:c r="X88" s="199" t="str"/>
    </x:row>
    <x:row r="89">
      <x:c r="A89" s="137" t="str"/>
      <x:c r="B89" s="138" t="str"/>
      <x:c r="C89" s="138" t="str"/>
      <x:c r="D89" s="137" t="str"/>
      <x:c r="E89" s="137" t="str"/>
      <x:c r="F89" s="137" t="str"/>
      <x:c r="G89" s="137" t="str"/>
      <x:c r="H89" s="137" t="str"/>
      <x:c r="I89" s="137" t="str"/>
      <x:c r="J89" s="151" t="str"/>
      <x:c r="K89" s="151" t="str"/>
      <x:c r="L89" s="152" t="str">
        <x:f>IF(OR(J89="",K89=""),"",ROUNDUP(J89/K89,0))</x:f>
      </x:c>
      <x:c r="M89" s="151" t="str"/>
      <x:c r="N89" s="137" t="str"/>
      <x:c r="O89" s="137" t="str"/>
      <x:c r="P89" s="137" t="str"/>
      <x:c r="Q89" s="137" t="str"/>
      <x:c r="R89" s="137" t="str"/>
      <x:c r="S89" s="137" t="str"/>
      <x:c r="T89" s="137" t="str"/>
      <x:c r="U89" s="137" t="str"/>
      <x:c r="V89" s="137" t="str"/>
      <x:c r="W89" s="137" t="str"/>
      <x:c r="X89" s="199" t="str"/>
    </x:row>
    <x:row r="90">
      <x:c r="A90" s="137" t="str"/>
      <x:c r="B90" s="138" t="str"/>
      <x:c r="C90" s="138" t="str"/>
      <x:c r="D90" s="137" t="str"/>
      <x:c r="E90" s="137" t="str"/>
      <x:c r="F90" s="137" t="str"/>
      <x:c r="G90" s="137" t="str"/>
      <x:c r="H90" s="137" t="str"/>
      <x:c r="I90" s="137" t="str"/>
      <x:c r="J90" s="151" t="str"/>
      <x:c r="K90" s="151" t="str"/>
      <x:c r="L90" s="152" t="str">
        <x:f>IF(OR(J90="",K90=""),"",ROUNDUP(J90/K90,0))</x:f>
      </x:c>
      <x:c r="M90" s="151" t="str"/>
      <x:c r="N90" s="137" t="str"/>
      <x:c r="O90" s="137" t="str"/>
      <x:c r="P90" s="137" t="str"/>
      <x:c r="Q90" s="137" t="str"/>
      <x:c r="R90" s="137" t="str"/>
      <x:c r="S90" s="137" t="str"/>
      <x:c r="T90" s="137" t="str"/>
      <x:c r="U90" s="137" t="str"/>
      <x:c r="V90" s="137" t="str"/>
      <x:c r="W90" s="137" t="str"/>
      <x:c r="X90" s="199" t="str"/>
    </x:row>
    <x:row r="91">
      <x:c r="A91" s="137" t="str"/>
      <x:c r="B91" s="138" t="str"/>
      <x:c r="C91" s="138" t="str"/>
      <x:c r="D91" s="137" t="str"/>
      <x:c r="E91" s="137" t="str"/>
      <x:c r="F91" s="137" t="str"/>
      <x:c r="G91" s="137" t="str"/>
      <x:c r="H91" s="137" t="str"/>
      <x:c r="I91" s="137" t="str"/>
      <x:c r="J91" s="151" t="str"/>
      <x:c r="K91" s="151" t="str"/>
      <x:c r="L91" s="152" t="str">
        <x:f>IF(OR(J91="",K91=""),"",ROUNDUP(J91/K91,0))</x:f>
      </x:c>
      <x:c r="M91" s="151" t="str"/>
      <x:c r="N91" s="137" t="str"/>
      <x:c r="O91" s="137" t="str"/>
      <x:c r="P91" s="137" t="str"/>
      <x:c r="Q91" s="137" t="str"/>
      <x:c r="R91" s="137" t="str"/>
      <x:c r="S91" s="137" t="str"/>
      <x:c r="T91" s="137" t="str"/>
      <x:c r="U91" s="137" t="str"/>
      <x:c r="V91" s="137" t="str"/>
      <x:c r="W91" s="137" t="str"/>
      <x:c r="X91" s="199" t="str"/>
    </x:row>
    <x:row r="92">
      <x:c r="A92" s="137" t="str"/>
      <x:c r="B92" s="138" t="str"/>
      <x:c r="C92" s="138" t="str"/>
      <x:c r="D92" s="137" t="str"/>
      <x:c r="E92" s="137" t="str"/>
      <x:c r="F92" s="137" t="str"/>
      <x:c r="G92" s="137" t="str"/>
      <x:c r="H92" s="137" t="str"/>
      <x:c r="I92" s="137" t="str"/>
      <x:c r="J92" s="151" t="str"/>
      <x:c r="K92" s="151" t="str"/>
      <x:c r="L92" s="152" t="str">
        <x:f>IF(OR(J92="",K92=""),"",ROUNDUP(J92/K92,0))</x:f>
      </x:c>
      <x:c r="M92" s="151" t="str"/>
      <x:c r="N92" s="137" t="str"/>
      <x:c r="O92" s="137" t="str"/>
      <x:c r="P92" s="137" t="str"/>
      <x:c r="Q92" s="137" t="str"/>
      <x:c r="R92" s="137" t="str"/>
      <x:c r="S92" s="137" t="str"/>
      <x:c r="T92" s="137" t="str"/>
      <x:c r="U92" s="137" t="str"/>
      <x:c r="V92" s="137" t="str"/>
      <x:c r="W92" s="137" t="str"/>
      <x:c r="X92" s="199" t="str"/>
    </x:row>
    <x:row r="93">
      <x:c r="A93" s="137" t="str"/>
      <x:c r="B93" s="138" t="str"/>
      <x:c r="C93" s="138" t="str"/>
      <x:c r="D93" s="137" t="str"/>
      <x:c r="E93" s="137" t="str"/>
      <x:c r="F93" s="137" t="str"/>
      <x:c r="G93" s="137" t="str"/>
      <x:c r="H93" s="137" t="str"/>
      <x:c r="I93" s="137" t="str"/>
      <x:c r="J93" s="151" t="str"/>
      <x:c r="K93" s="151" t="str"/>
      <x:c r="L93" s="152" t="str">
        <x:f>IF(OR(J93="",K93=""),"",ROUNDUP(J93/K93,0))</x:f>
      </x:c>
      <x:c r="M93" s="151" t="str"/>
      <x:c r="N93" s="137" t="str"/>
      <x:c r="O93" s="137" t="str"/>
      <x:c r="P93" s="137" t="str"/>
      <x:c r="Q93" s="137" t="str"/>
      <x:c r="R93" s="137" t="str"/>
      <x:c r="S93" s="137" t="str"/>
      <x:c r="T93" s="137" t="str"/>
      <x:c r="U93" s="137" t="str"/>
      <x:c r="V93" s="137" t="str"/>
      <x:c r="W93" s="137" t="str"/>
      <x:c r="X93" s="199" t="str"/>
    </x:row>
    <x:row r="94">
      <x:c r="A94" s="137" t="str"/>
      <x:c r="B94" s="138" t="str"/>
      <x:c r="C94" s="138" t="str"/>
      <x:c r="D94" s="137" t="str"/>
      <x:c r="E94" s="137" t="str"/>
      <x:c r="F94" s="137" t="str"/>
      <x:c r="G94" s="137" t="str"/>
      <x:c r="H94" s="137" t="str"/>
      <x:c r="I94" s="137" t="str"/>
      <x:c r="J94" s="151" t="str"/>
      <x:c r="K94" s="151" t="str"/>
      <x:c r="L94" s="152" t="str">
        <x:f>IF(OR(J94="",K94=""),"",ROUNDUP(J94/K94,0))</x:f>
      </x:c>
      <x:c r="M94" s="151" t="str"/>
      <x:c r="N94" s="137" t="str"/>
      <x:c r="O94" s="137" t="str"/>
      <x:c r="P94" s="137" t="str"/>
      <x:c r="Q94" s="137" t="str"/>
      <x:c r="R94" s="137" t="str"/>
      <x:c r="S94" s="137" t="str"/>
      <x:c r="T94" s="137" t="str"/>
      <x:c r="U94" s="137" t="str"/>
      <x:c r="V94" s="137" t="str"/>
      <x:c r="W94" s="137" t="str"/>
      <x:c r="X94" s="199" t="str"/>
    </x:row>
    <x:row r="95">
      <x:c r="A95" s="137" t="str"/>
      <x:c r="B95" s="138" t="str"/>
      <x:c r="C95" s="138" t="str"/>
      <x:c r="D95" s="137" t="str"/>
      <x:c r="E95" s="137" t="str"/>
      <x:c r="F95" s="137" t="str"/>
      <x:c r="G95" s="137" t="str"/>
      <x:c r="H95" s="137" t="str"/>
      <x:c r="I95" s="137" t="str"/>
      <x:c r="J95" s="151" t="str"/>
      <x:c r="K95" s="151" t="str"/>
      <x:c r="L95" s="152" t="str">
        <x:f>IF(OR(J95="",K95=""),"",ROUNDUP(J95/K95,0))</x:f>
      </x:c>
      <x:c r="M95" s="151" t="str"/>
      <x:c r="N95" s="137" t="str"/>
      <x:c r="O95" s="137" t="str"/>
      <x:c r="P95" s="137" t="str"/>
      <x:c r="Q95" s="137" t="str"/>
      <x:c r="R95" s="137" t="str"/>
      <x:c r="S95" s="137" t="str"/>
      <x:c r="T95" s="137" t="str"/>
      <x:c r="U95" s="137" t="str"/>
      <x:c r="V95" s="137" t="str"/>
      <x:c r="W95" s="137" t="str"/>
      <x:c r="X95" s="199" t="str"/>
    </x:row>
    <x:row r="96">
      <x:c r="A96" s="137" t="str"/>
      <x:c r="B96" s="138" t="str"/>
      <x:c r="C96" s="138" t="str"/>
      <x:c r="D96" s="137" t="str"/>
      <x:c r="E96" s="137" t="str"/>
      <x:c r="F96" s="137" t="str"/>
      <x:c r="G96" s="137" t="str"/>
      <x:c r="H96" s="137" t="str"/>
      <x:c r="I96" s="137" t="str"/>
      <x:c r="J96" s="151" t="str"/>
      <x:c r="K96" s="151" t="str"/>
      <x:c r="L96" s="152" t="str">
        <x:f>IF(OR(J96="",K96=""),"",ROUNDUP(J96/K96,0))</x:f>
      </x:c>
      <x:c r="M96" s="151" t="str"/>
      <x:c r="N96" s="137" t="str"/>
      <x:c r="O96" s="137" t="str"/>
      <x:c r="P96" s="137" t="str"/>
      <x:c r="Q96" s="137" t="str"/>
      <x:c r="R96" s="137" t="str"/>
      <x:c r="S96" s="137" t="str"/>
      <x:c r="T96" s="137" t="str"/>
      <x:c r="U96" s="137" t="str"/>
      <x:c r="V96" s="137" t="str"/>
      <x:c r="W96" s="137" t="str"/>
      <x:c r="X96" s="199" t="str"/>
    </x:row>
    <x:row r="97">
      <x:c r="A97" s="137" t="str"/>
      <x:c r="B97" s="138" t="str"/>
      <x:c r="C97" s="138" t="str"/>
      <x:c r="D97" s="137" t="str"/>
      <x:c r="E97" s="137" t="str"/>
      <x:c r="F97" s="137" t="str"/>
      <x:c r="G97" s="137" t="str"/>
      <x:c r="H97" s="137" t="str"/>
      <x:c r="I97" s="137" t="str"/>
      <x:c r="J97" s="151" t="str"/>
      <x:c r="K97" s="151" t="str"/>
      <x:c r="L97" s="152" t="str">
        <x:f>IF(OR(J97="",K97=""),"",ROUNDUP(J97/K97,0))</x:f>
      </x:c>
      <x:c r="M97" s="151" t="str"/>
      <x:c r="N97" s="137" t="str"/>
      <x:c r="O97" s="137" t="str"/>
      <x:c r="P97" s="137" t="str"/>
      <x:c r="Q97" s="137" t="str"/>
      <x:c r="R97" s="137" t="str"/>
      <x:c r="S97" s="137" t="str"/>
      <x:c r="T97" s="137" t="str"/>
      <x:c r="U97" s="137" t="str"/>
      <x:c r="V97" s="137" t="str"/>
      <x:c r="W97" s="137" t="str"/>
      <x:c r="X97" s="199" t="str"/>
    </x:row>
    <x:row r="98">
      <x:c r="A98" s="137" t="str"/>
      <x:c r="B98" s="138" t="str"/>
      <x:c r="C98" s="138" t="str"/>
      <x:c r="D98" s="137" t="str"/>
      <x:c r="E98" s="137" t="str"/>
      <x:c r="F98" s="137" t="str"/>
      <x:c r="G98" s="137" t="str"/>
      <x:c r="H98" s="137" t="str"/>
      <x:c r="I98" s="137" t="str"/>
      <x:c r="J98" s="151" t="str"/>
      <x:c r="K98" s="151" t="str"/>
      <x:c r="L98" s="152" t="str">
        <x:f>IF(OR(J98="",K98=""),"",ROUNDUP(J98/K98,0))</x:f>
      </x:c>
      <x:c r="M98" s="151" t="str"/>
      <x:c r="N98" s="137" t="str"/>
      <x:c r="O98" s="137" t="str"/>
      <x:c r="P98" s="137" t="str"/>
      <x:c r="Q98" s="137" t="str"/>
      <x:c r="R98" s="137" t="str"/>
      <x:c r="S98" s="137" t="str"/>
      <x:c r="T98" s="137" t="str"/>
      <x:c r="U98" s="137" t="str"/>
      <x:c r="V98" s="137" t="str"/>
      <x:c r="W98" s="137" t="str"/>
      <x:c r="X98" s="199" t="str"/>
    </x:row>
    <x:row r="99">
      <x:c r="A99" s="137" t="str"/>
      <x:c r="B99" s="138" t="str"/>
      <x:c r="C99" s="138" t="str"/>
      <x:c r="D99" s="137" t="str"/>
      <x:c r="E99" s="137" t="str"/>
      <x:c r="F99" s="137" t="str"/>
      <x:c r="G99" s="137" t="str"/>
      <x:c r="H99" s="137" t="str"/>
      <x:c r="I99" s="137" t="str"/>
      <x:c r="J99" s="151" t="str"/>
      <x:c r="K99" s="151" t="str"/>
      <x:c r="L99" s="152" t="str">
        <x:f>IF(OR(J99="",K99=""),"",ROUNDUP(J99/K99,0))</x:f>
      </x:c>
      <x:c r="M99" s="151" t="str"/>
      <x:c r="N99" s="137" t="str"/>
      <x:c r="O99" s="137" t="str"/>
      <x:c r="P99" s="137" t="str"/>
      <x:c r="Q99" s="137" t="str"/>
      <x:c r="R99" s="137" t="str"/>
      <x:c r="S99" s="137" t="str"/>
      <x:c r="T99" s="137" t="str"/>
      <x:c r="U99" s="137" t="str"/>
      <x:c r="V99" s="137" t="str"/>
      <x:c r="W99" s="137" t="str"/>
      <x:c r="X99" s="199" t="str"/>
    </x:row>
    <x:row r="100">
      <x:c r="A100" s="137" t="str"/>
      <x:c r="B100" s="138" t="str"/>
      <x:c r="C100" s="138" t="str"/>
      <x:c r="D100" s="137" t="str"/>
      <x:c r="E100" s="137" t="str"/>
      <x:c r="F100" s="137" t="str"/>
      <x:c r="G100" s="137" t="str"/>
      <x:c r="H100" s="137" t="str"/>
      <x:c r="I100" s="137" t="str"/>
      <x:c r="J100" s="151" t="str"/>
      <x:c r="K100" s="151" t="str"/>
      <x:c r="L100" s="152" t="str">
        <x:f>IF(OR(J100="",K100=""),"",ROUNDUP(J100/K100,0))</x:f>
      </x:c>
      <x:c r="M100" s="151" t="str"/>
      <x:c r="N100" s="137" t="str"/>
      <x:c r="O100" s="137" t="str"/>
      <x:c r="P100" s="137" t="str"/>
      <x:c r="Q100" s="137" t="str"/>
      <x:c r="R100" s="137" t="str"/>
      <x:c r="S100" s="137" t="str"/>
      <x:c r="T100" s="137" t="str"/>
      <x:c r="U100" s="137" t="str"/>
      <x:c r="V100" s="137" t="str"/>
      <x:c r="W100" s="137" t="str"/>
      <x:c r="X100" s="199" t="str"/>
    </x:row>
    <x:row r="101">
      <x:c r="A101" s="137" t="str"/>
      <x:c r="B101" s="138" t="str"/>
      <x:c r="C101" s="138" t="str"/>
      <x:c r="D101" s="137" t="str"/>
      <x:c r="E101" s="137" t="str"/>
      <x:c r="F101" s="137" t="str"/>
      <x:c r="G101" s="137" t="str"/>
      <x:c r="H101" s="137" t="str"/>
      <x:c r="I101" s="137" t="str"/>
      <x:c r="J101" s="151" t="str"/>
      <x:c r="K101" s="151" t="str"/>
      <x:c r="L101" s="152" t="str">
        <x:f>IF(OR(J101="",K101=""),"",ROUNDUP(J101/K101,0))</x:f>
      </x:c>
      <x:c r="M101" s="151" t="str"/>
      <x:c r="N101" s="137" t="str"/>
      <x:c r="O101" s="137" t="str"/>
      <x:c r="P101" s="137" t="str"/>
      <x:c r="Q101" s="137" t="str"/>
      <x:c r="R101" s="137" t="str"/>
      <x:c r="S101" s="137" t="str"/>
      <x:c r="T101" s="137" t="str"/>
      <x:c r="U101" s="137" t="str"/>
      <x:c r="V101" s="137" t="str"/>
      <x:c r="W101" s="137" t="str"/>
      <x:c r="X101" s="199" t="str"/>
    </x:row>
    <x:row r="102">
      <x:c r="A102" s="137" t="str"/>
      <x:c r="B102" s="138" t="str"/>
      <x:c r="C102" s="138" t="str"/>
      <x:c r="D102" s="137" t="str"/>
      <x:c r="E102" s="137" t="str"/>
      <x:c r="F102" s="137" t="str"/>
      <x:c r="G102" s="137" t="str"/>
      <x:c r="H102" s="137" t="str"/>
      <x:c r="I102" s="137" t="str"/>
      <x:c r="J102" s="151" t="str"/>
      <x:c r="K102" s="151" t="str"/>
      <x:c r="L102" s="152" t="str">
        <x:f>IF(OR(J102="",K102=""),"",ROUNDUP(J102/K102,0))</x:f>
      </x:c>
      <x:c r="M102" s="151" t="str"/>
      <x:c r="N102" s="137" t="str"/>
      <x:c r="O102" s="137" t="str"/>
      <x:c r="P102" s="137" t="str"/>
      <x:c r="Q102" s="137" t="str"/>
      <x:c r="R102" s="137" t="str"/>
      <x:c r="S102" s="137" t="str"/>
      <x:c r="T102" s="137" t="str"/>
      <x:c r="U102" s="137" t="str"/>
      <x:c r="V102" s="137" t="str"/>
      <x:c r="W102" s="137" t="str"/>
      <x:c r="X102" s="199" t="str"/>
    </x:row>
    <x:row r="103">
      <x:c r="A103" s="137" t="str"/>
      <x:c r="B103" s="138" t="str"/>
      <x:c r="C103" s="138" t="str"/>
      <x:c r="D103" s="137" t="str"/>
      <x:c r="E103" s="137" t="str"/>
      <x:c r="F103" s="137" t="str"/>
      <x:c r="G103" s="137" t="str"/>
      <x:c r="H103" s="137" t="str"/>
      <x:c r="I103" s="137" t="str"/>
      <x:c r="J103" s="151" t="str"/>
      <x:c r="K103" s="151" t="str"/>
      <x:c r="L103" s="152" t="str">
        <x:f>IF(OR(J103="",K103=""),"",ROUNDUP(J103/K103,0))</x:f>
      </x:c>
      <x:c r="M103" s="151" t="str"/>
      <x:c r="N103" s="137" t="str"/>
      <x:c r="O103" s="137" t="str"/>
      <x:c r="P103" s="137" t="str"/>
      <x:c r="Q103" s="137" t="str"/>
      <x:c r="R103" s="137" t="str"/>
      <x:c r="S103" s="137" t="str"/>
      <x:c r="T103" s="137" t="str"/>
      <x:c r="U103" s="137" t="str"/>
      <x:c r="V103" s="137" t="str"/>
      <x:c r="W103" s="137" t="str"/>
      <x:c r="X103" s="199" t="str"/>
    </x:row>
    <x:row r="104">
      <x:c r="A104" s="137" t="str"/>
      <x:c r="B104" s="138" t="str"/>
      <x:c r="C104" s="138" t="str"/>
      <x:c r="D104" s="137" t="str"/>
      <x:c r="E104" s="137" t="str"/>
      <x:c r="F104" s="137" t="str"/>
      <x:c r="G104" s="137" t="str"/>
      <x:c r="H104" s="137" t="str"/>
      <x:c r="I104" s="137" t="str"/>
      <x:c r="J104" s="151" t="str"/>
      <x:c r="K104" s="151" t="str"/>
      <x:c r="L104" s="152" t="str">
        <x:f>IF(OR(J104="",K104=""),"",ROUNDUP(J104/K104,0))</x:f>
      </x:c>
      <x:c r="M104" s="151" t="str"/>
      <x:c r="N104" s="137" t="str"/>
      <x:c r="O104" s="137" t="str"/>
      <x:c r="P104" s="137" t="str"/>
      <x:c r="Q104" s="137" t="str"/>
      <x:c r="R104" s="137" t="str"/>
      <x:c r="S104" s="137" t="str"/>
      <x:c r="T104" s="137" t="str"/>
      <x:c r="U104" s="137" t="str"/>
      <x:c r="V104" s="137" t="str"/>
      <x:c r="W104" s="137" t="str"/>
      <x:c r="X104" s="199" t="str"/>
    </x:row>
    <x:row r="105">
      <x:c r="A105" s="137" t="str"/>
      <x:c r="B105" s="138" t="str"/>
      <x:c r="C105" s="138" t="str"/>
      <x:c r="D105" s="137" t="str"/>
      <x:c r="E105" s="137" t="str"/>
      <x:c r="F105" s="137" t="str"/>
      <x:c r="G105" s="137" t="str"/>
      <x:c r="H105" s="137" t="str"/>
      <x:c r="I105" s="137" t="str"/>
      <x:c r="J105" s="151" t="str"/>
      <x:c r="K105" s="151" t="str"/>
      <x:c r="L105" s="152" t="str">
        <x:f>IF(OR(J105="",K105=""),"",ROUNDUP(J105/K105,0))</x:f>
      </x:c>
      <x:c r="M105" s="151" t="str"/>
      <x:c r="N105" s="137" t="str"/>
      <x:c r="O105" s="137" t="str"/>
      <x:c r="P105" s="137" t="str"/>
      <x:c r="Q105" s="137" t="str"/>
      <x:c r="R105" s="137" t="str"/>
      <x:c r="S105" s="137" t="str"/>
      <x:c r="T105" s="137" t="str"/>
      <x:c r="U105" s="137" t="str"/>
      <x:c r="V105" s="137" t="str"/>
      <x:c r="W105" s="137" t="str"/>
      <x:c r="X105" s="199" t="str"/>
    </x:row>
    <x:row r="106">
      <x:c r="A106" s="137" t="str"/>
      <x:c r="B106" s="138" t="str"/>
      <x:c r="C106" s="138" t="str"/>
      <x:c r="D106" s="137" t="str"/>
      <x:c r="E106" s="137" t="str"/>
      <x:c r="F106" s="137" t="str"/>
      <x:c r="G106" s="137" t="str"/>
      <x:c r="H106" s="137" t="str"/>
      <x:c r="I106" s="137" t="str"/>
      <x:c r="J106" s="151" t="str"/>
      <x:c r="K106" s="151" t="str"/>
      <x:c r="L106" s="152" t="str">
        <x:f>IF(OR(J106="",K106=""),"",ROUNDUP(J106/K106,0))</x:f>
      </x:c>
      <x:c r="M106" s="151" t="str"/>
      <x:c r="N106" s="137" t="str"/>
      <x:c r="O106" s="137" t="str"/>
      <x:c r="P106" s="137" t="str"/>
      <x:c r="Q106" s="137" t="str"/>
      <x:c r="R106" s="137" t="str"/>
      <x:c r="S106" s="137" t="str"/>
      <x:c r="T106" s="137" t="str"/>
      <x:c r="U106" s="137" t="str"/>
      <x:c r="V106" s="137" t="str"/>
      <x:c r="W106" s="137" t="str"/>
      <x:c r="X106" s="199" t="str"/>
    </x:row>
    <x:row r="107">
      <x:c r="A107" s="137" t="str"/>
      <x:c r="B107" s="138" t="str"/>
      <x:c r="C107" s="138" t="str"/>
      <x:c r="D107" s="137" t="str"/>
      <x:c r="E107" s="137" t="str"/>
      <x:c r="F107" s="137" t="str"/>
      <x:c r="G107" s="137" t="str"/>
      <x:c r="H107" s="137" t="str"/>
      <x:c r="I107" s="137" t="str"/>
      <x:c r="J107" s="151" t="str"/>
      <x:c r="K107" s="151" t="str"/>
      <x:c r="L107" s="152" t="str">
        <x:f>IF(OR(J107="",K107=""),"",ROUNDUP(J107/K107,0))</x:f>
      </x:c>
      <x:c r="M107" s="151" t="str"/>
      <x:c r="N107" s="137" t="str"/>
      <x:c r="O107" s="137" t="str"/>
      <x:c r="P107" s="137" t="str"/>
      <x:c r="Q107" s="137" t="str"/>
      <x:c r="R107" s="137" t="str"/>
      <x:c r="S107" s="137" t="str"/>
      <x:c r="T107" s="137" t="str"/>
      <x:c r="U107" s="137" t="str"/>
      <x:c r="V107" s="137" t="str"/>
      <x:c r="W107" s="137" t="str"/>
      <x:c r="X107" s="199" t="str"/>
    </x:row>
    <x:row r="108">
      <x:c r="A108" s="137" t="str"/>
      <x:c r="B108" s="138" t="str"/>
      <x:c r="C108" s="138" t="str"/>
      <x:c r="D108" s="137" t="str"/>
      <x:c r="E108" s="137" t="str"/>
      <x:c r="F108" s="137" t="str"/>
      <x:c r="G108" s="137" t="str"/>
      <x:c r="H108" s="137" t="str"/>
      <x:c r="I108" s="137" t="str"/>
      <x:c r="J108" s="151" t="str"/>
      <x:c r="K108" s="151" t="str"/>
      <x:c r="L108" s="152" t="str">
        <x:f>IF(OR(J108="",K108=""),"",ROUNDUP(J108/K108,0))</x:f>
      </x:c>
      <x:c r="M108" s="151" t="str"/>
      <x:c r="N108" s="137" t="str"/>
      <x:c r="O108" s="137" t="str"/>
      <x:c r="P108" s="137" t="str"/>
      <x:c r="Q108" s="137" t="str"/>
      <x:c r="R108" s="137" t="str"/>
      <x:c r="S108" s="137" t="str"/>
      <x:c r="T108" s="137" t="str"/>
      <x:c r="U108" s="137" t="str"/>
      <x:c r="V108" s="137" t="str"/>
      <x:c r="W108" s="137" t="str"/>
      <x:c r="X108" s="199" t="str"/>
    </x:row>
    <x:row r="109">
      <x:c r="A109" s="137" t="str"/>
      <x:c r="B109" s="138" t="str"/>
      <x:c r="C109" s="138" t="str"/>
      <x:c r="D109" s="137" t="str"/>
      <x:c r="E109" s="137" t="str"/>
      <x:c r="F109" s="137" t="str"/>
      <x:c r="G109" s="137" t="str"/>
      <x:c r="H109" s="137" t="str"/>
      <x:c r="I109" s="137" t="str"/>
      <x:c r="J109" s="151" t="str"/>
      <x:c r="K109" s="151" t="str"/>
      <x:c r="L109" s="152" t="str">
        <x:f>IF(OR(J109="",K109=""),"",ROUNDUP(J109/K109,0))</x:f>
      </x:c>
      <x:c r="M109" s="151" t="str"/>
      <x:c r="N109" s="137" t="str"/>
      <x:c r="O109" s="137" t="str"/>
      <x:c r="P109" s="137" t="str"/>
      <x:c r="Q109" s="137" t="str"/>
      <x:c r="R109" s="137" t="str"/>
      <x:c r="S109" s="137" t="str"/>
      <x:c r="T109" s="137" t="str"/>
      <x:c r="U109" s="137" t="str"/>
      <x:c r="V109" s="137" t="str"/>
      <x:c r="W109" s="137" t="str"/>
      <x:c r="X109" s="199" t="str"/>
    </x:row>
    <x:row r="110">
      <x:c r="A110" s="137" t="str"/>
      <x:c r="B110" s="138" t="str"/>
      <x:c r="C110" s="138" t="str"/>
      <x:c r="D110" s="137" t="str"/>
      <x:c r="E110" s="137" t="str"/>
      <x:c r="F110" s="137" t="str"/>
      <x:c r="G110" s="137" t="str"/>
      <x:c r="H110" s="137" t="str"/>
      <x:c r="I110" s="137" t="str"/>
      <x:c r="J110" s="151" t="str"/>
      <x:c r="K110" s="151" t="str"/>
      <x:c r="L110" s="152" t="str">
        <x:f>IF(OR(J110="",K110=""),"",ROUNDUP(J110/K110,0))</x:f>
      </x:c>
      <x:c r="M110" s="151" t="str"/>
      <x:c r="N110" s="137" t="str"/>
      <x:c r="O110" s="137" t="str"/>
      <x:c r="P110" s="137" t="str"/>
      <x:c r="Q110" s="137" t="str"/>
      <x:c r="R110" s="137" t="str"/>
      <x:c r="S110" s="137" t="str"/>
      <x:c r="T110" s="137" t="str"/>
      <x:c r="U110" s="137" t="str"/>
      <x:c r="V110" s="137" t="str"/>
      <x:c r="W110" s="137" t="str"/>
      <x:c r="X110" s="199" t="str"/>
    </x:row>
    <x:row r="111">
      <x:c r="A111" s="137" t="str"/>
      <x:c r="B111" s="138" t="str"/>
      <x:c r="C111" s="138" t="str"/>
      <x:c r="D111" s="137" t="str"/>
      <x:c r="E111" s="137" t="str"/>
      <x:c r="F111" s="137" t="str"/>
      <x:c r="G111" s="137" t="str"/>
      <x:c r="H111" s="137" t="str"/>
      <x:c r="I111" s="137" t="str"/>
      <x:c r="J111" s="151" t="str"/>
      <x:c r="K111" s="151" t="str"/>
      <x:c r="L111" s="152" t="str">
        <x:f>IF(OR(J111="",K111=""),"",ROUNDUP(J111/K111,0))</x:f>
      </x:c>
      <x:c r="M111" s="151" t="str"/>
      <x:c r="N111" s="137" t="str"/>
      <x:c r="O111" s="137" t="str"/>
      <x:c r="P111" s="137" t="str"/>
      <x:c r="Q111" s="137" t="str"/>
      <x:c r="R111" s="137" t="str"/>
      <x:c r="S111" s="137" t="str"/>
      <x:c r="T111" s="137" t="str"/>
      <x:c r="U111" s="137" t="str"/>
      <x:c r="V111" s="137" t="str"/>
      <x:c r="W111" s="137" t="str"/>
      <x:c r="X111" s="199" t="str"/>
    </x:row>
    <x:row r="112">
      <x:c r="A112" s="137" t="str"/>
      <x:c r="B112" s="138" t="str"/>
      <x:c r="C112" s="138" t="str"/>
      <x:c r="D112" s="137" t="str"/>
      <x:c r="E112" s="137" t="str"/>
      <x:c r="F112" s="137" t="str"/>
      <x:c r="G112" s="137" t="str"/>
      <x:c r="H112" s="137" t="str"/>
      <x:c r="I112" s="137" t="str"/>
      <x:c r="J112" s="151" t="str"/>
      <x:c r="K112" s="151" t="str"/>
      <x:c r="L112" s="152" t="str">
        <x:f>IF(OR(J112="",K112=""),"",ROUNDUP(J112/K112,0))</x:f>
      </x:c>
      <x:c r="M112" s="151" t="str"/>
      <x:c r="N112" s="137" t="str"/>
      <x:c r="O112" s="137" t="str"/>
      <x:c r="P112" s="137" t="str"/>
      <x:c r="Q112" s="137" t="str"/>
      <x:c r="R112" s="137" t="str"/>
      <x:c r="S112" s="137" t="str"/>
      <x:c r="T112" s="137" t="str"/>
      <x:c r="U112" s="137" t="str"/>
      <x:c r="V112" s="137" t="str"/>
      <x:c r="W112" s="137" t="str"/>
      <x:c r="X112" s="199" t="str"/>
    </x:row>
    <x:row r="113">
      <x:c r="A113" s="137" t="str"/>
      <x:c r="B113" s="138" t="str"/>
      <x:c r="C113" s="138" t="str"/>
      <x:c r="D113" s="137" t="str"/>
      <x:c r="E113" s="137" t="str"/>
      <x:c r="F113" s="137" t="str"/>
      <x:c r="G113" s="137" t="str"/>
      <x:c r="H113" s="137" t="str"/>
      <x:c r="I113" s="137" t="str"/>
      <x:c r="J113" s="151" t="str"/>
      <x:c r="K113" s="151" t="str"/>
      <x:c r="L113" s="152" t="str">
        <x:f>IF(OR(J113="",K113=""),"",ROUNDUP(J113/K113,0))</x:f>
      </x:c>
      <x:c r="M113" s="151" t="str"/>
      <x:c r="N113" s="137" t="str"/>
      <x:c r="O113" s="137" t="str"/>
      <x:c r="P113" s="137" t="str"/>
      <x:c r="Q113" s="137" t="str"/>
      <x:c r="R113" s="137" t="str"/>
      <x:c r="S113" s="137" t="str"/>
      <x:c r="T113" s="137" t="str"/>
      <x:c r="U113" s="137" t="str"/>
      <x:c r="V113" s="137" t="str"/>
      <x:c r="W113" s="137" t="str"/>
      <x:c r="X113" s="199" t="str"/>
    </x:row>
    <x:row r="114">
      <x:c r="A114" s="137" t="str"/>
      <x:c r="B114" s="138" t="str"/>
      <x:c r="C114" s="138" t="str"/>
      <x:c r="D114" s="137" t="str"/>
      <x:c r="E114" s="137" t="str"/>
      <x:c r="F114" s="137" t="str"/>
      <x:c r="G114" s="137" t="str"/>
      <x:c r="H114" s="137" t="str"/>
      <x:c r="I114" s="137" t="str"/>
      <x:c r="J114" s="151" t="str"/>
      <x:c r="K114" s="151" t="str"/>
      <x:c r="L114" s="152" t="str">
        <x:f>IF(OR(J114="",K114=""),"",ROUNDUP(J114/K114,0))</x:f>
      </x:c>
      <x:c r="M114" s="151" t="str"/>
      <x:c r="N114" s="137" t="str"/>
      <x:c r="O114" s="137" t="str"/>
      <x:c r="P114" s="137" t="str"/>
      <x:c r="Q114" s="137" t="str"/>
      <x:c r="R114" s="137" t="str"/>
      <x:c r="S114" s="137" t="str"/>
      <x:c r="T114" s="137" t="str"/>
      <x:c r="U114" s="137" t="str"/>
      <x:c r="V114" s="137" t="str"/>
      <x:c r="W114" s="137" t="str"/>
      <x:c r="X114" s="199" t="str"/>
    </x:row>
    <x:row r="115">
      <x:c r="A115" s="137" t="str"/>
      <x:c r="B115" s="138" t="str"/>
      <x:c r="C115" s="138" t="str"/>
      <x:c r="D115" s="137" t="str"/>
      <x:c r="E115" s="137" t="str"/>
      <x:c r="F115" s="137" t="str"/>
      <x:c r="G115" s="137" t="str"/>
      <x:c r="H115" s="137" t="str"/>
      <x:c r="I115" s="137" t="str"/>
      <x:c r="J115" s="151" t="str"/>
      <x:c r="K115" s="151" t="str"/>
      <x:c r="L115" s="152" t="str">
        <x:f>IF(OR(J115="",K115=""),"",ROUNDUP(J115/K115,0))</x:f>
      </x:c>
      <x:c r="M115" s="151" t="str"/>
      <x:c r="N115" s="137" t="str"/>
      <x:c r="O115" s="137" t="str"/>
      <x:c r="P115" s="137" t="str"/>
      <x:c r="Q115" s="137" t="str"/>
      <x:c r="R115" s="137" t="str"/>
      <x:c r="S115" s="137" t="str"/>
      <x:c r="T115" s="137" t="str"/>
      <x:c r="U115" s="137" t="str"/>
      <x:c r="V115" s="137" t="str"/>
      <x:c r="W115" s="137" t="str"/>
      <x:c r="X115" s="199" t="str"/>
    </x:row>
    <x:row r="116">
      <x:c r="A116" s="137" t="str"/>
      <x:c r="B116" s="138" t="str"/>
      <x:c r="C116" s="138" t="str"/>
      <x:c r="D116" s="137" t="str"/>
      <x:c r="E116" s="137" t="str"/>
      <x:c r="F116" s="137" t="str"/>
      <x:c r="G116" s="137" t="str"/>
      <x:c r="H116" s="137" t="str"/>
      <x:c r="I116" s="137" t="str"/>
      <x:c r="J116" s="151" t="str"/>
      <x:c r="K116" s="151" t="str"/>
      <x:c r="L116" s="152" t="str">
        <x:f>IF(OR(J116="",K116=""),"",ROUNDUP(J116/K116,0))</x:f>
      </x:c>
      <x:c r="M116" s="151" t="str"/>
      <x:c r="N116" s="137" t="str"/>
      <x:c r="O116" s="137" t="str"/>
      <x:c r="P116" s="137" t="str"/>
      <x:c r="Q116" s="137" t="str"/>
      <x:c r="R116" s="137" t="str"/>
      <x:c r="S116" s="137" t="str"/>
      <x:c r="T116" s="137" t="str"/>
      <x:c r="U116" s="137" t="str"/>
      <x:c r="V116" s="137" t="str"/>
      <x:c r="W116" s="137" t="str"/>
      <x:c r="X116" s="199" t="str"/>
    </x:row>
    <x:row r="117">
      <x:c r="A117" s="137" t="str"/>
      <x:c r="B117" s="138" t="str"/>
      <x:c r="C117" s="138" t="str"/>
      <x:c r="D117" s="137" t="str"/>
      <x:c r="E117" s="137" t="str"/>
      <x:c r="F117" s="137" t="str"/>
      <x:c r="G117" s="137" t="str"/>
      <x:c r="H117" s="137" t="str"/>
      <x:c r="I117" s="137" t="str"/>
      <x:c r="J117" s="151" t="str"/>
      <x:c r="K117" s="151" t="str"/>
      <x:c r="L117" s="152" t="str">
        <x:f>IF(OR(J117="",K117=""),"",ROUNDUP(J117/K117,0))</x:f>
      </x:c>
      <x:c r="M117" s="151" t="str"/>
      <x:c r="N117" s="137" t="str"/>
      <x:c r="O117" s="137" t="str"/>
      <x:c r="P117" s="137" t="str"/>
      <x:c r="Q117" s="137" t="str"/>
      <x:c r="R117" s="137" t="str"/>
      <x:c r="S117" s="137" t="str"/>
      <x:c r="T117" s="137" t="str"/>
      <x:c r="U117" s="137" t="str"/>
      <x:c r="V117" s="137" t="str"/>
      <x:c r="W117" s="137" t="str"/>
      <x:c r="X117" s="199" t="str"/>
    </x:row>
    <x:row r="118">
      <x:c r="A118" s="137" t="str"/>
      <x:c r="B118" s="138" t="str"/>
      <x:c r="C118" s="138" t="str"/>
      <x:c r="D118" s="137" t="str"/>
      <x:c r="E118" s="137" t="str"/>
      <x:c r="F118" s="137" t="str"/>
      <x:c r="G118" s="137" t="str"/>
      <x:c r="H118" s="137" t="str"/>
      <x:c r="I118" s="137" t="str"/>
      <x:c r="J118" s="151" t="str"/>
      <x:c r="K118" s="151" t="str"/>
      <x:c r="L118" s="152" t="str">
        <x:f>IF(OR(J118="",K118=""),"",ROUNDUP(J118/K118,0))</x:f>
      </x:c>
      <x:c r="M118" s="151" t="str"/>
      <x:c r="N118" s="137" t="str"/>
      <x:c r="O118" s="137" t="str"/>
      <x:c r="P118" s="137" t="str"/>
      <x:c r="Q118" s="137" t="str"/>
      <x:c r="R118" s="137" t="str"/>
      <x:c r="S118" s="137" t="str"/>
      <x:c r="T118" s="137" t="str"/>
      <x:c r="U118" s="137" t="str"/>
      <x:c r="V118" s="137" t="str"/>
      <x:c r="W118" s="137" t="str"/>
      <x:c r="X118" s="199" t="str"/>
    </x:row>
    <x:row r="119">
      <x:c r="A119" s="137" t="str"/>
      <x:c r="B119" s="138" t="str"/>
      <x:c r="C119" s="138" t="str"/>
      <x:c r="D119" s="137" t="str"/>
      <x:c r="E119" s="137" t="str"/>
      <x:c r="F119" s="137" t="str"/>
      <x:c r="G119" s="137" t="str"/>
      <x:c r="H119" s="137" t="str"/>
      <x:c r="I119" s="137" t="str"/>
      <x:c r="J119" s="151" t="str"/>
      <x:c r="K119" s="151" t="str"/>
      <x:c r="L119" s="152" t="str">
        <x:f>IF(OR(J119="",K119=""),"",ROUNDUP(J119/K119,0))</x:f>
      </x:c>
      <x:c r="M119" s="151" t="str"/>
      <x:c r="N119" s="137" t="str"/>
      <x:c r="O119" s="137" t="str"/>
      <x:c r="P119" s="137" t="str"/>
      <x:c r="Q119" s="137" t="str"/>
      <x:c r="R119" s="137" t="str"/>
      <x:c r="S119" s="137" t="str"/>
      <x:c r="T119" s="137" t="str"/>
      <x:c r="U119" s="137" t="str"/>
      <x:c r="V119" s="137" t="str"/>
      <x:c r="W119" s="137" t="str"/>
      <x:c r="X119" s="199" t="str"/>
    </x:row>
    <x:row r="120">
      <x:c r="A120" s="137" t="str"/>
      <x:c r="B120" s="138" t="str"/>
      <x:c r="C120" s="138" t="str"/>
      <x:c r="D120" s="137" t="str"/>
      <x:c r="E120" s="137" t="str"/>
      <x:c r="F120" s="137" t="str"/>
      <x:c r="G120" s="137" t="str"/>
      <x:c r="H120" s="137" t="str"/>
      <x:c r="I120" s="137" t="str"/>
      <x:c r="J120" s="151" t="str"/>
      <x:c r="K120" s="151" t="str"/>
      <x:c r="L120" s="152" t="str">
        <x:f>IF(OR(J120="",K120=""),"",ROUNDUP(J120/K120,0))</x:f>
      </x:c>
      <x:c r="M120" s="151" t="str"/>
      <x:c r="N120" s="137" t="str"/>
      <x:c r="O120" s="137" t="str"/>
      <x:c r="P120" s="137" t="str"/>
      <x:c r="Q120" s="137" t="str"/>
      <x:c r="R120" s="137" t="str"/>
      <x:c r="S120" s="137" t="str"/>
      <x:c r="T120" s="137" t="str"/>
      <x:c r="U120" s="137" t="str"/>
      <x:c r="V120" s="137" t="str"/>
      <x:c r="W120" s="137" t="str"/>
      <x:c r="X120" s="199" t="str"/>
    </x:row>
    <x:row r="121">
      <x:c r="A121" s="137" t="str"/>
      <x:c r="B121" s="138" t="str"/>
      <x:c r="C121" s="138" t="str"/>
      <x:c r="D121" s="137" t="str"/>
      <x:c r="E121" s="137" t="str"/>
      <x:c r="F121" s="137" t="str"/>
      <x:c r="G121" s="137" t="str"/>
      <x:c r="H121" s="137" t="str"/>
      <x:c r="I121" s="137" t="str"/>
      <x:c r="J121" s="151" t="str"/>
      <x:c r="K121" s="151" t="str"/>
      <x:c r="L121" s="152" t="str">
        <x:f>IF(OR(J121="",K121=""),"",ROUNDUP(J121/K121,0))</x:f>
      </x:c>
      <x:c r="M121" s="151" t="str"/>
      <x:c r="N121" s="137" t="str"/>
      <x:c r="O121" s="137" t="str"/>
      <x:c r="P121" s="137" t="str"/>
      <x:c r="Q121" s="137" t="str"/>
      <x:c r="R121" s="137" t="str"/>
      <x:c r="S121" s="137" t="str"/>
      <x:c r="T121" s="137" t="str"/>
      <x:c r="U121" s="137" t="str"/>
      <x:c r="V121" s="137" t="str"/>
      <x:c r="W121" s="137" t="str"/>
      <x:c r="X121" s="199" t="str"/>
    </x:row>
    <x:row r="122">
      <x:c r="A122" s="137" t="str"/>
      <x:c r="B122" s="138" t="str"/>
      <x:c r="C122" s="138" t="str"/>
      <x:c r="D122" s="137" t="str"/>
      <x:c r="E122" s="137" t="str"/>
      <x:c r="F122" s="137" t="str"/>
      <x:c r="G122" s="137" t="str"/>
      <x:c r="H122" s="137" t="str"/>
      <x:c r="I122" s="137" t="str"/>
      <x:c r="J122" s="151" t="str"/>
      <x:c r="K122" s="151" t="str"/>
      <x:c r="L122" s="152" t="str">
        <x:f>IF(OR(J122="",K122=""),"",ROUNDUP(J122/K122,0))</x:f>
      </x:c>
      <x:c r="M122" s="151" t="str"/>
      <x:c r="N122" s="137" t="str"/>
      <x:c r="O122" s="137" t="str"/>
      <x:c r="P122" s="137" t="str"/>
      <x:c r="Q122" s="137" t="str"/>
      <x:c r="R122" s="137" t="str"/>
      <x:c r="S122" s="137" t="str"/>
      <x:c r="T122" s="137" t="str"/>
      <x:c r="U122" s="137" t="str"/>
      <x:c r="V122" s="137" t="str"/>
      <x:c r="W122" s="137" t="str"/>
      <x:c r="X122" s="199" t="str"/>
    </x:row>
    <x:row r="123">
      <x:c r="A123" s="137" t="str"/>
      <x:c r="B123" s="138" t="str"/>
      <x:c r="C123" s="138" t="str"/>
      <x:c r="D123" s="137" t="str"/>
      <x:c r="E123" s="137" t="str"/>
      <x:c r="F123" s="137" t="str"/>
      <x:c r="G123" s="137" t="str"/>
      <x:c r="H123" s="137" t="str"/>
      <x:c r="I123" s="137" t="str"/>
      <x:c r="J123" s="151" t="str"/>
      <x:c r="K123" s="151" t="str"/>
      <x:c r="L123" s="152" t="str">
        <x:f>IF(OR(J123="",K123=""),"",ROUNDUP(J123/K123,0))</x:f>
      </x:c>
      <x:c r="M123" s="151" t="str"/>
      <x:c r="N123" s="137" t="str"/>
      <x:c r="O123" s="137" t="str"/>
      <x:c r="P123" s="137" t="str"/>
      <x:c r="Q123" s="137" t="str"/>
      <x:c r="R123" s="137" t="str"/>
      <x:c r="S123" s="137" t="str"/>
      <x:c r="T123" s="137" t="str"/>
      <x:c r="U123" s="137" t="str"/>
      <x:c r="V123" s="137" t="str"/>
      <x:c r="W123" s="137" t="str"/>
      <x:c r="X123" s="199" t="str"/>
    </x:row>
    <x:row r="124">
      <x:c r="A124" s="137" t="str"/>
      <x:c r="B124" s="138" t="str"/>
      <x:c r="C124" s="138" t="str"/>
      <x:c r="D124" s="137" t="str"/>
      <x:c r="E124" s="137" t="str"/>
      <x:c r="F124" s="137" t="str"/>
      <x:c r="G124" s="137" t="str"/>
      <x:c r="H124" s="137" t="str"/>
      <x:c r="I124" s="137" t="str"/>
      <x:c r="J124" s="151" t="str"/>
      <x:c r="K124" s="151" t="str"/>
      <x:c r="L124" s="152" t="str">
        <x:f>IF(OR(J124="",K124=""),"",ROUNDUP(J124/K124,0))</x:f>
      </x:c>
      <x:c r="M124" s="151" t="str"/>
      <x:c r="N124" s="137" t="str"/>
      <x:c r="O124" s="137" t="str"/>
      <x:c r="P124" s="137" t="str"/>
      <x:c r="Q124" s="137" t="str"/>
      <x:c r="R124" s="137" t="str"/>
      <x:c r="S124" s="137" t="str"/>
      <x:c r="T124" s="137" t="str"/>
      <x:c r="U124" s="137" t="str"/>
      <x:c r="V124" s="137" t="str"/>
      <x:c r="W124" s="137" t="str"/>
      <x:c r="X124" s="199" t="str"/>
    </x:row>
    <x:row r="125">
      <x:c r="A125" s="137" t="str"/>
      <x:c r="B125" s="138" t="str"/>
      <x:c r="C125" s="138" t="str"/>
      <x:c r="D125" s="137" t="str"/>
      <x:c r="E125" s="137" t="str"/>
      <x:c r="F125" s="137" t="str"/>
      <x:c r="G125" s="137" t="str"/>
      <x:c r="H125" s="137" t="str"/>
      <x:c r="I125" s="137" t="str"/>
      <x:c r="J125" s="151" t="str"/>
      <x:c r="K125" s="151" t="str"/>
      <x:c r="L125" s="152" t="str">
        <x:f>IF(OR(J125="",K125=""),"",ROUNDUP(J125/K125,0))</x:f>
      </x:c>
      <x:c r="M125" s="151" t="str"/>
      <x:c r="N125" s="137" t="str"/>
      <x:c r="O125" s="137" t="str"/>
      <x:c r="P125" s="137" t="str"/>
      <x:c r="Q125" s="137" t="str"/>
      <x:c r="R125" s="137" t="str"/>
      <x:c r="S125" s="137" t="str"/>
      <x:c r="T125" s="137" t="str"/>
      <x:c r="U125" s="137" t="str"/>
      <x:c r="V125" s="137" t="str"/>
      <x:c r="W125" s="137" t="str"/>
      <x:c r="X125" s="199" t="str"/>
    </x:row>
    <x:row r="126">
      <x:c r="A126" s="137" t="str"/>
      <x:c r="B126" s="138" t="str"/>
      <x:c r="C126" s="138" t="str"/>
      <x:c r="D126" s="137" t="str"/>
      <x:c r="E126" s="137" t="str"/>
      <x:c r="F126" s="137" t="str"/>
      <x:c r="G126" s="137" t="str"/>
      <x:c r="H126" s="137" t="str"/>
      <x:c r="I126" s="137" t="str"/>
      <x:c r="J126" s="151" t="str"/>
      <x:c r="K126" s="151" t="str"/>
      <x:c r="L126" s="152" t="str">
        <x:f>IF(OR(J126="",K126=""),"",ROUNDUP(J126/K126,0))</x:f>
      </x:c>
      <x:c r="M126" s="151" t="str"/>
      <x:c r="N126" s="137" t="str"/>
      <x:c r="O126" s="137" t="str"/>
      <x:c r="P126" s="137" t="str"/>
      <x:c r="Q126" s="137" t="str"/>
      <x:c r="R126" s="137" t="str"/>
      <x:c r="S126" s="137" t="str"/>
      <x:c r="T126" s="137" t="str"/>
      <x:c r="U126" s="137" t="str"/>
      <x:c r="V126" s="137" t="str"/>
      <x:c r="W126" s="137" t="str"/>
      <x:c r="X126" s="199" t="str"/>
    </x:row>
    <x:row r="127">
      <x:c r="A127" s="137" t="str"/>
      <x:c r="B127" s="138" t="str"/>
      <x:c r="C127" s="138" t="str"/>
      <x:c r="D127" s="137" t="str"/>
      <x:c r="E127" s="137" t="str"/>
      <x:c r="F127" s="137" t="str"/>
      <x:c r="G127" s="137" t="str"/>
      <x:c r="H127" s="137" t="str"/>
      <x:c r="I127" s="137" t="str"/>
      <x:c r="J127" s="151" t="str"/>
      <x:c r="K127" s="151" t="str"/>
      <x:c r="L127" s="152" t="str">
        <x:f>IF(OR(J127="",K127=""),"",ROUNDUP(J127/K127,0))</x:f>
      </x:c>
      <x:c r="M127" s="151" t="str"/>
      <x:c r="N127" s="137" t="str"/>
      <x:c r="O127" s="137" t="str"/>
      <x:c r="P127" s="137" t="str"/>
      <x:c r="Q127" s="137" t="str"/>
      <x:c r="R127" s="137" t="str"/>
      <x:c r="S127" s="137" t="str"/>
      <x:c r="T127" s="137" t="str"/>
      <x:c r="U127" s="137" t="str"/>
      <x:c r="V127" s="137" t="str"/>
      <x:c r="W127" s="137" t="str"/>
      <x:c r="X127" s="199" t="str"/>
    </x:row>
    <x:row r="128">
      <x:c r="A128" s="137" t="str"/>
      <x:c r="B128" s="138" t="str"/>
      <x:c r="C128" s="138" t="str"/>
      <x:c r="D128" s="137" t="str"/>
      <x:c r="E128" s="137" t="str"/>
      <x:c r="F128" s="137" t="str"/>
      <x:c r="G128" s="137" t="str"/>
      <x:c r="H128" s="137" t="str"/>
      <x:c r="I128" s="137" t="str"/>
      <x:c r="J128" s="151" t="str"/>
      <x:c r="K128" s="151" t="str"/>
      <x:c r="L128" s="152" t="str">
        <x:f>IF(OR(J128="",K128=""),"",ROUNDUP(J128/K128,0))</x:f>
      </x:c>
      <x:c r="M128" s="151" t="str"/>
      <x:c r="N128" s="137" t="str"/>
      <x:c r="O128" s="137" t="str"/>
      <x:c r="P128" s="137" t="str"/>
      <x:c r="Q128" s="137" t="str"/>
      <x:c r="R128" s="137" t="str"/>
      <x:c r="S128" s="137" t="str"/>
      <x:c r="T128" s="137" t="str"/>
      <x:c r="U128" s="137" t="str"/>
      <x:c r="V128" s="137" t="str"/>
      <x:c r="W128" s="137" t="str"/>
      <x:c r="X128" s="199" t="str"/>
    </x:row>
    <x:row r="129">
      <x:c r="A129" s="137" t="str"/>
      <x:c r="B129" s="138" t="str"/>
      <x:c r="C129" s="138" t="str"/>
      <x:c r="D129" s="137" t="str"/>
      <x:c r="E129" s="137" t="str"/>
      <x:c r="F129" s="137" t="str"/>
      <x:c r="G129" s="137" t="str"/>
      <x:c r="H129" s="137" t="str"/>
      <x:c r="I129" s="137" t="str"/>
      <x:c r="J129" s="151" t="str"/>
      <x:c r="K129" s="151" t="str"/>
      <x:c r="L129" s="152" t="str">
        <x:f>IF(OR(J129="",K129=""),"",ROUNDUP(J129/K129,0))</x:f>
      </x:c>
      <x:c r="M129" s="151" t="str"/>
      <x:c r="N129" s="137" t="str"/>
      <x:c r="O129" s="137" t="str"/>
      <x:c r="P129" s="137" t="str"/>
      <x:c r="Q129" s="137" t="str"/>
      <x:c r="R129" s="137" t="str"/>
      <x:c r="S129" s="137" t="str"/>
      <x:c r="T129" s="137" t="str"/>
      <x:c r="U129" s="137" t="str"/>
      <x:c r="V129" s="137" t="str"/>
      <x:c r="W129" s="137" t="str"/>
      <x:c r="X129" s="199" t="str"/>
    </x:row>
    <x:row r="130">
      <x:c r="A130" s="137" t="str"/>
      <x:c r="B130" s="138" t="str"/>
      <x:c r="C130" s="138" t="str"/>
      <x:c r="D130" s="137" t="str"/>
      <x:c r="E130" s="137" t="str"/>
      <x:c r="F130" s="137" t="str"/>
      <x:c r="G130" s="137" t="str"/>
      <x:c r="H130" s="137" t="str"/>
      <x:c r="I130" s="137" t="str"/>
      <x:c r="J130" s="151" t="str"/>
      <x:c r="K130" s="151" t="str"/>
      <x:c r="L130" s="152" t="str">
        <x:f>IF(OR(J130="",K130=""),"",ROUNDUP(J130/K130,0))</x:f>
      </x:c>
      <x:c r="M130" s="151" t="str"/>
      <x:c r="N130" s="137" t="str"/>
      <x:c r="O130" s="137" t="str"/>
      <x:c r="P130" s="137" t="str"/>
      <x:c r="Q130" s="137" t="str"/>
      <x:c r="R130" s="137" t="str"/>
      <x:c r="S130" s="137" t="str"/>
      <x:c r="T130" s="137" t="str"/>
      <x:c r="U130" s="137" t="str"/>
      <x:c r="V130" s="137" t="str"/>
      <x:c r="W130" s="137" t="str"/>
      <x:c r="X130" s="199" t="str"/>
    </x:row>
    <x:row r="131">
      <x:c r="A131" s="137" t="str"/>
      <x:c r="B131" s="138" t="str"/>
      <x:c r="C131" s="138" t="str"/>
      <x:c r="D131" s="137" t="str"/>
      <x:c r="E131" s="137" t="str"/>
      <x:c r="F131" s="137" t="str"/>
      <x:c r="G131" s="137" t="str"/>
      <x:c r="H131" s="137" t="str"/>
      <x:c r="I131" s="137" t="str"/>
      <x:c r="J131" s="151" t="str"/>
      <x:c r="K131" s="151" t="str"/>
      <x:c r="L131" s="152" t="str">
        <x:f>IF(OR(J131="",K131=""),"",ROUNDUP(J131/K131,0))</x:f>
      </x:c>
      <x:c r="M131" s="151" t="str"/>
      <x:c r="N131" s="137" t="str"/>
      <x:c r="O131" s="137" t="str"/>
      <x:c r="P131" s="137" t="str"/>
      <x:c r="Q131" s="137" t="str"/>
      <x:c r="R131" s="137" t="str"/>
      <x:c r="S131" s="137" t="str"/>
      <x:c r="T131" s="137" t="str"/>
      <x:c r="U131" s="137" t="str"/>
      <x:c r="V131" s="137" t="str"/>
      <x:c r="W131" s="137" t="str"/>
      <x:c r="X131" s="199" t="str"/>
    </x:row>
    <x:row r="132">
      <x:c r="A132" s="137" t="str"/>
      <x:c r="B132" s="138" t="str"/>
      <x:c r="C132" s="138" t="str"/>
      <x:c r="D132" s="137" t="str"/>
      <x:c r="E132" s="137" t="str"/>
      <x:c r="F132" s="137" t="str"/>
      <x:c r="G132" s="137" t="str"/>
      <x:c r="H132" s="137" t="str"/>
      <x:c r="I132" s="137" t="str"/>
      <x:c r="J132" s="151" t="str"/>
      <x:c r="K132" s="151" t="str"/>
      <x:c r="L132" s="152" t="str">
        <x:f>IF(OR(J132="",K132=""),"",ROUNDUP(J132/K132,0))</x:f>
      </x:c>
      <x:c r="M132" s="151" t="str"/>
      <x:c r="N132" s="137" t="str"/>
      <x:c r="O132" s="137" t="str"/>
      <x:c r="P132" s="137" t="str"/>
      <x:c r="Q132" s="137" t="str"/>
      <x:c r="R132" s="137" t="str"/>
      <x:c r="S132" s="137" t="str"/>
      <x:c r="T132" s="137" t="str"/>
      <x:c r="U132" s="137" t="str"/>
      <x:c r="V132" s="137" t="str"/>
      <x:c r="W132" s="137" t="str"/>
      <x:c r="X132" s="199" t="str"/>
    </x:row>
    <x:row r="133">
      <x:c r="A133" s="137" t="str"/>
      <x:c r="B133" s="138" t="str"/>
      <x:c r="C133" s="138" t="str"/>
      <x:c r="D133" s="137" t="str"/>
      <x:c r="E133" s="137" t="str"/>
      <x:c r="F133" s="137" t="str"/>
      <x:c r="G133" s="137" t="str"/>
      <x:c r="H133" s="137" t="str"/>
      <x:c r="I133" s="137" t="str"/>
      <x:c r="J133" s="151" t="str"/>
      <x:c r="K133" s="151" t="str"/>
      <x:c r="L133" s="152" t="str">
        <x:f>IF(OR(J133="",K133=""),"",ROUNDUP(J133/K133,0))</x:f>
      </x:c>
      <x:c r="M133" s="151" t="str"/>
      <x:c r="N133" s="137" t="str"/>
      <x:c r="O133" s="137" t="str"/>
      <x:c r="P133" s="137" t="str"/>
      <x:c r="Q133" s="137" t="str"/>
      <x:c r="R133" s="137" t="str"/>
      <x:c r="S133" s="137" t="str"/>
      <x:c r="T133" s="137" t="str"/>
      <x:c r="U133" s="137" t="str"/>
      <x:c r="V133" s="137" t="str"/>
      <x:c r="W133" s="137" t="str"/>
      <x:c r="X133" s="199" t="str"/>
    </x:row>
    <x:row r="134">
      <x:c r="A134" s="137" t="str"/>
      <x:c r="B134" s="138" t="str"/>
      <x:c r="C134" s="138" t="str"/>
      <x:c r="D134" s="137" t="str"/>
      <x:c r="E134" s="137" t="str"/>
      <x:c r="F134" s="137" t="str"/>
      <x:c r="G134" s="137" t="str"/>
      <x:c r="H134" s="137" t="str"/>
      <x:c r="I134" s="137" t="str"/>
      <x:c r="J134" s="151" t="str"/>
      <x:c r="K134" s="151" t="str"/>
      <x:c r="L134" s="152" t="str">
        <x:f>IF(OR(J134="",K134=""),"",ROUNDUP(J134/K134,0))</x:f>
      </x:c>
      <x:c r="M134" s="151" t="str"/>
      <x:c r="N134" s="137" t="str"/>
      <x:c r="O134" s="137" t="str"/>
      <x:c r="P134" s="137" t="str"/>
      <x:c r="Q134" s="137" t="str"/>
      <x:c r="R134" s="137" t="str"/>
      <x:c r="S134" s="137" t="str"/>
      <x:c r="T134" s="137" t="str"/>
      <x:c r="U134" s="137" t="str"/>
      <x:c r="V134" s="137" t="str"/>
      <x:c r="W134" s="137" t="str"/>
      <x:c r="X134" s="199" t="str"/>
    </x:row>
    <x:row r="135">
      <x:c r="A135" s="137" t="str"/>
      <x:c r="B135" s="138" t="str"/>
      <x:c r="C135" s="138" t="str"/>
      <x:c r="D135" s="137" t="str"/>
      <x:c r="E135" s="137" t="str"/>
      <x:c r="F135" s="137" t="str"/>
      <x:c r="G135" s="137" t="str"/>
      <x:c r="H135" s="137" t="str"/>
      <x:c r="I135" s="137" t="str"/>
      <x:c r="J135" s="151" t="str"/>
      <x:c r="K135" s="151" t="str"/>
      <x:c r="L135" s="152" t="str">
        <x:f>IF(OR(J135="",K135=""),"",ROUNDUP(J135/K135,0))</x:f>
      </x:c>
      <x:c r="M135" s="151" t="str"/>
      <x:c r="N135" s="137" t="str"/>
      <x:c r="O135" s="137" t="str"/>
      <x:c r="P135" s="137" t="str"/>
      <x:c r="Q135" s="137" t="str"/>
      <x:c r="R135" s="137" t="str"/>
      <x:c r="S135" s="137" t="str"/>
      <x:c r="T135" s="137" t="str"/>
      <x:c r="U135" s="137" t="str"/>
      <x:c r="V135" s="137" t="str"/>
      <x:c r="W135" s="137" t="str"/>
      <x:c r="X135" s="199" t="str"/>
    </x:row>
    <x:row r="136">
      <x:c r="A136" s="137" t="str"/>
      <x:c r="B136" s="138" t="str"/>
      <x:c r="C136" s="138" t="str"/>
      <x:c r="D136" s="137" t="str"/>
      <x:c r="E136" s="137" t="str"/>
      <x:c r="F136" s="137" t="str"/>
      <x:c r="G136" s="137" t="str"/>
      <x:c r="H136" s="137" t="str"/>
      <x:c r="I136" s="137" t="str"/>
      <x:c r="J136" s="151" t="str"/>
      <x:c r="K136" s="151" t="str"/>
      <x:c r="L136" s="152" t="str">
        <x:f>IF(OR(J136="",K136=""),"",ROUNDUP(J136/K136,0))</x:f>
      </x:c>
      <x:c r="M136" s="151" t="str"/>
      <x:c r="N136" s="137" t="str"/>
      <x:c r="O136" s="137" t="str"/>
      <x:c r="P136" s="137" t="str"/>
      <x:c r="Q136" s="137" t="str"/>
      <x:c r="R136" s="137" t="str"/>
      <x:c r="S136" s="137" t="str"/>
      <x:c r="T136" s="137" t="str"/>
      <x:c r="U136" s="137" t="str"/>
      <x:c r="V136" s="137" t="str"/>
      <x:c r="W136" s="137" t="str"/>
      <x:c r="X136" s="199" t="str"/>
    </x:row>
    <x:row r="137">
      <x:c r="A137" s="137" t="str"/>
      <x:c r="B137" s="138" t="str"/>
      <x:c r="C137" s="138" t="str"/>
      <x:c r="D137" s="137" t="str"/>
      <x:c r="E137" s="137" t="str"/>
      <x:c r="F137" s="137" t="str"/>
      <x:c r="G137" s="137" t="str"/>
      <x:c r="H137" s="137" t="str"/>
      <x:c r="I137" s="137" t="str"/>
      <x:c r="J137" s="151" t="str"/>
      <x:c r="K137" s="151" t="str"/>
      <x:c r="L137" s="152" t="str">
        <x:f>IF(OR(J137="",K137=""),"",ROUNDUP(J137/K137,0))</x:f>
      </x:c>
      <x:c r="M137" s="151" t="str"/>
      <x:c r="N137" s="137" t="str"/>
      <x:c r="O137" s="137" t="str"/>
      <x:c r="P137" s="137" t="str"/>
      <x:c r="Q137" s="137" t="str"/>
      <x:c r="R137" s="137" t="str"/>
      <x:c r="S137" s="137" t="str"/>
      <x:c r="T137" s="137" t="str"/>
      <x:c r="U137" s="137" t="str"/>
      <x:c r="V137" s="137" t="str"/>
      <x:c r="W137" s="137" t="str"/>
      <x:c r="X137" s="199" t="str"/>
    </x:row>
    <x:row r="138">
      <x:c r="A138" s="137" t="str"/>
      <x:c r="B138" s="138" t="str"/>
      <x:c r="C138" s="138" t="str"/>
      <x:c r="D138" s="137" t="str"/>
      <x:c r="E138" s="137" t="str"/>
      <x:c r="F138" s="137" t="str"/>
      <x:c r="G138" s="137" t="str"/>
      <x:c r="H138" s="137" t="str"/>
      <x:c r="I138" s="137" t="str"/>
      <x:c r="J138" s="151" t="str"/>
      <x:c r="K138" s="151" t="str"/>
      <x:c r="L138" s="152" t="str">
        <x:f>IF(OR(J138="",K138=""),"",ROUNDUP(J138/K138,0))</x:f>
      </x:c>
      <x:c r="M138" s="151" t="str"/>
      <x:c r="N138" s="137" t="str"/>
      <x:c r="O138" s="137" t="str"/>
      <x:c r="P138" s="137" t="str"/>
      <x:c r="Q138" s="137" t="str"/>
      <x:c r="R138" s="137" t="str"/>
      <x:c r="S138" s="137" t="str"/>
      <x:c r="T138" s="137" t="str"/>
      <x:c r="U138" s="137" t="str"/>
      <x:c r="V138" s="137" t="str"/>
      <x:c r="W138" s="137" t="str"/>
      <x:c r="X138" s="199" t="str"/>
    </x:row>
    <x:row r="139">
      <x:c r="A139" s="137" t="str"/>
      <x:c r="B139" s="138" t="str"/>
      <x:c r="C139" s="138" t="str"/>
      <x:c r="D139" s="137" t="str"/>
      <x:c r="E139" s="137" t="str"/>
      <x:c r="F139" s="137" t="str"/>
      <x:c r="G139" s="137" t="str"/>
      <x:c r="H139" s="137" t="str"/>
      <x:c r="I139" s="137" t="str"/>
      <x:c r="J139" s="151" t="str"/>
      <x:c r="K139" s="151" t="str"/>
      <x:c r="L139" s="152" t="str">
        <x:f>IF(OR(J139="",K139=""),"",ROUNDUP(J139/K139,0))</x:f>
      </x:c>
      <x:c r="M139" s="151" t="str"/>
      <x:c r="N139" s="137" t="str"/>
      <x:c r="O139" s="137" t="str"/>
      <x:c r="P139" s="137" t="str"/>
      <x:c r="Q139" s="137" t="str"/>
      <x:c r="R139" s="137" t="str"/>
      <x:c r="S139" s="137" t="str"/>
      <x:c r="T139" s="137" t="str"/>
      <x:c r="U139" s="137" t="str"/>
      <x:c r="V139" s="137" t="str"/>
      <x:c r="W139" s="137" t="str"/>
      <x:c r="X139" s="199" t="str"/>
    </x:row>
    <x:row r="140">
      <x:c r="A140" s="137" t="str"/>
      <x:c r="B140" s="138" t="str"/>
      <x:c r="C140" s="138" t="str"/>
      <x:c r="D140" s="137" t="str"/>
      <x:c r="E140" s="137" t="str"/>
      <x:c r="F140" s="137" t="str"/>
      <x:c r="G140" s="137" t="str"/>
      <x:c r="H140" s="137" t="str"/>
      <x:c r="I140" s="137" t="str"/>
      <x:c r="J140" s="151" t="str"/>
      <x:c r="K140" s="151" t="str"/>
      <x:c r="L140" s="152" t="str">
        <x:f>IF(OR(J140="",K140=""),"",ROUNDUP(J140/K140,0))</x:f>
      </x:c>
      <x:c r="M140" s="151" t="str"/>
      <x:c r="N140" s="137" t="str"/>
      <x:c r="O140" s="137" t="str"/>
      <x:c r="P140" s="137" t="str"/>
      <x:c r="Q140" s="137" t="str"/>
      <x:c r="R140" s="137" t="str"/>
      <x:c r="S140" s="137" t="str"/>
      <x:c r="T140" s="137" t="str"/>
      <x:c r="U140" s="137" t="str"/>
      <x:c r="V140" s="137" t="str"/>
      <x:c r="W140" s="137" t="str"/>
      <x:c r="X140" s="199" t="str"/>
    </x:row>
    <x:row r="141">
      <x:c r="A141" s="137" t="str"/>
      <x:c r="B141" s="138" t="str"/>
      <x:c r="C141" s="138" t="str"/>
      <x:c r="D141" s="137" t="str"/>
      <x:c r="E141" s="137" t="str"/>
      <x:c r="F141" s="137" t="str"/>
      <x:c r="G141" s="137" t="str"/>
      <x:c r="H141" s="137" t="str"/>
      <x:c r="I141" s="137" t="str"/>
      <x:c r="J141" s="151" t="str"/>
      <x:c r="K141" s="151" t="str"/>
      <x:c r="L141" s="152" t="str">
        <x:f>IF(OR(J141="",K141=""),"",ROUNDUP(J141/K141,0))</x:f>
      </x:c>
      <x:c r="M141" s="151" t="str"/>
      <x:c r="N141" s="137" t="str"/>
      <x:c r="O141" s="137" t="str"/>
      <x:c r="P141" s="137" t="str"/>
      <x:c r="Q141" s="137" t="str"/>
      <x:c r="R141" s="137" t="str"/>
      <x:c r="S141" s="137" t="str"/>
      <x:c r="T141" s="137" t="str"/>
      <x:c r="U141" s="137" t="str"/>
      <x:c r="V141" s="137" t="str"/>
      <x:c r="W141" s="137" t="str"/>
      <x:c r="X141" s="199" t="str"/>
    </x:row>
    <x:row r="142">
      <x:c r="A142" s="137" t="str"/>
      <x:c r="B142" s="138" t="str"/>
      <x:c r="C142" s="138" t="str"/>
      <x:c r="D142" s="137" t="str"/>
      <x:c r="E142" s="137" t="str"/>
      <x:c r="F142" s="137" t="str"/>
      <x:c r="G142" s="137" t="str"/>
      <x:c r="H142" s="137" t="str"/>
      <x:c r="I142" s="137" t="str"/>
      <x:c r="J142" s="151" t="str"/>
      <x:c r="K142" s="151" t="str"/>
      <x:c r="L142" s="152" t="str">
        <x:f>IF(OR(J142="",K142=""),"",ROUNDUP(J142/K142,0))</x:f>
      </x:c>
      <x:c r="M142" s="151" t="str"/>
      <x:c r="N142" s="137" t="str"/>
      <x:c r="O142" s="137" t="str"/>
      <x:c r="P142" s="137" t="str"/>
      <x:c r="Q142" s="137" t="str"/>
      <x:c r="R142" s="137" t="str"/>
      <x:c r="S142" s="137" t="str"/>
      <x:c r="T142" s="137" t="str"/>
      <x:c r="U142" s="137" t="str"/>
      <x:c r="V142" s="137" t="str"/>
      <x:c r="W142" s="137" t="str"/>
      <x:c r="X142" s="199" t="str"/>
    </x:row>
    <x:row r="143">
      <x:c r="A143" s="137" t="str"/>
      <x:c r="B143" s="138" t="str"/>
      <x:c r="C143" s="138" t="str"/>
      <x:c r="D143" s="137" t="str"/>
      <x:c r="E143" s="137" t="str"/>
      <x:c r="F143" s="137" t="str"/>
      <x:c r="G143" s="137" t="str"/>
      <x:c r="H143" s="137" t="str"/>
      <x:c r="I143" s="137" t="str"/>
      <x:c r="J143" s="151" t="str"/>
      <x:c r="K143" s="151" t="str"/>
      <x:c r="L143" s="152" t="str">
        <x:f>IF(OR(J143="",K143=""),"",ROUNDUP(J143/K143,0))</x:f>
      </x:c>
      <x:c r="M143" s="151" t="str"/>
      <x:c r="N143" s="137" t="str"/>
      <x:c r="O143" s="137" t="str"/>
      <x:c r="P143" s="137" t="str"/>
      <x:c r="Q143" s="137" t="str"/>
      <x:c r="R143" s="137" t="str"/>
      <x:c r="S143" s="137" t="str"/>
      <x:c r="T143" s="137" t="str"/>
      <x:c r="U143" s="137" t="str"/>
      <x:c r="V143" s="137" t="str"/>
      <x:c r="W143" s="137" t="str"/>
      <x:c r="X143" s="199" t="str"/>
    </x:row>
    <x:row r="144">
      <x:c r="A144" s="137" t="str"/>
      <x:c r="B144" s="138" t="str"/>
      <x:c r="C144" s="138" t="str"/>
      <x:c r="D144" s="137" t="str"/>
      <x:c r="E144" s="137" t="str"/>
      <x:c r="F144" s="137" t="str"/>
      <x:c r="G144" s="137" t="str"/>
      <x:c r="H144" s="137" t="str"/>
      <x:c r="I144" s="137" t="str"/>
      <x:c r="J144" s="151" t="str"/>
      <x:c r="K144" s="151" t="str"/>
      <x:c r="L144" s="152" t="str">
        <x:f>IF(OR(J144="",K144=""),"",ROUNDUP(J144/K144,0))</x:f>
      </x:c>
      <x:c r="M144" s="151" t="str"/>
      <x:c r="N144" s="137" t="str"/>
      <x:c r="O144" s="137" t="str"/>
      <x:c r="P144" s="137" t="str"/>
      <x:c r="Q144" s="137" t="str"/>
      <x:c r="R144" s="137" t="str"/>
      <x:c r="S144" s="137" t="str"/>
      <x:c r="T144" s="137" t="str"/>
      <x:c r="U144" s="137" t="str"/>
      <x:c r="V144" s="137" t="str"/>
      <x:c r="W144" s="137" t="str"/>
      <x:c r="X144" s="199" t="str"/>
    </x:row>
    <x:row r="145">
      <x:c r="A145" s="137" t="str"/>
      <x:c r="B145" s="138" t="str"/>
      <x:c r="C145" s="138" t="str"/>
      <x:c r="D145" s="137" t="str"/>
      <x:c r="E145" s="137" t="str"/>
      <x:c r="F145" s="137" t="str"/>
      <x:c r="G145" s="137" t="str"/>
      <x:c r="H145" s="137" t="str"/>
      <x:c r="I145" s="137" t="str"/>
      <x:c r="J145" s="151" t="str"/>
      <x:c r="K145" s="151" t="str"/>
      <x:c r="L145" s="152" t="str">
        <x:f>IF(OR(J145="",K145=""),"",ROUNDUP(J145/K145,0))</x:f>
      </x:c>
      <x:c r="M145" s="151" t="str"/>
      <x:c r="N145" s="137" t="str"/>
      <x:c r="O145" s="137" t="str"/>
      <x:c r="P145" s="137" t="str"/>
      <x:c r="Q145" s="137" t="str"/>
      <x:c r="R145" s="137" t="str"/>
      <x:c r="S145" s="137" t="str"/>
      <x:c r="T145" s="137" t="str"/>
      <x:c r="U145" s="137" t="str"/>
      <x:c r="V145" s="137" t="str"/>
      <x:c r="W145" s="137" t="str"/>
      <x:c r="X145" s="199" t="str"/>
    </x:row>
    <x:row r="146">
      <x:c r="A146" s="137" t="str"/>
      <x:c r="B146" s="138" t="str"/>
      <x:c r="C146" s="138" t="str"/>
      <x:c r="D146" s="137" t="str"/>
      <x:c r="E146" s="137" t="str"/>
      <x:c r="F146" s="137" t="str"/>
      <x:c r="G146" s="137" t="str"/>
      <x:c r="H146" s="137" t="str"/>
      <x:c r="I146" s="137" t="str"/>
      <x:c r="J146" s="151" t="str"/>
      <x:c r="K146" s="151" t="str"/>
      <x:c r="L146" s="152" t="str">
        <x:f>IF(OR(J146="",K146=""),"",ROUNDUP(J146/K146,0))</x:f>
      </x:c>
      <x:c r="M146" s="151" t="str"/>
      <x:c r="N146" s="137" t="str"/>
      <x:c r="O146" s="137" t="str"/>
      <x:c r="P146" s="137" t="str"/>
      <x:c r="Q146" s="137" t="str"/>
      <x:c r="R146" s="137" t="str"/>
      <x:c r="S146" s="137" t="str"/>
      <x:c r="T146" s="137" t="str"/>
      <x:c r="U146" s="137" t="str"/>
      <x:c r="V146" s="137" t="str"/>
      <x:c r="W146" s="137" t="str"/>
      <x:c r="X146" s="199" t="str"/>
    </x:row>
    <x:row r="147">
      <x:c r="A147" s="137" t="str"/>
      <x:c r="B147" s="138" t="str"/>
      <x:c r="C147" s="138" t="str"/>
      <x:c r="D147" s="137" t="str"/>
      <x:c r="E147" s="137" t="str"/>
      <x:c r="F147" s="137" t="str"/>
      <x:c r="G147" s="137" t="str"/>
      <x:c r="H147" s="137" t="str"/>
      <x:c r="I147" s="137" t="str"/>
      <x:c r="J147" s="151" t="str"/>
      <x:c r="K147" s="151" t="str"/>
      <x:c r="L147" s="152" t="str">
        <x:f>IF(OR(J147="",K147=""),"",ROUNDUP(J147/K147,0))</x:f>
      </x:c>
      <x:c r="M147" s="151" t="str"/>
      <x:c r="N147" s="137" t="str"/>
      <x:c r="O147" s="137" t="str"/>
      <x:c r="P147" s="137" t="str"/>
      <x:c r="Q147" s="137" t="str"/>
      <x:c r="R147" s="137" t="str"/>
      <x:c r="S147" s="137" t="str"/>
      <x:c r="T147" s="137" t="str"/>
      <x:c r="U147" s="137" t="str"/>
      <x:c r="V147" s="137" t="str"/>
      <x:c r="W147" s="137" t="str"/>
      <x:c r="X147" s="199" t="str"/>
    </x:row>
    <x:row r="148">
      <x:c r="A148" s="137" t="str"/>
      <x:c r="B148" s="138" t="str"/>
      <x:c r="C148" s="138" t="str"/>
      <x:c r="D148" s="137" t="str"/>
      <x:c r="E148" s="137" t="str"/>
      <x:c r="F148" s="137" t="str"/>
      <x:c r="G148" s="137" t="str"/>
      <x:c r="H148" s="137" t="str"/>
      <x:c r="I148" s="137" t="str"/>
      <x:c r="J148" s="151" t="str"/>
      <x:c r="K148" s="151" t="str"/>
      <x:c r="L148" s="152" t="str">
        <x:f>IF(OR(J148="",K148=""),"",ROUNDUP(J148/K148,0))</x:f>
      </x:c>
      <x:c r="M148" s="151" t="str"/>
      <x:c r="N148" s="137" t="str"/>
      <x:c r="O148" s="137" t="str"/>
      <x:c r="P148" s="137" t="str"/>
      <x:c r="Q148" s="137" t="str"/>
      <x:c r="R148" s="137" t="str"/>
      <x:c r="S148" s="137" t="str"/>
      <x:c r="T148" s="137" t="str"/>
      <x:c r="U148" s="137" t="str"/>
      <x:c r="V148" s="137" t="str"/>
      <x:c r="W148" s="137" t="str"/>
      <x:c r="X148" s="199" t="str"/>
    </x:row>
    <x:row r="149">
      <x:c r="A149" s="137" t="str"/>
      <x:c r="B149" s="138" t="str"/>
      <x:c r="C149" s="138" t="str"/>
      <x:c r="D149" s="137" t="str"/>
      <x:c r="E149" s="137" t="str"/>
      <x:c r="F149" s="137" t="str"/>
      <x:c r="G149" s="137" t="str"/>
      <x:c r="H149" s="137" t="str"/>
      <x:c r="I149" s="137" t="str"/>
      <x:c r="J149" s="151" t="str"/>
      <x:c r="K149" s="151" t="str"/>
      <x:c r="L149" s="152" t="str">
        <x:f>IF(OR(J149="",K149=""),"",ROUNDUP(J149/K149,0))</x:f>
      </x:c>
      <x:c r="M149" s="151" t="str"/>
      <x:c r="N149" s="137" t="str"/>
      <x:c r="O149" s="137" t="str"/>
      <x:c r="P149" s="137" t="str"/>
      <x:c r="Q149" s="137" t="str"/>
      <x:c r="R149" s="137" t="str"/>
      <x:c r="S149" s="137" t="str"/>
      <x:c r="T149" s="137" t="str"/>
      <x:c r="U149" s="137" t="str"/>
      <x:c r="V149" s="137" t="str"/>
      <x:c r="W149" s="137" t="str"/>
      <x:c r="X149" s="199" t="str"/>
    </x:row>
    <x:row r="150">
      <x:c r="A150" s="137" t="str"/>
      <x:c r="B150" s="138" t="str"/>
      <x:c r="C150" s="138" t="str"/>
      <x:c r="D150" s="137" t="str"/>
      <x:c r="E150" s="137" t="str"/>
      <x:c r="F150" s="137" t="str"/>
      <x:c r="G150" s="137" t="str"/>
      <x:c r="H150" s="137" t="str"/>
      <x:c r="I150" s="137" t="str"/>
      <x:c r="J150" s="151" t="str"/>
      <x:c r="K150" s="151" t="str"/>
      <x:c r="L150" s="152" t="str">
        <x:f>IF(OR(J150="",K150=""),"",ROUNDUP(J150/K150,0))</x:f>
      </x:c>
      <x:c r="M150" s="151" t="str"/>
      <x:c r="N150" s="137" t="str"/>
      <x:c r="O150" s="137" t="str"/>
      <x:c r="P150" s="137" t="str"/>
      <x:c r="Q150" s="137" t="str"/>
      <x:c r="R150" s="137" t="str"/>
      <x:c r="S150" s="137" t="str"/>
      <x:c r="T150" s="137" t="str"/>
      <x:c r="U150" s="137" t="str"/>
      <x:c r="V150" s="137" t="str"/>
      <x:c r="W150" s="137" t="str"/>
      <x:c r="X150" s="199" t="str"/>
    </x:row>
    <x:row r="151">
      <x:c r="A151" s="137" t="str"/>
      <x:c r="B151" s="138" t="str"/>
      <x:c r="C151" s="138" t="str"/>
      <x:c r="D151" s="137" t="str"/>
      <x:c r="E151" s="137" t="str"/>
      <x:c r="F151" s="137" t="str"/>
      <x:c r="G151" s="137" t="str"/>
      <x:c r="H151" s="137" t="str"/>
      <x:c r="I151" s="137" t="str"/>
      <x:c r="J151" s="151" t="str"/>
      <x:c r="K151" s="151" t="str"/>
      <x:c r="L151" s="152" t="str">
        <x:f>IF(OR(J151="",K151=""),"",ROUNDUP(J151/K151,0))</x:f>
      </x:c>
      <x:c r="M151" s="151" t="str"/>
      <x:c r="N151" s="137" t="str"/>
      <x:c r="O151" s="137" t="str"/>
      <x:c r="P151" s="137" t="str"/>
      <x:c r="Q151" s="137" t="str"/>
      <x:c r="R151" s="137" t="str"/>
      <x:c r="S151" s="137" t="str"/>
      <x:c r="T151" s="137" t="str"/>
      <x:c r="U151" s="137" t="str"/>
      <x:c r="V151" s="137" t="str"/>
      <x:c r="W151" s="137" t="str"/>
      <x:c r="X151" s="199" t="str"/>
    </x:row>
    <x:row r="152">
      <x:c r="A152" s="137" t="str"/>
      <x:c r="B152" s="138" t="str"/>
      <x:c r="C152" s="138" t="str"/>
      <x:c r="D152" s="137" t="str"/>
      <x:c r="E152" s="137" t="str"/>
      <x:c r="F152" s="137" t="str"/>
      <x:c r="G152" s="137" t="str"/>
      <x:c r="H152" s="137" t="str"/>
      <x:c r="I152" s="137" t="str"/>
      <x:c r="J152" s="151" t="str"/>
      <x:c r="K152" s="151" t="str"/>
      <x:c r="L152" s="152" t="str">
        <x:f>IF(OR(J152="",K152=""),"",ROUNDUP(J152/K152,0))</x:f>
      </x:c>
      <x:c r="M152" s="151" t="str"/>
      <x:c r="N152" s="137" t="str"/>
      <x:c r="O152" s="137" t="str"/>
      <x:c r="P152" s="137" t="str"/>
      <x:c r="Q152" s="137" t="str"/>
      <x:c r="R152" s="137" t="str"/>
      <x:c r="S152" s="137" t="str"/>
      <x:c r="T152" s="137" t="str"/>
      <x:c r="U152" s="137" t="str"/>
      <x:c r="V152" s="137" t="str"/>
      <x:c r="W152" s="137" t="str"/>
      <x:c r="X152" s="199" t="str"/>
    </x:row>
    <x:row r="153">
      <x:c r="A153" s="137" t="str"/>
      <x:c r="B153" s="138" t="str"/>
      <x:c r="C153" s="138" t="str"/>
      <x:c r="D153" s="137" t="str"/>
      <x:c r="E153" s="137" t="str"/>
      <x:c r="F153" s="137" t="str"/>
      <x:c r="G153" s="137" t="str"/>
      <x:c r="H153" s="137" t="str"/>
      <x:c r="I153" s="137" t="str"/>
      <x:c r="J153" s="151" t="str"/>
      <x:c r="K153" s="151" t="str"/>
      <x:c r="L153" s="152" t="str">
        <x:f>IF(OR(J153="",K153=""),"",ROUNDUP(J153/K153,0))</x:f>
      </x:c>
      <x:c r="M153" s="151" t="str"/>
      <x:c r="N153" s="137" t="str"/>
      <x:c r="O153" s="137" t="str"/>
      <x:c r="P153" s="137" t="str"/>
      <x:c r="Q153" s="137" t="str"/>
      <x:c r="R153" s="137" t="str"/>
      <x:c r="S153" s="137" t="str"/>
      <x:c r="T153" s="137" t="str"/>
      <x:c r="U153" s="137" t="str"/>
      <x:c r="V153" s="137" t="str"/>
      <x:c r="W153" s="137" t="str"/>
      <x:c r="X153" s="199" t="str"/>
    </x:row>
    <x:row r="154">
      <x:c r="A154" s="137" t="str"/>
      <x:c r="B154" s="138" t="str"/>
      <x:c r="C154" s="138" t="str"/>
      <x:c r="D154" s="137" t="str"/>
      <x:c r="E154" s="137" t="str"/>
      <x:c r="F154" s="137" t="str"/>
      <x:c r="G154" s="137" t="str"/>
      <x:c r="H154" s="137" t="str"/>
      <x:c r="I154" s="137" t="str"/>
      <x:c r="J154" s="151" t="str"/>
      <x:c r="K154" s="151" t="str"/>
      <x:c r="L154" s="152" t="str">
        <x:f>IF(OR(J154="",K154=""),"",ROUNDUP(J154/K154,0))</x:f>
      </x:c>
      <x:c r="M154" s="151" t="str"/>
      <x:c r="N154" s="137" t="str"/>
      <x:c r="O154" s="137" t="str"/>
      <x:c r="P154" s="137" t="str"/>
      <x:c r="Q154" s="137" t="str"/>
      <x:c r="R154" s="137" t="str"/>
      <x:c r="S154" s="137" t="str"/>
      <x:c r="T154" s="137" t="str"/>
      <x:c r="U154" s="137" t="str"/>
      <x:c r="V154" s="137" t="str"/>
      <x:c r="W154" s="137" t="str"/>
      <x:c r="X154" s="199" t="str"/>
    </x:row>
    <x:row r="155">
      <x:c r="A155" s="137" t="str"/>
      <x:c r="B155" s="138" t="str"/>
      <x:c r="C155" s="138" t="str"/>
      <x:c r="D155" s="137" t="str"/>
      <x:c r="E155" s="137" t="str"/>
      <x:c r="F155" s="137" t="str"/>
      <x:c r="G155" s="137" t="str"/>
      <x:c r="H155" s="137" t="str"/>
      <x:c r="I155" s="137" t="str"/>
      <x:c r="J155" s="151" t="str"/>
      <x:c r="K155" s="151" t="str"/>
      <x:c r="L155" s="152" t="str">
        <x:f>IF(OR(J155="",K155=""),"",ROUNDUP(J155/K155,0))</x:f>
      </x:c>
      <x:c r="M155" s="151" t="str"/>
      <x:c r="N155" s="137" t="str"/>
      <x:c r="O155" s="137" t="str"/>
      <x:c r="P155" s="137" t="str"/>
      <x:c r="Q155" s="137" t="str"/>
      <x:c r="R155" s="137" t="str"/>
      <x:c r="S155" s="137" t="str"/>
      <x:c r="T155" s="137" t="str"/>
      <x:c r="U155" s="137" t="str"/>
      <x:c r="V155" s="137" t="str"/>
      <x:c r="W155" s="137" t="str"/>
      <x:c r="X155" s="199" t="str"/>
    </x:row>
    <x:row r="156">
      <x:c r="A156" s="137" t="str"/>
      <x:c r="B156" s="138" t="str"/>
      <x:c r="C156" s="138" t="str"/>
      <x:c r="D156" s="137" t="str"/>
      <x:c r="E156" s="137" t="str"/>
      <x:c r="F156" s="137" t="str"/>
      <x:c r="G156" s="137" t="str"/>
      <x:c r="H156" s="137" t="str"/>
      <x:c r="I156" s="137" t="str"/>
      <x:c r="J156" s="151" t="str"/>
      <x:c r="K156" s="151" t="str"/>
      <x:c r="L156" s="152" t="str">
        <x:f>IF(OR(J156="",K156=""),"",ROUNDUP(J156/K156,0))</x:f>
      </x:c>
      <x:c r="M156" s="151" t="str"/>
      <x:c r="N156" s="137" t="str"/>
      <x:c r="O156" s="137" t="str"/>
      <x:c r="P156" s="137" t="str"/>
      <x:c r="Q156" s="137" t="str"/>
      <x:c r="R156" s="137" t="str"/>
      <x:c r="S156" s="137" t="str"/>
      <x:c r="T156" s="137" t="str"/>
      <x:c r="U156" s="137" t="str"/>
      <x:c r="V156" s="137" t="str"/>
      <x:c r="W156" s="137" t="str"/>
      <x:c r="X156" s="199" t="str"/>
    </x:row>
    <x:row r="157">
      <x:c r="A157" s="137" t="str"/>
      <x:c r="B157" s="138" t="str"/>
      <x:c r="C157" s="138" t="str"/>
      <x:c r="D157" s="137" t="str"/>
      <x:c r="E157" s="137" t="str"/>
      <x:c r="F157" s="137" t="str"/>
      <x:c r="G157" s="137" t="str"/>
      <x:c r="H157" s="137" t="str"/>
      <x:c r="I157" s="137" t="str"/>
      <x:c r="J157" s="151" t="str"/>
      <x:c r="K157" s="151" t="str"/>
      <x:c r="L157" s="152" t="str">
        <x:f>IF(OR(J157="",K157=""),"",ROUNDUP(J157/K157,0))</x:f>
      </x:c>
      <x:c r="M157" s="151" t="str"/>
      <x:c r="N157" s="137" t="str"/>
      <x:c r="O157" s="137" t="str"/>
      <x:c r="P157" s="137" t="str"/>
      <x:c r="Q157" s="137" t="str"/>
      <x:c r="R157" s="137" t="str"/>
      <x:c r="S157" s="137" t="str"/>
      <x:c r="T157" s="137" t="str"/>
      <x:c r="U157" s="137" t="str"/>
      <x:c r="V157" s="137" t="str"/>
      <x:c r="W157" s="137" t="str"/>
      <x:c r="X157" s="199" t="str"/>
    </x:row>
    <x:row r="158">
      <x:c r="A158" s="137" t="str"/>
      <x:c r="B158" s="138" t="str"/>
      <x:c r="C158" s="138" t="str"/>
      <x:c r="D158" s="137" t="str"/>
      <x:c r="E158" s="137" t="str"/>
      <x:c r="F158" s="137" t="str"/>
      <x:c r="G158" s="137" t="str"/>
      <x:c r="H158" s="137" t="str"/>
      <x:c r="I158" s="137" t="str"/>
      <x:c r="J158" s="151" t="str"/>
      <x:c r="K158" s="151" t="str"/>
      <x:c r="L158" s="152" t="str">
        <x:f>IF(OR(J158="",K158=""),"",ROUNDUP(J158/K158,0))</x:f>
      </x:c>
      <x:c r="M158" s="151" t="str"/>
      <x:c r="N158" s="137" t="str"/>
      <x:c r="O158" s="137" t="str"/>
      <x:c r="P158" s="137" t="str"/>
      <x:c r="Q158" s="137" t="str"/>
      <x:c r="R158" s="137" t="str"/>
      <x:c r="S158" s="137" t="str"/>
      <x:c r="T158" s="137" t="str"/>
      <x:c r="U158" s="137" t="str"/>
      <x:c r="V158" s="137" t="str"/>
      <x:c r="W158" s="137" t="str"/>
      <x:c r="X158" s="199" t="str"/>
    </x:row>
    <x:row r="159">
      <x:c r="A159" s="137" t="str"/>
      <x:c r="B159" s="138" t="str"/>
      <x:c r="C159" s="138" t="str"/>
      <x:c r="D159" s="137" t="str"/>
      <x:c r="E159" s="137" t="str"/>
      <x:c r="F159" s="137" t="str"/>
      <x:c r="G159" s="137" t="str"/>
      <x:c r="H159" s="137" t="str"/>
      <x:c r="I159" s="137" t="str"/>
      <x:c r="J159" s="151" t="str"/>
      <x:c r="K159" s="151" t="str"/>
      <x:c r="L159" s="152" t="str">
        <x:f>IF(OR(J159="",K159=""),"",ROUNDUP(J159/K159,0))</x:f>
      </x:c>
      <x:c r="M159" s="151" t="str"/>
      <x:c r="N159" s="137" t="str"/>
      <x:c r="O159" s="137" t="str"/>
      <x:c r="P159" s="137" t="str"/>
      <x:c r="Q159" s="137" t="str"/>
      <x:c r="R159" s="137" t="str"/>
      <x:c r="S159" s="137" t="str"/>
      <x:c r="T159" s="137" t="str"/>
      <x:c r="U159" s="137" t="str"/>
      <x:c r="V159" s="137" t="str"/>
      <x:c r="W159" s="137" t="str"/>
      <x:c r="X159" s="199" t="str"/>
    </x:row>
    <x:row r="160">
      <x:c r="A160" s="137" t="str"/>
      <x:c r="B160" s="138" t="str"/>
      <x:c r="C160" s="138" t="str"/>
      <x:c r="D160" s="137" t="str"/>
      <x:c r="E160" s="137" t="str"/>
      <x:c r="F160" s="137" t="str"/>
      <x:c r="G160" s="137" t="str"/>
      <x:c r="H160" s="137" t="str"/>
      <x:c r="I160" s="137" t="str"/>
      <x:c r="J160" s="151" t="str"/>
      <x:c r="K160" s="151" t="str"/>
      <x:c r="L160" s="152" t="str">
        <x:f>IF(OR(J160="",K160=""),"",ROUNDUP(J160/K160,0))</x:f>
      </x:c>
      <x:c r="M160" s="151" t="str"/>
      <x:c r="N160" s="137" t="str"/>
      <x:c r="O160" s="137" t="str"/>
      <x:c r="P160" s="137" t="str"/>
      <x:c r="Q160" s="137" t="str"/>
      <x:c r="R160" s="137" t="str"/>
      <x:c r="S160" s="137" t="str"/>
      <x:c r="T160" s="137" t="str"/>
      <x:c r="U160" s="137" t="str"/>
      <x:c r="V160" s="137" t="str"/>
      <x:c r="W160" s="137" t="str"/>
      <x:c r="X160" s="199" t="str"/>
    </x:row>
    <x:row r="161">
      <x:c r="A161" s="137" t="str"/>
      <x:c r="B161" s="138" t="str"/>
      <x:c r="C161" s="138" t="str"/>
      <x:c r="D161" s="137" t="str"/>
      <x:c r="E161" s="137" t="str"/>
      <x:c r="F161" s="137" t="str"/>
      <x:c r="G161" s="137" t="str"/>
      <x:c r="H161" s="137" t="str"/>
      <x:c r="I161" s="137" t="str"/>
      <x:c r="J161" s="151" t="str"/>
      <x:c r="K161" s="151" t="str"/>
      <x:c r="L161" s="152" t="str">
        <x:f>IF(OR(J161="",K161=""),"",ROUNDUP(J161/K161,0))</x:f>
      </x:c>
      <x:c r="M161" s="151" t="str"/>
      <x:c r="N161" s="137" t="str"/>
      <x:c r="O161" s="137" t="str"/>
      <x:c r="P161" s="137" t="str"/>
      <x:c r="Q161" s="137" t="str"/>
      <x:c r="R161" s="137" t="str"/>
      <x:c r="S161" s="137" t="str"/>
      <x:c r="T161" s="137" t="str"/>
      <x:c r="U161" s="137" t="str"/>
      <x:c r="V161" s="137" t="str"/>
      <x:c r="W161" s="137" t="str"/>
      <x:c r="X161" s="199" t="str"/>
    </x:row>
    <x:row r="162">
      <x:c r="A162" s="137" t="str"/>
      <x:c r="B162" s="138" t="str"/>
      <x:c r="C162" s="138" t="str"/>
      <x:c r="D162" s="137" t="str"/>
      <x:c r="E162" s="137" t="str"/>
      <x:c r="F162" s="137" t="str"/>
      <x:c r="G162" s="137" t="str"/>
      <x:c r="H162" s="137" t="str"/>
      <x:c r="I162" s="137" t="str"/>
      <x:c r="J162" s="151" t="str"/>
      <x:c r="K162" s="151" t="str"/>
      <x:c r="L162" s="152" t="str">
        <x:f>IF(OR(J162="",K162=""),"",ROUNDUP(J162/K162,0))</x:f>
      </x:c>
      <x:c r="M162" s="151" t="str"/>
      <x:c r="N162" s="137" t="str"/>
      <x:c r="O162" s="137" t="str"/>
      <x:c r="P162" s="137" t="str"/>
      <x:c r="Q162" s="137" t="str"/>
      <x:c r="R162" s="137" t="str"/>
      <x:c r="S162" s="137" t="str"/>
      <x:c r="T162" s="137" t="str"/>
      <x:c r="U162" s="137" t="str"/>
      <x:c r="V162" s="137" t="str"/>
      <x:c r="W162" s="137" t="str"/>
      <x:c r="X162" s="199" t="str"/>
    </x:row>
    <x:row r="163">
      <x:c r="A163" s="137" t="str"/>
      <x:c r="B163" s="138" t="str"/>
      <x:c r="C163" s="138" t="str"/>
      <x:c r="D163" s="137" t="str"/>
      <x:c r="E163" s="137" t="str"/>
      <x:c r="F163" s="137" t="str"/>
      <x:c r="G163" s="137" t="str"/>
      <x:c r="H163" s="137" t="str"/>
      <x:c r="I163" s="137" t="str"/>
      <x:c r="J163" s="151" t="str"/>
      <x:c r="K163" s="151" t="str"/>
      <x:c r="L163" s="152" t="str">
        <x:f>IF(OR(J163="",K163=""),"",ROUNDUP(J163/K163,0))</x:f>
      </x:c>
      <x:c r="M163" s="151" t="str"/>
      <x:c r="N163" s="137" t="str"/>
      <x:c r="O163" s="137" t="str"/>
      <x:c r="P163" s="137" t="str"/>
      <x:c r="Q163" s="137" t="str"/>
      <x:c r="R163" s="137" t="str"/>
      <x:c r="S163" s="137" t="str"/>
      <x:c r="T163" s="137" t="str"/>
      <x:c r="U163" s="137" t="str"/>
      <x:c r="V163" s="137" t="str"/>
      <x:c r="W163" s="137" t="str"/>
      <x:c r="X163" s="199" t="str"/>
    </x:row>
    <x:row r="164">
      <x:c r="A164" s="137" t="str"/>
      <x:c r="B164" s="138" t="str"/>
      <x:c r="C164" s="138" t="str"/>
      <x:c r="D164" s="137" t="str"/>
      <x:c r="E164" s="137" t="str"/>
      <x:c r="F164" s="137" t="str"/>
      <x:c r="G164" s="137" t="str"/>
      <x:c r="H164" s="137" t="str"/>
      <x:c r="I164" s="137" t="str"/>
      <x:c r="J164" s="151" t="str"/>
      <x:c r="K164" s="151" t="str"/>
      <x:c r="L164" s="152" t="str">
        <x:f>IF(OR(J164="",K164=""),"",ROUNDUP(J164/K164,0))</x:f>
      </x:c>
      <x:c r="M164" s="151" t="str"/>
      <x:c r="N164" s="137" t="str"/>
      <x:c r="O164" s="137" t="str"/>
      <x:c r="P164" s="137" t="str"/>
      <x:c r="Q164" s="137" t="str"/>
      <x:c r="R164" s="137" t="str"/>
      <x:c r="S164" s="137" t="str"/>
      <x:c r="T164" s="137" t="str"/>
      <x:c r="U164" s="137" t="str"/>
      <x:c r="V164" s="137" t="str"/>
      <x:c r="W164" s="137" t="str"/>
      <x:c r="X164" s="199" t="str"/>
    </x:row>
    <x:row r="165">
      <x:c r="A165" s="137" t="str"/>
      <x:c r="B165" s="138" t="str"/>
      <x:c r="C165" s="138" t="str"/>
      <x:c r="D165" s="137" t="str"/>
      <x:c r="E165" s="137" t="str"/>
      <x:c r="F165" s="137" t="str"/>
      <x:c r="G165" s="137" t="str"/>
      <x:c r="H165" s="137" t="str"/>
      <x:c r="I165" s="137" t="str"/>
      <x:c r="J165" s="151" t="str"/>
      <x:c r="K165" s="151" t="str"/>
      <x:c r="L165" s="152" t="str">
        <x:f>IF(OR(J165="",K165=""),"",ROUNDUP(J165/K165,0))</x:f>
      </x:c>
      <x:c r="M165" s="151" t="str"/>
      <x:c r="N165" s="137" t="str"/>
      <x:c r="O165" s="137" t="str"/>
      <x:c r="P165" s="137" t="str"/>
      <x:c r="Q165" s="137" t="str"/>
      <x:c r="R165" s="137" t="str"/>
      <x:c r="S165" s="137" t="str"/>
      <x:c r="T165" s="137" t="str"/>
      <x:c r="U165" s="137" t="str"/>
      <x:c r="V165" s="137" t="str"/>
      <x:c r="W165" s="137" t="str"/>
      <x:c r="X165" s="199" t="str"/>
    </x:row>
    <x:row r="166">
      <x:c r="A166" s="137" t="str"/>
      <x:c r="B166" s="138" t="str"/>
      <x:c r="C166" s="138" t="str"/>
      <x:c r="D166" s="137" t="str"/>
      <x:c r="E166" s="137" t="str"/>
      <x:c r="F166" s="137" t="str"/>
      <x:c r="G166" s="137" t="str"/>
      <x:c r="H166" s="137" t="str"/>
      <x:c r="I166" s="137" t="str"/>
      <x:c r="J166" s="151" t="str"/>
      <x:c r="K166" s="151" t="str"/>
      <x:c r="L166" s="152" t="str">
        <x:f>IF(OR(J166="",K166=""),"",ROUNDUP(J166/K166,0))</x:f>
      </x:c>
      <x:c r="M166" s="151" t="str"/>
      <x:c r="N166" s="137" t="str"/>
      <x:c r="O166" s="137" t="str"/>
      <x:c r="P166" s="137" t="str"/>
      <x:c r="Q166" s="137" t="str"/>
      <x:c r="R166" s="137" t="str"/>
      <x:c r="S166" s="137" t="str"/>
      <x:c r="T166" s="137" t="str"/>
      <x:c r="U166" s="137" t="str"/>
      <x:c r="V166" s="137" t="str"/>
      <x:c r="W166" s="137" t="str"/>
      <x:c r="X166" s="199" t="str"/>
    </x:row>
    <x:row r="167">
      <x:c r="A167" s="137" t="str"/>
      <x:c r="B167" s="138" t="str"/>
      <x:c r="C167" s="138" t="str"/>
      <x:c r="D167" s="137" t="str"/>
      <x:c r="E167" s="137" t="str"/>
      <x:c r="F167" s="137" t="str"/>
      <x:c r="G167" s="137" t="str"/>
      <x:c r="H167" s="137" t="str"/>
      <x:c r="I167" s="137" t="str"/>
      <x:c r="J167" s="151" t="str"/>
      <x:c r="K167" s="151" t="str"/>
      <x:c r="L167" s="152" t="str">
        <x:f>IF(OR(J167="",K167=""),"",ROUNDUP(J167/K167,0))</x:f>
      </x:c>
      <x:c r="M167" s="151" t="str"/>
      <x:c r="N167" s="137" t="str"/>
      <x:c r="O167" s="137" t="str"/>
      <x:c r="P167" s="137" t="str"/>
      <x:c r="Q167" s="137" t="str"/>
      <x:c r="R167" s="137" t="str"/>
      <x:c r="S167" s="137" t="str"/>
      <x:c r="T167" s="137" t="str"/>
      <x:c r="U167" s="137" t="str"/>
      <x:c r="V167" s="137" t="str"/>
      <x:c r="W167" s="137" t="str"/>
      <x:c r="X167" s="199" t="str"/>
    </x:row>
    <x:row r="168">
      <x:c r="A168" s="137" t="str"/>
      <x:c r="B168" s="138" t="str"/>
      <x:c r="C168" s="138" t="str"/>
      <x:c r="D168" s="137" t="str"/>
      <x:c r="E168" s="137" t="str"/>
      <x:c r="F168" s="137" t="str"/>
      <x:c r="G168" s="137" t="str"/>
      <x:c r="H168" s="137" t="str"/>
      <x:c r="I168" s="137" t="str"/>
      <x:c r="J168" s="151" t="str"/>
      <x:c r="K168" s="151" t="str"/>
      <x:c r="L168" s="152" t="str">
        <x:f>IF(OR(J168="",K168=""),"",ROUNDUP(J168/K168,0))</x:f>
      </x:c>
      <x:c r="M168" s="151" t="str"/>
      <x:c r="N168" s="137" t="str"/>
      <x:c r="O168" s="137" t="str"/>
      <x:c r="P168" s="137" t="str"/>
      <x:c r="Q168" s="137" t="str"/>
      <x:c r="R168" s="137" t="str"/>
      <x:c r="S168" s="137" t="str"/>
      <x:c r="T168" s="137" t="str"/>
      <x:c r="U168" s="137" t="str"/>
      <x:c r="V168" s="137" t="str"/>
      <x:c r="W168" s="137" t="str"/>
      <x:c r="X168" s="199" t="str"/>
    </x:row>
    <x:row r="169">
      <x:c r="A169" s="137" t="str"/>
      <x:c r="B169" s="138" t="str"/>
      <x:c r="C169" s="138" t="str"/>
      <x:c r="D169" s="137" t="str"/>
      <x:c r="E169" s="137" t="str"/>
      <x:c r="F169" s="137" t="str"/>
      <x:c r="G169" s="137" t="str"/>
      <x:c r="H169" s="137" t="str"/>
      <x:c r="I169" s="137" t="str"/>
      <x:c r="J169" s="151" t="str"/>
      <x:c r="K169" s="151" t="str"/>
      <x:c r="L169" s="152" t="str">
        <x:f>IF(OR(J169="",K169=""),"",ROUNDUP(J169/K169,0))</x:f>
      </x:c>
      <x:c r="M169" s="151" t="str"/>
      <x:c r="N169" s="137" t="str"/>
      <x:c r="O169" s="137" t="str"/>
      <x:c r="P169" s="137" t="str"/>
      <x:c r="Q169" s="137" t="str"/>
      <x:c r="R169" s="137" t="str"/>
      <x:c r="S169" s="137" t="str"/>
      <x:c r="T169" s="137" t="str"/>
      <x:c r="U169" s="137" t="str"/>
      <x:c r="V169" s="137" t="str"/>
      <x:c r="W169" s="137" t="str"/>
      <x:c r="X169" s="199" t="str"/>
    </x:row>
    <x:row r="170">
      <x:c r="A170" s="137" t="str"/>
      <x:c r="B170" s="138" t="str"/>
      <x:c r="C170" s="138" t="str"/>
      <x:c r="D170" s="137" t="str"/>
      <x:c r="E170" s="137" t="str"/>
      <x:c r="F170" s="137" t="str"/>
      <x:c r="G170" s="137" t="str"/>
      <x:c r="H170" s="137" t="str"/>
      <x:c r="I170" s="137" t="str"/>
      <x:c r="J170" s="151" t="str"/>
      <x:c r="K170" s="151" t="str"/>
      <x:c r="L170" s="152" t="str">
        <x:f>IF(OR(J170="",K170=""),"",ROUNDUP(J170/K170,0))</x:f>
      </x:c>
      <x:c r="M170" s="151" t="str"/>
      <x:c r="N170" s="137" t="str"/>
      <x:c r="O170" s="137" t="str"/>
      <x:c r="P170" s="137" t="str"/>
      <x:c r="Q170" s="137" t="str"/>
      <x:c r="R170" s="137" t="str"/>
      <x:c r="S170" s="137" t="str"/>
      <x:c r="T170" s="137" t="str"/>
      <x:c r="U170" s="137" t="str"/>
      <x:c r="V170" s="137" t="str"/>
      <x:c r="W170" s="137" t="str"/>
      <x:c r="X170" s="199" t="str"/>
    </x:row>
    <x:row r="171">
      <x:c r="A171" s="137" t="str"/>
      <x:c r="B171" s="138" t="str"/>
      <x:c r="C171" s="138" t="str"/>
      <x:c r="D171" s="137" t="str"/>
      <x:c r="E171" s="137" t="str"/>
      <x:c r="F171" s="137" t="str"/>
      <x:c r="G171" s="137" t="str"/>
      <x:c r="H171" s="137" t="str"/>
      <x:c r="I171" s="137" t="str"/>
      <x:c r="J171" s="151" t="str"/>
      <x:c r="K171" s="151" t="str"/>
      <x:c r="L171" s="152" t="str">
        <x:f>IF(OR(J171="",K171=""),"",ROUNDUP(J171/K171,0))</x:f>
      </x:c>
      <x:c r="M171" s="151" t="str"/>
      <x:c r="N171" s="137" t="str"/>
      <x:c r="O171" s="137" t="str"/>
      <x:c r="P171" s="137" t="str"/>
      <x:c r="Q171" s="137" t="str"/>
      <x:c r="R171" s="137" t="str"/>
      <x:c r="S171" s="137" t="str"/>
      <x:c r="T171" s="137" t="str"/>
      <x:c r="U171" s="137" t="str"/>
      <x:c r="V171" s="137" t="str"/>
      <x:c r="W171" s="137" t="str"/>
      <x:c r="X171" s="199" t="str"/>
    </x:row>
    <x:row r="172">
      <x:c r="A172" s="137" t="str"/>
      <x:c r="B172" s="138" t="str"/>
      <x:c r="C172" s="138" t="str"/>
      <x:c r="D172" s="137" t="str"/>
      <x:c r="E172" s="137" t="str"/>
      <x:c r="F172" s="137" t="str"/>
      <x:c r="G172" s="137" t="str"/>
      <x:c r="H172" s="137" t="str"/>
      <x:c r="I172" s="137" t="str"/>
      <x:c r="J172" s="151" t="str"/>
      <x:c r="K172" s="151" t="str"/>
      <x:c r="L172" s="152" t="str">
        <x:f>IF(OR(J172="",K172=""),"",ROUNDUP(J172/K172,0))</x:f>
      </x:c>
      <x:c r="M172" s="151" t="str"/>
      <x:c r="N172" s="137" t="str"/>
      <x:c r="O172" s="137" t="str"/>
      <x:c r="P172" s="137" t="str"/>
      <x:c r="Q172" s="137" t="str"/>
      <x:c r="R172" s="137" t="str"/>
      <x:c r="S172" s="137" t="str"/>
      <x:c r="T172" s="137" t="str"/>
      <x:c r="U172" s="137" t="str"/>
      <x:c r="V172" s="137" t="str"/>
      <x:c r="W172" s="137" t="str"/>
      <x:c r="X172" s="199" t="str"/>
    </x:row>
    <x:row r="173">
      <x:c r="A173" s="137" t="str"/>
      <x:c r="B173" s="138" t="str"/>
      <x:c r="C173" s="138" t="str"/>
      <x:c r="D173" s="137" t="str"/>
      <x:c r="E173" s="137" t="str"/>
      <x:c r="F173" s="137" t="str"/>
      <x:c r="G173" s="137" t="str"/>
      <x:c r="H173" s="137" t="str"/>
      <x:c r="I173" s="137" t="str"/>
      <x:c r="J173" s="151" t="str"/>
      <x:c r="K173" s="151" t="str"/>
      <x:c r="L173" s="152" t="str">
        <x:f>IF(OR(J173="",K173=""),"",ROUNDUP(J173/K173,0))</x:f>
      </x:c>
      <x:c r="M173" s="151" t="str"/>
      <x:c r="N173" s="137" t="str"/>
      <x:c r="O173" s="137" t="str"/>
      <x:c r="P173" s="137" t="str"/>
      <x:c r="Q173" s="137" t="str"/>
      <x:c r="R173" s="137" t="str"/>
      <x:c r="S173" s="137" t="str"/>
      <x:c r="T173" s="137" t="str"/>
      <x:c r="U173" s="137" t="str"/>
      <x:c r="V173" s="137" t="str"/>
      <x:c r="W173" s="137" t="str"/>
      <x:c r="X173" s="199" t="str"/>
    </x:row>
    <x:row r="174">
      <x:c r="A174" s="137" t="str"/>
      <x:c r="B174" s="138" t="str"/>
      <x:c r="C174" s="138" t="str"/>
      <x:c r="D174" s="137" t="str"/>
      <x:c r="E174" s="137" t="str"/>
      <x:c r="F174" s="137" t="str"/>
      <x:c r="G174" s="137" t="str"/>
      <x:c r="H174" s="137" t="str"/>
      <x:c r="I174" s="137" t="str"/>
      <x:c r="J174" s="151" t="str"/>
      <x:c r="K174" s="151" t="str"/>
      <x:c r="L174" s="152" t="str">
        <x:f>IF(OR(J174="",K174=""),"",ROUNDUP(J174/K174,0))</x:f>
      </x:c>
      <x:c r="M174" s="151" t="str"/>
      <x:c r="N174" s="137" t="str"/>
      <x:c r="O174" s="137" t="str"/>
      <x:c r="P174" s="137" t="str"/>
      <x:c r="Q174" s="137" t="str"/>
      <x:c r="R174" s="137" t="str"/>
      <x:c r="S174" s="137" t="str"/>
      <x:c r="T174" s="137" t="str"/>
      <x:c r="U174" s="137" t="str"/>
      <x:c r="V174" s="137" t="str"/>
      <x:c r="W174" s="137" t="str"/>
      <x:c r="X174" s="199" t="str"/>
    </x:row>
    <x:row r="175">
      <x:c r="A175" s="137" t="str"/>
      <x:c r="B175" s="138" t="str"/>
      <x:c r="C175" s="138" t="str"/>
      <x:c r="D175" s="137" t="str"/>
      <x:c r="E175" s="137" t="str"/>
      <x:c r="F175" s="137" t="str"/>
      <x:c r="G175" s="137" t="str"/>
      <x:c r="H175" s="137" t="str"/>
      <x:c r="I175" s="137" t="str"/>
      <x:c r="J175" s="151" t="str"/>
      <x:c r="K175" s="151" t="str"/>
      <x:c r="L175" s="152" t="str">
        <x:f>IF(OR(J175="",K175=""),"",ROUNDUP(J175/K175,0))</x:f>
      </x:c>
      <x:c r="M175" s="151" t="str"/>
      <x:c r="N175" s="137" t="str"/>
      <x:c r="O175" s="137" t="str"/>
      <x:c r="P175" s="137" t="str"/>
      <x:c r="Q175" s="137" t="str"/>
      <x:c r="R175" s="137" t="str"/>
      <x:c r="S175" s="137" t="str"/>
      <x:c r="T175" s="137" t="str"/>
      <x:c r="U175" s="137" t="str"/>
      <x:c r="V175" s="137" t="str"/>
      <x:c r="W175" s="137" t="str"/>
      <x:c r="X175" s="199" t="str"/>
    </x:row>
    <x:row r="176">
      <x:c r="A176" s="137" t="str"/>
      <x:c r="B176" s="138" t="str"/>
      <x:c r="C176" s="138" t="str"/>
      <x:c r="D176" s="137" t="str"/>
      <x:c r="E176" s="137" t="str"/>
      <x:c r="F176" s="137" t="str"/>
      <x:c r="G176" s="137" t="str"/>
      <x:c r="H176" s="137" t="str"/>
      <x:c r="I176" s="137" t="str"/>
      <x:c r="J176" s="151" t="str"/>
      <x:c r="K176" s="151" t="str"/>
      <x:c r="L176" s="152" t="str">
        <x:f>IF(OR(J176="",K176=""),"",ROUNDUP(J176/K176,0))</x:f>
      </x:c>
      <x:c r="M176" s="151" t="str"/>
      <x:c r="N176" s="137" t="str"/>
      <x:c r="O176" s="137" t="str"/>
      <x:c r="P176" s="137" t="str"/>
      <x:c r="Q176" s="137" t="str"/>
      <x:c r="R176" s="137" t="str"/>
      <x:c r="S176" s="137" t="str"/>
      <x:c r="T176" s="137" t="str"/>
      <x:c r="U176" s="137" t="str"/>
      <x:c r="V176" s="137" t="str"/>
      <x:c r="W176" s="137" t="str"/>
      <x:c r="X176" s="199" t="str"/>
    </x:row>
    <x:row r="177">
      <x:c r="A177" s="137" t="str"/>
      <x:c r="B177" s="138" t="str"/>
      <x:c r="C177" s="138" t="str"/>
      <x:c r="D177" s="137" t="str"/>
      <x:c r="E177" s="137" t="str"/>
      <x:c r="F177" s="137" t="str"/>
      <x:c r="G177" s="137" t="str"/>
      <x:c r="H177" s="137" t="str"/>
      <x:c r="I177" s="137" t="str"/>
      <x:c r="J177" s="151" t="str"/>
      <x:c r="K177" s="151" t="str"/>
      <x:c r="L177" s="152" t="str">
        <x:f>IF(OR(J177="",K177=""),"",ROUNDUP(J177/K177,0))</x:f>
      </x:c>
      <x:c r="M177" s="151" t="str"/>
      <x:c r="N177" s="137" t="str"/>
      <x:c r="O177" s="137" t="str"/>
      <x:c r="P177" s="137" t="str"/>
      <x:c r="Q177" s="137" t="str"/>
      <x:c r="R177" s="137" t="str"/>
      <x:c r="S177" s="137" t="str"/>
      <x:c r="T177" s="137" t="str"/>
      <x:c r="U177" s="137" t="str"/>
      <x:c r="V177" s="137" t="str"/>
      <x:c r="W177" s="137" t="str"/>
      <x:c r="X177" s="199" t="str"/>
    </x:row>
    <x:row r="178">
      <x:c r="A178" s="137" t="str"/>
      <x:c r="B178" s="138" t="str"/>
      <x:c r="C178" s="138" t="str"/>
      <x:c r="D178" s="137" t="str"/>
      <x:c r="E178" s="137" t="str"/>
      <x:c r="F178" s="137" t="str"/>
      <x:c r="G178" s="137" t="str"/>
      <x:c r="H178" s="137" t="str"/>
      <x:c r="I178" s="137" t="str"/>
      <x:c r="J178" s="151" t="str"/>
      <x:c r="K178" s="151" t="str"/>
      <x:c r="L178" s="152" t="str">
        <x:f>IF(OR(J178="",K178=""),"",ROUNDUP(J178/K178,0))</x:f>
      </x:c>
      <x:c r="M178" s="151" t="str"/>
      <x:c r="N178" s="137" t="str"/>
      <x:c r="O178" s="137" t="str"/>
      <x:c r="P178" s="137" t="str"/>
      <x:c r="Q178" s="137" t="str"/>
      <x:c r="R178" s="137" t="str"/>
      <x:c r="S178" s="137" t="str"/>
      <x:c r="T178" s="137" t="str"/>
      <x:c r="U178" s="137" t="str"/>
      <x:c r="V178" s="137" t="str"/>
      <x:c r="W178" s="137" t="str"/>
      <x:c r="X178" s="199" t="str"/>
    </x:row>
    <x:row r="179">
      <x:c r="A179" s="137" t="str"/>
      <x:c r="B179" s="138" t="str"/>
      <x:c r="C179" s="138" t="str"/>
      <x:c r="D179" s="137" t="str"/>
      <x:c r="E179" s="137" t="str"/>
      <x:c r="F179" s="137" t="str"/>
      <x:c r="G179" s="137" t="str"/>
      <x:c r="H179" s="137" t="str"/>
      <x:c r="I179" s="137" t="str"/>
      <x:c r="J179" s="151" t="str"/>
      <x:c r="K179" s="151" t="str"/>
      <x:c r="L179" s="152" t="str">
        <x:f>IF(OR(J179="",K179=""),"",ROUNDUP(J179/K179,0))</x:f>
      </x:c>
      <x:c r="M179" s="151" t="str"/>
      <x:c r="N179" s="137" t="str"/>
      <x:c r="O179" s="137" t="str"/>
      <x:c r="P179" s="137" t="str"/>
      <x:c r="Q179" s="137" t="str"/>
      <x:c r="R179" s="137" t="str"/>
      <x:c r="S179" s="137" t="str"/>
      <x:c r="T179" s="137" t="str"/>
      <x:c r="U179" s="137" t="str"/>
      <x:c r="V179" s="137" t="str"/>
      <x:c r="W179" s="137" t="str"/>
      <x:c r="X179" s="199" t="str"/>
    </x:row>
    <x:row r="180">
      <x:c r="A180" s="137" t="str"/>
      <x:c r="B180" s="138" t="str"/>
      <x:c r="C180" s="138" t="str"/>
      <x:c r="D180" s="137" t="str"/>
      <x:c r="E180" s="137" t="str"/>
      <x:c r="F180" s="137" t="str"/>
      <x:c r="G180" s="137" t="str"/>
      <x:c r="H180" s="137" t="str"/>
      <x:c r="I180" s="137" t="str"/>
      <x:c r="J180" s="151" t="str"/>
      <x:c r="K180" s="151" t="str"/>
      <x:c r="L180" s="152" t="str">
        <x:f>IF(OR(J180="",K180=""),"",ROUNDUP(J180/K180,0))</x:f>
      </x:c>
      <x:c r="M180" s="151" t="str"/>
      <x:c r="N180" s="137" t="str"/>
      <x:c r="O180" s="137" t="str"/>
      <x:c r="P180" s="137" t="str"/>
      <x:c r="Q180" s="137" t="str"/>
      <x:c r="R180" s="137" t="str"/>
      <x:c r="S180" s="137" t="str"/>
      <x:c r="T180" s="137" t="str"/>
      <x:c r="U180" s="137" t="str"/>
      <x:c r="V180" s="137" t="str"/>
      <x:c r="W180" s="137" t="str"/>
      <x:c r="X180" s="199" t="str"/>
    </x:row>
    <x:row r="181">
      <x:c r="A181" s="137" t="str"/>
      <x:c r="B181" s="138" t="str"/>
      <x:c r="C181" s="138" t="str"/>
      <x:c r="D181" s="137" t="str"/>
      <x:c r="E181" s="137" t="str"/>
      <x:c r="F181" s="137" t="str"/>
      <x:c r="G181" s="137" t="str"/>
      <x:c r="H181" s="137" t="str"/>
      <x:c r="I181" s="137" t="str"/>
      <x:c r="J181" s="151" t="str"/>
      <x:c r="K181" s="151" t="str"/>
      <x:c r="L181" s="152" t="str">
        <x:f>IF(OR(J181="",K181=""),"",ROUNDUP(J181/K181,0))</x:f>
      </x:c>
      <x:c r="M181" s="151" t="str"/>
      <x:c r="N181" s="137" t="str"/>
      <x:c r="O181" s="137" t="str"/>
      <x:c r="P181" s="137" t="str"/>
      <x:c r="Q181" s="137" t="str"/>
      <x:c r="R181" s="137" t="str"/>
      <x:c r="S181" s="137" t="str"/>
      <x:c r="T181" s="137" t="str"/>
      <x:c r="U181" s="137" t="str"/>
      <x:c r="V181" s="137" t="str"/>
      <x:c r="W181" s="137" t="str"/>
      <x:c r="X181" s="199" t="str"/>
    </x:row>
    <x:row r="182">
      <x:c r="A182" s="137" t="str"/>
      <x:c r="B182" s="138" t="str"/>
      <x:c r="C182" s="138" t="str"/>
      <x:c r="D182" s="137" t="str"/>
      <x:c r="E182" s="137" t="str"/>
      <x:c r="F182" s="137" t="str"/>
      <x:c r="G182" s="137" t="str"/>
      <x:c r="H182" s="137" t="str"/>
      <x:c r="I182" s="137" t="str"/>
      <x:c r="J182" s="151" t="str"/>
      <x:c r="K182" s="151" t="str"/>
      <x:c r="L182" s="152" t="str">
        <x:f>IF(OR(J182="",K182=""),"",ROUNDUP(J182/K182,0))</x:f>
      </x:c>
      <x:c r="M182" s="151" t="str"/>
      <x:c r="N182" s="137" t="str"/>
      <x:c r="O182" s="137" t="str"/>
      <x:c r="P182" s="137" t="str"/>
      <x:c r="Q182" s="137" t="str"/>
      <x:c r="R182" s="137" t="str"/>
      <x:c r="S182" s="137" t="str"/>
      <x:c r="T182" s="137" t="str"/>
      <x:c r="U182" s="137" t="str"/>
      <x:c r="V182" s="137" t="str"/>
      <x:c r="W182" s="137" t="str"/>
      <x:c r="X182" s="199" t="str"/>
    </x:row>
    <x:row r="183">
      <x:c r="A183" s="137" t="str"/>
      <x:c r="B183" s="138" t="str"/>
      <x:c r="C183" s="138" t="str"/>
      <x:c r="D183" s="137" t="str"/>
      <x:c r="E183" s="137" t="str"/>
      <x:c r="F183" s="137" t="str"/>
      <x:c r="G183" s="137" t="str"/>
      <x:c r="H183" s="137" t="str"/>
      <x:c r="I183" s="137" t="str"/>
      <x:c r="J183" s="151" t="str"/>
      <x:c r="K183" s="151" t="str"/>
      <x:c r="L183" s="152" t="str">
        <x:f>IF(OR(J183="",K183=""),"",ROUNDUP(J183/K183,0))</x:f>
      </x:c>
      <x:c r="M183" s="151" t="str"/>
      <x:c r="N183" s="137" t="str"/>
      <x:c r="O183" s="137" t="str"/>
      <x:c r="P183" s="137" t="str"/>
      <x:c r="Q183" s="137" t="str"/>
      <x:c r="R183" s="137" t="str"/>
      <x:c r="S183" s="137" t="str"/>
      <x:c r="T183" s="137" t="str"/>
      <x:c r="U183" s="137" t="str"/>
      <x:c r="V183" s="137" t="str"/>
      <x:c r="W183" s="137" t="str"/>
      <x:c r="X183" s="199" t="str"/>
    </x:row>
    <x:row r="184">
      <x:c r="A184" s="137" t="str"/>
      <x:c r="B184" s="138" t="str"/>
      <x:c r="C184" s="138" t="str"/>
      <x:c r="D184" s="137" t="str"/>
      <x:c r="E184" s="137" t="str"/>
      <x:c r="F184" s="137" t="str"/>
      <x:c r="G184" s="137" t="str"/>
      <x:c r="H184" s="137" t="str"/>
      <x:c r="I184" s="137" t="str"/>
      <x:c r="J184" s="151" t="str"/>
      <x:c r="K184" s="151" t="str"/>
      <x:c r="L184" s="152" t="str">
        <x:f>IF(OR(J184="",K184=""),"",ROUNDUP(J184/K184,0))</x:f>
      </x:c>
      <x:c r="M184" s="151" t="str"/>
      <x:c r="N184" s="137" t="str"/>
      <x:c r="O184" s="137" t="str"/>
      <x:c r="P184" s="137" t="str"/>
      <x:c r="Q184" s="137" t="str"/>
      <x:c r="R184" s="137" t="str"/>
      <x:c r="S184" s="137" t="str"/>
      <x:c r="T184" s="137" t="str"/>
      <x:c r="U184" s="137" t="str"/>
      <x:c r="V184" s="137" t="str"/>
      <x:c r="W184" s="137" t="str"/>
      <x:c r="X184" s="199" t="str"/>
    </x:row>
    <x:row r="185">
      <x:c r="A185" s="137" t="str"/>
      <x:c r="B185" s="138" t="str"/>
      <x:c r="C185" s="138" t="str"/>
      <x:c r="D185" s="137" t="str"/>
      <x:c r="E185" s="137" t="str"/>
      <x:c r="F185" s="137" t="str"/>
      <x:c r="G185" s="137" t="str"/>
      <x:c r="H185" s="137" t="str"/>
      <x:c r="I185" s="137" t="str"/>
      <x:c r="J185" s="151" t="str"/>
      <x:c r="K185" s="151" t="str"/>
      <x:c r="L185" s="152" t="str">
        <x:f>IF(OR(J185="",K185=""),"",ROUNDUP(J185/K185,0))</x:f>
      </x:c>
      <x:c r="M185" s="151" t="str"/>
      <x:c r="N185" s="137" t="str"/>
      <x:c r="O185" s="137" t="str"/>
      <x:c r="P185" s="137" t="str"/>
      <x:c r="Q185" s="137" t="str"/>
      <x:c r="R185" s="137" t="str"/>
      <x:c r="S185" s="137" t="str"/>
      <x:c r="T185" s="137" t="str"/>
      <x:c r="U185" s="137" t="str"/>
      <x:c r="V185" s="137" t="str"/>
      <x:c r="W185" s="137" t="str"/>
      <x:c r="X185" s="199" t="str"/>
    </x:row>
    <x:row r="186">
      <x:c r="A186" s="137" t="str"/>
      <x:c r="B186" s="138" t="str"/>
      <x:c r="C186" s="138" t="str"/>
      <x:c r="D186" s="137" t="str"/>
      <x:c r="E186" s="137" t="str"/>
      <x:c r="F186" s="137" t="str"/>
      <x:c r="G186" s="137" t="str"/>
      <x:c r="H186" s="137" t="str"/>
      <x:c r="I186" s="137" t="str"/>
      <x:c r="J186" s="151" t="str"/>
      <x:c r="K186" s="151" t="str"/>
      <x:c r="L186" s="152" t="str">
        <x:f>IF(OR(J186="",K186=""),"",ROUNDUP(J186/K186,0))</x:f>
      </x:c>
      <x:c r="M186" s="151" t="str"/>
      <x:c r="N186" s="137" t="str"/>
      <x:c r="O186" s="137" t="str"/>
      <x:c r="P186" s="137" t="str"/>
      <x:c r="Q186" s="137" t="str"/>
      <x:c r="R186" s="137" t="str"/>
      <x:c r="S186" s="137" t="str"/>
      <x:c r="T186" s="137" t="str"/>
      <x:c r="U186" s="137" t="str"/>
      <x:c r="V186" s="137" t="str"/>
      <x:c r="W186" s="137" t="str"/>
      <x:c r="X186" s="199" t="str"/>
    </x:row>
    <x:row r="187">
      <x:c r="A187" s="137" t="str"/>
      <x:c r="B187" s="138" t="str"/>
      <x:c r="C187" s="138" t="str"/>
      <x:c r="D187" s="137" t="str"/>
      <x:c r="E187" s="137" t="str"/>
      <x:c r="F187" s="137" t="str"/>
      <x:c r="G187" s="137" t="str"/>
      <x:c r="H187" s="137" t="str"/>
      <x:c r="I187" s="137" t="str"/>
      <x:c r="J187" s="151" t="str"/>
      <x:c r="K187" s="151" t="str"/>
      <x:c r="L187" s="152" t="str">
        <x:f>IF(OR(J187="",K187=""),"",ROUNDUP(J187/K187,0))</x:f>
      </x:c>
      <x:c r="M187" s="151" t="str"/>
      <x:c r="N187" s="137" t="str"/>
      <x:c r="O187" s="137" t="str"/>
      <x:c r="P187" s="137" t="str"/>
      <x:c r="Q187" s="137" t="str"/>
      <x:c r="R187" s="137" t="str"/>
      <x:c r="S187" s="137" t="str"/>
      <x:c r="T187" s="137" t="str"/>
      <x:c r="U187" s="137" t="str"/>
      <x:c r="V187" s="137" t="str"/>
      <x:c r="W187" s="137" t="str"/>
      <x:c r="X187" s="199" t="str"/>
    </x:row>
    <x:row r="188">
      <x:c r="A188" s="137" t="str"/>
      <x:c r="B188" s="138" t="str"/>
      <x:c r="C188" s="138" t="str"/>
      <x:c r="D188" s="137" t="str"/>
      <x:c r="E188" s="137" t="str"/>
      <x:c r="F188" s="137" t="str"/>
      <x:c r="G188" s="137" t="str"/>
      <x:c r="H188" s="137" t="str"/>
      <x:c r="I188" s="137" t="str"/>
      <x:c r="J188" s="151" t="str"/>
      <x:c r="K188" s="151" t="str"/>
      <x:c r="L188" s="152" t="str">
        <x:f>IF(OR(J188="",K188=""),"",ROUNDUP(J188/K188,0))</x:f>
      </x:c>
      <x:c r="M188" s="151" t="str"/>
      <x:c r="N188" s="137" t="str"/>
      <x:c r="O188" s="137" t="str"/>
      <x:c r="P188" s="137" t="str"/>
      <x:c r="Q188" s="137" t="str"/>
      <x:c r="R188" s="137" t="str"/>
      <x:c r="S188" s="137" t="str"/>
      <x:c r="T188" s="137" t="str"/>
      <x:c r="U188" s="137" t="str"/>
      <x:c r="V188" s="137" t="str"/>
      <x:c r="W188" s="137" t="str"/>
      <x:c r="X188" s="199" t="str"/>
    </x:row>
    <x:row r="189">
      <x:c r="A189" s="137" t="str"/>
      <x:c r="B189" s="138" t="str"/>
      <x:c r="C189" s="138" t="str"/>
      <x:c r="D189" s="137" t="str"/>
      <x:c r="E189" s="137" t="str"/>
      <x:c r="F189" s="137" t="str"/>
      <x:c r="G189" s="137" t="str"/>
      <x:c r="H189" s="137" t="str"/>
      <x:c r="I189" s="137" t="str"/>
      <x:c r="J189" s="151" t="str"/>
      <x:c r="K189" s="151" t="str"/>
      <x:c r="L189" s="152" t="str">
        <x:f>IF(OR(J189="",K189=""),"",ROUNDUP(J189/K189,0))</x:f>
      </x:c>
      <x:c r="M189" s="151" t="str"/>
      <x:c r="N189" s="137" t="str"/>
      <x:c r="O189" s="137" t="str"/>
      <x:c r="P189" s="137" t="str"/>
      <x:c r="Q189" s="137" t="str"/>
      <x:c r="R189" s="137" t="str"/>
      <x:c r="S189" s="137" t="str"/>
      <x:c r="T189" s="137" t="str"/>
      <x:c r="U189" s="137" t="str"/>
      <x:c r="V189" s="137" t="str"/>
      <x:c r="W189" s="137" t="str"/>
      <x:c r="X189" s="199" t="str"/>
    </x:row>
    <x:row r="190">
      <x:c r="A190" s="137" t="str"/>
      <x:c r="B190" s="138" t="str"/>
      <x:c r="C190" s="138" t="str"/>
      <x:c r="D190" s="137" t="str"/>
      <x:c r="E190" s="137" t="str"/>
      <x:c r="F190" s="137" t="str"/>
      <x:c r="G190" s="137" t="str"/>
      <x:c r="H190" s="137" t="str"/>
      <x:c r="I190" s="137" t="str"/>
      <x:c r="J190" s="151" t="str"/>
      <x:c r="K190" s="151" t="str"/>
      <x:c r="L190" s="152" t="str">
        <x:f>IF(OR(J190="",K190=""),"",ROUNDUP(J190/K190,0))</x:f>
      </x:c>
      <x:c r="M190" s="151" t="str"/>
      <x:c r="N190" s="137" t="str"/>
      <x:c r="O190" s="137" t="str"/>
      <x:c r="P190" s="137" t="str"/>
      <x:c r="Q190" s="137" t="str"/>
      <x:c r="R190" s="137" t="str"/>
      <x:c r="S190" s="137" t="str"/>
      <x:c r="T190" s="137" t="str"/>
      <x:c r="U190" s="137" t="str"/>
      <x:c r="V190" s="137" t="str"/>
      <x:c r="W190" s="137" t="str"/>
      <x:c r="X190" s="199" t="str"/>
    </x:row>
    <x:row r="191">
      <x:c r="A191" s="137" t="str"/>
      <x:c r="B191" s="138" t="str"/>
      <x:c r="C191" s="138" t="str"/>
      <x:c r="D191" s="137" t="str"/>
      <x:c r="E191" s="137" t="str"/>
      <x:c r="F191" s="137" t="str"/>
      <x:c r="G191" s="137" t="str"/>
      <x:c r="H191" s="137" t="str"/>
      <x:c r="I191" s="137" t="str"/>
      <x:c r="J191" s="151" t="str"/>
      <x:c r="K191" s="151" t="str"/>
      <x:c r="L191" s="152" t="str">
        <x:f>IF(OR(J191="",K191=""),"",ROUNDUP(J191/K191,0))</x:f>
      </x:c>
      <x:c r="M191" s="151" t="str"/>
      <x:c r="N191" s="137" t="str"/>
      <x:c r="O191" s="137" t="str"/>
      <x:c r="P191" s="137" t="str"/>
      <x:c r="Q191" s="137" t="str"/>
      <x:c r="R191" s="137" t="str"/>
      <x:c r="S191" s="137" t="str"/>
      <x:c r="T191" s="137" t="str"/>
      <x:c r="U191" s="137" t="str"/>
      <x:c r="V191" s="137" t="str"/>
      <x:c r="W191" s="137" t="str"/>
      <x:c r="X191" s="199" t="str"/>
    </x:row>
    <x:row r="192">
      <x:c r="A192" s="137" t="str"/>
      <x:c r="B192" s="138" t="str"/>
      <x:c r="C192" s="138" t="str"/>
      <x:c r="D192" s="137" t="str"/>
      <x:c r="E192" s="137" t="str"/>
      <x:c r="F192" s="137" t="str"/>
      <x:c r="G192" s="137" t="str"/>
      <x:c r="H192" s="137" t="str"/>
      <x:c r="I192" s="137" t="str"/>
      <x:c r="J192" s="151" t="str"/>
      <x:c r="K192" s="151" t="str"/>
      <x:c r="L192" s="152" t="str">
        <x:f>IF(OR(J192="",K192=""),"",ROUNDUP(J192/K192,0))</x:f>
      </x:c>
      <x:c r="M192" s="151" t="str"/>
      <x:c r="N192" s="137" t="str"/>
      <x:c r="O192" s="137" t="str"/>
      <x:c r="P192" s="137" t="str"/>
      <x:c r="Q192" s="137" t="str"/>
      <x:c r="R192" s="137" t="str"/>
      <x:c r="S192" s="137" t="str"/>
      <x:c r="T192" s="137" t="str"/>
      <x:c r="U192" s="137" t="str"/>
      <x:c r="V192" s="137" t="str"/>
      <x:c r="W192" s="137" t="str"/>
      <x:c r="X192" s="199" t="str"/>
    </x:row>
    <x:row r="193">
      <x:c r="A193" s="137" t="str"/>
      <x:c r="B193" s="138" t="str"/>
      <x:c r="C193" s="138" t="str"/>
      <x:c r="D193" s="137" t="str"/>
      <x:c r="E193" s="137" t="str"/>
      <x:c r="F193" s="137" t="str"/>
      <x:c r="G193" s="137" t="str"/>
      <x:c r="H193" s="137" t="str"/>
      <x:c r="I193" s="137" t="str"/>
      <x:c r="J193" s="151" t="str"/>
      <x:c r="K193" s="151" t="str"/>
      <x:c r="L193" s="152" t="str">
        <x:f>IF(OR(J193="",K193=""),"",ROUNDUP(J193/K193,0))</x:f>
      </x:c>
      <x:c r="M193" s="151" t="str"/>
      <x:c r="N193" s="137" t="str"/>
      <x:c r="O193" s="137" t="str"/>
      <x:c r="P193" s="137" t="str"/>
      <x:c r="Q193" s="137" t="str"/>
      <x:c r="R193" s="137" t="str"/>
      <x:c r="S193" s="137" t="str"/>
      <x:c r="T193" s="137" t="str"/>
      <x:c r="U193" s="137" t="str"/>
      <x:c r="V193" s="137" t="str"/>
      <x:c r="W193" s="137" t="str"/>
      <x:c r="X193" s="199" t="str"/>
    </x:row>
    <x:row r="194">
      <x:c r="A194" s="137" t="str"/>
      <x:c r="B194" s="138" t="str"/>
      <x:c r="C194" s="138" t="str"/>
      <x:c r="D194" s="137" t="str"/>
      <x:c r="E194" s="137" t="str"/>
      <x:c r="F194" s="137" t="str"/>
      <x:c r="G194" s="137" t="str"/>
      <x:c r="H194" s="137" t="str"/>
      <x:c r="I194" s="137" t="str"/>
      <x:c r="J194" s="151" t="str"/>
      <x:c r="K194" s="151" t="str"/>
      <x:c r="L194" s="152" t="str">
        <x:f>IF(OR(J194="",K194=""),"",ROUNDUP(J194/K194,0))</x:f>
      </x:c>
      <x:c r="M194" s="151" t="str"/>
      <x:c r="N194" s="137" t="str"/>
      <x:c r="O194" s="137" t="str"/>
      <x:c r="P194" s="137" t="str"/>
      <x:c r="Q194" s="137" t="str"/>
      <x:c r="R194" s="137" t="str"/>
      <x:c r="S194" s="137" t="str"/>
      <x:c r="T194" s="137" t="str"/>
      <x:c r="U194" s="137" t="str"/>
      <x:c r="V194" s="137" t="str"/>
      <x:c r="W194" s="137" t="str"/>
      <x:c r="X194" s="199" t="str"/>
    </x:row>
    <x:row r="195">
      <x:c r="A195" s="137" t="str"/>
      <x:c r="B195" s="138" t="str"/>
      <x:c r="C195" s="138" t="str"/>
      <x:c r="D195" s="137" t="str"/>
      <x:c r="E195" s="137" t="str"/>
      <x:c r="F195" s="137" t="str"/>
      <x:c r="G195" s="137" t="str"/>
      <x:c r="H195" s="137" t="str"/>
      <x:c r="I195" s="137" t="str"/>
      <x:c r="J195" s="151" t="str"/>
      <x:c r="K195" s="151" t="str"/>
      <x:c r="L195" s="152" t="str">
        <x:f>IF(OR(J195="",K195=""),"",ROUNDUP(J195/K195,0))</x:f>
      </x:c>
      <x:c r="M195" s="151" t="str"/>
      <x:c r="N195" s="137" t="str"/>
      <x:c r="O195" s="137" t="str"/>
      <x:c r="P195" s="137" t="str"/>
      <x:c r="Q195" s="137" t="str"/>
      <x:c r="R195" s="137" t="str"/>
      <x:c r="S195" s="137" t="str"/>
      <x:c r="T195" s="137" t="str"/>
      <x:c r="U195" s="137" t="str"/>
      <x:c r="V195" s="137" t="str"/>
      <x:c r="W195" s="137" t="str"/>
      <x:c r="X195" s="199" t="str"/>
    </x:row>
    <x:row r="196">
      <x:c r="A196" s="137" t="str"/>
      <x:c r="B196" s="138" t="str"/>
      <x:c r="C196" s="138" t="str"/>
      <x:c r="D196" s="137" t="str"/>
      <x:c r="E196" s="137" t="str"/>
      <x:c r="F196" s="137" t="str"/>
      <x:c r="G196" s="137" t="str"/>
      <x:c r="H196" s="137" t="str"/>
      <x:c r="I196" s="137" t="str"/>
      <x:c r="J196" s="151" t="str"/>
      <x:c r="K196" s="151" t="str"/>
      <x:c r="L196" s="152" t="str">
        <x:f>IF(OR(J196="",K196=""),"",ROUNDUP(J196/K196,0))</x:f>
      </x:c>
      <x:c r="M196" s="151" t="str"/>
      <x:c r="N196" s="137" t="str"/>
      <x:c r="O196" s="137" t="str"/>
      <x:c r="P196" s="137" t="str"/>
      <x:c r="Q196" s="137" t="str"/>
      <x:c r="R196" s="137" t="str"/>
      <x:c r="S196" s="137" t="str"/>
      <x:c r="T196" s="137" t="str"/>
      <x:c r="U196" s="137" t="str"/>
      <x:c r="V196" s="137" t="str"/>
      <x:c r="W196" s="137" t="str"/>
      <x:c r="X196" s="199" t="str"/>
    </x:row>
    <x:row r="197">
      <x:c r="A197" s="137" t="str"/>
      <x:c r="B197" s="138" t="str"/>
      <x:c r="C197" s="138" t="str"/>
      <x:c r="D197" s="137" t="str"/>
      <x:c r="E197" s="137" t="str"/>
      <x:c r="F197" s="137" t="str"/>
      <x:c r="G197" s="137" t="str"/>
      <x:c r="H197" s="137" t="str"/>
      <x:c r="I197" s="137" t="str"/>
      <x:c r="J197" s="151" t="str"/>
      <x:c r="K197" s="151" t="str"/>
      <x:c r="L197" s="152" t="str">
        <x:f>IF(OR(J197="",K197=""),"",ROUNDUP(J197/K197,0))</x:f>
      </x:c>
      <x:c r="M197" s="151" t="str"/>
      <x:c r="N197" s="137" t="str"/>
      <x:c r="O197" s="137" t="str"/>
      <x:c r="P197" s="137" t="str"/>
      <x:c r="Q197" s="137" t="str"/>
      <x:c r="R197" s="137" t="str"/>
      <x:c r="S197" s="137" t="str"/>
      <x:c r="T197" s="137" t="str"/>
      <x:c r="U197" s="137" t="str"/>
      <x:c r="V197" s="137" t="str"/>
      <x:c r="W197" s="137" t="str"/>
      <x:c r="X197" s="199" t="str"/>
    </x:row>
    <x:row r="198">
      <x:c r="A198" s="137" t="str"/>
      <x:c r="B198" s="138" t="str"/>
      <x:c r="C198" s="138" t="str"/>
      <x:c r="D198" s="137" t="str"/>
      <x:c r="E198" s="137" t="str"/>
      <x:c r="F198" s="137" t="str"/>
      <x:c r="G198" s="137" t="str"/>
      <x:c r="H198" s="137" t="str"/>
      <x:c r="I198" s="137" t="str"/>
      <x:c r="J198" s="151" t="str"/>
      <x:c r="K198" s="151" t="str"/>
      <x:c r="L198" s="152" t="str">
        <x:f>IF(OR(J198="",K198=""),"",ROUNDUP(J198/K198,0))</x:f>
      </x:c>
      <x:c r="M198" s="151" t="str"/>
      <x:c r="N198" s="137" t="str"/>
      <x:c r="O198" s="137" t="str"/>
      <x:c r="P198" s="137" t="str"/>
      <x:c r="Q198" s="137" t="str"/>
      <x:c r="R198" s="137" t="str"/>
      <x:c r="S198" s="137" t="str"/>
      <x:c r="T198" s="137" t="str"/>
      <x:c r="U198" s="137" t="str"/>
      <x:c r="V198" s="137" t="str"/>
      <x:c r="W198" s="137" t="str"/>
      <x:c r="X198" s="199" t="str"/>
    </x:row>
    <x:row r="199">
      <x:c r="A199" s="137" t="str"/>
      <x:c r="B199" s="138" t="str"/>
      <x:c r="C199" s="138" t="str"/>
      <x:c r="D199" s="137" t="str"/>
      <x:c r="E199" s="137" t="str"/>
      <x:c r="F199" s="137" t="str"/>
      <x:c r="G199" s="137" t="str"/>
      <x:c r="H199" s="137" t="str"/>
      <x:c r="I199" s="137" t="str"/>
      <x:c r="J199" s="151" t="str"/>
      <x:c r="K199" s="151" t="str"/>
      <x:c r="L199" s="152" t="str">
        <x:f>IF(OR(J199="",K199=""),"",ROUNDUP(J199/K199,0))</x:f>
      </x:c>
      <x:c r="M199" s="151" t="str"/>
      <x:c r="N199" s="137" t="str"/>
      <x:c r="O199" s="137" t="str"/>
      <x:c r="P199" s="137" t="str"/>
      <x:c r="Q199" s="137" t="str"/>
      <x:c r="R199" s="137" t="str"/>
      <x:c r="S199" s="137" t="str"/>
      <x:c r="T199" s="137" t="str"/>
      <x:c r="U199" s="137" t="str"/>
      <x:c r="V199" s="137" t="str"/>
      <x:c r="W199" s="137" t="str"/>
      <x:c r="X199" s="199" t="str"/>
    </x:row>
    <x:row r="200">
      <x:c r="A200" s="137" t="str"/>
      <x:c r="B200" s="138" t="str"/>
      <x:c r="C200" s="138" t="str"/>
      <x:c r="D200" s="137" t="str"/>
      <x:c r="E200" s="137" t="str"/>
      <x:c r="F200" s="137" t="str"/>
      <x:c r="G200" s="137" t="str"/>
      <x:c r="H200" s="137" t="str"/>
      <x:c r="I200" s="137" t="str"/>
      <x:c r="J200" s="151" t="str"/>
      <x:c r="K200" s="151" t="str"/>
      <x:c r="L200" s="152" t="str">
        <x:f>IF(OR(J200="",K200=""),"",ROUNDUP(J200/K200,0))</x:f>
      </x:c>
      <x:c r="M200" s="151" t="str"/>
      <x:c r="N200" s="137" t="str"/>
      <x:c r="O200" s="137" t="str"/>
      <x:c r="P200" s="137" t="str"/>
      <x:c r="Q200" s="137" t="str"/>
      <x:c r="R200" s="137" t="str"/>
      <x:c r="S200" s="137" t="str"/>
      <x:c r="T200" s="137" t="str"/>
      <x:c r="U200" s="137" t="str"/>
      <x:c r="V200" s="137" t="str"/>
      <x:c r="W200" s="137" t="str"/>
      <x:c r="X200" s="199" t="str"/>
    </x:row>
    <x:row r="201">
      <x:c r="A201" s="137" t="str"/>
      <x:c r="B201" s="138" t="str"/>
      <x:c r="C201" s="138" t="str"/>
      <x:c r="D201" s="137" t="str"/>
      <x:c r="E201" s="137" t="str"/>
      <x:c r="F201" s="137" t="str"/>
      <x:c r="G201" s="137" t="str"/>
      <x:c r="H201" s="137" t="str"/>
      <x:c r="I201" s="137" t="str"/>
      <x:c r="J201" s="151" t="str"/>
      <x:c r="K201" s="151" t="str"/>
      <x:c r="L201" s="152" t="str">
        <x:f>IF(OR(J201="",K201=""),"",ROUNDUP(J201/K201,0))</x:f>
      </x:c>
      <x:c r="M201" s="151" t="str"/>
      <x:c r="N201" s="137" t="str"/>
      <x:c r="O201" s="137" t="str"/>
      <x:c r="P201" s="137" t="str"/>
      <x:c r="Q201" s="137" t="str"/>
      <x:c r="R201" s="137" t="str"/>
      <x:c r="S201" s="137" t="str"/>
      <x:c r="T201" s="137" t="str"/>
      <x:c r="U201" s="137" t="str"/>
      <x:c r="V201" s="137" t="str"/>
      <x:c r="W201" s="137" t="str"/>
      <x:c r="X201" s="199" t="str"/>
    </x:row>
    <x:row r="202">
      <x:c r="A202" s="137" t="str"/>
      <x:c r="B202" s="138" t="str"/>
      <x:c r="C202" s="138" t="str"/>
      <x:c r="D202" s="137" t="str"/>
      <x:c r="E202" s="137" t="str"/>
      <x:c r="F202" s="137" t="str"/>
      <x:c r="G202" s="137" t="str"/>
      <x:c r="H202" s="137" t="str"/>
      <x:c r="I202" s="137" t="str"/>
      <x:c r="J202" s="151" t="str"/>
      <x:c r="K202" s="151" t="str"/>
      <x:c r="L202" s="152" t="str">
        <x:f>IF(OR(J202="",K202=""),"",ROUNDUP(J202/K202,0))</x:f>
      </x:c>
      <x:c r="M202" s="151" t="str"/>
      <x:c r="N202" s="137" t="str"/>
      <x:c r="O202" s="137" t="str"/>
      <x:c r="P202" s="137" t="str"/>
      <x:c r="Q202" s="137" t="str"/>
      <x:c r="R202" s="137" t="str"/>
      <x:c r="S202" s="137" t="str"/>
      <x:c r="T202" s="137" t="str"/>
      <x:c r="U202" s="137" t="str"/>
      <x:c r="V202" s="137" t="str"/>
      <x:c r="W202" s="137" t="str"/>
      <x:c r="X202" s="199" t="str"/>
    </x:row>
    <x:row r="203">
      <x:c r="A203" s="137" t="str"/>
      <x:c r="B203" s="138" t="str"/>
      <x:c r="C203" s="138" t="str"/>
      <x:c r="D203" s="137" t="str"/>
      <x:c r="E203" s="137" t="str"/>
      <x:c r="F203" s="137" t="str"/>
      <x:c r="G203" s="137" t="str"/>
      <x:c r="H203" s="137" t="str"/>
      <x:c r="I203" s="137" t="str"/>
      <x:c r="J203" s="151" t="str"/>
      <x:c r="K203" s="151" t="str"/>
      <x:c r="L203" s="152" t="str">
        <x:f>IF(OR(J203="",K203=""),"",ROUNDUP(J203/K203,0))</x:f>
      </x:c>
      <x:c r="M203" s="151" t="str"/>
      <x:c r="N203" s="137" t="str"/>
      <x:c r="O203" s="137" t="str"/>
      <x:c r="P203" s="137" t="str"/>
      <x:c r="Q203" s="137" t="str"/>
      <x:c r="R203" s="137" t="str"/>
      <x:c r="S203" s="137" t="str"/>
      <x:c r="T203" s="137" t="str"/>
      <x:c r="U203" s="137" t="str"/>
      <x:c r="V203" s="137" t="str"/>
      <x:c r="W203" s="137" t="str"/>
      <x:c r="X203" s="199" t="str"/>
    </x:row>
    <x:row r="204">
      <x:c r="A204" s="137" t="str"/>
      <x:c r="B204" s="138" t="str"/>
      <x:c r="C204" s="138" t="str"/>
      <x:c r="D204" s="137" t="str"/>
      <x:c r="E204" s="137" t="str"/>
      <x:c r="F204" s="137" t="str"/>
      <x:c r="G204" s="137" t="str"/>
      <x:c r="H204" s="137" t="str"/>
      <x:c r="I204" s="137" t="str"/>
      <x:c r="J204" s="151" t="str"/>
      <x:c r="K204" s="151" t="str"/>
      <x:c r="L204" s="152" t="str">
        <x:f>IF(OR(J204="",K204=""),"",ROUNDUP(J204/K204,0))</x:f>
      </x:c>
      <x:c r="M204" s="151" t="str"/>
      <x:c r="N204" s="137" t="str"/>
      <x:c r="O204" s="137" t="str"/>
      <x:c r="P204" s="137" t="str"/>
      <x:c r="Q204" s="137" t="str"/>
      <x:c r="R204" s="137" t="str"/>
      <x:c r="S204" s="137" t="str"/>
      <x:c r="T204" s="137" t="str"/>
      <x:c r="U204" s="137" t="str"/>
      <x:c r="V204" s="137" t="str"/>
      <x:c r="W204" s="137" t="str"/>
      <x:c r="X204" s="199" t="str"/>
    </x:row>
    <x:row r="205">
      <x:c r="A205" s="137" t="str"/>
      <x:c r="B205" s="138" t="str"/>
      <x:c r="C205" s="138" t="str"/>
      <x:c r="D205" s="137" t="str"/>
      <x:c r="E205" s="137" t="str"/>
      <x:c r="F205" s="137" t="str"/>
      <x:c r="G205" s="137" t="str"/>
      <x:c r="H205" s="137" t="str"/>
      <x:c r="I205" s="137" t="str"/>
      <x:c r="J205" s="151" t="str"/>
      <x:c r="K205" s="151" t="str"/>
      <x:c r="L205" s="152" t="str">
        <x:f>IF(OR(J205="",K205=""),"",ROUNDUP(J205/K205,0))</x:f>
      </x:c>
      <x:c r="M205" s="151" t="str"/>
      <x:c r="N205" s="137" t="str"/>
      <x:c r="O205" s="137" t="str"/>
      <x:c r="P205" s="137" t="str"/>
      <x:c r="Q205" s="137" t="str"/>
      <x:c r="R205" s="137" t="str"/>
      <x:c r="S205" s="137" t="str"/>
      <x:c r="T205" s="137" t="str"/>
      <x:c r="U205" s="137" t="str"/>
      <x:c r="V205" s="137" t="str"/>
      <x:c r="W205" s="137" t="str"/>
      <x:c r="X205" s="199" t="str"/>
    </x:row>
    <x:row r="206">
      <x:c r="A206" s="137" t="str"/>
      <x:c r="B206" s="138" t="str"/>
      <x:c r="C206" s="138" t="str"/>
      <x:c r="D206" s="137" t="str"/>
      <x:c r="E206" s="137" t="str"/>
      <x:c r="F206" s="137" t="str"/>
      <x:c r="G206" s="137" t="str"/>
      <x:c r="H206" s="137" t="str"/>
      <x:c r="I206" s="137" t="str"/>
      <x:c r="J206" s="151" t="str"/>
      <x:c r="K206" s="151" t="str"/>
      <x:c r="L206" s="152" t="str">
        <x:f>IF(OR(J206="",K206=""),"",ROUNDUP(J206/K206,0))</x:f>
      </x:c>
      <x:c r="M206" s="151" t="str"/>
      <x:c r="N206" s="137" t="str"/>
      <x:c r="O206" s="137" t="str"/>
      <x:c r="P206" s="137" t="str"/>
      <x:c r="Q206" s="137" t="str"/>
      <x:c r="R206" s="137" t="str"/>
      <x:c r="S206" s="137" t="str"/>
      <x:c r="T206" s="137" t="str"/>
      <x:c r="U206" s="137" t="str"/>
      <x:c r="V206" s="137" t="str"/>
      <x:c r="W206" s="137" t="str"/>
      <x:c r="X206" s="199" t="str"/>
    </x:row>
    <x:row r="207">
      <x:c r="A207" s="137" t="str"/>
      <x:c r="B207" s="138" t="str"/>
      <x:c r="C207" s="138" t="str"/>
      <x:c r="D207" s="137" t="str"/>
      <x:c r="E207" s="137" t="str"/>
      <x:c r="F207" s="137" t="str"/>
      <x:c r="G207" s="137" t="str"/>
      <x:c r="H207" s="137" t="str"/>
      <x:c r="I207" s="137" t="str"/>
      <x:c r="J207" s="151" t="str"/>
      <x:c r="K207" s="151" t="str"/>
      <x:c r="L207" s="152" t="str">
        <x:f>IF(OR(J207="",K207=""),"",ROUNDUP(J207/K207,0))</x:f>
      </x:c>
      <x:c r="M207" s="151" t="str"/>
      <x:c r="N207" s="137" t="str"/>
      <x:c r="O207" s="137" t="str"/>
      <x:c r="P207" s="137" t="str"/>
      <x:c r="Q207" s="137" t="str"/>
      <x:c r="R207" s="137" t="str"/>
      <x:c r="S207" s="137" t="str"/>
      <x:c r="T207" s="137" t="str"/>
      <x:c r="U207" s="137" t="str"/>
      <x:c r="V207" s="137" t="str"/>
      <x:c r="W207" s="137" t="str"/>
      <x:c r="X207" s="199" t="str"/>
    </x:row>
    <x:row r="208">
      <x:c r="A208" s="137" t="str"/>
      <x:c r="B208" s="138" t="str"/>
      <x:c r="C208" s="138" t="str"/>
      <x:c r="D208" s="137" t="str"/>
      <x:c r="E208" s="137" t="str"/>
      <x:c r="F208" s="137" t="str"/>
      <x:c r="G208" s="137" t="str"/>
      <x:c r="H208" s="137" t="str"/>
      <x:c r="I208" s="137" t="str"/>
      <x:c r="J208" s="151" t="str"/>
      <x:c r="K208" s="151" t="str"/>
      <x:c r="L208" s="152" t="str">
        <x:f>IF(OR(J208="",K208=""),"",ROUNDUP(J208/K208,0))</x:f>
      </x:c>
      <x:c r="M208" s="151" t="str"/>
      <x:c r="N208" s="137" t="str"/>
      <x:c r="O208" s="137" t="str"/>
      <x:c r="P208" s="137" t="str"/>
      <x:c r="Q208" s="137" t="str"/>
      <x:c r="R208" s="137" t="str"/>
      <x:c r="S208" s="137" t="str"/>
      <x:c r="T208" s="137" t="str"/>
      <x:c r="U208" s="137" t="str"/>
      <x:c r="V208" s="137" t="str"/>
      <x:c r="W208" s="137" t="str"/>
      <x:c r="X208" s="199" t="str"/>
    </x:row>
    <x:row r="209">
      <x:c r="A209" s="137" t="str"/>
      <x:c r="B209" s="138" t="str"/>
      <x:c r="C209" s="138" t="str"/>
      <x:c r="D209" s="137" t="str"/>
      <x:c r="E209" s="137" t="str"/>
      <x:c r="F209" s="137" t="str"/>
      <x:c r="G209" s="137" t="str"/>
      <x:c r="H209" s="137" t="str"/>
      <x:c r="I209" s="137" t="str"/>
      <x:c r="J209" s="151" t="str"/>
      <x:c r="K209" s="151" t="str"/>
      <x:c r="L209" s="152" t="str">
        <x:f>IF(OR(J209="",K209=""),"",ROUNDUP(J209/K209,0))</x:f>
      </x:c>
      <x:c r="M209" s="151" t="str"/>
      <x:c r="N209" s="137" t="str"/>
      <x:c r="O209" s="137" t="str"/>
      <x:c r="P209" s="137" t="str"/>
      <x:c r="Q209" s="137" t="str"/>
      <x:c r="R209" s="137" t="str"/>
      <x:c r="S209" s="137" t="str"/>
      <x:c r="T209" s="137" t="str"/>
      <x:c r="U209" s="137" t="str"/>
      <x:c r="V209" s="137" t="str"/>
      <x:c r="W209" s="137" t="str"/>
      <x:c r="X209" s="199" t="str"/>
    </x:row>
    <x:row r="210">
      <x:c r="A210" s="137" t="str"/>
      <x:c r="B210" s="138" t="str"/>
      <x:c r="C210" s="138" t="str"/>
      <x:c r="D210" s="137" t="str"/>
      <x:c r="E210" s="137" t="str"/>
      <x:c r="F210" s="137" t="str"/>
      <x:c r="G210" s="137" t="str"/>
      <x:c r="H210" s="137" t="str"/>
      <x:c r="I210" s="137" t="str"/>
      <x:c r="J210" s="151" t="str"/>
      <x:c r="K210" s="151" t="str"/>
      <x:c r="L210" s="152" t="str">
        <x:f>IF(OR(J210="",K210=""),"",ROUNDUP(J210/K210,0))</x:f>
      </x:c>
      <x:c r="M210" s="151" t="str"/>
      <x:c r="N210" s="137" t="str"/>
      <x:c r="O210" s="137" t="str"/>
      <x:c r="P210" s="137" t="str"/>
      <x:c r="Q210" s="137" t="str"/>
      <x:c r="R210" s="137" t="str"/>
      <x:c r="S210" s="137" t="str"/>
      <x:c r="T210" s="137" t="str"/>
      <x:c r="U210" s="137" t="str"/>
      <x:c r="V210" s="137" t="str"/>
      <x:c r="W210" s="137" t="str"/>
      <x:c r="X210" s="199" t="str"/>
    </x:row>
    <x:row r="211">
      <x:c r="A211" s="137" t="str"/>
      <x:c r="B211" s="138" t="str"/>
      <x:c r="C211" s="138" t="str"/>
      <x:c r="D211" s="137" t="str"/>
      <x:c r="E211" s="137" t="str"/>
      <x:c r="F211" s="137" t="str"/>
      <x:c r="G211" s="137" t="str"/>
      <x:c r="H211" s="137" t="str"/>
      <x:c r="I211" s="137" t="str"/>
      <x:c r="J211" s="151" t="str"/>
      <x:c r="K211" s="151" t="str"/>
      <x:c r="L211" s="152" t="str">
        <x:f>IF(OR(J211="",K211=""),"",ROUNDUP(J211/K211,0))</x:f>
      </x:c>
      <x:c r="M211" s="151" t="str"/>
      <x:c r="N211" s="137" t="str"/>
      <x:c r="O211" s="137" t="str"/>
      <x:c r="P211" s="137" t="str"/>
      <x:c r="Q211" s="137" t="str"/>
      <x:c r="R211" s="137" t="str"/>
      <x:c r="S211" s="137" t="str"/>
      <x:c r="T211" s="137" t="str"/>
      <x:c r="U211" s="137" t="str"/>
      <x:c r="V211" s="137" t="str"/>
      <x:c r="W211" s="137" t="str"/>
      <x:c r="X211" s="199" t="str"/>
    </x:row>
    <x:row r="212">
      <x:c r="A212" s="137" t="str"/>
      <x:c r="B212" s="138" t="str"/>
      <x:c r="C212" s="138" t="str"/>
      <x:c r="D212" s="137" t="str"/>
      <x:c r="E212" s="137" t="str"/>
      <x:c r="F212" s="137" t="str"/>
      <x:c r="G212" s="137" t="str"/>
      <x:c r="H212" s="137" t="str"/>
      <x:c r="I212" s="137" t="str"/>
      <x:c r="J212" s="151" t="str"/>
      <x:c r="K212" s="151" t="str"/>
      <x:c r="L212" s="152" t="str">
        <x:f>IF(OR(J212="",K212=""),"",ROUNDUP(J212/K212,0))</x:f>
      </x:c>
      <x:c r="M212" s="151" t="str"/>
      <x:c r="N212" s="137" t="str"/>
      <x:c r="O212" s="137" t="str"/>
      <x:c r="P212" s="137" t="str"/>
      <x:c r="Q212" s="137" t="str"/>
      <x:c r="R212" s="137" t="str"/>
      <x:c r="S212" s="137" t="str"/>
      <x:c r="T212" s="137" t="str"/>
      <x:c r="U212" s="137" t="str"/>
      <x:c r="V212" s="137" t="str"/>
      <x:c r="W212" s="137" t="str"/>
      <x:c r="X212" s="199" t="str"/>
    </x:row>
    <x:row r="213">
      <x:c r="A213" s="137" t="str"/>
      <x:c r="B213" s="138" t="str"/>
      <x:c r="C213" s="138" t="str"/>
      <x:c r="D213" s="137" t="str"/>
      <x:c r="E213" s="137" t="str"/>
      <x:c r="F213" s="137" t="str"/>
      <x:c r="G213" s="137" t="str"/>
      <x:c r="H213" s="137" t="str"/>
      <x:c r="I213" s="137" t="str"/>
      <x:c r="J213" s="151" t="str"/>
      <x:c r="K213" s="151" t="str"/>
      <x:c r="L213" s="152" t="str">
        <x:f>IF(OR(J213="",K213=""),"",ROUNDUP(J213/K213,0))</x:f>
      </x:c>
      <x:c r="M213" s="151" t="str"/>
      <x:c r="N213" s="137" t="str"/>
      <x:c r="O213" s="137" t="str"/>
      <x:c r="P213" s="137" t="str"/>
      <x:c r="Q213" s="137" t="str"/>
      <x:c r="R213" s="137" t="str"/>
      <x:c r="S213" s="137" t="str"/>
      <x:c r="T213" s="137" t="str"/>
      <x:c r="U213" s="137" t="str"/>
      <x:c r="V213" s="137" t="str"/>
      <x:c r="W213" s="137" t="str"/>
      <x:c r="X213" s="199" t="str"/>
    </x:row>
    <x:row r="214">
      <x:c r="A214" s="137" t="str"/>
      <x:c r="B214" s="138" t="str"/>
      <x:c r="C214" s="138" t="str"/>
      <x:c r="D214" s="137" t="str"/>
      <x:c r="E214" s="137" t="str"/>
      <x:c r="F214" s="137" t="str"/>
      <x:c r="G214" s="137" t="str"/>
      <x:c r="H214" s="137" t="str"/>
      <x:c r="I214" s="137" t="str"/>
      <x:c r="J214" s="151" t="str"/>
      <x:c r="K214" s="151" t="str"/>
      <x:c r="L214" s="152" t="str">
        <x:f>IF(OR(J214="",K214=""),"",ROUNDUP(J214/K214,0))</x:f>
      </x:c>
      <x:c r="M214" s="151" t="str"/>
      <x:c r="N214" s="137" t="str"/>
      <x:c r="O214" s="137" t="str"/>
      <x:c r="P214" s="137" t="str"/>
      <x:c r="Q214" s="137" t="str"/>
      <x:c r="R214" s="137" t="str"/>
      <x:c r="S214" s="137" t="str"/>
      <x:c r="T214" s="137" t="str"/>
      <x:c r="U214" s="137" t="str"/>
      <x:c r="V214" s="137" t="str"/>
      <x:c r="W214" s="137" t="str"/>
      <x:c r="X214" s="199" t="str"/>
    </x:row>
    <x:row r="215">
      <x:c r="A215" s="137" t="str"/>
      <x:c r="B215" s="138" t="str"/>
      <x:c r="C215" s="138" t="str"/>
      <x:c r="D215" s="137" t="str"/>
      <x:c r="E215" s="137" t="str"/>
      <x:c r="F215" s="137" t="str"/>
      <x:c r="G215" s="137" t="str"/>
      <x:c r="H215" s="137" t="str"/>
      <x:c r="I215" s="137" t="str"/>
      <x:c r="J215" s="151" t="str"/>
      <x:c r="K215" s="151" t="str"/>
      <x:c r="L215" s="152" t="str">
        <x:f>IF(OR(J215="",K215=""),"",ROUNDUP(J215/K215,0))</x:f>
      </x:c>
      <x:c r="M215" s="151" t="str"/>
      <x:c r="N215" s="137" t="str"/>
      <x:c r="O215" s="137" t="str"/>
      <x:c r="P215" s="137" t="str"/>
      <x:c r="Q215" s="137" t="str"/>
      <x:c r="R215" s="137" t="str"/>
      <x:c r="S215" s="137" t="str"/>
      <x:c r="T215" s="137" t="str"/>
      <x:c r="U215" s="137" t="str"/>
      <x:c r="V215" s="137" t="str"/>
      <x:c r="W215" s="137" t="str"/>
      <x:c r="X215" s="199" t="str"/>
    </x:row>
    <x:row r="216">
      <x:c r="A216" s="137" t="str"/>
      <x:c r="B216" s="138" t="str"/>
      <x:c r="C216" s="138" t="str"/>
      <x:c r="D216" s="137" t="str"/>
      <x:c r="E216" s="137" t="str"/>
      <x:c r="F216" s="137" t="str"/>
      <x:c r="G216" s="137" t="str"/>
      <x:c r="H216" s="137" t="str"/>
      <x:c r="I216" s="137" t="str"/>
      <x:c r="J216" s="151" t="str"/>
      <x:c r="K216" s="151" t="str"/>
      <x:c r="L216" s="152" t="str">
        <x:f>IF(OR(J216="",K216=""),"",ROUNDUP(J216/K216,0))</x:f>
      </x:c>
      <x:c r="M216" s="151" t="str"/>
      <x:c r="N216" s="137" t="str"/>
      <x:c r="O216" s="137" t="str"/>
      <x:c r="P216" s="137" t="str"/>
      <x:c r="Q216" s="137" t="str"/>
      <x:c r="R216" s="137" t="str"/>
      <x:c r="S216" s="137" t="str"/>
      <x:c r="T216" s="137" t="str"/>
      <x:c r="U216" s="137" t="str"/>
      <x:c r="V216" s="137" t="str"/>
      <x:c r="W216" s="137" t="str"/>
      <x:c r="X216" s="199" t="str"/>
    </x:row>
    <x:row r="217">
      <x:c r="A217" s="137" t="str"/>
      <x:c r="B217" s="138" t="str"/>
      <x:c r="C217" s="138" t="str"/>
      <x:c r="D217" s="137" t="str"/>
      <x:c r="E217" s="137" t="str"/>
      <x:c r="F217" s="137" t="str"/>
      <x:c r="G217" s="137" t="str"/>
      <x:c r="H217" s="137" t="str"/>
      <x:c r="I217" s="137" t="str"/>
      <x:c r="J217" s="151" t="str"/>
      <x:c r="K217" s="151" t="str"/>
      <x:c r="L217" s="152" t="str">
        <x:f>IF(OR(J217="",K217=""),"",ROUNDUP(J217/K217,0))</x:f>
      </x:c>
      <x:c r="M217" s="151" t="str"/>
      <x:c r="N217" s="137" t="str"/>
      <x:c r="O217" s="137" t="str"/>
      <x:c r="P217" s="137" t="str"/>
      <x:c r="Q217" s="137" t="str"/>
      <x:c r="R217" s="137" t="str"/>
      <x:c r="S217" s="137" t="str"/>
      <x:c r="T217" s="137" t="str"/>
      <x:c r="U217" s="137" t="str"/>
      <x:c r="V217" s="137" t="str"/>
      <x:c r="W217" s="137" t="str"/>
      <x:c r="X217" s="199" t="str"/>
    </x:row>
    <x:row r="218">
      <x:c r="A218" s="137" t="str"/>
      <x:c r="B218" s="138" t="str"/>
      <x:c r="C218" s="138" t="str"/>
      <x:c r="D218" s="137" t="str"/>
      <x:c r="E218" s="137" t="str"/>
      <x:c r="F218" s="137" t="str"/>
      <x:c r="G218" s="137" t="str"/>
      <x:c r="H218" s="137" t="str"/>
      <x:c r="I218" s="137" t="str"/>
      <x:c r="J218" s="151" t="str"/>
      <x:c r="K218" s="151" t="str"/>
      <x:c r="L218" s="152" t="str">
        <x:f>IF(OR(J218="",K218=""),"",ROUNDUP(J218/K218,0))</x:f>
      </x:c>
      <x:c r="M218" s="151" t="str"/>
      <x:c r="N218" s="137" t="str"/>
      <x:c r="O218" s="137" t="str"/>
      <x:c r="P218" s="137" t="str"/>
      <x:c r="Q218" s="137" t="str"/>
      <x:c r="R218" s="137" t="str"/>
      <x:c r="S218" s="137" t="str"/>
      <x:c r="T218" s="137" t="str"/>
      <x:c r="U218" s="137" t="str"/>
      <x:c r="V218" s="137" t="str"/>
      <x:c r="W218" s="137" t="str"/>
      <x:c r="X218" s="199" t="str"/>
    </x:row>
    <x:row r="219">
      <x:c r="A219" s="137" t="str"/>
      <x:c r="B219" s="138" t="str"/>
      <x:c r="C219" s="138" t="str"/>
      <x:c r="D219" s="137" t="str"/>
      <x:c r="E219" s="137" t="str"/>
      <x:c r="F219" s="137" t="str"/>
      <x:c r="G219" s="137" t="str"/>
      <x:c r="H219" s="137" t="str"/>
      <x:c r="I219" s="137" t="str"/>
      <x:c r="J219" s="151" t="str"/>
      <x:c r="K219" s="151" t="str"/>
      <x:c r="L219" s="152" t="str">
        <x:f>IF(OR(J219="",K219=""),"",ROUNDUP(J219/K219,0))</x:f>
      </x:c>
      <x:c r="M219" s="151" t="str"/>
      <x:c r="N219" s="137" t="str"/>
      <x:c r="O219" s="137" t="str"/>
      <x:c r="P219" s="137" t="str"/>
      <x:c r="Q219" s="137" t="str"/>
      <x:c r="R219" s="137" t="str"/>
      <x:c r="S219" s="137" t="str"/>
      <x:c r="T219" s="137" t="str"/>
      <x:c r="U219" s="137" t="str"/>
      <x:c r="V219" s="137" t="str"/>
      <x:c r="W219" s="137" t="str"/>
      <x:c r="X219" s="199" t="str"/>
    </x:row>
    <x:row r="220">
      <x:c r="A220" s="137" t="str"/>
      <x:c r="B220" s="138" t="str"/>
      <x:c r="C220" s="138" t="str"/>
      <x:c r="D220" s="137" t="str"/>
      <x:c r="E220" s="137" t="str"/>
      <x:c r="F220" s="137" t="str"/>
      <x:c r="G220" s="137" t="str"/>
      <x:c r="H220" s="137" t="str"/>
      <x:c r="I220" s="137" t="str"/>
      <x:c r="J220" s="151" t="str"/>
      <x:c r="K220" s="151" t="str"/>
      <x:c r="L220" s="152" t="str">
        <x:f>IF(OR(J220="",K220=""),"",ROUNDUP(J220/K220,0))</x:f>
      </x:c>
      <x:c r="M220" s="151" t="str"/>
      <x:c r="N220" s="137" t="str"/>
      <x:c r="O220" s="137" t="str"/>
      <x:c r="P220" s="137" t="str"/>
      <x:c r="Q220" s="137" t="str"/>
      <x:c r="R220" s="137" t="str"/>
      <x:c r="S220" s="137" t="str"/>
      <x:c r="T220" s="137" t="str"/>
      <x:c r="U220" s="137" t="str"/>
      <x:c r="V220" s="137" t="str"/>
      <x:c r="W220" s="137" t="str"/>
      <x:c r="X220" s="199" t="str"/>
    </x:row>
    <x:row r="221">
      <x:c r="A221" s="137" t="str"/>
      <x:c r="B221" s="138" t="str"/>
      <x:c r="C221" s="138" t="str"/>
      <x:c r="D221" s="137" t="str"/>
      <x:c r="E221" s="137" t="str"/>
      <x:c r="F221" s="137" t="str"/>
      <x:c r="G221" s="137" t="str"/>
      <x:c r="H221" s="137" t="str"/>
      <x:c r="I221" s="137" t="str"/>
      <x:c r="J221" s="151" t="str"/>
      <x:c r="K221" s="151" t="str"/>
      <x:c r="L221" s="152" t="str">
        <x:f>IF(OR(J221="",K221=""),"",ROUNDUP(J221/K221,0))</x:f>
      </x:c>
      <x:c r="M221" s="151" t="str"/>
      <x:c r="N221" s="137" t="str"/>
      <x:c r="O221" s="137" t="str"/>
      <x:c r="P221" s="137" t="str"/>
      <x:c r="Q221" s="137" t="str"/>
      <x:c r="R221" s="137" t="str"/>
      <x:c r="S221" s="137" t="str"/>
      <x:c r="T221" s="137" t="str"/>
      <x:c r="U221" s="137" t="str"/>
      <x:c r="V221" s="137" t="str"/>
      <x:c r="W221" s="137" t="str"/>
      <x:c r="X221" s="199" t="str"/>
    </x:row>
    <x:row r="222">
      <x:c r="A222" s="137" t="str"/>
      <x:c r="B222" s="138" t="str"/>
      <x:c r="C222" s="138" t="str"/>
      <x:c r="D222" s="137" t="str"/>
      <x:c r="E222" s="137" t="str"/>
      <x:c r="F222" s="137" t="str"/>
      <x:c r="G222" s="137" t="str"/>
      <x:c r="H222" s="137" t="str"/>
      <x:c r="I222" s="137" t="str"/>
      <x:c r="J222" s="151" t="str"/>
      <x:c r="K222" s="151" t="str"/>
      <x:c r="L222" s="152" t="str">
        <x:f>IF(OR(J222="",K222=""),"",ROUNDUP(J222/K222,0))</x:f>
      </x:c>
      <x:c r="M222" s="151" t="str"/>
      <x:c r="N222" s="137" t="str"/>
      <x:c r="O222" s="137" t="str"/>
      <x:c r="P222" s="137" t="str"/>
      <x:c r="Q222" s="137" t="str"/>
      <x:c r="R222" s="137" t="str"/>
      <x:c r="S222" s="137" t="str"/>
      <x:c r="T222" s="137" t="str"/>
      <x:c r="U222" s="137" t="str"/>
      <x:c r="V222" s="137" t="str"/>
      <x:c r="W222" s="137" t="str"/>
      <x:c r="X222" s="199" t="str"/>
    </x:row>
    <x:row r="223">
      <x:c r="A223" s="137" t="str"/>
      <x:c r="B223" s="138" t="str"/>
      <x:c r="C223" s="138" t="str"/>
      <x:c r="D223" s="137" t="str"/>
      <x:c r="E223" s="137" t="str"/>
      <x:c r="F223" s="137" t="str"/>
      <x:c r="G223" s="137" t="str"/>
      <x:c r="H223" s="137" t="str"/>
      <x:c r="I223" s="137" t="str"/>
      <x:c r="J223" s="151" t="str"/>
      <x:c r="K223" s="151" t="str"/>
      <x:c r="L223" s="152" t="str">
        <x:f>IF(OR(J223="",K223=""),"",ROUNDUP(J223/K223,0))</x:f>
      </x:c>
      <x:c r="M223" s="151" t="str"/>
      <x:c r="N223" s="137" t="str"/>
      <x:c r="O223" s="137" t="str"/>
      <x:c r="P223" s="137" t="str"/>
      <x:c r="Q223" s="137" t="str"/>
      <x:c r="R223" s="137" t="str"/>
      <x:c r="S223" s="137" t="str"/>
      <x:c r="T223" s="137" t="str"/>
      <x:c r="U223" s="137" t="str"/>
      <x:c r="V223" s="137" t="str"/>
      <x:c r="W223" s="137" t="str"/>
      <x:c r="X223" s="199" t="str"/>
    </x:row>
    <x:row r="224">
      <x:c r="A224" s="137" t="str"/>
      <x:c r="B224" s="138" t="str"/>
      <x:c r="C224" s="138" t="str"/>
      <x:c r="D224" s="137" t="str"/>
      <x:c r="E224" s="137" t="str"/>
      <x:c r="F224" s="137" t="str"/>
      <x:c r="G224" s="137" t="str"/>
      <x:c r="H224" s="137" t="str"/>
      <x:c r="I224" s="137" t="str"/>
      <x:c r="J224" s="151" t="str"/>
      <x:c r="K224" s="151" t="str"/>
      <x:c r="L224" s="152" t="str">
        <x:f>IF(OR(J224="",K224=""),"",ROUNDUP(J224/K224,0))</x:f>
      </x:c>
      <x:c r="M224" s="151" t="str"/>
      <x:c r="N224" s="137" t="str"/>
      <x:c r="O224" s="137" t="str"/>
      <x:c r="P224" s="137" t="str"/>
      <x:c r="Q224" s="137" t="str"/>
      <x:c r="R224" s="137" t="str"/>
      <x:c r="S224" s="137" t="str"/>
      <x:c r="T224" s="137" t="str"/>
      <x:c r="U224" s="137" t="str"/>
      <x:c r="V224" s="137" t="str"/>
      <x:c r="W224" s="137" t="str"/>
      <x:c r="X224" s="199" t="str"/>
    </x:row>
    <x:row r="225">
      <x:c r="A225" s="137" t="str"/>
      <x:c r="B225" s="138" t="str"/>
      <x:c r="C225" s="138" t="str"/>
      <x:c r="D225" s="137" t="str"/>
      <x:c r="E225" s="137" t="str"/>
      <x:c r="F225" s="137" t="str"/>
      <x:c r="G225" s="137" t="str"/>
      <x:c r="H225" s="137" t="str"/>
      <x:c r="I225" s="137" t="str"/>
      <x:c r="J225" s="151" t="str"/>
      <x:c r="K225" s="151" t="str"/>
      <x:c r="L225" s="152" t="str">
        <x:f>IF(OR(J225="",K225=""),"",ROUNDUP(J225/K225,0))</x:f>
      </x:c>
      <x:c r="M225" s="151" t="str"/>
      <x:c r="N225" s="137" t="str"/>
      <x:c r="O225" s="137" t="str"/>
      <x:c r="P225" s="137" t="str"/>
      <x:c r="Q225" s="137" t="str"/>
      <x:c r="R225" s="137" t="str"/>
      <x:c r="S225" s="137" t="str"/>
      <x:c r="T225" s="137" t="str"/>
      <x:c r="U225" s="137" t="str"/>
      <x:c r="V225" s="137" t="str"/>
      <x:c r="W225" s="137" t="str"/>
      <x:c r="X225" s="199" t="str"/>
    </x:row>
    <x:row r="226">
      <x:c r="A226" s="137" t="str"/>
      <x:c r="B226" s="138" t="str"/>
      <x:c r="C226" s="138" t="str"/>
      <x:c r="D226" s="137" t="str"/>
      <x:c r="E226" s="137" t="str"/>
      <x:c r="F226" s="137" t="str"/>
      <x:c r="G226" s="137" t="str"/>
      <x:c r="H226" s="137" t="str"/>
      <x:c r="I226" s="137" t="str"/>
      <x:c r="J226" s="151" t="str"/>
      <x:c r="K226" s="151" t="str"/>
      <x:c r="L226" s="152" t="str">
        <x:f>IF(OR(J226="",K226=""),"",ROUNDUP(J226/K226,0))</x:f>
      </x:c>
      <x:c r="M226" s="151" t="str"/>
      <x:c r="N226" s="137" t="str"/>
      <x:c r="O226" s="137" t="str"/>
      <x:c r="P226" s="137" t="str"/>
      <x:c r="Q226" s="137" t="str"/>
      <x:c r="R226" s="137" t="str"/>
      <x:c r="S226" s="137" t="str"/>
      <x:c r="T226" s="137" t="str"/>
      <x:c r="U226" s="137" t="str"/>
      <x:c r="V226" s="137" t="str"/>
      <x:c r="W226" s="137" t="str"/>
      <x:c r="X226" s="199" t="str"/>
    </x:row>
    <x:row r="227">
      <x:c r="A227" s="137" t="str"/>
      <x:c r="B227" s="138" t="str"/>
      <x:c r="C227" s="138" t="str"/>
      <x:c r="D227" s="137" t="str"/>
      <x:c r="E227" s="137" t="str"/>
      <x:c r="F227" s="137" t="str"/>
      <x:c r="G227" s="137" t="str"/>
      <x:c r="H227" s="137" t="str"/>
      <x:c r="I227" s="137" t="str"/>
      <x:c r="J227" s="151" t="str"/>
      <x:c r="K227" s="151" t="str"/>
      <x:c r="L227" s="152" t="str">
        <x:f>IF(OR(J227="",K227=""),"",ROUNDUP(J227/K227,0))</x:f>
      </x:c>
      <x:c r="M227" s="151" t="str"/>
      <x:c r="N227" s="137" t="str"/>
      <x:c r="O227" s="137" t="str"/>
      <x:c r="P227" s="137" t="str"/>
      <x:c r="Q227" s="137" t="str"/>
      <x:c r="R227" s="137" t="str"/>
      <x:c r="S227" s="137" t="str"/>
      <x:c r="T227" s="137" t="str"/>
      <x:c r="U227" s="137" t="str"/>
      <x:c r="V227" s="137" t="str"/>
      <x:c r="W227" s="137" t="str"/>
      <x:c r="X227" s="199" t="str"/>
    </x:row>
    <x:row r="228">
      <x:c r="A228" s="137" t="str"/>
      <x:c r="B228" s="138" t="str"/>
      <x:c r="C228" s="138" t="str"/>
      <x:c r="D228" s="137" t="str"/>
      <x:c r="E228" s="137" t="str"/>
      <x:c r="F228" s="137" t="str"/>
      <x:c r="G228" s="137" t="str"/>
      <x:c r="H228" s="137" t="str"/>
      <x:c r="I228" s="137" t="str"/>
      <x:c r="J228" s="151" t="str"/>
      <x:c r="K228" s="151" t="str"/>
      <x:c r="L228" s="152" t="str">
        <x:f>IF(OR(J228="",K228=""),"",ROUNDUP(J228/K228,0))</x:f>
      </x:c>
      <x:c r="M228" s="151" t="str"/>
      <x:c r="N228" s="137" t="str"/>
      <x:c r="O228" s="137" t="str"/>
      <x:c r="P228" s="137" t="str"/>
      <x:c r="Q228" s="137" t="str"/>
      <x:c r="R228" s="137" t="str"/>
      <x:c r="S228" s="137" t="str"/>
      <x:c r="T228" s="137" t="str"/>
      <x:c r="U228" s="137" t="str"/>
      <x:c r="V228" s="137" t="str"/>
      <x:c r="W228" s="137" t="str"/>
      <x:c r="X228" s="199" t="str"/>
    </x:row>
    <x:row r="229">
      <x:c r="A229" s="137" t="str"/>
      <x:c r="B229" s="138" t="str"/>
      <x:c r="C229" s="138" t="str"/>
      <x:c r="D229" s="137" t="str"/>
      <x:c r="E229" s="137" t="str"/>
      <x:c r="F229" s="137" t="str"/>
      <x:c r="G229" s="137" t="str"/>
      <x:c r="H229" s="137" t="str"/>
      <x:c r="I229" s="137" t="str"/>
      <x:c r="J229" s="151" t="str"/>
      <x:c r="K229" s="151" t="str"/>
      <x:c r="L229" s="152" t="str">
        <x:f>IF(OR(J229="",K229=""),"",ROUNDUP(J229/K229,0))</x:f>
      </x:c>
      <x:c r="M229" s="151" t="str"/>
      <x:c r="N229" s="137" t="str"/>
      <x:c r="O229" s="137" t="str"/>
      <x:c r="P229" s="137" t="str"/>
      <x:c r="Q229" s="137" t="str"/>
      <x:c r="R229" s="137" t="str"/>
      <x:c r="S229" s="137" t="str"/>
      <x:c r="T229" s="137" t="str"/>
      <x:c r="U229" s="137" t="str"/>
      <x:c r="V229" s="137" t="str"/>
      <x:c r="W229" s="137" t="str"/>
      <x:c r="X229" s="199" t="str"/>
    </x:row>
    <x:row r="230">
      <x:c r="A230" s="137" t="str"/>
      <x:c r="B230" s="138" t="str"/>
      <x:c r="C230" s="138" t="str"/>
      <x:c r="D230" s="137" t="str"/>
      <x:c r="E230" s="137" t="str"/>
      <x:c r="F230" s="137" t="str"/>
      <x:c r="G230" s="137" t="str"/>
      <x:c r="H230" s="137" t="str"/>
      <x:c r="I230" s="137" t="str"/>
      <x:c r="J230" s="151" t="str"/>
      <x:c r="K230" s="151" t="str"/>
      <x:c r="L230" s="152" t="str">
        <x:f>IF(OR(J230="",K230=""),"",ROUNDUP(J230/K230,0))</x:f>
      </x:c>
      <x:c r="M230" s="151" t="str"/>
      <x:c r="N230" s="137" t="str"/>
      <x:c r="O230" s="137" t="str"/>
      <x:c r="P230" s="137" t="str"/>
      <x:c r="Q230" s="137" t="str"/>
      <x:c r="R230" s="137" t="str"/>
      <x:c r="S230" s="137" t="str"/>
      <x:c r="T230" s="137" t="str"/>
      <x:c r="U230" s="137" t="str"/>
      <x:c r="V230" s="137" t="str"/>
      <x:c r="W230" s="137" t="str"/>
      <x:c r="X230" s="199" t="str"/>
    </x:row>
    <x:row r="231">
      <x:c r="A231" s="137" t="str"/>
      <x:c r="B231" s="138" t="str"/>
      <x:c r="C231" s="138" t="str"/>
      <x:c r="D231" s="137" t="str"/>
      <x:c r="E231" s="137" t="str"/>
      <x:c r="F231" s="137" t="str"/>
      <x:c r="G231" s="137" t="str"/>
      <x:c r="H231" s="137" t="str"/>
      <x:c r="I231" s="137" t="str"/>
      <x:c r="J231" s="151" t="str"/>
      <x:c r="K231" s="151" t="str"/>
      <x:c r="L231" s="152" t="str">
        <x:f>IF(OR(J231="",K231=""),"",ROUNDUP(J231/K231,0))</x:f>
      </x:c>
      <x:c r="M231" s="151" t="str"/>
      <x:c r="N231" s="137" t="str"/>
      <x:c r="O231" s="137" t="str"/>
      <x:c r="P231" s="137" t="str"/>
      <x:c r="Q231" s="137" t="str"/>
      <x:c r="R231" s="137" t="str"/>
      <x:c r="S231" s="137" t="str"/>
      <x:c r="T231" s="137" t="str"/>
      <x:c r="U231" s="137" t="str"/>
      <x:c r="V231" s="137" t="str"/>
      <x:c r="W231" s="137" t="str"/>
      <x:c r="X231" s="199" t="str"/>
    </x:row>
    <x:row r="232">
      <x:c r="A232" s="137" t="str"/>
      <x:c r="B232" s="138" t="str"/>
      <x:c r="C232" s="138" t="str"/>
      <x:c r="D232" s="137" t="str"/>
      <x:c r="E232" s="137" t="str"/>
      <x:c r="F232" s="137" t="str"/>
      <x:c r="G232" s="137" t="str"/>
      <x:c r="H232" s="137" t="str"/>
      <x:c r="I232" s="137" t="str"/>
      <x:c r="J232" s="151" t="str"/>
      <x:c r="K232" s="151" t="str"/>
      <x:c r="L232" s="152" t="str">
        <x:f>IF(OR(J232="",K232=""),"",ROUNDUP(J232/K232,0))</x:f>
      </x:c>
      <x:c r="M232" s="151" t="str"/>
      <x:c r="N232" s="137" t="str"/>
      <x:c r="O232" s="137" t="str"/>
      <x:c r="P232" s="137" t="str"/>
      <x:c r="Q232" s="137" t="str"/>
      <x:c r="R232" s="137" t="str"/>
      <x:c r="S232" s="137" t="str"/>
      <x:c r="T232" s="137" t="str"/>
      <x:c r="U232" s="137" t="str"/>
      <x:c r="V232" s="137" t="str"/>
      <x:c r="W232" s="137" t="str"/>
      <x:c r="X232" s="199" t="str"/>
    </x:row>
    <x:row r="233">
      <x:c r="A233" s="137" t="str"/>
      <x:c r="B233" s="138" t="str"/>
      <x:c r="C233" s="138" t="str"/>
      <x:c r="D233" s="137" t="str"/>
      <x:c r="E233" s="137" t="str"/>
      <x:c r="F233" s="137" t="str"/>
      <x:c r="G233" s="137" t="str"/>
      <x:c r="H233" s="137" t="str"/>
      <x:c r="I233" s="137" t="str"/>
      <x:c r="J233" s="151" t="str"/>
      <x:c r="K233" s="151" t="str"/>
      <x:c r="L233" s="152" t="str">
        <x:f>IF(OR(J233="",K233=""),"",ROUNDUP(J233/K233,0))</x:f>
      </x:c>
      <x:c r="M233" s="151" t="str"/>
      <x:c r="N233" s="137" t="str"/>
      <x:c r="O233" s="137" t="str"/>
      <x:c r="P233" s="137" t="str"/>
      <x:c r="Q233" s="137" t="str"/>
      <x:c r="R233" s="137" t="str"/>
      <x:c r="S233" s="137" t="str"/>
      <x:c r="T233" s="137" t="str"/>
      <x:c r="U233" s="137" t="str"/>
      <x:c r="V233" s="137" t="str"/>
      <x:c r="W233" s="137" t="str"/>
      <x:c r="X233" s="199" t="str"/>
    </x:row>
    <x:row r="234">
      <x:c r="A234" s="137" t="str"/>
      <x:c r="B234" s="138" t="str"/>
      <x:c r="C234" s="138" t="str"/>
      <x:c r="D234" s="137" t="str"/>
      <x:c r="E234" s="137" t="str"/>
      <x:c r="F234" s="137" t="str"/>
      <x:c r="G234" s="137" t="str"/>
      <x:c r="H234" s="137" t="str"/>
      <x:c r="I234" s="137" t="str"/>
      <x:c r="J234" s="151" t="str"/>
      <x:c r="K234" s="151" t="str"/>
      <x:c r="L234" s="152" t="str">
        <x:f>IF(OR(J234="",K234=""),"",ROUNDUP(J234/K234,0))</x:f>
      </x:c>
      <x:c r="M234" s="151" t="str"/>
      <x:c r="N234" s="137" t="str"/>
      <x:c r="O234" s="137" t="str"/>
      <x:c r="P234" s="137" t="str"/>
      <x:c r="Q234" s="137" t="str"/>
      <x:c r="R234" s="137" t="str"/>
      <x:c r="S234" s="137" t="str"/>
      <x:c r="T234" s="137" t="str"/>
      <x:c r="U234" s="137" t="str"/>
      <x:c r="V234" s="137" t="str"/>
      <x:c r="W234" s="137" t="str"/>
      <x:c r="X234" s="199" t="str"/>
    </x:row>
    <x:row r="235">
      <x:c r="A235" s="137" t="str"/>
      <x:c r="B235" s="138" t="str"/>
      <x:c r="C235" s="138" t="str"/>
      <x:c r="D235" s="137" t="str"/>
      <x:c r="E235" s="137" t="str"/>
      <x:c r="F235" s="137" t="str"/>
      <x:c r="G235" s="137" t="str"/>
      <x:c r="H235" s="137" t="str"/>
      <x:c r="I235" s="137" t="str"/>
      <x:c r="J235" s="151" t="str"/>
      <x:c r="K235" s="151" t="str"/>
      <x:c r="L235" s="152" t="str">
        <x:f>IF(OR(J235="",K235=""),"",ROUNDUP(J235/K235,0))</x:f>
      </x:c>
      <x:c r="M235" s="151" t="str"/>
      <x:c r="N235" s="137" t="str"/>
      <x:c r="O235" s="137" t="str"/>
      <x:c r="P235" s="137" t="str"/>
      <x:c r="Q235" s="137" t="str"/>
      <x:c r="R235" s="137" t="str"/>
      <x:c r="S235" s="137" t="str"/>
      <x:c r="T235" s="137" t="str"/>
      <x:c r="U235" s="137" t="str"/>
      <x:c r="V235" s="137" t="str"/>
      <x:c r="W235" s="137" t="str"/>
      <x:c r="X235" s="199" t="str"/>
    </x:row>
    <x:row r="236">
      <x:c r="A236" s="137" t="str"/>
      <x:c r="B236" s="138" t="str"/>
      <x:c r="C236" s="138" t="str"/>
      <x:c r="D236" s="137" t="str"/>
      <x:c r="E236" s="137" t="str"/>
      <x:c r="F236" s="137" t="str"/>
      <x:c r="G236" s="137" t="str"/>
      <x:c r="H236" s="137" t="str"/>
      <x:c r="I236" s="137" t="str"/>
      <x:c r="J236" s="151" t="str"/>
      <x:c r="K236" s="151" t="str"/>
      <x:c r="L236" s="152" t="str">
        <x:f>IF(OR(J236="",K236=""),"",ROUNDUP(J236/K236,0))</x:f>
      </x:c>
      <x:c r="M236" s="151" t="str"/>
      <x:c r="N236" s="137" t="str"/>
      <x:c r="O236" s="137" t="str"/>
      <x:c r="P236" s="137" t="str"/>
      <x:c r="Q236" s="137" t="str"/>
      <x:c r="R236" s="137" t="str"/>
      <x:c r="S236" s="137" t="str"/>
      <x:c r="T236" s="137" t="str"/>
      <x:c r="U236" s="137" t="str"/>
      <x:c r="V236" s="137" t="str"/>
      <x:c r="W236" s="137" t="str"/>
      <x:c r="X236" s="199" t="str"/>
    </x:row>
    <x:row r="237">
      <x:c r="A237" s="137" t="str"/>
      <x:c r="B237" s="138" t="str"/>
      <x:c r="C237" s="138" t="str"/>
      <x:c r="D237" s="137" t="str"/>
      <x:c r="E237" s="137" t="str"/>
      <x:c r="F237" s="137" t="str"/>
      <x:c r="G237" s="137" t="str"/>
      <x:c r="H237" s="137" t="str"/>
      <x:c r="I237" s="137" t="str"/>
      <x:c r="J237" s="151" t="str"/>
      <x:c r="K237" s="151" t="str"/>
      <x:c r="L237" s="152" t="str">
        <x:f>IF(OR(J237="",K237=""),"",ROUNDUP(J237/K237,0))</x:f>
      </x:c>
      <x:c r="M237" s="151" t="str"/>
      <x:c r="N237" s="137" t="str"/>
      <x:c r="O237" s="137" t="str"/>
      <x:c r="P237" s="137" t="str"/>
      <x:c r="Q237" s="137" t="str"/>
      <x:c r="R237" s="137" t="str"/>
      <x:c r="S237" s="137" t="str"/>
      <x:c r="T237" s="137" t="str"/>
      <x:c r="U237" s="137" t="str"/>
      <x:c r="V237" s="137" t="str"/>
      <x:c r="W237" s="137" t="str"/>
      <x:c r="X237" s="199" t="str"/>
    </x:row>
    <x:row r="238">
      <x:c r="A238" s="137" t="str"/>
      <x:c r="B238" s="138" t="str"/>
      <x:c r="C238" s="138" t="str"/>
      <x:c r="D238" s="137" t="str"/>
      <x:c r="E238" s="137" t="str"/>
      <x:c r="F238" s="137" t="str"/>
      <x:c r="G238" s="137" t="str"/>
      <x:c r="H238" s="137" t="str"/>
      <x:c r="I238" s="137" t="str"/>
      <x:c r="J238" s="151" t="str"/>
      <x:c r="K238" s="151" t="str"/>
      <x:c r="L238" s="152" t="str">
        <x:f>IF(OR(J238="",K238=""),"",ROUNDUP(J238/K238,0))</x:f>
      </x:c>
      <x:c r="M238" s="151" t="str"/>
      <x:c r="N238" s="137" t="str"/>
      <x:c r="O238" s="137" t="str"/>
      <x:c r="P238" s="137" t="str"/>
      <x:c r="Q238" s="137" t="str"/>
      <x:c r="R238" s="137" t="str"/>
      <x:c r="S238" s="137" t="str"/>
      <x:c r="T238" s="137" t="str"/>
      <x:c r="U238" s="137" t="str"/>
      <x:c r="V238" s="137" t="str"/>
      <x:c r="W238" s="137" t="str"/>
      <x:c r="X238" s="199" t="str"/>
    </x:row>
    <x:row r="239">
      <x:c r="A239" s="137" t="str"/>
      <x:c r="B239" s="138" t="str"/>
      <x:c r="C239" s="138" t="str"/>
      <x:c r="D239" s="137" t="str"/>
      <x:c r="E239" s="137" t="str"/>
      <x:c r="F239" s="137" t="str"/>
      <x:c r="G239" s="137" t="str"/>
      <x:c r="H239" s="137" t="str"/>
      <x:c r="I239" s="137" t="str"/>
      <x:c r="J239" s="151" t="str"/>
      <x:c r="K239" s="151" t="str"/>
      <x:c r="L239" s="152" t="str">
        <x:f>IF(OR(J239="",K239=""),"",ROUNDUP(J239/K239,0))</x:f>
      </x:c>
      <x:c r="M239" s="151" t="str"/>
      <x:c r="N239" s="137" t="str"/>
      <x:c r="O239" s="137" t="str"/>
      <x:c r="P239" s="137" t="str"/>
      <x:c r="Q239" s="137" t="str"/>
      <x:c r="R239" s="137" t="str"/>
      <x:c r="S239" s="137" t="str"/>
      <x:c r="T239" s="137" t="str"/>
      <x:c r="U239" s="137" t="str"/>
      <x:c r="V239" s="137" t="str"/>
      <x:c r="W239" s="137" t="str"/>
      <x:c r="X239" s="199" t="str"/>
    </x:row>
    <x:row r="240">
      <x:c r="A240" s="137" t="str"/>
      <x:c r="B240" s="138" t="str"/>
      <x:c r="C240" s="138" t="str"/>
      <x:c r="D240" s="137" t="str"/>
      <x:c r="E240" s="137" t="str"/>
      <x:c r="F240" s="137" t="str"/>
      <x:c r="G240" s="137" t="str"/>
      <x:c r="H240" s="137" t="str"/>
      <x:c r="I240" s="137" t="str"/>
      <x:c r="J240" s="151" t="str"/>
      <x:c r="K240" s="151" t="str"/>
      <x:c r="L240" s="152" t="str">
        <x:f>IF(OR(J240="",K240=""),"",ROUNDUP(J240/K240,0))</x:f>
      </x:c>
      <x:c r="M240" s="151" t="str"/>
      <x:c r="N240" s="137" t="str"/>
      <x:c r="O240" s="137" t="str"/>
      <x:c r="P240" s="137" t="str"/>
      <x:c r="Q240" s="137" t="str"/>
      <x:c r="R240" s="137" t="str"/>
      <x:c r="S240" s="137" t="str"/>
      <x:c r="T240" s="137" t="str"/>
      <x:c r="U240" s="137" t="str"/>
      <x:c r="V240" s="137" t="str"/>
      <x:c r="W240" s="137" t="str"/>
      <x:c r="X240" s="199" t="str"/>
    </x:row>
    <x:row r="241">
      <x:c r="A241" s="137" t="str"/>
      <x:c r="B241" s="138" t="str"/>
      <x:c r="C241" s="138" t="str"/>
      <x:c r="D241" s="137" t="str"/>
      <x:c r="E241" s="137" t="str"/>
      <x:c r="F241" s="137" t="str"/>
      <x:c r="G241" s="137" t="str"/>
      <x:c r="H241" s="137" t="str"/>
      <x:c r="I241" s="137" t="str"/>
      <x:c r="J241" s="151" t="str"/>
      <x:c r="K241" s="151" t="str"/>
      <x:c r="L241" s="152" t="str">
        <x:f>IF(OR(J241="",K241=""),"",ROUNDUP(J241/K241,0))</x:f>
      </x:c>
      <x:c r="M241" s="151" t="str"/>
      <x:c r="N241" s="137" t="str"/>
      <x:c r="O241" s="137" t="str"/>
      <x:c r="P241" s="137" t="str"/>
      <x:c r="Q241" s="137" t="str"/>
      <x:c r="R241" s="137" t="str"/>
      <x:c r="S241" s="137" t="str"/>
      <x:c r="T241" s="137" t="str"/>
      <x:c r="U241" s="137" t="str"/>
      <x:c r="V241" s="137" t="str"/>
      <x:c r="W241" s="137" t="str"/>
      <x:c r="X241" s="199" t="str"/>
    </x:row>
    <x:row r="242">
      <x:c r="A242" s="137" t="str"/>
      <x:c r="B242" s="138" t="str"/>
      <x:c r="C242" s="138" t="str"/>
      <x:c r="D242" s="137" t="str"/>
      <x:c r="E242" s="137" t="str"/>
      <x:c r="F242" s="137" t="str"/>
      <x:c r="G242" s="137" t="str"/>
      <x:c r="H242" s="137" t="str"/>
      <x:c r="I242" s="137" t="str"/>
      <x:c r="J242" s="151" t="str"/>
      <x:c r="K242" s="151" t="str"/>
      <x:c r="L242" s="152" t="str">
        <x:f>IF(OR(J242="",K242=""),"",ROUNDUP(J242/K242,0))</x:f>
      </x:c>
      <x:c r="M242" s="151" t="str"/>
      <x:c r="N242" s="137" t="str"/>
      <x:c r="O242" s="137" t="str"/>
      <x:c r="P242" s="137" t="str"/>
      <x:c r="Q242" s="137" t="str"/>
      <x:c r="R242" s="137" t="str"/>
      <x:c r="S242" s="137" t="str"/>
      <x:c r="T242" s="137" t="str"/>
      <x:c r="U242" s="137" t="str"/>
      <x:c r="V242" s="137" t="str"/>
      <x:c r="W242" s="137" t="str"/>
      <x:c r="X242" s="199" t="str"/>
    </x:row>
    <x:row r="243">
      <x:c r="A243" s="137" t="str"/>
      <x:c r="B243" s="138" t="str"/>
      <x:c r="C243" s="138" t="str"/>
      <x:c r="D243" s="137" t="str"/>
      <x:c r="E243" s="137" t="str"/>
      <x:c r="F243" s="137" t="str"/>
      <x:c r="G243" s="137" t="str"/>
      <x:c r="H243" s="137" t="str"/>
      <x:c r="I243" s="137" t="str"/>
      <x:c r="J243" s="151" t="str"/>
      <x:c r="K243" s="151" t="str"/>
      <x:c r="L243" s="152" t="str">
        <x:f>IF(OR(J243="",K243=""),"",ROUNDUP(J243/K243,0))</x:f>
      </x:c>
      <x:c r="M243" s="151" t="str"/>
      <x:c r="N243" s="137" t="str"/>
      <x:c r="O243" s="137" t="str"/>
      <x:c r="P243" s="137" t="str"/>
      <x:c r="Q243" s="137" t="str"/>
      <x:c r="R243" s="137" t="str"/>
      <x:c r="S243" s="137" t="str"/>
      <x:c r="T243" s="137" t="str"/>
      <x:c r="U243" s="137" t="str"/>
      <x:c r="V243" s="137" t="str"/>
      <x:c r="W243" s="137" t="str"/>
      <x:c r="X243" s="199" t="str"/>
    </x:row>
    <x:row r="244">
      <x:c r="A244" s="137" t="str"/>
      <x:c r="B244" s="138" t="str"/>
      <x:c r="C244" s="138" t="str"/>
      <x:c r="D244" s="137" t="str"/>
      <x:c r="E244" s="137" t="str"/>
      <x:c r="F244" s="137" t="str"/>
      <x:c r="G244" s="137" t="str"/>
      <x:c r="H244" s="137" t="str"/>
      <x:c r="I244" s="137" t="str"/>
      <x:c r="J244" s="151" t="str"/>
      <x:c r="K244" s="151" t="str"/>
      <x:c r="L244" s="152" t="str">
        <x:f>IF(OR(J244="",K244=""),"",ROUNDUP(J244/K244,0))</x:f>
      </x:c>
      <x:c r="M244" s="151" t="str"/>
      <x:c r="N244" s="137" t="str"/>
      <x:c r="O244" s="137" t="str"/>
      <x:c r="P244" s="137" t="str"/>
      <x:c r="Q244" s="137" t="str"/>
      <x:c r="R244" s="137" t="str"/>
      <x:c r="S244" s="137" t="str"/>
      <x:c r="T244" s="137" t="str"/>
      <x:c r="U244" s="137" t="str"/>
      <x:c r="V244" s="137" t="str"/>
      <x:c r="W244" s="137" t="str"/>
      <x:c r="X244" s="199" t="str"/>
    </x:row>
    <x:row r="245">
      <x:c r="A245" s="137" t="str"/>
      <x:c r="B245" s="138" t="str"/>
      <x:c r="C245" s="138" t="str"/>
      <x:c r="D245" s="137" t="str"/>
      <x:c r="E245" s="137" t="str"/>
      <x:c r="F245" s="137" t="str"/>
      <x:c r="G245" s="137" t="str"/>
      <x:c r="H245" s="137" t="str"/>
      <x:c r="I245" s="137" t="str"/>
      <x:c r="J245" s="151" t="str"/>
      <x:c r="K245" s="151" t="str"/>
      <x:c r="L245" s="152" t="str">
        <x:f>IF(OR(J245="",K245=""),"",ROUNDUP(J245/K245,0))</x:f>
      </x:c>
      <x:c r="M245" s="151" t="str"/>
      <x:c r="N245" s="137" t="str"/>
      <x:c r="O245" s="137" t="str"/>
      <x:c r="P245" s="137" t="str"/>
      <x:c r="Q245" s="137" t="str"/>
      <x:c r="R245" s="137" t="str"/>
      <x:c r="S245" s="137" t="str"/>
      <x:c r="T245" s="137" t="str"/>
      <x:c r="U245" s="137" t="str"/>
      <x:c r="V245" s="137" t="str"/>
      <x:c r="W245" s="137" t="str"/>
      <x:c r="X245" s="199" t="str"/>
    </x:row>
    <x:row r="246">
      <x:c r="A246" s="137" t="str"/>
      <x:c r="B246" s="138" t="str"/>
      <x:c r="C246" s="138" t="str"/>
      <x:c r="D246" s="137" t="str"/>
      <x:c r="E246" s="137" t="str"/>
      <x:c r="F246" s="137" t="str"/>
      <x:c r="G246" s="137" t="str"/>
      <x:c r="H246" s="137" t="str"/>
      <x:c r="I246" s="137" t="str"/>
      <x:c r="J246" s="151" t="str"/>
      <x:c r="K246" s="151" t="str"/>
      <x:c r="L246" s="152" t="str">
        <x:f>IF(OR(J246="",K246=""),"",ROUNDUP(J246/K246,0))</x:f>
      </x:c>
      <x:c r="M246" s="151" t="str"/>
      <x:c r="N246" s="137" t="str"/>
      <x:c r="O246" s="137" t="str"/>
      <x:c r="P246" s="137" t="str"/>
      <x:c r="Q246" s="137" t="str"/>
      <x:c r="R246" s="137" t="str"/>
      <x:c r="S246" s="137" t="str"/>
      <x:c r="T246" s="137" t="str"/>
      <x:c r="U246" s="137" t="str"/>
      <x:c r="V246" s="137" t="str"/>
      <x:c r="W246" s="137" t="str"/>
      <x:c r="X246" s="199" t="str"/>
    </x:row>
    <x:row r="247">
      <x:c r="A247" s="137" t="str"/>
      <x:c r="B247" s="138" t="str"/>
      <x:c r="C247" s="138" t="str"/>
      <x:c r="D247" s="137" t="str"/>
      <x:c r="E247" s="137" t="str"/>
      <x:c r="F247" s="137" t="str"/>
      <x:c r="G247" s="137" t="str"/>
      <x:c r="H247" s="137" t="str"/>
      <x:c r="I247" s="137" t="str"/>
      <x:c r="J247" s="151" t="str"/>
      <x:c r="K247" s="151" t="str"/>
      <x:c r="L247" s="152" t="str">
        <x:f>IF(OR(J247="",K247=""),"",ROUNDUP(J247/K247,0))</x:f>
      </x:c>
      <x:c r="M247" s="151" t="str"/>
      <x:c r="N247" s="137" t="str"/>
      <x:c r="O247" s="137" t="str"/>
      <x:c r="P247" s="137" t="str"/>
      <x:c r="Q247" s="137" t="str"/>
      <x:c r="R247" s="137" t="str"/>
      <x:c r="S247" s="137" t="str"/>
      <x:c r="T247" s="137" t="str"/>
      <x:c r="U247" s="137" t="str"/>
      <x:c r="V247" s="137" t="str"/>
      <x:c r="W247" s="137" t="str"/>
      <x:c r="X247" s="199" t="str"/>
    </x:row>
    <x:row r="248">
      <x:c r="A248" s="137" t="str"/>
      <x:c r="B248" s="138" t="str"/>
      <x:c r="C248" s="138" t="str"/>
      <x:c r="D248" s="137" t="str"/>
      <x:c r="E248" s="137" t="str"/>
      <x:c r="F248" s="137" t="str"/>
      <x:c r="G248" s="137" t="str"/>
      <x:c r="H248" s="137" t="str"/>
      <x:c r="I248" s="137" t="str"/>
      <x:c r="J248" s="151" t="str"/>
      <x:c r="K248" s="151" t="str"/>
      <x:c r="L248" s="152" t="str">
        <x:f>IF(OR(J248="",K248=""),"",ROUNDUP(J248/K248,0))</x:f>
      </x:c>
      <x:c r="M248" s="151" t="str"/>
      <x:c r="N248" s="137" t="str"/>
      <x:c r="O248" s="137" t="str"/>
      <x:c r="P248" s="137" t="str"/>
      <x:c r="Q248" s="137" t="str"/>
      <x:c r="R248" s="137" t="str"/>
      <x:c r="S248" s="137" t="str"/>
      <x:c r="T248" s="137" t="str"/>
      <x:c r="U248" s="137" t="str"/>
      <x:c r="V248" s="137" t="str"/>
      <x:c r="W248" s="137" t="str"/>
      <x:c r="X248" s="199" t="str"/>
    </x:row>
    <x:row r="249">
      <x:c r="A249" s="137" t="str"/>
      <x:c r="B249" s="138" t="str"/>
      <x:c r="C249" s="138" t="str"/>
      <x:c r="D249" s="137" t="str"/>
      <x:c r="E249" s="137" t="str"/>
      <x:c r="F249" s="137" t="str"/>
      <x:c r="G249" s="137" t="str"/>
      <x:c r="H249" s="137" t="str"/>
      <x:c r="I249" s="137" t="str"/>
      <x:c r="J249" s="151" t="str"/>
      <x:c r="K249" s="151" t="str"/>
      <x:c r="L249" s="152" t="str">
        <x:f>IF(OR(J249="",K249=""),"",ROUNDUP(J249/K249,0))</x:f>
      </x:c>
      <x:c r="M249" s="151" t="str"/>
      <x:c r="N249" s="137" t="str"/>
      <x:c r="O249" s="137" t="str"/>
      <x:c r="P249" s="137" t="str"/>
      <x:c r="Q249" s="137" t="str"/>
      <x:c r="R249" s="137" t="str"/>
      <x:c r="S249" s="137" t="str"/>
      <x:c r="T249" s="137" t="str"/>
      <x:c r="U249" s="137" t="str"/>
      <x:c r="V249" s="137" t="str"/>
      <x:c r="W249" s="137" t="str"/>
      <x:c r="X249" s="199" t="str"/>
    </x:row>
    <x:row r="250">
      <x:c r="A250" s="137" t="str"/>
      <x:c r="B250" s="138" t="str"/>
      <x:c r="C250" s="138" t="str"/>
      <x:c r="D250" s="137" t="str"/>
      <x:c r="E250" s="137" t="str"/>
      <x:c r="F250" s="137" t="str"/>
      <x:c r="G250" s="137" t="str"/>
      <x:c r="H250" s="137" t="str"/>
      <x:c r="I250" s="137" t="str"/>
      <x:c r="J250" s="151" t="str"/>
      <x:c r="K250" s="151" t="str"/>
      <x:c r="L250" s="152" t="str">
        <x:f>IF(OR(J250="",K250=""),"",ROUNDUP(J250/K250,0))</x:f>
      </x:c>
      <x:c r="M250" s="151" t="str"/>
      <x:c r="N250" s="137" t="str"/>
      <x:c r="O250" s="137" t="str"/>
      <x:c r="P250" s="137" t="str"/>
      <x:c r="Q250" s="137" t="str"/>
      <x:c r="R250" s="137" t="str"/>
      <x:c r="S250" s="137" t="str"/>
      <x:c r="T250" s="137" t="str"/>
      <x:c r="U250" s="137" t="str"/>
      <x:c r="V250" s="137" t="str"/>
      <x:c r="W250" s="137" t="str"/>
      <x:c r="X250" s="199" t="str"/>
    </x:row>
    <x:row r="251">
      <x:c r="A251" s="137" t="str"/>
      <x:c r="B251" s="138" t="str"/>
      <x:c r="C251" s="138" t="str"/>
      <x:c r="D251" s="137" t="str"/>
      <x:c r="E251" s="137" t="str"/>
      <x:c r="F251" s="137" t="str"/>
      <x:c r="G251" s="137" t="str"/>
      <x:c r="H251" s="137" t="str"/>
      <x:c r="I251" s="137" t="str"/>
      <x:c r="J251" s="151" t="str"/>
      <x:c r="K251" s="151" t="str"/>
      <x:c r="L251" s="152" t="str">
        <x:f>IF(OR(J251="",K251=""),"",ROUNDUP(J251/K251,0))</x:f>
      </x:c>
      <x:c r="M251" s="151" t="str"/>
      <x:c r="N251" s="137" t="str"/>
      <x:c r="O251" s="137" t="str"/>
      <x:c r="P251" s="137" t="str"/>
      <x:c r="Q251" s="137" t="str"/>
      <x:c r="R251" s="137" t="str"/>
      <x:c r="S251" s="137" t="str"/>
      <x:c r="T251" s="137" t="str"/>
      <x:c r="U251" s="137" t="str"/>
      <x:c r="V251" s="137" t="str"/>
      <x:c r="W251" s="137" t="str"/>
      <x:c r="X251" s="199" t="str"/>
    </x:row>
    <x:row r="252">
      <x:c r="A252" s="137" t="str"/>
      <x:c r="B252" s="138" t="str"/>
      <x:c r="C252" s="138" t="str"/>
      <x:c r="D252" s="137" t="str"/>
      <x:c r="E252" s="137" t="str"/>
      <x:c r="F252" s="137" t="str"/>
      <x:c r="G252" s="137" t="str"/>
      <x:c r="H252" s="137" t="str"/>
      <x:c r="I252" s="137" t="str"/>
      <x:c r="J252" s="151" t="str"/>
      <x:c r="K252" s="151" t="str"/>
      <x:c r="L252" s="152" t="str">
        <x:f>IF(OR(J252="",K252=""),"",ROUNDUP(J252/K252,0))</x:f>
      </x:c>
      <x:c r="M252" s="151" t="str"/>
      <x:c r="N252" s="137" t="str"/>
      <x:c r="O252" s="137" t="str"/>
      <x:c r="P252" s="137" t="str"/>
      <x:c r="Q252" s="137" t="str"/>
      <x:c r="R252" s="137" t="str"/>
      <x:c r="S252" s="137" t="str"/>
      <x:c r="T252" s="137" t="str"/>
      <x:c r="U252" s="137" t="str"/>
      <x:c r="V252" s="137" t="str"/>
      <x:c r="W252" s="137" t="str"/>
      <x:c r="X252" s="199" t="str"/>
    </x:row>
    <x:row r="253">
      <x:c r="A253" s="137" t="str"/>
      <x:c r="B253" s="138" t="str"/>
      <x:c r="C253" s="138" t="str"/>
      <x:c r="D253" s="137" t="str"/>
      <x:c r="E253" s="137" t="str"/>
      <x:c r="F253" s="137" t="str"/>
      <x:c r="G253" s="137" t="str"/>
      <x:c r="H253" s="137" t="str"/>
      <x:c r="I253" s="137" t="str"/>
      <x:c r="J253" s="151" t="str"/>
      <x:c r="K253" s="151" t="str"/>
      <x:c r="L253" s="152" t="str">
        <x:f>IF(OR(J253="",K253=""),"",ROUNDUP(J253/K253,0))</x:f>
      </x:c>
      <x:c r="M253" s="151" t="str"/>
      <x:c r="N253" s="137" t="str"/>
      <x:c r="O253" s="137" t="str"/>
      <x:c r="P253" s="137" t="str"/>
      <x:c r="Q253" s="137" t="str"/>
      <x:c r="R253" s="137" t="str"/>
      <x:c r="S253" s="137" t="str"/>
      <x:c r="T253" s="137" t="str"/>
      <x:c r="U253" s="137" t="str"/>
      <x:c r="V253" s="137" t="str"/>
      <x:c r="W253" s="137" t="str"/>
      <x:c r="X253" s="199" t="str"/>
    </x:row>
    <x:row r="254">
      <x:c r="A254" s="137" t="str"/>
      <x:c r="B254" s="138" t="str"/>
      <x:c r="C254" s="138" t="str"/>
      <x:c r="D254" s="137" t="str"/>
      <x:c r="E254" s="137" t="str"/>
      <x:c r="F254" s="137" t="str"/>
      <x:c r="G254" s="137" t="str"/>
      <x:c r="H254" s="137" t="str"/>
      <x:c r="I254" s="137" t="str"/>
      <x:c r="J254" s="151" t="str"/>
      <x:c r="K254" s="151" t="str"/>
      <x:c r="L254" s="152" t="str">
        <x:f>IF(OR(J254="",K254=""),"",ROUNDUP(J254/K254,0))</x:f>
      </x:c>
      <x:c r="M254" s="151" t="str"/>
      <x:c r="N254" s="137" t="str"/>
      <x:c r="O254" s="137" t="str"/>
      <x:c r="P254" s="137" t="str"/>
      <x:c r="Q254" s="137" t="str"/>
      <x:c r="R254" s="137" t="str"/>
      <x:c r="S254" s="137" t="str"/>
      <x:c r="T254" s="137" t="str"/>
      <x:c r="U254" s="137" t="str"/>
      <x:c r="V254" s="137" t="str"/>
      <x:c r="W254" s="137" t="str"/>
      <x:c r="X254" s="199" t="str"/>
    </x:row>
    <x:row r="255">
      <x:c r="A255" s="137" t="str"/>
      <x:c r="B255" s="138" t="str"/>
      <x:c r="C255" s="138" t="str"/>
      <x:c r="D255" s="137" t="str"/>
      <x:c r="E255" s="137" t="str"/>
      <x:c r="F255" s="137" t="str"/>
      <x:c r="G255" s="137" t="str"/>
      <x:c r="H255" s="137" t="str"/>
      <x:c r="I255" s="137" t="str"/>
      <x:c r="J255" s="151" t="str"/>
      <x:c r="K255" s="151" t="str"/>
      <x:c r="L255" s="152" t="str">
        <x:f>IF(OR(J255="",K255=""),"",ROUNDUP(J255/K255,0))</x:f>
      </x:c>
      <x:c r="M255" s="151" t="str"/>
      <x:c r="N255" s="137" t="str"/>
      <x:c r="O255" s="137" t="str"/>
      <x:c r="P255" s="137" t="str"/>
      <x:c r="Q255" s="137" t="str"/>
      <x:c r="R255" s="137" t="str"/>
      <x:c r="S255" s="137" t="str"/>
      <x:c r="T255" s="137" t="str"/>
      <x:c r="U255" s="137" t="str"/>
      <x:c r="V255" s="137" t="str"/>
      <x:c r="W255" s="137" t="str"/>
      <x:c r="X255" s="199" t="str"/>
    </x:row>
    <x:row r="256">
      <x:c r="A256" s="137" t="str"/>
      <x:c r="B256" s="138" t="str"/>
      <x:c r="C256" s="138" t="str"/>
      <x:c r="D256" s="137" t="str"/>
      <x:c r="E256" s="137" t="str"/>
      <x:c r="F256" s="137" t="str"/>
      <x:c r="G256" s="137" t="str"/>
      <x:c r="H256" s="137" t="str"/>
      <x:c r="I256" s="137" t="str"/>
      <x:c r="J256" s="151" t="str"/>
      <x:c r="K256" s="151" t="str"/>
      <x:c r="L256" s="152" t="str">
        <x:f>IF(OR(J256="",K256=""),"",ROUNDUP(J256/K256,0))</x:f>
      </x:c>
      <x:c r="M256" s="151" t="str"/>
      <x:c r="N256" s="137" t="str"/>
      <x:c r="O256" s="137" t="str"/>
      <x:c r="P256" s="137" t="str"/>
      <x:c r="Q256" s="137" t="str"/>
      <x:c r="R256" s="137" t="str"/>
      <x:c r="S256" s="137" t="str"/>
      <x:c r="T256" s="137" t="str"/>
      <x:c r="U256" s="137" t="str"/>
      <x:c r="V256" s="137" t="str"/>
      <x:c r="W256" s="137" t="str"/>
      <x:c r="X256" s="199" t="str"/>
    </x:row>
    <x:row r="257">
      <x:c r="A257" s="137" t="str"/>
      <x:c r="B257" s="138" t="str"/>
      <x:c r="C257" s="138" t="str"/>
      <x:c r="D257" s="137" t="str"/>
      <x:c r="E257" s="137" t="str"/>
      <x:c r="F257" s="137" t="str"/>
      <x:c r="G257" s="137" t="str"/>
      <x:c r="H257" s="137" t="str"/>
      <x:c r="I257" s="137" t="str"/>
      <x:c r="J257" s="151" t="str"/>
      <x:c r="K257" s="151" t="str"/>
      <x:c r="L257" s="152" t="str">
        <x:f>IF(OR(J257="",K257=""),"",ROUNDUP(J257/K257,0))</x:f>
      </x:c>
      <x:c r="M257" s="151" t="str"/>
      <x:c r="N257" s="137" t="str"/>
      <x:c r="O257" s="137" t="str"/>
      <x:c r="P257" s="137" t="str"/>
      <x:c r="Q257" s="137" t="str"/>
      <x:c r="R257" s="137" t="str"/>
      <x:c r="S257" s="137" t="str"/>
      <x:c r="T257" s="137" t="str"/>
      <x:c r="U257" s="137" t="str"/>
      <x:c r="V257" s="137" t="str"/>
      <x:c r="W257" s="137" t="str"/>
      <x:c r="X257" s="199" t="str"/>
    </x:row>
    <x:row r="258">
      <x:c r="A258" s="137" t="str"/>
      <x:c r="B258" s="138" t="str"/>
      <x:c r="C258" s="138" t="str"/>
      <x:c r="D258" s="137" t="str"/>
      <x:c r="E258" s="137" t="str"/>
      <x:c r="F258" s="137" t="str"/>
      <x:c r="G258" s="137" t="str"/>
      <x:c r="H258" s="137" t="str"/>
      <x:c r="I258" s="137" t="str"/>
      <x:c r="J258" s="151" t="str"/>
      <x:c r="K258" s="151" t="str"/>
      <x:c r="L258" s="152" t="str">
        <x:f>IF(OR(J258="",K258=""),"",ROUNDUP(J258/K258,0))</x:f>
      </x:c>
      <x:c r="M258" s="151" t="str"/>
      <x:c r="N258" s="137" t="str"/>
      <x:c r="O258" s="137" t="str"/>
      <x:c r="P258" s="137" t="str"/>
      <x:c r="Q258" s="137" t="str"/>
      <x:c r="R258" s="137" t="str"/>
      <x:c r="S258" s="137" t="str"/>
      <x:c r="T258" s="137" t="str"/>
      <x:c r="U258" s="137" t="str"/>
      <x:c r="V258" s="137" t="str"/>
      <x:c r="W258" s="137" t="str"/>
      <x:c r="X258" s="199" t="str"/>
    </x:row>
    <x:row r="259">
      <x:c r="A259" s="137" t="str"/>
      <x:c r="B259" s="138" t="str"/>
      <x:c r="C259" s="138" t="str"/>
      <x:c r="D259" s="137" t="str"/>
      <x:c r="E259" s="137" t="str"/>
      <x:c r="F259" s="137" t="str"/>
      <x:c r="G259" s="137" t="str"/>
      <x:c r="H259" s="137" t="str"/>
      <x:c r="I259" s="137" t="str"/>
      <x:c r="J259" s="151" t="str"/>
      <x:c r="K259" s="151" t="str"/>
      <x:c r="L259" s="152" t="str">
        <x:f>IF(OR(J259="",K259=""),"",ROUNDUP(J259/K259,0))</x:f>
      </x:c>
      <x:c r="M259" s="151" t="str"/>
      <x:c r="N259" s="137" t="str"/>
      <x:c r="O259" s="137" t="str"/>
      <x:c r="P259" s="137" t="str"/>
      <x:c r="Q259" s="137" t="str"/>
      <x:c r="R259" s="137" t="str"/>
      <x:c r="S259" s="137" t="str"/>
      <x:c r="T259" s="137" t="str"/>
      <x:c r="U259" s="137" t="str"/>
      <x:c r="V259" s="137" t="str"/>
      <x:c r="W259" s="137" t="str"/>
      <x:c r="X259" s="199" t="str"/>
    </x:row>
    <x:row r="260">
      <x:c r="A260" s="137" t="str"/>
      <x:c r="B260" s="138" t="str"/>
      <x:c r="C260" s="138" t="str"/>
      <x:c r="D260" s="137" t="str"/>
      <x:c r="E260" s="137" t="str"/>
      <x:c r="F260" s="137" t="str"/>
      <x:c r="G260" s="137" t="str"/>
      <x:c r="H260" s="137" t="str"/>
      <x:c r="I260" s="137" t="str"/>
      <x:c r="J260" s="151" t="str"/>
      <x:c r="K260" s="151" t="str"/>
      <x:c r="L260" s="152" t="str">
        <x:f>IF(OR(J260="",K260=""),"",ROUNDUP(J260/K260,0))</x:f>
      </x:c>
      <x:c r="M260" s="151" t="str"/>
      <x:c r="N260" s="137" t="str"/>
      <x:c r="O260" s="137" t="str"/>
      <x:c r="P260" s="137" t="str"/>
      <x:c r="Q260" s="137" t="str"/>
      <x:c r="R260" s="137" t="str"/>
      <x:c r="S260" s="137" t="str"/>
      <x:c r="T260" s="137" t="str"/>
      <x:c r="U260" s="137" t="str"/>
      <x:c r="V260" s="137" t="str"/>
      <x:c r="W260" s="137" t="str"/>
      <x:c r="X260" s="199" t="str"/>
    </x:row>
    <x:row r="261">
      <x:c r="A261" s="137" t="str"/>
      <x:c r="B261" s="138" t="str"/>
      <x:c r="C261" s="138" t="str"/>
      <x:c r="D261" s="137" t="str"/>
      <x:c r="E261" s="137" t="str"/>
      <x:c r="F261" s="137" t="str"/>
      <x:c r="G261" s="137" t="str"/>
      <x:c r="H261" s="137" t="str"/>
      <x:c r="I261" s="137" t="str"/>
      <x:c r="J261" s="151" t="str"/>
      <x:c r="K261" s="151" t="str"/>
      <x:c r="L261" s="152" t="str">
        <x:f>IF(OR(J261="",K261=""),"",ROUNDUP(J261/K261,0))</x:f>
      </x:c>
      <x:c r="M261" s="151" t="str"/>
      <x:c r="N261" s="137" t="str"/>
      <x:c r="O261" s="137" t="str"/>
      <x:c r="P261" s="137" t="str"/>
      <x:c r="Q261" s="137" t="str"/>
      <x:c r="R261" s="137" t="str"/>
      <x:c r="S261" s="137" t="str"/>
      <x:c r="T261" s="137" t="str"/>
      <x:c r="U261" s="137" t="str"/>
      <x:c r="V261" s="137" t="str"/>
      <x:c r="W261" s="137" t="str"/>
      <x:c r="X261" s="199" t="str"/>
    </x:row>
    <x:row r="262">
      <x:c r="A262" s="137" t="str"/>
      <x:c r="B262" s="138" t="str"/>
      <x:c r="C262" s="138" t="str"/>
      <x:c r="D262" s="137" t="str"/>
      <x:c r="E262" s="137" t="str"/>
      <x:c r="F262" s="137" t="str"/>
      <x:c r="G262" s="137" t="str"/>
      <x:c r="H262" s="137" t="str"/>
      <x:c r="I262" s="137" t="str"/>
      <x:c r="J262" s="151" t="str"/>
      <x:c r="K262" s="151" t="str"/>
      <x:c r="L262" s="152" t="str">
        <x:f>IF(OR(J262="",K262=""),"",ROUNDUP(J262/K262,0))</x:f>
      </x:c>
      <x:c r="M262" s="151" t="str"/>
      <x:c r="N262" s="137" t="str"/>
      <x:c r="O262" s="137" t="str"/>
      <x:c r="P262" s="137" t="str"/>
      <x:c r="Q262" s="137" t="str"/>
      <x:c r="R262" s="137" t="str"/>
      <x:c r="S262" s="137" t="str"/>
      <x:c r="T262" s="137" t="str"/>
      <x:c r="U262" s="137" t="str"/>
      <x:c r="V262" s="137" t="str"/>
      <x:c r="W262" s="137" t="str"/>
      <x:c r="X262" s="199" t="str"/>
    </x:row>
    <x:row r="263">
      <x:c r="A263" s="137" t="str"/>
      <x:c r="B263" s="138" t="str"/>
      <x:c r="C263" s="138" t="str"/>
      <x:c r="D263" s="137" t="str"/>
      <x:c r="E263" s="137" t="str"/>
      <x:c r="F263" s="137" t="str"/>
      <x:c r="G263" s="137" t="str"/>
      <x:c r="H263" s="137" t="str"/>
      <x:c r="I263" s="137" t="str"/>
      <x:c r="J263" s="151" t="str"/>
      <x:c r="K263" s="151" t="str"/>
      <x:c r="L263" s="152" t="str">
        <x:f>IF(OR(J263="",K263=""),"",ROUNDUP(J263/K263,0))</x:f>
      </x:c>
      <x:c r="M263" s="151" t="str"/>
      <x:c r="N263" s="137" t="str"/>
      <x:c r="O263" s="137" t="str"/>
      <x:c r="P263" s="137" t="str"/>
      <x:c r="Q263" s="137" t="str"/>
      <x:c r="R263" s="137" t="str"/>
      <x:c r="S263" s="137" t="str"/>
      <x:c r="T263" s="137" t="str"/>
      <x:c r="U263" s="137" t="str"/>
      <x:c r="V263" s="137" t="str"/>
      <x:c r="W263" s="137" t="str"/>
      <x:c r="X263" s="199" t="str"/>
    </x:row>
    <x:row r="264">
      <x:c r="A264" s="137" t="str"/>
      <x:c r="B264" s="138" t="str"/>
      <x:c r="C264" s="138" t="str"/>
      <x:c r="D264" s="137" t="str"/>
      <x:c r="E264" s="137" t="str"/>
      <x:c r="F264" s="137" t="str"/>
      <x:c r="G264" s="137" t="str"/>
      <x:c r="H264" s="137" t="str"/>
      <x:c r="I264" s="137" t="str"/>
      <x:c r="J264" s="151" t="str"/>
      <x:c r="K264" s="151" t="str"/>
      <x:c r="L264" s="152" t="str">
        <x:f>IF(OR(J264="",K264=""),"",ROUNDUP(J264/K264,0))</x:f>
      </x:c>
      <x:c r="M264" s="151" t="str"/>
      <x:c r="N264" s="137" t="str"/>
      <x:c r="O264" s="137" t="str"/>
      <x:c r="P264" s="137" t="str"/>
      <x:c r="Q264" s="137" t="str"/>
      <x:c r="R264" s="137" t="str"/>
      <x:c r="S264" s="137" t="str"/>
      <x:c r="T264" s="137" t="str"/>
      <x:c r="U264" s="137" t="str"/>
      <x:c r="V264" s="137" t="str"/>
      <x:c r="W264" s="137" t="str"/>
      <x:c r="X264" s="199" t="str"/>
    </x:row>
    <x:row r="265">
      <x:c r="A265" s="137" t="str"/>
      <x:c r="B265" s="138" t="str"/>
      <x:c r="C265" s="138" t="str"/>
      <x:c r="D265" s="137" t="str"/>
      <x:c r="E265" s="137" t="str"/>
      <x:c r="F265" s="137" t="str"/>
      <x:c r="G265" s="137" t="str"/>
      <x:c r="H265" s="137" t="str"/>
      <x:c r="I265" s="137" t="str"/>
      <x:c r="J265" s="151" t="str"/>
      <x:c r="K265" s="151" t="str"/>
      <x:c r="L265" s="152" t="str">
        <x:f>IF(OR(J265="",K265=""),"",ROUNDUP(J265/K265,0))</x:f>
      </x:c>
      <x:c r="M265" s="151" t="str"/>
      <x:c r="N265" s="137" t="str"/>
      <x:c r="O265" s="137" t="str"/>
      <x:c r="P265" s="137" t="str"/>
      <x:c r="Q265" s="137" t="str"/>
      <x:c r="R265" s="137" t="str"/>
      <x:c r="S265" s="137" t="str"/>
      <x:c r="T265" s="137" t="str"/>
      <x:c r="U265" s="137" t="str"/>
      <x:c r="V265" s="137" t="str"/>
      <x:c r="W265" s="137" t="str"/>
      <x:c r="X265" s="199" t="str"/>
    </x:row>
    <x:row r="266">
      <x:c r="A266" s="137" t="str"/>
      <x:c r="B266" s="138" t="str"/>
      <x:c r="C266" s="138" t="str"/>
      <x:c r="D266" s="137" t="str"/>
      <x:c r="E266" s="137" t="str"/>
      <x:c r="F266" s="137" t="str"/>
      <x:c r="G266" s="137" t="str"/>
      <x:c r="H266" s="137" t="str"/>
      <x:c r="I266" s="137" t="str"/>
      <x:c r="J266" s="151" t="str"/>
      <x:c r="K266" s="151" t="str"/>
      <x:c r="L266" s="152" t="str">
        <x:f>IF(OR(J266="",K266=""),"",ROUNDUP(J266/K266,0))</x:f>
      </x:c>
      <x:c r="M266" s="151" t="str"/>
      <x:c r="N266" s="137" t="str"/>
      <x:c r="O266" s="137" t="str"/>
      <x:c r="P266" s="137" t="str"/>
      <x:c r="Q266" s="137" t="str"/>
      <x:c r="R266" s="137" t="str"/>
      <x:c r="S266" s="137" t="str"/>
      <x:c r="T266" s="137" t="str"/>
      <x:c r="U266" s="137" t="str"/>
      <x:c r="V266" s="137" t="str"/>
      <x:c r="W266" s="137" t="str"/>
      <x:c r="X266" s="199" t="str"/>
    </x:row>
    <x:row r="267">
      <x:c r="A267" s="137" t="str"/>
      <x:c r="B267" s="138" t="str"/>
      <x:c r="C267" s="138" t="str"/>
      <x:c r="D267" s="137" t="str"/>
      <x:c r="E267" s="137" t="str"/>
      <x:c r="F267" s="137" t="str"/>
      <x:c r="G267" s="137" t="str"/>
      <x:c r="H267" s="137" t="str"/>
      <x:c r="I267" s="137" t="str"/>
      <x:c r="J267" s="151" t="str"/>
      <x:c r="K267" s="151" t="str"/>
      <x:c r="L267" s="152" t="str">
        <x:f>IF(OR(J267="",K267=""),"",ROUNDUP(J267/K267,0))</x:f>
      </x:c>
      <x:c r="M267" s="151" t="str"/>
      <x:c r="N267" s="137" t="str"/>
      <x:c r="O267" s="137" t="str"/>
      <x:c r="P267" s="137" t="str"/>
      <x:c r="Q267" s="137" t="str"/>
      <x:c r="R267" s="137" t="str"/>
      <x:c r="S267" s="137" t="str"/>
      <x:c r="T267" s="137" t="str"/>
      <x:c r="U267" s="137" t="str"/>
      <x:c r="V267" s="137" t="str"/>
      <x:c r="W267" s="137" t="str"/>
      <x:c r="X267" s="199" t="str"/>
    </x:row>
    <x:row r="268">
      <x:c r="A268" s="137" t="str"/>
      <x:c r="B268" s="138" t="str"/>
      <x:c r="C268" s="138" t="str"/>
      <x:c r="D268" s="137" t="str"/>
      <x:c r="E268" s="137" t="str"/>
      <x:c r="F268" s="137" t="str"/>
      <x:c r="G268" s="137" t="str"/>
      <x:c r="H268" s="137" t="str"/>
      <x:c r="I268" s="137" t="str"/>
      <x:c r="J268" s="151" t="str"/>
      <x:c r="K268" s="151" t="str"/>
      <x:c r="L268" s="152" t="str">
        <x:f>IF(OR(J268="",K268=""),"",ROUNDUP(J268/K268,0))</x:f>
      </x:c>
      <x:c r="M268" s="151" t="str"/>
      <x:c r="N268" s="137" t="str"/>
      <x:c r="O268" s="137" t="str"/>
      <x:c r="P268" s="137" t="str"/>
      <x:c r="Q268" s="137" t="str"/>
      <x:c r="R268" s="137" t="str"/>
      <x:c r="S268" s="137" t="str"/>
      <x:c r="T268" s="137" t="str"/>
      <x:c r="U268" s="137" t="str"/>
      <x:c r="V268" s="137" t="str"/>
      <x:c r="W268" s="137" t="str"/>
      <x:c r="X268" s="199" t="str"/>
    </x:row>
    <x:row r="269">
      <x:c r="A269" s="137" t="str"/>
      <x:c r="B269" s="138" t="str"/>
      <x:c r="C269" s="138" t="str"/>
      <x:c r="D269" s="137" t="str"/>
      <x:c r="E269" s="137" t="str"/>
      <x:c r="F269" s="137" t="str"/>
      <x:c r="G269" s="137" t="str"/>
      <x:c r="H269" s="137" t="str"/>
      <x:c r="I269" s="137" t="str"/>
      <x:c r="J269" s="151" t="str"/>
      <x:c r="K269" s="151" t="str"/>
      <x:c r="L269" s="152" t="str">
        <x:f>IF(OR(J269="",K269=""),"",ROUNDUP(J269/K269,0))</x:f>
      </x:c>
      <x:c r="M269" s="151" t="str"/>
      <x:c r="N269" s="137" t="str"/>
      <x:c r="O269" s="137" t="str"/>
      <x:c r="P269" s="137" t="str"/>
      <x:c r="Q269" s="137" t="str"/>
      <x:c r="R269" s="137" t="str"/>
      <x:c r="S269" s="137" t="str"/>
      <x:c r="T269" s="137" t="str"/>
      <x:c r="U269" s="137" t="str"/>
      <x:c r="V269" s="137" t="str"/>
      <x:c r="W269" s="137" t="str"/>
      <x:c r="X269" s="199" t="str"/>
    </x:row>
    <x:row r="270">
      <x:c r="A270" s="137" t="str"/>
      <x:c r="B270" s="138" t="str"/>
      <x:c r="C270" s="138" t="str"/>
      <x:c r="D270" s="137" t="str"/>
      <x:c r="E270" s="137" t="str"/>
      <x:c r="F270" s="137" t="str"/>
      <x:c r="G270" s="137" t="str"/>
      <x:c r="H270" s="137" t="str"/>
      <x:c r="I270" s="137" t="str"/>
      <x:c r="J270" s="151" t="str"/>
      <x:c r="K270" s="151" t="str"/>
      <x:c r="L270" s="152" t="str">
        <x:f>IF(OR(J270="",K270=""),"",ROUNDUP(J270/K270,0))</x:f>
      </x:c>
      <x:c r="M270" s="151" t="str"/>
      <x:c r="N270" s="137" t="str"/>
      <x:c r="O270" s="137" t="str"/>
      <x:c r="P270" s="137" t="str"/>
      <x:c r="Q270" s="137" t="str"/>
      <x:c r="R270" s="137" t="str"/>
      <x:c r="S270" s="137" t="str"/>
      <x:c r="T270" s="137" t="str"/>
      <x:c r="U270" s="137" t="str"/>
      <x:c r="V270" s="137" t="str"/>
      <x:c r="W270" s="137" t="str"/>
      <x:c r="X270" s="199" t="str"/>
    </x:row>
    <x:row r="271">
      <x:c r="A271" s="137" t="str"/>
      <x:c r="B271" s="138" t="str"/>
      <x:c r="C271" s="138" t="str"/>
      <x:c r="D271" s="137" t="str"/>
      <x:c r="E271" s="137" t="str"/>
      <x:c r="F271" s="137" t="str"/>
      <x:c r="G271" s="137" t="str"/>
      <x:c r="H271" s="137" t="str"/>
      <x:c r="I271" s="137" t="str"/>
      <x:c r="J271" s="151" t="str"/>
      <x:c r="K271" s="151" t="str"/>
      <x:c r="L271" s="152" t="str">
        <x:f>IF(OR(J271="",K271=""),"",ROUNDUP(J271/K271,0))</x:f>
      </x:c>
      <x:c r="M271" s="151" t="str"/>
      <x:c r="N271" s="137" t="str"/>
      <x:c r="O271" s="137" t="str"/>
      <x:c r="P271" s="137" t="str"/>
      <x:c r="Q271" s="137" t="str"/>
      <x:c r="R271" s="137" t="str"/>
      <x:c r="S271" s="137" t="str"/>
      <x:c r="T271" s="137" t="str"/>
      <x:c r="U271" s="137" t="str"/>
      <x:c r="V271" s="137" t="str"/>
      <x:c r="W271" s="137" t="str"/>
      <x:c r="X271" s="199" t="str"/>
    </x:row>
    <x:row r="272">
      <x:c r="A272" s="137" t="str"/>
      <x:c r="B272" s="138" t="str"/>
      <x:c r="C272" s="138" t="str"/>
      <x:c r="D272" s="137" t="str"/>
      <x:c r="E272" s="137" t="str"/>
      <x:c r="F272" s="137" t="str"/>
      <x:c r="G272" s="137" t="str"/>
      <x:c r="H272" s="137" t="str"/>
      <x:c r="I272" s="137" t="str"/>
      <x:c r="J272" s="151" t="str"/>
      <x:c r="K272" s="151" t="str"/>
      <x:c r="L272" s="152" t="str">
        <x:f>IF(OR(J272="",K272=""),"",ROUNDUP(J272/K272,0))</x:f>
      </x:c>
      <x:c r="M272" s="151" t="str"/>
      <x:c r="N272" s="137" t="str"/>
      <x:c r="O272" s="137" t="str"/>
      <x:c r="P272" s="137" t="str"/>
      <x:c r="Q272" s="137" t="str"/>
      <x:c r="R272" s="137" t="str"/>
      <x:c r="S272" s="137" t="str"/>
      <x:c r="T272" s="137" t="str"/>
      <x:c r="U272" s="137" t="str"/>
      <x:c r="V272" s="137" t="str"/>
      <x:c r="W272" s="137" t="str"/>
      <x:c r="X272" s="199" t="str"/>
    </x:row>
    <x:row r="273">
      <x:c r="A273" s="137" t="str"/>
      <x:c r="B273" s="138" t="str"/>
      <x:c r="C273" s="138" t="str"/>
      <x:c r="D273" s="137" t="str"/>
      <x:c r="E273" s="137" t="str"/>
      <x:c r="F273" s="137" t="str"/>
      <x:c r="G273" s="137" t="str"/>
      <x:c r="H273" s="137" t="str"/>
      <x:c r="I273" s="137" t="str"/>
      <x:c r="J273" s="151" t="str"/>
      <x:c r="K273" s="151" t="str"/>
      <x:c r="L273" s="152" t="str">
        <x:f>IF(OR(J273="",K273=""),"",ROUNDUP(J273/K273,0))</x:f>
      </x:c>
      <x:c r="M273" s="151" t="str"/>
      <x:c r="N273" s="137" t="str"/>
      <x:c r="O273" s="137" t="str"/>
      <x:c r="P273" s="137" t="str"/>
      <x:c r="Q273" s="137" t="str"/>
      <x:c r="R273" s="137" t="str"/>
      <x:c r="S273" s="137" t="str"/>
      <x:c r="T273" s="137" t="str"/>
      <x:c r="U273" s="137" t="str"/>
      <x:c r="V273" s="137" t="str"/>
      <x:c r="W273" s="137" t="str"/>
      <x:c r="X273" s="199" t="str"/>
    </x:row>
    <x:row r="274">
      <x:c r="A274" s="137" t="str"/>
      <x:c r="B274" s="138" t="str"/>
      <x:c r="C274" s="138" t="str"/>
      <x:c r="D274" s="137" t="str"/>
      <x:c r="E274" s="137" t="str"/>
      <x:c r="F274" s="137" t="str"/>
      <x:c r="G274" s="137" t="str"/>
      <x:c r="H274" s="137" t="str"/>
      <x:c r="I274" s="137" t="str"/>
      <x:c r="J274" s="151" t="str"/>
      <x:c r="K274" s="151" t="str"/>
      <x:c r="L274" s="152" t="str">
        <x:f>IF(OR(J274="",K274=""),"",ROUNDUP(J274/K274,0))</x:f>
      </x:c>
      <x:c r="M274" s="151" t="str"/>
      <x:c r="N274" s="137" t="str"/>
      <x:c r="O274" s="137" t="str"/>
      <x:c r="P274" s="137" t="str"/>
      <x:c r="Q274" s="137" t="str"/>
      <x:c r="R274" s="137" t="str"/>
      <x:c r="S274" s="137" t="str"/>
      <x:c r="T274" s="137" t="str"/>
      <x:c r="U274" s="137" t="str"/>
      <x:c r="V274" s="137" t="str"/>
      <x:c r="W274" s="137" t="str"/>
      <x:c r="X274" s="199" t="str"/>
    </x:row>
    <x:row r="275">
      <x:c r="A275" s="137" t="str"/>
      <x:c r="B275" s="138" t="str"/>
      <x:c r="C275" s="138" t="str"/>
      <x:c r="D275" s="137" t="str"/>
      <x:c r="E275" s="137" t="str"/>
      <x:c r="F275" s="137" t="str"/>
      <x:c r="G275" s="137" t="str"/>
      <x:c r="H275" s="137" t="str"/>
      <x:c r="I275" s="137" t="str"/>
      <x:c r="J275" s="151" t="str"/>
      <x:c r="K275" s="151" t="str"/>
      <x:c r="L275" s="152" t="str">
        <x:f>IF(OR(J275="",K275=""),"",ROUNDUP(J275/K275,0))</x:f>
      </x:c>
      <x:c r="M275" s="151" t="str"/>
      <x:c r="N275" s="137" t="str"/>
      <x:c r="O275" s="137" t="str"/>
      <x:c r="P275" s="137" t="str"/>
      <x:c r="Q275" s="137" t="str"/>
      <x:c r="R275" s="137" t="str"/>
      <x:c r="S275" s="137" t="str"/>
      <x:c r="T275" s="137" t="str"/>
      <x:c r="U275" s="137" t="str"/>
      <x:c r="V275" s="137" t="str"/>
      <x:c r="W275" s="137" t="str"/>
      <x:c r="X275" s="199" t="str"/>
    </x:row>
    <x:row r="276">
      <x:c r="A276" s="137" t="str"/>
      <x:c r="B276" s="138" t="str"/>
      <x:c r="C276" s="138" t="str"/>
      <x:c r="D276" s="137" t="str"/>
      <x:c r="E276" s="137" t="str"/>
      <x:c r="F276" s="137" t="str"/>
      <x:c r="G276" s="137" t="str"/>
      <x:c r="H276" s="137" t="str"/>
      <x:c r="I276" s="137" t="str"/>
      <x:c r="J276" s="151" t="str"/>
      <x:c r="K276" s="151" t="str"/>
      <x:c r="L276" s="152" t="str">
        <x:f>IF(OR(J276="",K276=""),"",ROUNDUP(J276/K276,0))</x:f>
      </x:c>
      <x:c r="M276" s="151" t="str"/>
      <x:c r="N276" s="137" t="str"/>
      <x:c r="O276" s="137" t="str"/>
      <x:c r="P276" s="137" t="str"/>
      <x:c r="Q276" s="137" t="str"/>
      <x:c r="R276" s="137" t="str"/>
      <x:c r="S276" s="137" t="str"/>
      <x:c r="T276" s="137" t="str"/>
      <x:c r="U276" s="137" t="str"/>
      <x:c r="V276" s="137" t="str"/>
      <x:c r="W276" s="137" t="str"/>
      <x:c r="X276" s="199" t="str"/>
    </x:row>
    <x:row r="277">
      <x:c r="A277" s="137" t="str"/>
      <x:c r="B277" s="138" t="str"/>
      <x:c r="C277" s="138" t="str"/>
      <x:c r="D277" s="137" t="str"/>
      <x:c r="E277" s="137" t="str"/>
      <x:c r="F277" s="137" t="str"/>
      <x:c r="G277" s="137" t="str"/>
      <x:c r="H277" s="137" t="str"/>
      <x:c r="I277" s="137" t="str"/>
      <x:c r="J277" s="151" t="str"/>
      <x:c r="K277" s="151" t="str"/>
      <x:c r="L277" s="152" t="str">
        <x:f>IF(OR(J277="",K277=""),"",ROUNDUP(J277/K277,0))</x:f>
      </x:c>
      <x:c r="M277" s="151" t="str"/>
      <x:c r="N277" s="137" t="str"/>
      <x:c r="O277" s="137" t="str"/>
      <x:c r="P277" s="137" t="str"/>
      <x:c r="Q277" s="137" t="str"/>
      <x:c r="R277" s="137" t="str"/>
      <x:c r="S277" s="137" t="str"/>
      <x:c r="T277" s="137" t="str"/>
      <x:c r="U277" s="137" t="str"/>
      <x:c r="V277" s="137" t="str"/>
      <x:c r="W277" s="137" t="str"/>
      <x:c r="X277" s="199" t="str"/>
    </x:row>
    <x:row r="278">
      <x:c r="A278" s="137" t="str"/>
      <x:c r="B278" s="138" t="str"/>
      <x:c r="C278" s="138" t="str"/>
      <x:c r="D278" s="137" t="str"/>
      <x:c r="E278" s="137" t="str"/>
      <x:c r="F278" s="137" t="str"/>
      <x:c r="G278" s="137" t="str"/>
      <x:c r="H278" s="137" t="str"/>
      <x:c r="I278" s="137" t="str"/>
      <x:c r="J278" s="151" t="str"/>
      <x:c r="K278" s="151" t="str"/>
      <x:c r="L278" s="152" t="str">
        <x:f>IF(OR(J278="",K278=""),"",ROUNDUP(J278/K278,0))</x:f>
      </x:c>
      <x:c r="M278" s="151" t="str"/>
      <x:c r="N278" s="137" t="str"/>
      <x:c r="O278" s="137" t="str"/>
      <x:c r="P278" s="137" t="str"/>
      <x:c r="Q278" s="137" t="str"/>
      <x:c r="R278" s="137" t="str"/>
      <x:c r="S278" s="137" t="str"/>
      <x:c r="T278" s="137" t="str"/>
      <x:c r="U278" s="137" t="str"/>
      <x:c r="V278" s="137" t="str"/>
      <x:c r="W278" s="137" t="str"/>
      <x:c r="X278" s="199" t="str"/>
    </x:row>
    <x:row r="279">
      <x:c r="A279" s="137" t="str"/>
      <x:c r="B279" s="138" t="str"/>
      <x:c r="C279" s="138" t="str"/>
      <x:c r="D279" s="137" t="str"/>
      <x:c r="E279" s="137" t="str"/>
      <x:c r="F279" s="137" t="str"/>
      <x:c r="G279" s="137" t="str"/>
      <x:c r="H279" s="137" t="str"/>
      <x:c r="I279" s="137" t="str"/>
      <x:c r="J279" s="151" t="str"/>
      <x:c r="K279" s="151" t="str"/>
      <x:c r="L279" s="152" t="str">
        <x:f>IF(OR(J279="",K279=""),"",ROUNDUP(J279/K279,0))</x:f>
      </x:c>
      <x:c r="M279" s="151" t="str"/>
      <x:c r="N279" s="137" t="str"/>
      <x:c r="O279" s="137" t="str"/>
      <x:c r="P279" s="137" t="str"/>
      <x:c r="Q279" s="137" t="str"/>
      <x:c r="R279" s="137" t="str"/>
      <x:c r="S279" s="137" t="str"/>
      <x:c r="T279" s="137" t="str"/>
      <x:c r="U279" s="137" t="str"/>
      <x:c r="V279" s="137" t="str"/>
      <x:c r="W279" s="137" t="str"/>
      <x:c r="X279" s="199" t="str"/>
    </x:row>
    <x:row r="280">
      <x:c r="A280" s="137" t="str"/>
      <x:c r="B280" s="138" t="str"/>
      <x:c r="C280" s="138" t="str"/>
      <x:c r="D280" s="137" t="str"/>
      <x:c r="E280" s="137" t="str"/>
      <x:c r="F280" s="137" t="str"/>
      <x:c r="G280" s="137" t="str"/>
      <x:c r="H280" s="137" t="str"/>
      <x:c r="I280" s="137" t="str"/>
      <x:c r="J280" s="151" t="str"/>
      <x:c r="K280" s="151" t="str"/>
      <x:c r="L280" s="152" t="str">
        <x:f>IF(OR(J280="",K280=""),"",ROUNDUP(J280/K280,0))</x:f>
      </x:c>
      <x:c r="M280" s="151" t="str"/>
      <x:c r="N280" s="137" t="str"/>
      <x:c r="O280" s="137" t="str"/>
      <x:c r="P280" s="137" t="str"/>
      <x:c r="Q280" s="137" t="str"/>
      <x:c r="R280" s="137" t="str"/>
      <x:c r="S280" s="137" t="str"/>
      <x:c r="T280" s="137" t="str"/>
      <x:c r="U280" s="137" t="str"/>
      <x:c r="V280" s="137" t="str"/>
      <x:c r="W280" s="137" t="str"/>
      <x:c r="X280" s="199" t="str"/>
    </x:row>
    <x:row r="281">
      <x:c r="A281" s="137" t="str"/>
      <x:c r="B281" s="138" t="str"/>
      <x:c r="C281" s="138" t="str"/>
      <x:c r="D281" s="137" t="str"/>
      <x:c r="E281" s="137" t="str"/>
      <x:c r="F281" s="137" t="str"/>
      <x:c r="G281" s="137" t="str"/>
      <x:c r="H281" s="137" t="str"/>
      <x:c r="I281" s="137" t="str"/>
      <x:c r="J281" s="151" t="str"/>
      <x:c r="K281" s="151" t="str"/>
      <x:c r="L281" s="152" t="str">
        <x:f>IF(OR(J281="",K281=""),"",ROUNDUP(J281/K281,0))</x:f>
      </x:c>
      <x:c r="M281" s="151" t="str"/>
      <x:c r="N281" s="137" t="str"/>
      <x:c r="O281" s="137" t="str"/>
      <x:c r="P281" s="137" t="str"/>
      <x:c r="Q281" s="137" t="str"/>
      <x:c r="R281" s="137" t="str"/>
      <x:c r="S281" s="137" t="str"/>
      <x:c r="T281" s="137" t="str"/>
      <x:c r="U281" s="137" t="str"/>
      <x:c r="V281" s="137" t="str"/>
      <x:c r="W281" s="137" t="str"/>
      <x:c r="X281" s="199" t="str"/>
    </x:row>
    <x:row r="282">
      <x:c r="A282" s="137" t="str"/>
      <x:c r="B282" s="138" t="str"/>
      <x:c r="C282" s="138" t="str"/>
      <x:c r="D282" s="137" t="str"/>
      <x:c r="E282" s="137" t="str"/>
      <x:c r="F282" s="137" t="str"/>
      <x:c r="G282" s="137" t="str"/>
      <x:c r="H282" s="137" t="str"/>
      <x:c r="I282" s="137" t="str"/>
      <x:c r="J282" s="151" t="str"/>
      <x:c r="K282" s="151" t="str"/>
      <x:c r="L282" s="152" t="str">
        <x:f>IF(OR(J282="",K282=""),"",ROUNDUP(J282/K282,0))</x:f>
      </x:c>
      <x:c r="M282" s="151" t="str"/>
      <x:c r="N282" s="137" t="str"/>
      <x:c r="O282" s="137" t="str"/>
      <x:c r="P282" s="137" t="str"/>
      <x:c r="Q282" s="137" t="str"/>
      <x:c r="R282" s="137" t="str"/>
      <x:c r="S282" s="137" t="str"/>
      <x:c r="T282" s="137" t="str"/>
      <x:c r="U282" s="137" t="str"/>
      <x:c r="V282" s="137" t="str"/>
      <x:c r="W282" s="137" t="str"/>
      <x:c r="X282" s="199" t="str"/>
    </x:row>
    <x:row r="283">
      <x:c r="A283" s="137" t="str"/>
      <x:c r="B283" s="138" t="str"/>
      <x:c r="C283" s="138" t="str"/>
      <x:c r="D283" s="137" t="str"/>
      <x:c r="E283" s="137" t="str"/>
      <x:c r="F283" s="137" t="str"/>
      <x:c r="G283" s="137" t="str"/>
      <x:c r="H283" s="137" t="str"/>
      <x:c r="I283" s="137" t="str"/>
      <x:c r="J283" s="151" t="str"/>
      <x:c r="K283" s="151" t="str"/>
      <x:c r="L283" s="152" t="str">
        <x:f>IF(OR(J283="",K283=""),"",ROUNDUP(J283/K283,0))</x:f>
      </x:c>
      <x:c r="M283" s="151" t="str"/>
      <x:c r="N283" s="137" t="str"/>
      <x:c r="O283" s="137" t="str"/>
      <x:c r="P283" s="137" t="str"/>
      <x:c r="Q283" s="137" t="str"/>
      <x:c r="R283" s="137" t="str"/>
      <x:c r="S283" s="137" t="str"/>
      <x:c r="T283" s="137" t="str"/>
      <x:c r="U283" s="137" t="str"/>
      <x:c r="V283" s="137" t="str"/>
      <x:c r="W283" s="137" t="str"/>
      <x:c r="X283" s="199" t="str"/>
    </x:row>
    <x:row r="284">
      <x:c r="A284" s="137" t="str"/>
      <x:c r="B284" s="138" t="str"/>
      <x:c r="C284" s="138" t="str"/>
      <x:c r="D284" s="137" t="str"/>
      <x:c r="E284" s="137" t="str"/>
      <x:c r="F284" s="137" t="str"/>
      <x:c r="G284" s="137" t="str"/>
      <x:c r="H284" s="137" t="str"/>
      <x:c r="I284" s="137" t="str"/>
      <x:c r="J284" s="151" t="str"/>
      <x:c r="K284" s="151" t="str"/>
      <x:c r="L284" s="152" t="str">
        <x:f>IF(OR(J284="",K284=""),"",ROUNDUP(J284/K284,0))</x:f>
      </x:c>
      <x:c r="M284" s="151" t="str"/>
      <x:c r="N284" s="137" t="str"/>
      <x:c r="O284" s="137" t="str"/>
      <x:c r="P284" s="137" t="str"/>
      <x:c r="Q284" s="137" t="str"/>
      <x:c r="R284" s="137" t="str"/>
      <x:c r="S284" s="137" t="str"/>
      <x:c r="T284" s="137" t="str"/>
      <x:c r="U284" s="137" t="str"/>
      <x:c r="V284" s="137" t="str"/>
      <x:c r="W284" s="137" t="str"/>
      <x:c r="X284" s="199" t="str"/>
    </x:row>
    <x:row r="285">
      <x:c r="A285" s="137" t="str"/>
      <x:c r="B285" s="138" t="str"/>
      <x:c r="C285" s="138" t="str"/>
      <x:c r="D285" s="137" t="str"/>
      <x:c r="E285" s="137" t="str"/>
      <x:c r="F285" s="137" t="str"/>
      <x:c r="G285" s="137" t="str"/>
      <x:c r="H285" s="137" t="str"/>
      <x:c r="I285" s="137" t="str"/>
      <x:c r="J285" s="151" t="str"/>
      <x:c r="K285" s="151" t="str"/>
      <x:c r="L285" s="152" t="str">
        <x:f>IF(OR(J285="",K285=""),"",ROUNDUP(J285/K285,0))</x:f>
      </x:c>
      <x:c r="M285" s="151" t="str"/>
      <x:c r="N285" s="137" t="str"/>
      <x:c r="O285" s="137" t="str"/>
      <x:c r="P285" s="137" t="str"/>
      <x:c r="Q285" s="137" t="str"/>
      <x:c r="R285" s="137" t="str"/>
      <x:c r="S285" s="137" t="str"/>
      <x:c r="T285" s="137" t="str"/>
      <x:c r="U285" s="137" t="str"/>
      <x:c r="V285" s="137" t="str"/>
      <x:c r="W285" s="137" t="str"/>
      <x:c r="X285" s="199" t="str"/>
    </x:row>
    <x:row r="286">
      <x:c r="A286" s="137" t="str"/>
      <x:c r="B286" s="138" t="str"/>
      <x:c r="C286" s="138" t="str"/>
      <x:c r="D286" s="137" t="str"/>
      <x:c r="E286" s="137" t="str"/>
      <x:c r="F286" s="137" t="str"/>
      <x:c r="G286" s="137" t="str"/>
      <x:c r="H286" s="137" t="str"/>
      <x:c r="I286" s="137" t="str"/>
      <x:c r="J286" s="151" t="str"/>
      <x:c r="K286" s="151" t="str"/>
      <x:c r="L286" s="152" t="str">
        <x:f>IF(OR(J286="",K286=""),"",ROUNDUP(J286/K286,0))</x:f>
      </x:c>
      <x:c r="M286" s="151" t="str"/>
      <x:c r="N286" s="137" t="str"/>
      <x:c r="O286" s="137" t="str"/>
      <x:c r="P286" s="137" t="str"/>
      <x:c r="Q286" s="137" t="str"/>
      <x:c r="R286" s="137" t="str"/>
      <x:c r="S286" s="137" t="str"/>
      <x:c r="T286" s="137" t="str"/>
      <x:c r="U286" s="137" t="str"/>
      <x:c r="V286" s="137" t="str"/>
      <x:c r="W286" s="137" t="str"/>
      <x:c r="X286" s="199" t="str"/>
    </x:row>
    <x:row r="287">
      <x:c r="A287" s="137" t="str"/>
      <x:c r="B287" s="138" t="str"/>
      <x:c r="C287" s="138" t="str"/>
      <x:c r="D287" s="137" t="str"/>
      <x:c r="E287" s="137" t="str"/>
      <x:c r="F287" s="137" t="str"/>
      <x:c r="G287" s="137" t="str"/>
      <x:c r="H287" s="137" t="str"/>
      <x:c r="I287" s="137" t="str"/>
      <x:c r="J287" s="151" t="str"/>
      <x:c r="K287" s="151" t="str"/>
      <x:c r="L287" s="152" t="str">
        <x:f>IF(OR(J287="",K287=""),"",ROUNDUP(J287/K287,0))</x:f>
      </x:c>
      <x:c r="M287" s="151" t="str"/>
      <x:c r="N287" s="137" t="str"/>
      <x:c r="O287" s="137" t="str"/>
      <x:c r="P287" s="137" t="str"/>
      <x:c r="Q287" s="137" t="str"/>
      <x:c r="R287" s="137" t="str"/>
      <x:c r="S287" s="137" t="str"/>
      <x:c r="T287" s="137" t="str"/>
      <x:c r="U287" s="137" t="str"/>
      <x:c r="V287" s="137" t="str"/>
      <x:c r="W287" s="137" t="str"/>
      <x:c r="X287" s="199" t="str"/>
    </x:row>
    <x:row r="288">
      <x:c r="A288" s="137" t="str"/>
      <x:c r="B288" s="138" t="str"/>
      <x:c r="C288" s="138" t="str"/>
      <x:c r="D288" s="137" t="str"/>
      <x:c r="E288" s="137" t="str"/>
      <x:c r="F288" s="137" t="str"/>
      <x:c r="G288" s="137" t="str"/>
      <x:c r="H288" s="137" t="str"/>
      <x:c r="I288" s="137" t="str"/>
      <x:c r="J288" s="151" t="str"/>
      <x:c r="K288" s="151" t="str"/>
      <x:c r="L288" s="152" t="str">
        <x:f>IF(OR(J288="",K288=""),"",ROUNDUP(J288/K288,0))</x:f>
      </x:c>
      <x:c r="M288" s="151" t="str"/>
      <x:c r="N288" s="137" t="str"/>
      <x:c r="O288" s="137" t="str"/>
      <x:c r="P288" s="137" t="str"/>
      <x:c r="Q288" s="137" t="str"/>
      <x:c r="R288" s="137" t="str"/>
      <x:c r="S288" s="137" t="str"/>
      <x:c r="T288" s="137" t="str"/>
      <x:c r="U288" s="137" t="str"/>
      <x:c r="V288" s="137" t="str"/>
      <x:c r="W288" s="137" t="str"/>
      <x:c r="X288" s="199" t="str"/>
    </x:row>
    <x:row r="289">
      <x:c r="A289" s="137" t="str"/>
      <x:c r="B289" s="138" t="str"/>
      <x:c r="C289" s="138" t="str"/>
      <x:c r="D289" s="137" t="str"/>
      <x:c r="E289" s="137" t="str"/>
      <x:c r="F289" s="137" t="str"/>
      <x:c r="G289" s="137" t="str"/>
      <x:c r="H289" s="137" t="str"/>
      <x:c r="I289" s="137" t="str"/>
      <x:c r="J289" s="151" t="str"/>
      <x:c r="K289" s="151" t="str"/>
      <x:c r="L289" s="152" t="str">
        <x:f>IF(OR(J289="",K289=""),"",ROUNDUP(J289/K289,0))</x:f>
      </x:c>
      <x:c r="M289" s="151" t="str"/>
      <x:c r="N289" s="137" t="str"/>
      <x:c r="O289" s="137" t="str"/>
      <x:c r="P289" s="137" t="str"/>
      <x:c r="Q289" s="137" t="str"/>
      <x:c r="R289" s="137" t="str"/>
      <x:c r="S289" s="137" t="str"/>
      <x:c r="T289" s="137" t="str"/>
      <x:c r="U289" s="137" t="str"/>
      <x:c r="V289" s="137" t="str"/>
      <x:c r="W289" s="137" t="str"/>
      <x:c r="X289" s="199" t="str"/>
    </x:row>
    <x:row r="290">
      <x:c r="A290" s="137" t="str"/>
      <x:c r="B290" s="138" t="str"/>
      <x:c r="C290" s="138" t="str"/>
      <x:c r="D290" s="137" t="str"/>
      <x:c r="E290" s="137" t="str"/>
      <x:c r="F290" s="137" t="str"/>
      <x:c r="G290" s="137" t="str"/>
      <x:c r="H290" s="137" t="str"/>
      <x:c r="I290" s="137" t="str"/>
      <x:c r="J290" s="151" t="str"/>
      <x:c r="K290" s="151" t="str"/>
      <x:c r="L290" s="152" t="str">
        <x:f>IF(OR(J290="",K290=""),"",ROUNDUP(J290/K290,0))</x:f>
      </x:c>
      <x:c r="M290" s="151" t="str"/>
      <x:c r="N290" s="137" t="str"/>
      <x:c r="O290" s="137" t="str"/>
      <x:c r="P290" s="137" t="str"/>
      <x:c r="Q290" s="137" t="str"/>
      <x:c r="R290" s="137" t="str"/>
      <x:c r="S290" s="137" t="str"/>
      <x:c r="T290" s="137" t="str"/>
      <x:c r="U290" s="137" t="str"/>
      <x:c r="V290" s="137" t="str"/>
      <x:c r="W290" s="137" t="str"/>
      <x:c r="X290" s="199" t="str"/>
    </x:row>
    <x:row r="291">
      <x:c r="A291" s="137" t="str"/>
      <x:c r="B291" s="138" t="str"/>
      <x:c r="C291" s="138" t="str"/>
      <x:c r="D291" s="137" t="str"/>
      <x:c r="E291" s="137" t="str"/>
      <x:c r="F291" s="137" t="str"/>
      <x:c r="G291" s="137" t="str"/>
      <x:c r="H291" s="137" t="str"/>
      <x:c r="I291" s="137" t="str"/>
      <x:c r="J291" s="151" t="str"/>
      <x:c r="K291" s="151" t="str"/>
      <x:c r="L291" s="152" t="str">
        <x:f>IF(OR(J291="",K291=""),"",ROUNDUP(J291/K291,0))</x:f>
      </x:c>
      <x:c r="M291" s="151" t="str"/>
      <x:c r="N291" s="137" t="str"/>
      <x:c r="O291" s="137" t="str"/>
      <x:c r="P291" s="137" t="str"/>
      <x:c r="Q291" s="137" t="str"/>
      <x:c r="R291" s="137" t="str"/>
      <x:c r="S291" s="137" t="str"/>
      <x:c r="T291" s="137" t="str"/>
      <x:c r="U291" s="137" t="str"/>
      <x:c r="V291" s="137" t="str"/>
      <x:c r="W291" s="137" t="str"/>
      <x:c r="X291" s="199" t="str"/>
    </x:row>
    <x:row r="292">
      <x:c r="A292" s="137" t="str"/>
      <x:c r="B292" s="138" t="str"/>
      <x:c r="C292" s="138" t="str"/>
      <x:c r="D292" s="137" t="str"/>
      <x:c r="E292" s="137" t="str"/>
      <x:c r="F292" s="137" t="str"/>
      <x:c r="G292" s="137" t="str"/>
      <x:c r="H292" s="137" t="str"/>
      <x:c r="I292" s="137" t="str"/>
      <x:c r="J292" s="151" t="str"/>
      <x:c r="K292" s="151" t="str"/>
      <x:c r="L292" s="152" t="str">
        <x:f>IF(OR(J292="",K292=""),"",ROUNDUP(J292/K292,0))</x:f>
      </x:c>
      <x:c r="M292" s="151" t="str"/>
      <x:c r="N292" s="137" t="str"/>
      <x:c r="O292" s="137" t="str"/>
      <x:c r="P292" s="137" t="str"/>
      <x:c r="Q292" s="137" t="str"/>
      <x:c r="R292" s="137" t="str"/>
      <x:c r="S292" s="137" t="str"/>
      <x:c r="T292" s="137" t="str"/>
      <x:c r="U292" s="137" t="str"/>
      <x:c r="V292" s="137" t="str"/>
      <x:c r="W292" s="137" t="str"/>
      <x:c r="X292" s="199" t="str"/>
    </x:row>
    <x:row r="293">
      <x:c r="A293" s="137" t="str"/>
      <x:c r="B293" s="138" t="str"/>
      <x:c r="C293" s="138" t="str"/>
      <x:c r="D293" s="137" t="str"/>
      <x:c r="E293" s="137" t="str"/>
      <x:c r="F293" s="137" t="str"/>
      <x:c r="G293" s="137" t="str"/>
      <x:c r="H293" s="137" t="str"/>
      <x:c r="I293" s="137" t="str"/>
      <x:c r="J293" s="151" t="str"/>
      <x:c r="K293" s="151" t="str"/>
      <x:c r="L293" s="152" t="str">
        <x:f>IF(OR(J293="",K293=""),"",ROUNDUP(J293/K293,0))</x:f>
      </x:c>
      <x:c r="M293" s="151" t="str"/>
      <x:c r="N293" s="137" t="str"/>
      <x:c r="O293" s="137" t="str"/>
      <x:c r="P293" s="137" t="str"/>
      <x:c r="Q293" s="137" t="str"/>
      <x:c r="R293" s="137" t="str"/>
      <x:c r="S293" s="137" t="str"/>
      <x:c r="T293" s="137" t="str"/>
      <x:c r="U293" s="137" t="str"/>
      <x:c r="V293" s="137" t="str"/>
      <x:c r="W293" s="137" t="str"/>
      <x:c r="X293" s="199" t="str"/>
    </x:row>
    <x:row r="294">
      <x:c r="A294" s="137" t="str"/>
      <x:c r="B294" s="138" t="str"/>
      <x:c r="C294" s="138" t="str"/>
      <x:c r="D294" s="137" t="str"/>
      <x:c r="E294" s="137" t="str"/>
      <x:c r="F294" s="137" t="str"/>
      <x:c r="G294" s="137" t="str"/>
      <x:c r="H294" s="137" t="str"/>
      <x:c r="I294" s="137" t="str"/>
      <x:c r="J294" s="151" t="str"/>
      <x:c r="K294" s="151" t="str"/>
      <x:c r="L294" s="152" t="str">
        <x:f>IF(OR(J294="",K294=""),"",ROUNDUP(J294/K294,0))</x:f>
      </x:c>
      <x:c r="M294" s="151" t="str"/>
      <x:c r="N294" s="137" t="str"/>
      <x:c r="O294" s="137" t="str"/>
      <x:c r="P294" s="137" t="str"/>
      <x:c r="Q294" s="137" t="str"/>
      <x:c r="R294" s="137" t="str"/>
      <x:c r="S294" s="137" t="str"/>
      <x:c r="T294" s="137" t="str"/>
      <x:c r="U294" s="137" t="str"/>
      <x:c r="V294" s="137" t="str"/>
      <x:c r="W294" s="137" t="str"/>
      <x:c r="X294" s="199" t="str"/>
    </x:row>
    <x:row r="295">
      <x:c r="A295" s="137" t="str"/>
      <x:c r="B295" s="138" t="str"/>
      <x:c r="C295" s="138" t="str"/>
      <x:c r="D295" s="137" t="str"/>
      <x:c r="E295" s="137" t="str"/>
      <x:c r="F295" s="137" t="str"/>
      <x:c r="G295" s="137" t="str"/>
      <x:c r="H295" s="137" t="str"/>
      <x:c r="I295" s="137" t="str"/>
      <x:c r="J295" s="151" t="str"/>
      <x:c r="K295" s="151" t="str"/>
      <x:c r="L295" s="152" t="str">
        <x:f>IF(OR(J295="",K295=""),"",ROUNDUP(J295/K295,0))</x:f>
      </x:c>
      <x:c r="M295" s="151" t="str"/>
      <x:c r="N295" s="137" t="str"/>
      <x:c r="O295" s="137" t="str"/>
      <x:c r="P295" s="137" t="str"/>
      <x:c r="Q295" s="137" t="str"/>
      <x:c r="R295" s="137" t="str"/>
      <x:c r="S295" s="137" t="str"/>
      <x:c r="T295" s="137" t="str"/>
      <x:c r="U295" s="137" t="str"/>
      <x:c r="V295" s="137" t="str"/>
      <x:c r="W295" s="137" t="str"/>
      <x:c r="X295" s="199" t="str"/>
    </x:row>
    <x:row r="296">
      <x:c r="A296" s="137" t="str"/>
      <x:c r="B296" s="138" t="str"/>
      <x:c r="C296" s="138" t="str"/>
      <x:c r="D296" s="137" t="str"/>
      <x:c r="E296" s="137" t="str"/>
      <x:c r="F296" s="137" t="str"/>
      <x:c r="G296" s="137" t="str"/>
      <x:c r="H296" s="137" t="str"/>
      <x:c r="I296" s="137" t="str"/>
      <x:c r="J296" s="151" t="str"/>
      <x:c r="K296" s="151" t="str"/>
      <x:c r="L296" s="152" t="str">
        <x:f>IF(OR(J296="",K296=""),"",ROUNDUP(J296/K296,0))</x:f>
      </x:c>
      <x:c r="M296" s="151" t="str"/>
      <x:c r="N296" s="137" t="str"/>
      <x:c r="O296" s="137" t="str"/>
      <x:c r="P296" s="137" t="str"/>
      <x:c r="Q296" s="137" t="str"/>
      <x:c r="R296" s="137" t="str"/>
      <x:c r="S296" s="137" t="str"/>
      <x:c r="T296" s="137" t="str"/>
      <x:c r="U296" s="137" t="str"/>
      <x:c r="V296" s="137" t="str"/>
      <x:c r="W296" s="137" t="str"/>
      <x:c r="X296" s="199" t="str"/>
    </x:row>
    <x:row r="297">
      <x:c r="A297" s="137" t="str"/>
      <x:c r="B297" s="138" t="str"/>
      <x:c r="C297" s="138" t="str"/>
      <x:c r="D297" s="137" t="str"/>
      <x:c r="E297" s="137" t="str"/>
      <x:c r="F297" s="137" t="str"/>
      <x:c r="G297" s="137" t="str"/>
      <x:c r="H297" s="137" t="str"/>
      <x:c r="I297" s="137" t="str"/>
      <x:c r="J297" s="151" t="str"/>
      <x:c r="K297" s="151" t="str"/>
      <x:c r="L297" s="152" t="str">
        <x:f>IF(OR(J297="",K297=""),"",ROUNDUP(J297/K297,0))</x:f>
      </x:c>
      <x:c r="M297" s="151" t="str"/>
      <x:c r="N297" s="137" t="str"/>
      <x:c r="O297" s="137" t="str"/>
      <x:c r="P297" s="137" t="str"/>
      <x:c r="Q297" s="137" t="str"/>
      <x:c r="R297" s="137" t="str"/>
      <x:c r="S297" s="137" t="str"/>
      <x:c r="T297" s="137" t="str"/>
      <x:c r="U297" s="137" t="str"/>
      <x:c r="V297" s="137" t="str"/>
      <x:c r="W297" s="137" t="str"/>
      <x:c r="X297" s="199" t="str"/>
    </x:row>
    <x:row r="298">
      <x:c r="A298" s="137" t="str"/>
      <x:c r="B298" s="138" t="str"/>
      <x:c r="C298" s="138" t="str"/>
      <x:c r="D298" s="137" t="str"/>
      <x:c r="E298" s="137" t="str"/>
      <x:c r="F298" s="137" t="str"/>
      <x:c r="G298" s="137" t="str"/>
      <x:c r="H298" s="137" t="str"/>
      <x:c r="I298" s="137" t="str"/>
      <x:c r="J298" s="151" t="str"/>
      <x:c r="K298" s="151" t="str"/>
      <x:c r="L298" s="152" t="str">
        <x:f>IF(OR(J298="",K298=""),"",ROUNDUP(J298/K298,0))</x:f>
      </x:c>
      <x:c r="M298" s="151" t="str"/>
      <x:c r="N298" s="137" t="str"/>
      <x:c r="O298" s="137" t="str"/>
      <x:c r="P298" s="137" t="str"/>
      <x:c r="Q298" s="137" t="str"/>
      <x:c r="R298" s="137" t="str"/>
      <x:c r="S298" s="137" t="str"/>
      <x:c r="T298" s="137" t="str"/>
      <x:c r="U298" s="137" t="str"/>
      <x:c r="V298" s="137" t="str"/>
      <x:c r="W298" s="137" t="str"/>
      <x:c r="X298" s="199" t="str"/>
    </x:row>
    <x:row r="299">
      <x:c r="A299" s="137" t="str"/>
      <x:c r="B299" s="138" t="str"/>
      <x:c r="C299" s="138" t="str"/>
      <x:c r="D299" s="137" t="str"/>
      <x:c r="E299" s="137" t="str"/>
      <x:c r="F299" s="137" t="str"/>
      <x:c r="G299" s="137" t="str"/>
      <x:c r="H299" s="137" t="str"/>
      <x:c r="I299" s="137" t="str"/>
      <x:c r="J299" s="151" t="str"/>
      <x:c r="K299" s="151" t="str"/>
      <x:c r="L299" s="152" t="str">
        <x:f>IF(OR(J299="",K299=""),"",ROUNDUP(J299/K299,0))</x:f>
      </x:c>
      <x:c r="M299" s="151" t="str"/>
      <x:c r="N299" s="137" t="str"/>
      <x:c r="O299" s="137" t="str"/>
      <x:c r="P299" s="137" t="str"/>
      <x:c r="Q299" s="137" t="str"/>
      <x:c r="R299" s="137" t="str"/>
      <x:c r="S299" s="137" t="str"/>
      <x:c r="T299" s="137" t="str"/>
      <x:c r="U299" s="137" t="str"/>
      <x:c r="V299" s="137" t="str"/>
      <x:c r="W299" s="137" t="str"/>
      <x:c r="X299" s="199" t="str"/>
    </x:row>
    <x:row r="300">
      <x:c r="A300" s="137" t="str"/>
      <x:c r="B300" s="138" t="str"/>
      <x:c r="C300" s="138" t="str"/>
      <x:c r="D300" s="137" t="str"/>
      <x:c r="E300" s="137" t="str"/>
      <x:c r="F300" s="137" t="str"/>
      <x:c r="G300" s="137" t="str"/>
      <x:c r="H300" s="137" t="str"/>
      <x:c r="I300" s="137" t="str"/>
      <x:c r="J300" s="151" t="str"/>
      <x:c r="K300" s="151" t="str"/>
      <x:c r="L300" s="152" t="str">
        <x:f>IF(OR(J300="",K300=""),"",ROUNDUP(J300/K300,0))</x:f>
      </x:c>
      <x:c r="M300" s="151" t="str"/>
      <x:c r="N300" s="137" t="str"/>
      <x:c r="O300" s="137" t="str"/>
      <x:c r="P300" s="137" t="str"/>
      <x:c r="Q300" s="137" t="str"/>
      <x:c r="R300" s="137" t="str"/>
      <x:c r="S300" s="137" t="str"/>
      <x:c r="T300" s="137" t="str"/>
      <x:c r="U300" s="137" t="str"/>
      <x:c r="V300" s="137" t="str"/>
      <x:c r="W300" s="137" t="str"/>
      <x:c r="X300" s="199" t="str"/>
    </x:row>
    <x:row r="301">
      <x:c r="A301" s="137" t="str"/>
      <x:c r="B301" s="138" t="str"/>
      <x:c r="C301" s="138" t="str"/>
      <x:c r="D301" s="137" t="str"/>
      <x:c r="E301" s="137" t="str"/>
      <x:c r="F301" s="137" t="str"/>
      <x:c r="G301" s="137" t="str"/>
      <x:c r="H301" s="137" t="str"/>
      <x:c r="I301" s="137" t="str"/>
      <x:c r="J301" s="151" t="str"/>
      <x:c r="K301" s="151" t="str"/>
      <x:c r="L301" s="152" t="str">
        <x:f>IF(OR(J301="",K301=""),"",ROUNDUP(J301/K301,0))</x:f>
      </x:c>
      <x:c r="M301" s="151" t="str"/>
      <x:c r="N301" s="137" t="str"/>
      <x:c r="O301" s="137" t="str"/>
      <x:c r="P301" s="137" t="str"/>
      <x:c r="Q301" s="137" t="str"/>
      <x:c r="R301" s="137" t="str"/>
      <x:c r="S301" s="137" t="str"/>
      <x:c r="T301" s="137" t="str"/>
      <x:c r="U301" s="137" t="str"/>
      <x:c r="V301" s="137" t="str"/>
      <x:c r="W301" s="137" t="str"/>
      <x:c r="X301" s="199" t="str"/>
    </x:row>
    <x:row r="302">
      <x:c r="A302" s="137" t="str"/>
      <x:c r="B302" s="138" t="str"/>
      <x:c r="C302" s="138" t="str"/>
      <x:c r="D302" s="137" t="str"/>
      <x:c r="E302" s="137" t="str"/>
      <x:c r="F302" s="137" t="str"/>
      <x:c r="G302" s="137" t="str"/>
      <x:c r="H302" s="137" t="str"/>
      <x:c r="I302" s="137" t="str"/>
      <x:c r="J302" s="151" t="str"/>
      <x:c r="K302" s="151" t="str"/>
      <x:c r="L302" s="152" t="str">
        <x:f>IF(OR(J302="",K302=""),"",ROUNDUP(J302/K302,0))</x:f>
      </x:c>
      <x:c r="M302" s="151" t="str"/>
      <x:c r="N302" s="137" t="str"/>
      <x:c r="O302" s="137" t="str"/>
      <x:c r="P302" s="137" t="str"/>
      <x:c r="Q302" s="137" t="str"/>
      <x:c r="R302" s="137" t="str"/>
      <x:c r="S302" s="137" t="str"/>
      <x:c r="T302" s="137" t="str"/>
      <x:c r="U302" s="137" t="str"/>
      <x:c r="V302" s="137" t="str"/>
      <x:c r="W302" s="137" t="str"/>
      <x:c r="X302" s="199" t="str"/>
    </x:row>
    <x:row r="303">
      <x:c r="A303" s="137" t="str"/>
      <x:c r="B303" s="138" t="str"/>
      <x:c r="C303" s="138" t="str"/>
      <x:c r="D303" s="137" t="str"/>
      <x:c r="E303" s="137" t="str"/>
      <x:c r="F303" s="137" t="str"/>
      <x:c r="G303" s="137" t="str"/>
      <x:c r="H303" s="137" t="str"/>
      <x:c r="I303" s="137" t="str"/>
      <x:c r="J303" s="151" t="str"/>
      <x:c r="K303" s="151" t="str"/>
      <x:c r="L303" s="152" t="str">
        <x:f>IF(OR(J303="",K303=""),"",ROUNDUP(J303/K303,0))</x:f>
      </x:c>
      <x:c r="M303" s="151" t="str"/>
      <x:c r="N303" s="137" t="str"/>
      <x:c r="O303" s="137" t="str"/>
      <x:c r="P303" s="137" t="str"/>
      <x:c r="Q303" s="137" t="str"/>
      <x:c r="R303" s="137" t="str"/>
      <x:c r="S303" s="137" t="str"/>
      <x:c r="T303" s="137" t="str"/>
      <x:c r="U303" s="137" t="str"/>
      <x:c r="V303" s="137" t="str"/>
      <x:c r="W303" s="137" t="str"/>
      <x:c r="X303" s="199" t="str"/>
    </x:row>
    <x:row r="304">
      <x:c r="A304" s="137" t="str"/>
      <x:c r="B304" s="138" t="str"/>
      <x:c r="C304" s="138" t="str"/>
      <x:c r="D304" s="137" t="str"/>
      <x:c r="E304" s="137" t="str"/>
      <x:c r="F304" s="137" t="str"/>
      <x:c r="G304" s="137" t="str"/>
      <x:c r="H304" s="137" t="str"/>
      <x:c r="I304" s="137" t="str"/>
      <x:c r="J304" s="151" t="str"/>
      <x:c r="K304" s="151" t="str"/>
      <x:c r="L304" s="152" t="str">
        <x:f>IF(OR(J304="",K304=""),"",ROUNDUP(J304/K304,0))</x:f>
      </x:c>
      <x:c r="M304" s="151" t="str"/>
      <x:c r="N304" s="137" t="str"/>
      <x:c r="O304" s="137" t="str"/>
      <x:c r="P304" s="137" t="str"/>
      <x:c r="Q304" s="137" t="str"/>
      <x:c r="R304" s="137" t="str"/>
      <x:c r="S304" s="137" t="str"/>
      <x:c r="T304" s="137" t="str"/>
      <x:c r="U304" s="137" t="str"/>
      <x:c r="V304" s="137" t="str"/>
      <x:c r="W304" s="137" t="str"/>
      <x:c r="X304" s="199" t="str"/>
    </x:row>
    <x:row r="305">
      <x:c r="A305" s="137" t="str"/>
      <x:c r="B305" s="138" t="str"/>
      <x:c r="C305" s="138" t="str"/>
      <x:c r="D305" s="137" t="str"/>
      <x:c r="E305" s="137" t="str"/>
      <x:c r="F305" s="137" t="str"/>
      <x:c r="G305" s="137" t="str"/>
      <x:c r="H305" s="137" t="str"/>
      <x:c r="I305" s="137" t="str"/>
      <x:c r="J305" s="151" t="str"/>
      <x:c r="K305" s="151" t="str"/>
      <x:c r="L305" s="152" t="str">
        <x:f>IF(OR(J305="",K305=""),"",ROUNDUP(J305/K305,0))</x:f>
      </x:c>
      <x:c r="M305" s="151" t="str"/>
      <x:c r="N305" s="137" t="str"/>
      <x:c r="O305" s="137" t="str"/>
      <x:c r="P305" s="137" t="str"/>
      <x:c r="Q305" s="137" t="str"/>
      <x:c r="R305" s="137" t="str"/>
      <x:c r="S305" s="137" t="str"/>
      <x:c r="T305" s="137" t="str"/>
      <x:c r="U305" s="137" t="str"/>
      <x:c r="V305" s="137" t="str"/>
      <x:c r="W305" s="137" t="str"/>
      <x:c r="X305" s="199" t="str"/>
    </x:row>
    <x:row r="306">
      <x:c r="A306" s="137" t="str"/>
      <x:c r="B306" s="138" t="str"/>
      <x:c r="C306" s="138" t="str"/>
      <x:c r="D306" s="137" t="str"/>
      <x:c r="E306" s="137" t="str"/>
      <x:c r="F306" s="137" t="str"/>
      <x:c r="G306" s="137" t="str"/>
      <x:c r="H306" s="137" t="str"/>
      <x:c r="I306" s="137" t="str"/>
      <x:c r="J306" s="151" t="str"/>
      <x:c r="K306" s="151" t="str"/>
      <x:c r="L306" s="152" t="str">
        <x:f>IF(OR(J306="",K306=""),"",ROUNDUP(J306/K306,0))</x:f>
      </x:c>
      <x:c r="M306" s="151" t="str"/>
      <x:c r="N306" s="137" t="str"/>
      <x:c r="O306" s="137" t="str"/>
      <x:c r="P306" s="137" t="str"/>
      <x:c r="Q306" s="137" t="str"/>
      <x:c r="R306" s="137" t="str"/>
      <x:c r="S306" s="137" t="str"/>
      <x:c r="T306" s="137" t="str"/>
      <x:c r="U306" s="137" t="str"/>
      <x:c r="V306" s="137" t="str"/>
      <x:c r="W306" s="137" t="str"/>
      <x:c r="X306" s="199" t="str"/>
    </x:row>
    <x:row r="307">
      <x:c r="A307" s="137" t="str"/>
      <x:c r="B307" s="138" t="str"/>
      <x:c r="C307" s="138" t="str"/>
      <x:c r="D307" s="137" t="str"/>
      <x:c r="E307" s="137" t="str"/>
      <x:c r="F307" s="137" t="str"/>
      <x:c r="G307" s="137" t="str"/>
      <x:c r="H307" s="137" t="str"/>
      <x:c r="I307" s="137" t="str"/>
      <x:c r="J307" s="151" t="str"/>
      <x:c r="K307" s="151" t="str"/>
      <x:c r="L307" s="152" t="str">
        <x:f>IF(OR(J307="",K307=""),"",ROUNDUP(J307/K307,0))</x:f>
      </x:c>
      <x:c r="M307" s="151" t="str"/>
      <x:c r="N307" s="137" t="str"/>
      <x:c r="O307" s="137" t="str"/>
      <x:c r="P307" s="137" t="str"/>
      <x:c r="Q307" s="137" t="str"/>
      <x:c r="R307" s="137" t="str"/>
      <x:c r="S307" s="137" t="str"/>
      <x:c r="T307" s="137" t="str"/>
      <x:c r="U307" s="137" t="str"/>
      <x:c r="V307" s="137" t="str"/>
      <x:c r="W307" s="137" t="str"/>
      <x:c r="X307" s="199" t="str"/>
    </x:row>
    <x:row r="308">
      <x:c r="A308" s="137" t="str"/>
      <x:c r="B308" s="138" t="str"/>
      <x:c r="C308" s="138" t="str"/>
      <x:c r="D308" s="137" t="str"/>
      <x:c r="E308" s="137" t="str"/>
      <x:c r="F308" s="137" t="str"/>
      <x:c r="G308" s="137" t="str"/>
      <x:c r="H308" s="137" t="str"/>
      <x:c r="I308" s="137" t="str"/>
      <x:c r="J308" s="151" t="str"/>
      <x:c r="K308" s="151" t="str"/>
      <x:c r="L308" s="152" t="str">
        <x:f>IF(OR(J308="",K308=""),"",ROUNDUP(J308/K308,0))</x:f>
      </x:c>
      <x:c r="M308" s="151" t="str"/>
      <x:c r="N308" s="137" t="str"/>
      <x:c r="O308" s="137" t="str"/>
      <x:c r="P308" s="137" t="str"/>
      <x:c r="Q308" s="137" t="str"/>
      <x:c r="R308" s="137" t="str"/>
      <x:c r="S308" s="137" t="str"/>
      <x:c r="T308" s="137" t="str"/>
      <x:c r="U308" s="137" t="str"/>
      <x:c r="V308" s="137" t="str"/>
      <x:c r="W308" s="137" t="str"/>
      <x:c r="X308" s="199" t="str"/>
    </x:row>
    <x:row r="309">
      <x:c r="A309" s="137" t="str"/>
      <x:c r="B309" s="138" t="str"/>
      <x:c r="C309" s="138" t="str"/>
      <x:c r="D309" s="137" t="str"/>
      <x:c r="E309" s="137" t="str"/>
      <x:c r="F309" s="137" t="str"/>
      <x:c r="G309" s="137" t="str"/>
      <x:c r="H309" s="137" t="str"/>
      <x:c r="I309" s="137" t="str"/>
      <x:c r="J309" s="151" t="str"/>
      <x:c r="K309" s="151" t="str"/>
      <x:c r="L309" s="152" t="str">
        <x:f>IF(OR(J309="",K309=""),"",ROUNDUP(J309/K309,0))</x:f>
      </x:c>
      <x:c r="M309" s="151" t="str"/>
      <x:c r="N309" s="137" t="str"/>
      <x:c r="O309" s="137" t="str"/>
      <x:c r="P309" s="137" t="str"/>
      <x:c r="Q309" s="137" t="str"/>
      <x:c r="R309" s="137" t="str"/>
      <x:c r="S309" s="137" t="str"/>
      <x:c r="T309" s="137" t="str"/>
      <x:c r="U309" s="137" t="str"/>
      <x:c r="V309" s="137" t="str"/>
      <x:c r="W309" s="137" t="str"/>
      <x:c r="X309" s="199" t="str"/>
    </x:row>
    <x:row r="310">
      <x:c r="A310" s="137" t="str"/>
      <x:c r="B310" s="138" t="str"/>
      <x:c r="C310" s="138" t="str"/>
      <x:c r="D310" s="137" t="str"/>
      <x:c r="E310" s="137" t="str"/>
      <x:c r="F310" s="137" t="str"/>
      <x:c r="G310" s="137" t="str"/>
      <x:c r="H310" s="137" t="str"/>
      <x:c r="I310" s="137" t="str"/>
      <x:c r="J310" s="151" t="str"/>
      <x:c r="K310" s="151" t="str"/>
      <x:c r="L310" s="152" t="str">
        <x:f>IF(OR(J310="",K310=""),"",ROUNDUP(J310/K310,0))</x:f>
      </x:c>
      <x:c r="M310" s="151" t="str"/>
      <x:c r="N310" s="137" t="str"/>
      <x:c r="O310" s="137" t="str"/>
      <x:c r="P310" s="137" t="str"/>
      <x:c r="Q310" s="137" t="str"/>
      <x:c r="R310" s="137" t="str"/>
      <x:c r="S310" s="137" t="str"/>
      <x:c r="T310" s="137" t="str"/>
      <x:c r="U310" s="137" t="str"/>
      <x:c r="V310" s="137" t="str"/>
      <x:c r="W310" s="137" t="str"/>
      <x:c r="X310" s="199" t="str"/>
    </x:row>
    <x:row r="311">
      <x:c r="A311" s="137" t="str"/>
      <x:c r="B311" s="138" t="str"/>
      <x:c r="C311" s="138" t="str"/>
      <x:c r="D311" s="137" t="str"/>
      <x:c r="E311" s="137" t="str"/>
      <x:c r="F311" s="137" t="str"/>
      <x:c r="G311" s="137" t="str"/>
      <x:c r="H311" s="137" t="str"/>
      <x:c r="I311" s="137" t="str"/>
      <x:c r="J311" s="151" t="str"/>
      <x:c r="K311" s="151" t="str"/>
      <x:c r="L311" s="152" t="str">
        <x:f>IF(OR(J311="",K311=""),"",ROUNDUP(J311/K311,0))</x:f>
      </x:c>
      <x:c r="M311" s="151" t="str"/>
      <x:c r="N311" s="137" t="str"/>
      <x:c r="O311" s="137" t="str"/>
      <x:c r="P311" s="137" t="str"/>
      <x:c r="Q311" s="137" t="str"/>
      <x:c r="R311" s="137" t="str"/>
      <x:c r="S311" s="137" t="str"/>
      <x:c r="T311" s="137" t="str"/>
      <x:c r="U311" s="137" t="str"/>
      <x:c r="V311" s="137" t="str"/>
      <x:c r="W311" s="137" t="str"/>
      <x:c r="X311" s="199" t="str"/>
    </x:row>
    <x:row r="312">
      <x:c r="A312" s="137" t="str"/>
      <x:c r="B312" s="138" t="str"/>
      <x:c r="C312" s="138" t="str"/>
      <x:c r="D312" s="137" t="str"/>
      <x:c r="E312" s="137" t="str"/>
      <x:c r="F312" s="137" t="str"/>
      <x:c r="G312" s="137" t="str"/>
      <x:c r="H312" s="137" t="str"/>
      <x:c r="I312" s="137" t="str"/>
      <x:c r="J312" s="151" t="str"/>
      <x:c r="K312" s="151" t="str"/>
      <x:c r="L312" s="152" t="str">
        <x:f>IF(OR(J312="",K312=""),"",ROUNDUP(J312/K312,0))</x:f>
      </x:c>
      <x:c r="M312" s="151" t="str"/>
      <x:c r="N312" s="137" t="str"/>
      <x:c r="O312" s="137" t="str"/>
      <x:c r="P312" s="137" t="str"/>
      <x:c r="Q312" s="137" t="str"/>
      <x:c r="R312" s="137" t="str"/>
      <x:c r="S312" s="137" t="str"/>
      <x:c r="T312" s="137" t="str"/>
      <x:c r="U312" s="137" t="str"/>
      <x:c r="V312" s="137" t="str"/>
      <x:c r="W312" s="137" t="str"/>
      <x:c r="X312" s="199" t="str"/>
    </x:row>
    <x:row r="313">
      <x:c r="A313" s="137" t="str"/>
      <x:c r="B313" s="138" t="str"/>
      <x:c r="C313" s="138" t="str"/>
      <x:c r="D313" s="137" t="str"/>
      <x:c r="E313" s="137" t="str"/>
      <x:c r="F313" s="137" t="str"/>
      <x:c r="G313" s="137" t="str"/>
      <x:c r="H313" s="137" t="str"/>
      <x:c r="I313" s="137" t="str"/>
      <x:c r="J313" s="151" t="str"/>
      <x:c r="K313" s="151" t="str"/>
      <x:c r="L313" s="152" t="str">
        <x:f>IF(OR(J313="",K313=""),"",ROUNDUP(J313/K313,0))</x:f>
      </x:c>
      <x:c r="M313" s="151" t="str"/>
      <x:c r="N313" s="137" t="str"/>
      <x:c r="O313" s="137" t="str"/>
      <x:c r="P313" s="137" t="str"/>
      <x:c r="Q313" s="137" t="str"/>
      <x:c r="R313" s="137" t="str"/>
      <x:c r="S313" s="137" t="str"/>
      <x:c r="T313" s="137" t="str"/>
      <x:c r="U313" s="137" t="str"/>
      <x:c r="V313" s="137" t="str"/>
      <x:c r="W313" s="137" t="str"/>
      <x:c r="X313" s="199" t="str"/>
    </x:row>
    <x:row r="314">
      <x:c r="A314" s="137" t="str"/>
      <x:c r="B314" s="138" t="str"/>
      <x:c r="C314" s="138" t="str"/>
      <x:c r="D314" s="137" t="str"/>
      <x:c r="E314" s="137" t="str"/>
      <x:c r="F314" s="137" t="str"/>
      <x:c r="G314" s="137" t="str"/>
      <x:c r="H314" s="137" t="str"/>
      <x:c r="I314" s="137" t="str"/>
      <x:c r="J314" s="151" t="str"/>
      <x:c r="K314" s="151" t="str"/>
      <x:c r="L314" s="152" t="str">
        <x:f>IF(OR(J314="",K314=""),"",ROUNDUP(J314/K314,0))</x:f>
      </x:c>
      <x:c r="M314" s="151" t="str"/>
      <x:c r="N314" s="137" t="str"/>
      <x:c r="O314" s="137" t="str"/>
      <x:c r="P314" s="137" t="str"/>
      <x:c r="Q314" s="137" t="str"/>
      <x:c r="R314" s="137" t="str"/>
      <x:c r="S314" s="137" t="str"/>
      <x:c r="T314" s="137" t="str"/>
      <x:c r="U314" s="137" t="str"/>
      <x:c r="V314" s="137" t="str"/>
      <x:c r="W314" s="137" t="str"/>
      <x:c r="X314" s="199" t="str"/>
    </x:row>
    <x:row r="315">
      <x:c r="A315" s="137" t="str"/>
      <x:c r="B315" s="138" t="str"/>
      <x:c r="C315" s="138" t="str"/>
      <x:c r="D315" s="137" t="str"/>
      <x:c r="E315" s="137" t="str"/>
      <x:c r="F315" s="137" t="str"/>
      <x:c r="G315" s="137" t="str"/>
      <x:c r="H315" s="137" t="str"/>
      <x:c r="I315" s="137" t="str"/>
      <x:c r="J315" s="151" t="str"/>
      <x:c r="K315" s="151" t="str"/>
      <x:c r="L315" s="152" t="str">
        <x:f>IF(OR(J315="",K315=""),"",ROUNDUP(J315/K315,0))</x:f>
      </x:c>
      <x:c r="M315" s="151" t="str"/>
      <x:c r="N315" s="137" t="str"/>
      <x:c r="O315" s="137" t="str"/>
      <x:c r="P315" s="137" t="str"/>
      <x:c r="Q315" s="137" t="str"/>
      <x:c r="R315" s="137" t="str"/>
      <x:c r="S315" s="137" t="str"/>
      <x:c r="T315" s="137" t="str"/>
      <x:c r="U315" s="137" t="str"/>
      <x:c r="V315" s="137" t="str"/>
      <x:c r="W315" s="137" t="str"/>
      <x:c r="X315" s="199" t="str"/>
    </x:row>
    <x:row r="316">
      <x:c r="A316" s="137" t="str"/>
      <x:c r="B316" s="138" t="str"/>
      <x:c r="C316" s="138" t="str"/>
      <x:c r="D316" s="137" t="str"/>
      <x:c r="E316" s="137" t="str"/>
      <x:c r="F316" s="137" t="str"/>
      <x:c r="G316" s="137" t="str"/>
      <x:c r="H316" s="137" t="str"/>
      <x:c r="I316" s="137" t="str"/>
      <x:c r="J316" s="151" t="str"/>
      <x:c r="K316" s="151" t="str"/>
      <x:c r="L316" s="152" t="str">
        <x:f>IF(OR(J316="",K316=""),"",ROUNDUP(J316/K316,0))</x:f>
      </x:c>
      <x:c r="M316" s="151" t="str"/>
      <x:c r="N316" s="137" t="str"/>
      <x:c r="O316" s="137" t="str"/>
      <x:c r="P316" s="137" t="str"/>
      <x:c r="Q316" s="137" t="str"/>
      <x:c r="R316" s="137" t="str"/>
      <x:c r="S316" s="137" t="str"/>
      <x:c r="T316" s="137" t="str"/>
      <x:c r="U316" s="137" t="str"/>
      <x:c r="V316" s="137" t="str"/>
      <x:c r="W316" s="137" t="str"/>
      <x:c r="X316" s="199" t="str"/>
    </x:row>
    <x:row r="317">
      <x:c r="A317" s="137" t="str"/>
      <x:c r="B317" s="138" t="str"/>
      <x:c r="C317" s="138" t="str"/>
      <x:c r="D317" s="137" t="str"/>
      <x:c r="E317" s="137" t="str"/>
      <x:c r="F317" s="137" t="str"/>
      <x:c r="G317" s="137" t="str"/>
      <x:c r="H317" s="137" t="str"/>
      <x:c r="I317" s="137" t="str"/>
      <x:c r="J317" s="151" t="str"/>
      <x:c r="K317" s="151" t="str"/>
      <x:c r="L317" s="152" t="str">
        <x:f>IF(OR(J317="",K317=""),"",ROUNDUP(J317/K317,0))</x:f>
      </x:c>
      <x:c r="M317" s="151" t="str"/>
      <x:c r="N317" s="137" t="str"/>
      <x:c r="O317" s="137" t="str"/>
      <x:c r="P317" s="137" t="str"/>
      <x:c r="Q317" s="137" t="str"/>
      <x:c r="R317" s="137" t="str"/>
      <x:c r="S317" s="137" t="str"/>
      <x:c r="T317" s="137" t="str"/>
      <x:c r="U317" s="137" t="str"/>
      <x:c r="V317" s="137" t="str"/>
      <x:c r="W317" s="137" t="str"/>
      <x:c r="X317" s="199" t="str"/>
    </x:row>
    <x:row r="318">
      <x:c r="A318" s="137" t="str"/>
      <x:c r="B318" s="138" t="str"/>
      <x:c r="C318" s="138" t="str"/>
      <x:c r="D318" s="137" t="str"/>
      <x:c r="E318" s="137" t="str"/>
      <x:c r="F318" s="137" t="str"/>
      <x:c r="G318" s="137" t="str"/>
      <x:c r="H318" s="137" t="str"/>
      <x:c r="I318" s="137" t="str"/>
      <x:c r="J318" s="151" t="str"/>
      <x:c r="K318" s="151" t="str"/>
      <x:c r="L318" s="152" t="str">
        <x:f>IF(OR(J318="",K318=""),"",ROUNDUP(J318/K318,0))</x:f>
      </x:c>
      <x:c r="M318" s="151" t="str"/>
      <x:c r="N318" s="137" t="str"/>
      <x:c r="O318" s="137" t="str"/>
      <x:c r="P318" s="137" t="str"/>
      <x:c r="Q318" s="137" t="str"/>
      <x:c r="R318" s="137" t="str"/>
      <x:c r="S318" s="137" t="str"/>
      <x:c r="T318" s="137" t="str"/>
      <x:c r="U318" s="137" t="str"/>
      <x:c r="V318" s="137" t="str"/>
      <x:c r="W318" s="137" t="str"/>
      <x:c r="X318" s="199" t="str"/>
    </x:row>
    <x:row r="319">
      <x:c r="A319" s="137" t="str"/>
      <x:c r="B319" s="138" t="str"/>
      <x:c r="C319" s="138" t="str"/>
      <x:c r="D319" s="137" t="str"/>
      <x:c r="E319" s="137" t="str"/>
      <x:c r="F319" s="137" t="str"/>
      <x:c r="G319" s="137" t="str"/>
      <x:c r="H319" s="137" t="str"/>
      <x:c r="I319" s="137" t="str"/>
      <x:c r="J319" s="151" t="str"/>
      <x:c r="K319" s="151" t="str"/>
      <x:c r="L319" s="152" t="str">
        <x:f>IF(OR(J319="",K319=""),"",ROUNDUP(J319/K319,0))</x:f>
      </x:c>
      <x:c r="M319" s="151" t="str"/>
      <x:c r="N319" s="137" t="str"/>
      <x:c r="O319" s="137" t="str"/>
      <x:c r="P319" s="137" t="str"/>
      <x:c r="Q319" s="137" t="str"/>
      <x:c r="R319" s="137" t="str"/>
      <x:c r="S319" s="137" t="str"/>
      <x:c r="T319" s="137" t="str"/>
      <x:c r="U319" s="137" t="str"/>
      <x:c r="V319" s="137" t="str"/>
      <x:c r="W319" s="137" t="str"/>
      <x:c r="X319" s="199" t="str"/>
    </x:row>
    <x:row r="320">
      <x:c r="A320" s="137" t="str"/>
      <x:c r="B320" s="138" t="str"/>
      <x:c r="C320" s="138" t="str"/>
      <x:c r="D320" s="137" t="str"/>
      <x:c r="E320" s="137" t="str"/>
      <x:c r="F320" s="137" t="str"/>
      <x:c r="G320" s="137" t="str"/>
      <x:c r="H320" s="137" t="str"/>
      <x:c r="I320" s="137" t="str"/>
      <x:c r="J320" s="151" t="str"/>
      <x:c r="K320" s="151" t="str"/>
      <x:c r="L320" s="152" t="str">
        <x:f>IF(OR(J320="",K320=""),"",ROUNDUP(J320/K320,0))</x:f>
      </x:c>
      <x:c r="M320" s="151" t="str"/>
      <x:c r="N320" s="137" t="str"/>
      <x:c r="O320" s="137" t="str"/>
      <x:c r="P320" s="137" t="str"/>
      <x:c r="Q320" s="137" t="str"/>
      <x:c r="R320" s="137" t="str"/>
      <x:c r="S320" s="137" t="str"/>
      <x:c r="T320" s="137" t="str"/>
      <x:c r="U320" s="137" t="str"/>
      <x:c r="V320" s="137" t="str"/>
      <x:c r="W320" s="137" t="str"/>
      <x:c r="X320" s="199" t="str"/>
    </x:row>
    <x:row r="321">
      <x:c r="A321" s="137" t="str"/>
      <x:c r="B321" s="138" t="str"/>
      <x:c r="C321" s="138" t="str"/>
      <x:c r="D321" s="137" t="str"/>
      <x:c r="E321" s="137" t="str"/>
      <x:c r="F321" s="137" t="str"/>
      <x:c r="G321" s="137" t="str"/>
      <x:c r="H321" s="137" t="str"/>
      <x:c r="I321" s="137" t="str"/>
      <x:c r="J321" s="151" t="str"/>
      <x:c r="K321" s="151" t="str"/>
      <x:c r="L321" s="152" t="str">
        <x:f>IF(OR(J321="",K321=""),"",ROUNDUP(J321/K321,0))</x:f>
      </x:c>
      <x:c r="M321" s="151" t="str"/>
      <x:c r="N321" s="137" t="str"/>
      <x:c r="O321" s="137" t="str"/>
      <x:c r="P321" s="137" t="str"/>
      <x:c r="Q321" s="137" t="str"/>
      <x:c r="R321" s="137" t="str"/>
      <x:c r="S321" s="137" t="str"/>
      <x:c r="T321" s="137" t="str"/>
      <x:c r="U321" s="137" t="str"/>
      <x:c r="V321" s="137" t="str"/>
      <x:c r="W321" s="137" t="str"/>
      <x:c r="X321" s="199" t="str"/>
    </x:row>
    <x:row r="322">
      <x:c r="A322" s="137" t="str"/>
      <x:c r="B322" s="138" t="str"/>
      <x:c r="C322" s="138" t="str"/>
      <x:c r="D322" s="137" t="str"/>
      <x:c r="E322" s="137" t="str"/>
      <x:c r="F322" s="137" t="str"/>
      <x:c r="G322" s="137" t="str"/>
      <x:c r="H322" s="137" t="str"/>
      <x:c r="I322" s="137" t="str"/>
      <x:c r="J322" s="151" t="str"/>
      <x:c r="K322" s="151" t="str"/>
      <x:c r="L322" s="152" t="str">
        <x:f>IF(OR(J322="",K322=""),"",ROUNDUP(J322/K322,0))</x:f>
      </x:c>
      <x:c r="M322" s="151" t="str"/>
      <x:c r="N322" s="137" t="str"/>
      <x:c r="O322" s="137" t="str"/>
      <x:c r="P322" s="137" t="str"/>
      <x:c r="Q322" s="137" t="str"/>
      <x:c r="R322" s="137" t="str"/>
      <x:c r="S322" s="137" t="str"/>
      <x:c r="T322" s="137" t="str"/>
      <x:c r="U322" s="137" t="str"/>
      <x:c r="V322" s="137" t="str"/>
      <x:c r="W322" s="137" t="str"/>
      <x:c r="X322" s="199" t="str"/>
    </x:row>
    <x:row r="323">
      <x:c r="A323" s="137" t="str"/>
      <x:c r="B323" s="138" t="str"/>
      <x:c r="C323" s="138" t="str"/>
      <x:c r="D323" s="137" t="str"/>
      <x:c r="E323" s="137" t="str"/>
      <x:c r="F323" s="137" t="str"/>
      <x:c r="G323" s="137" t="str"/>
      <x:c r="H323" s="137" t="str"/>
      <x:c r="I323" s="137" t="str"/>
      <x:c r="J323" s="151" t="str"/>
      <x:c r="K323" s="151" t="str"/>
      <x:c r="L323" s="152" t="str">
        <x:f>IF(OR(J323="",K323=""),"",ROUNDUP(J323/K323,0))</x:f>
      </x:c>
      <x:c r="M323" s="151" t="str"/>
      <x:c r="N323" s="137" t="str"/>
      <x:c r="O323" s="137" t="str"/>
      <x:c r="P323" s="137" t="str"/>
      <x:c r="Q323" s="137" t="str"/>
      <x:c r="R323" s="137" t="str"/>
      <x:c r="S323" s="137" t="str"/>
      <x:c r="T323" s="137" t="str"/>
      <x:c r="U323" s="137" t="str"/>
      <x:c r="V323" s="137" t="str"/>
      <x:c r="W323" s="137" t="str"/>
      <x:c r="X323" s="199" t="str"/>
    </x:row>
    <x:row r="324">
      <x:c r="A324" s="137" t="str"/>
      <x:c r="B324" s="138" t="str"/>
      <x:c r="C324" s="138" t="str"/>
      <x:c r="D324" s="137" t="str"/>
      <x:c r="E324" s="137" t="str"/>
      <x:c r="F324" s="137" t="str"/>
      <x:c r="G324" s="137" t="str"/>
      <x:c r="H324" s="137" t="str"/>
      <x:c r="I324" s="137" t="str"/>
      <x:c r="J324" s="151" t="str"/>
      <x:c r="K324" s="151" t="str"/>
      <x:c r="L324" s="152" t="str">
        <x:f>IF(OR(J324="",K324=""),"",ROUNDUP(J324/K324,0))</x:f>
      </x:c>
      <x:c r="M324" s="151" t="str"/>
      <x:c r="N324" s="137" t="str"/>
      <x:c r="O324" s="137" t="str"/>
      <x:c r="P324" s="137" t="str"/>
      <x:c r="Q324" s="137" t="str"/>
      <x:c r="R324" s="137" t="str"/>
      <x:c r="S324" s="137" t="str"/>
      <x:c r="T324" s="137" t="str"/>
      <x:c r="U324" s="137" t="str"/>
      <x:c r="V324" s="137" t="str"/>
      <x:c r="W324" s="137" t="str"/>
      <x:c r="X324" s="199" t="str"/>
    </x:row>
    <x:row r="325">
      <x:c r="A325" s="137" t="str"/>
      <x:c r="B325" s="138" t="str"/>
      <x:c r="C325" s="138" t="str"/>
      <x:c r="D325" s="137" t="str"/>
      <x:c r="E325" s="137" t="str"/>
      <x:c r="F325" s="137" t="str"/>
      <x:c r="G325" s="137" t="str"/>
      <x:c r="H325" s="137" t="str"/>
      <x:c r="I325" s="137" t="str"/>
      <x:c r="J325" s="151" t="str"/>
      <x:c r="K325" s="151" t="str"/>
      <x:c r="L325" s="152" t="str">
        <x:f>IF(OR(J325="",K325=""),"",ROUNDUP(J325/K325,0))</x:f>
      </x:c>
      <x:c r="M325" s="151" t="str"/>
      <x:c r="N325" s="137" t="str"/>
      <x:c r="O325" s="137" t="str"/>
      <x:c r="P325" s="137" t="str"/>
      <x:c r="Q325" s="137" t="str"/>
      <x:c r="R325" s="137" t="str"/>
      <x:c r="S325" s="137" t="str"/>
      <x:c r="T325" s="137" t="str"/>
      <x:c r="U325" s="137" t="str"/>
      <x:c r="V325" s="137" t="str"/>
      <x:c r="W325" s="137" t="str"/>
      <x:c r="X325" s="199" t="str"/>
    </x:row>
    <x:row r="326">
      <x:c r="A326" s="137" t="str"/>
      <x:c r="B326" s="138" t="str"/>
      <x:c r="C326" s="138" t="str"/>
      <x:c r="D326" s="137" t="str"/>
      <x:c r="E326" s="137" t="str"/>
      <x:c r="F326" s="137" t="str"/>
      <x:c r="G326" s="137" t="str"/>
      <x:c r="H326" s="137" t="str"/>
      <x:c r="I326" s="137" t="str"/>
      <x:c r="J326" s="151" t="str"/>
      <x:c r="K326" s="151" t="str"/>
      <x:c r="L326" s="152" t="str">
        <x:f>IF(OR(J326="",K326=""),"",ROUNDUP(J326/K326,0))</x:f>
      </x:c>
      <x:c r="M326" s="151" t="str"/>
      <x:c r="N326" s="137" t="str"/>
      <x:c r="O326" s="137" t="str"/>
      <x:c r="P326" s="137" t="str"/>
      <x:c r="Q326" s="137" t="str"/>
      <x:c r="R326" s="137" t="str"/>
      <x:c r="S326" s="137" t="str"/>
      <x:c r="T326" s="137" t="str"/>
      <x:c r="U326" s="137" t="str"/>
      <x:c r="V326" s="137" t="str"/>
      <x:c r="W326" s="137" t="str"/>
      <x:c r="X326" s="199" t="str"/>
    </x:row>
    <x:row r="327">
      <x:c r="A327" s="137" t="str"/>
      <x:c r="B327" s="138" t="str"/>
      <x:c r="C327" s="138" t="str"/>
      <x:c r="D327" s="137" t="str"/>
      <x:c r="E327" s="137" t="str"/>
      <x:c r="F327" s="137" t="str"/>
      <x:c r="G327" s="137" t="str"/>
      <x:c r="H327" s="137" t="str"/>
      <x:c r="I327" s="137" t="str"/>
      <x:c r="J327" s="151" t="str"/>
      <x:c r="K327" s="151" t="str"/>
      <x:c r="L327" s="152" t="str">
        <x:f>IF(OR(J327="",K327=""),"",ROUNDUP(J327/K327,0))</x:f>
      </x:c>
      <x:c r="M327" s="151" t="str"/>
      <x:c r="N327" s="137" t="str"/>
      <x:c r="O327" s="137" t="str"/>
      <x:c r="P327" s="137" t="str"/>
      <x:c r="Q327" s="137" t="str"/>
      <x:c r="R327" s="137" t="str"/>
      <x:c r="S327" s="137" t="str"/>
      <x:c r="T327" s="137" t="str"/>
      <x:c r="U327" s="137" t="str"/>
      <x:c r="V327" s="137" t="str"/>
      <x:c r="W327" s="137" t="str"/>
      <x:c r="X327" s="199" t="str"/>
    </x:row>
    <x:row r="328">
      <x:c r="A328" s="137" t="str"/>
      <x:c r="B328" s="138" t="str"/>
      <x:c r="C328" s="138" t="str"/>
      <x:c r="D328" s="137" t="str"/>
      <x:c r="E328" s="137" t="str"/>
      <x:c r="F328" s="137" t="str"/>
      <x:c r="G328" s="137" t="str"/>
      <x:c r="H328" s="137" t="str"/>
      <x:c r="I328" s="137" t="str"/>
      <x:c r="J328" s="151" t="str"/>
      <x:c r="K328" s="151" t="str"/>
      <x:c r="L328" s="152" t="str">
        <x:f>IF(OR(J328="",K328=""),"",ROUNDUP(J328/K328,0))</x:f>
      </x:c>
      <x:c r="M328" s="151" t="str"/>
      <x:c r="N328" s="137" t="str"/>
      <x:c r="O328" s="137" t="str"/>
      <x:c r="P328" s="137" t="str"/>
      <x:c r="Q328" s="137" t="str"/>
      <x:c r="R328" s="137" t="str"/>
      <x:c r="S328" s="137" t="str"/>
      <x:c r="T328" s="137" t="str"/>
      <x:c r="U328" s="137" t="str"/>
      <x:c r="V328" s="137" t="str"/>
      <x:c r="W328" s="137" t="str"/>
      <x:c r="X328" s="199" t="str"/>
    </x:row>
    <x:row r="329">
      <x:c r="A329" s="137" t="str"/>
      <x:c r="B329" s="138" t="str"/>
      <x:c r="C329" s="138" t="str"/>
      <x:c r="D329" s="137" t="str"/>
      <x:c r="E329" s="137" t="str"/>
      <x:c r="F329" s="137" t="str"/>
      <x:c r="G329" s="137" t="str"/>
      <x:c r="H329" s="137" t="str"/>
      <x:c r="I329" s="137" t="str"/>
      <x:c r="J329" s="151" t="str"/>
      <x:c r="K329" s="151" t="str"/>
      <x:c r="L329" s="152" t="str">
        <x:f>IF(OR(J329="",K329=""),"",ROUNDUP(J329/K329,0))</x:f>
      </x:c>
      <x:c r="M329" s="151" t="str"/>
      <x:c r="N329" s="137" t="str"/>
      <x:c r="O329" s="137" t="str"/>
      <x:c r="P329" s="137" t="str"/>
      <x:c r="Q329" s="137" t="str"/>
      <x:c r="R329" s="137" t="str"/>
      <x:c r="S329" s="137" t="str"/>
      <x:c r="T329" s="137" t="str"/>
      <x:c r="U329" s="137" t="str"/>
      <x:c r="V329" s="137" t="str"/>
      <x:c r="W329" s="137" t="str"/>
      <x:c r="X329" s="199" t="str"/>
    </x:row>
    <x:row r="330">
      <x:c r="A330" s="137" t="str"/>
      <x:c r="B330" s="138" t="str"/>
      <x:c r="C330" s="138" t="str"/>
      <x:c r="D330" s="137" t="str"/>
      <x:c r="E330" s="137" t="str"/>
      <x:c r="F330" s="137" t="str"/>
      <x:c r="G330" s="137" t="str"/>
      <x:c r="H330" s="137" t="str"/>
      <x:c r="I330" s="137" t="str"/>
      <x:c r="J330" s="151" t="str"/>
      <x:c r="K330" s="151" t="str"/>
      <x:c r="L330" s="152" t="str">
        <x:f>IF(OR(J330="",K330=""),"",ROUNDUP(J330/K330,0))</x:f>
      </x:c>
      <x:c r="M330" s="151" t="str"/>
      <x:c r="N330" s="137" t="str"/>
      <x:c r="O330" s="137" t="str"/>
      <x:c r="P330" s="137" t="str"/>
      <x:c r="Q330" s="137" t="str"/>
      <x:c r="R330" s="137" t="str"/>
      <x:c r="S330" s="137" t="str"/>
      <x:c r="T330" s="137" t="str"/>
      <x:c r="U330" s="137" t="str"/>
      <x:c r="V330" s="137" t="str"/>
      <x:c r="W330" s="137" t="str"/>
      <x:c r="X330" s="199" t="str"/>
    </x:row>
    <x:row r="331">
      <x:c r="A331" s="137" t="str"/>
      <x:c r="B331" s="138" t="str"/>
      <x:c r="C331" s="138" t="str"/>
      <x:c r="D331" s="137" t="str"/>
      <x:c r="E331" s="137" t="str"/>
      <x:c r="F331" s="137" t="str"/>
      <x:c r="G331" s="137" t="str"/>
      <x:c r="H331" s="137" t="str"/>
      <x:c r="I331" s="137" t="str"/>
      <x:c r="J331" s="151" t="str"/>
      <x:c r="K331" s="151" t="str"/>
      <x:c r="L331" s="152" t="str">
        <x:f>IF(OR(J331="",K331=""),"",ROUNDUP(J331/K331,0))</x:f>
      </x:c>
      <x:c r="M331" s="151" t="str"/>
      <x:c r="N331" s="137" t="str"/>
      <x:c r="O331" s="137" t="str"/>
      <x:c r="P331" s="137" t="str"/>
      <x:c r="Q331" s="137" t="str"/>
      <x:c r="R331" s="137" t="str"/>
      <x:c r="S331" s="137" t="str"/>
      <x:c r="T331" s="137" t="str"/>
      <x:c r="U331" s="137" t="str"/>
      <x:c r="V331" s="137" t="str"/>
      <x:c r="W331" s="137" t="str"/>
      <x:c r="X331" s="199" t="str"/>
    </x:row>
    <x:row r="332">
      <x:c r="A332" s="137" t="str"/>
      <x:c r="B332" s="138" t="str"/>
      <x:c r="C332" s="138" t="str"/>
      <x:c r="D332" s="137" t="str"/>
      <x:c r="E332" s="137" t="str"/>
      <x:c r="F332" s="137" t="str"/>
      <x:c r="G332" s="137" t="str"/>
      <x:c r="H332" s="137" t="str"/>
      <x:c r="I332" s="137" t="str"/>
      <x:c r="J332" s="151" t="str"/>
      <x:c r="K332" s="151" t="str"/>
      <x:c r="L332" s="152" t="str">
        <x:f>IF(OR(J332="",K332=""),"",ROUNDUP(J332/K332,0))</x:f>
      </x:c>
      <x:c r="M332" s="151" t="str"/>
      <x:c r="N332" s="137" t="str"/>
      <x:c r="O332" s="137" t="str"/>
      <x:c r="P332" s="137" t="str"/>
      <x:c r="Q332" s="137" t="str"/>
      <x:c r="R332" s="137" t="str"/>
      <x:c r="S332" s="137" t="str"/>
      <x:c r="T332" s="137" t="str"/>
      <x:c r="U332" s="137" t="str"/>
      <x:c r="V332" s="137" t="str"/>
      <x:c r="W332" s="137" t="str"/>
      <x:c r="X332" s="199" t="str"/>
    </x:row>
    <x:row r="333">
      <x:c r="A333" s="137" t="str"/>
      <x:c r="B333" s="138" t="str"/>
      <x:c r="C333" s="138" t="str"/>
      <x:c r="D333" s="137" t="str"/>
      <x:c r="E333" s="137" t="str"/>
      <x:c r="F333" s="137" t="str"/>
      <x:c r="G333" s="137" t="str"/>
      <x:c r="H333" s="137" t="str"/>
      <x:c r="I333" s="137" t="str"/>
      <x:c r="J333" s="151" t="str"/>
      <x:c r="K333" s="151" t="str"/>
      <x:c r="L333" s="152" t="str">
        <x:f>IF(OR(J333="",K333=""),"",ROUNDUP(J333/K333,0))</x:f>
      </x:c>
      <x:c r="M333" s="151" t="str"/>
      <x:c r="N333" s="137" t="str"/>
      <x:c r="O333" s="137" t="str"/>
      <x:c r="P333" s="137" t="str"/>
      <x:c r="Q333" s="137" t="str"/>
      <x:c r="R333" s="137" t="str"/>
      <x:c r="S333" s="137" t="str"/>
      <x:c r="T333" s="137" t="str"/>
      <x:c r="U333" s="137" t="str"/>
      <x:c r="V333" s="137" t="str"/>
      <x:c r="W333" s="137" t="str"/>
      <x:c r="X333" s="199" t="str"/>
    </x:row>
    <x:row r="334">
      <x:c r="A334" s="137" t="str"/>
      <x:c r="B334" s="138" t="str"/>
      <x:c r="C334" s="138" t="str"/>
      <x:c r="D334" s="137" t="str"/>
      <x:c r="E334" s="137" t="str"/>
      <x:c r="F334" s="137" t="str"/>
      <x:c r="G334" s="137" t="str"/>
      <x:c r="H334" s="137" t="str"/>
      <x:c r="I334" s="137" t="str"/>
      <x:c r="J334" s="151" t="str"/>
      <x:c r="K334" s="151" t="str"/>
      <x:c r="L334" s="152" t="str">
        <x:f>IF(OR(J334="",K334=""),"",ROUNDUP(J334/K334,0))</x:f>
      </x:c>
      <x:c r="M334" s="151" t="str"/>
      <x:c r="N334" s="137" t="str"/>
      <x:c r="O334" s="137" t="str"/>
      <x:c r="P334" s="137" t="str"/>
      <x:c r="Q334" s="137" t="str"/>
      <x:c r="R334" s="137" t="str"/>
      <x:c r="S334" s="137" t="str"/>
      <x:c r="T334" s="137" t="str"/>
      <x:c r="U334" s="137" t="str"/>
      <x:c r="V334" s="137" t="str"/>
      <x:c r="W334" s="137" t="str"/>
      <x:c r="X334" s="199" t="str"/>
    </x:row>
    <x:row r="335">
      <x:c r="A335" s="137" t="str"/>
      <x:c r="B335" s="138" t="str"/>
      <x:c r="C335" s="138" t="str"/>
      <x:c r="D335" s="137" t="str"/>
      <x:c r="E335" s="137" t="str"/>
      <x:c r="F335" s="137" t="str"/>
      <x:c r="G335" s="137" t="str"/>
      <x:c r="H335" s="137" t="str"/>
      <x:c r="I335" s="137" t="str"/>
      <x:c r="J335" s="151" t="str"/>
      <x:c r="K335" s="151" t="str"/>
      <x:c r="L335" s="152" t="str">
        <x:f>IF(OR(J335="",K335=""),"",ROUNDUP(J335/K335,0))</x:f>
      </x:c>
      <x:c r="M335" s="151" t="str"/>
      <x:c r="N335" s="137" t="str"/>
      <x:c r="O335" s="137" t="str"/>
      <x:c r="P335" s="137" t="str"/>
      <x:c r="Q335" s="137" t="str"/>
      <x:c r="R335" s="137" t="str"/>
      <x:c r="S335" s="137" t="str"/>
      <x:c r="T335" s="137" t="str"/>
      <x:c r="U335" s="137" t="str"/>
      <x:c r="V335" s="137" t="str"/>
      <x:c r="W335" s="137" t="str"/>
      <x:c r="X335" s="199" t="str"/>
    </x:row>
    <x:row r="336">
      <x:c r="A336" s="137" t="str"/>
      <x:c r="B336" s="138" t="str"/>
      <x:c r="C336" s="138" t="str"/>
      <x:c r="D336" s="137" t="str"/>
      <x:c r="E336" s="137" t="str"/>
      <x:c r="F336" s="137" t="str"/>
      <x:c r="G336" s="137" t="str"/>
      <x:c r="H336" s="137" t="str"/>
      <x:c r="I336" s="137" t="str"/>
      <x:c r="J336" s="151" t="str"/>
      <x:c r="K336" s="151" t="str"/>
      <x:c r="L336" s="152" t="str">
        <x:f>IF(OR(J336="",K336=""),"",ROUNDUP(J336/K336,0))</x:f>
      </x:c>
      <x:c r="M336" s="151" t="str"/>
      <x:c r="N336" s="137" t="str"/>
      <x:c r="O336" s="137" t="str"/>
      <x:c r="P336" s="137" t="str"/>
      <x:c r="Q336" s="137" t="str"/>
      <x:c r="R336" s="137" t="str"/>
      <x:c r="S336" s="137" t="str"/>
      <x:c r="T336" s="137" t="str"/>
      <x:c r="U336" s="137" t="str"/>
      <x:c r="V336" s="137" t="str"/>
      <x:c r="W336" s="137" t="str"/>
      <x:c r="X336" s="199" t="str"/>
    </x:row>
    <x:row r="337">
      <x:c r="A337" s="137" t="str"/>
      <x:c r="B337" s="138" t="str"/>
      <x:c r="C337" s="138" t="str"/>
      <x:c r="D337" s="137" t="str"/>
      <x:c r="E337" s="137" t="str"/>
      <x:c r="F337" s="137" t="str"/>
      <x:c r="G337" s="137" t="str"/>
      <x:c r="H337" s="137" t="str"/>
      <x:c r="I337" s="137" t="str"/>
      <x:c r="J337" s="151" t="str"/>
      <x:c r="K337" s="151" t="str"/>
      <x:c r="L337" s="152" t="str">
        <x:f>IF(OR(J337="",K337=""),"",ROUNDUP(J337/K337,0))</x:f>
      </x:c>
      <x:c r="M337" s="151" t="str"/>
      <x:c r="N337" s="137" t="str"/>
      <x:c r="O337" s="137" t="str"/>
      <x:c r="P337" s="137" t="str"/>
      <x:c r="Q337" s="137" t="str"/>
      <x:c r="R337" s="137" t="str"/>
      <x:c r="S337" s="137" t="str"/>
      <x:c r="T337" s="137" t="str"/>
      <x:c r="U337" s="137" t="str"/>
      <x:c r="V337" s="137" t="str"/>
      <x:c r="W337" s="137" t="str"/>
      <x:c r="X337" s="199" t="str"/>
    </x:row>
    <x:row r="338">
      <x:c r="A338" s="137" t="str"/>
      <x:c r="B338" s="138" t="str"/>
      <x:c r="C338" s="138" t="str"/>
      <x:c r="D338" s="137" t="str"/>
      <x:c r="E338" s="137" t="str"/>
      <x:c r="F338" s="137" t="str"/>
      <x:c r="G338" s="137" t="str"/>
      <x:c r="H338" s="137" t="str"/>
      <x:c r="I338" s="137" t="str"/>
      <x:c r="J338" s="151" t="str"/>
      <x:c r="K338" s="151" t="str"/>
      <x:c r="L338" s="152" t="str">
        <x:f>IF(OR(J338="",K338=""),"",ROUNDUP(J338/K338,0))</x:f>
      </x:c>
      <x:c r="M338" s="151" t="str"/>
      <x:c r="N338" s="137" t="str"/>
      <x:c r="O338" s="137" t="str"/>
      <x:c r="P338" s="137" t="str"/>
      <x:c r="Q338" s="137" t="str"/>
      <x:c r="R338" s="137" t="str"/>
      <x:c r="S338" s="137" t="str"/>
      <x:c r="T338" s="137" t="str"/>
      <x:c r="U338" s="137" t="str"/>
      <x:c r="V338" s="137" t="str"/>
      <x:c r="W338" s="137" t="str"/>
      <x:c r="X338" s="199" t="str"/>
    </x:row>
    <x:row r="339">
      <x:c r="A339" s="137" t="str"/>
      <x:c r="B339" s="138" t="str"/>
      <x:c r="C339" s="138" t="str"/>
      <x:c r="D339" s="137" t="str"/>
      <x:c r="E339" s="137" t="str"/>
      <x:c r="F339" s="137" t="str"/>
      <x:c r="G339" s="137" t="str"/>
      <x:c r="H339" s="137" t="str"/>
      <x:c r="I339" s="137" t="str"/>
      <x:c r="J339" s="151" t="str"/>
      <x:c r="K339" s="151" t="str"/>
      <x:c r="L339" s="152" t="str">
        <x:f>IF(OR(J339="",K339=""),"",ROUNDUP(J339/K339,0))</x:f>
      </x:c>
      <x:c r="M339" s="151" t="str"/>
      <x:c r="N339" s="137" t="str"/>
      <x:c r="O339" s="137" t="str"/>
      <x:c r="P339" s="137" t="str"/>
      <x:c r="Q339" s="137" t="str"/>
      <x:c r="R339" s="137" t="str"/>
      <x:c r="S339" s="137" t="str"/>
      <x:c r="T339" s="137" t="str"/>
      <x:c r="U339" s="137" t="str"/>
      <x:c r="V339" s="137" t="str"/>
      <x:c r="W339" s="137" t="str"/>
      <x:c r="X339" s="199" t="str"/>
    </x:row>
    <x:row r="340">
      <x:c r="A340" s="137" t="str"/>
      <x:c r="B340" s="138" t="str"/>
      <x:c r="C340" s="138" t="str"/>
      <x:c r="D340" s="137" t="str"/>
      <x:c r="E340" s="137" t="str"/>
      <x:c r="F340" s="137" t="str"/>
      <x:c r="G340" s="137" t="str"/>
      <x:c r="H340" s="137" t="str"/>
      <x:c r="I340" s="137" t="str"/>
      <x:c r="J340" s="151" t="str"/>
      <x:c r="K340" s="151" t="str"/>
      <x:c r="L340" s="152" t="str">
        <x:f>IF(OR(J340="",K340=""),"",ROUNDUP(J340/K340,0))</x:f>
      </x:c>
      <x:c r="M340" s="151" t="str"/>
      <x:c r="N340" s="137" t="str"/>
      <x:c r="O340" s="137" t="str"/>
      <x:c r="P340" s="137" t="str"/>
      <x:c r="Q340" s="137" t="str"/>
      <x:c r="R340" s="137" t="str"/>
      <x:c r="S340" s="137" t="str"/>
      <x:c r="T340" s="137" t="str"/>
      <x:c r="U340" s="137" t="str"/>
      <x:c r="V340" s="137" t="str"/>
      <x:c r="W340" s="137" t="str"/>
      <x:c r="X340" s="199" t="str"/>
    </x:row>
    <x:row r="341">
      <x:c r="A341" s="137" t="str"/>
      <x:c r="B341" s="138" t="str"/>
      <x:c r="C341" s="138" t="str"/>
      <x:c r="D341" s="137" t="str"/>
      <x:c r="E341" s="137" t="str"/>
      <x:c r="F341" s="137" t="str"/>
      <x:c r="G341" s="137" t="str"/>
      <x:c r="H341" s="137" t="str"/>
      <x:c r="I341" s="137" t="str"/>
      <x:c r="J341" s="151" t="str"/>
      <x:c r="K341" s="151" t="str"/>
      <x:c r="L341" s="152" t="str">
        <x:f>IF(OR(J341="",K341=""),"",ROUNDUP(J341/K341,0))</x:f>
      </x:c>
      <x:c r="M341" s="151" t="str"/>
      <x:c r="N341" s="137" t="str"/>
      <x:c r="O341" s="137" t="str"/>
      <x:c r="P341" s="137" t="str"/>
      <x:c r="Q341" s="137" t="str"/>
      <x:c r="R341" s="137" t="str"/>
      <x:c r="S341" s="137" t="str"/>
      <x:c r="T341" s="137" t="str"/>
      <x:c r="U341" s="137" t="str"/>
      <x:c r="V341" s="137" t="str"/>
      <x:c r="W341" s="137" t="str"/>
      <x:c r="X341" s="199" t="str"/>
    </x:row>
    <x:row r="342">
      <x:c r="A342" s="137" t="str"/>
      <x:c r="B342" s="138" t="str"/>
      <x:c r="C342" s="138" t="str"/>
      <x:c r="D342" s="137" t="str"/>
      <x:c r="E342" s="137" t="str"/>
      <x:c r="F342" s="137" t="str"/>
      <x:c r="G342" s="137" t="str"/>
      <x:c r="H342" s="137" t="str"/>
      <x:c r="I342" s="137" t="str"/>
      <x:c r="J342" s="151" t="str"/>
      <x:c r="K342" s="151" t="str"/>
      <x:c r="L342" s="152" t="str">
        <x:f>IF(OR(J342="",K342=""),"",ROUNDUP(J342/K342,0))</x:f>
      </x:c>
      <x:c r="M342" s="151" t="str"/>
      <x:c r="N342" s="137" t="str"/>
      <x:c r="O342" s="137" t="str"/>
      <x:c r="P342" s="137" t="str"/>
      <x:c r="Q342" s="137" t="str"/>
      <x:c r="R342" s="137" t="str"/>
      <x:c r="S342" s="137" t="str"/>
      <x:c r="T342" s="137" t="str"/>
      <x:c r="U342" s="137" t="str"/>
      <x:c r="V342" s="137" t="str"/>
      <x:c r="W342" s="137" t="str"/>
      <x:c r="X342" s="199" t="str"/>
    </x:row>
    <x:row r="343">
      <x:c r="A343" s="137" t="str"/>
      <x:c r="B343" s="138" t="str"/>
      <x:c r="C343" s="138" t="str"/>
      <x:c r="D343" s="137" t="str"/>
      <x:c r="E343" s="137" t="str"/>
      <x:c r="F343" s="137" t="str"/>
      <x:c r="G343" s="137" t="str"/>
      <x:c r="H343" s="137" t="str"/>
      <x:c r="I343" s="137" t="str"/>
      <x:c r="J343" s="151" t="str"/>
      <x:c r="K343" s="151" t="str"/>
      <x:c r="L343" s="152" t="str">
        <x:f>IF(OR(J343="",K343=""),"",ROUNDUP(J343/K343,0))</x:f>
      </x:c>
      <x:c r="M343" s="151" t="str"/>
      <x:c r="N343" s="137" t="str"/>
      <x:c r="O343" s="137" t="str"/>
      <x:c r="P343" s="137" t="str"/>
      <x:c r="Q343" s="137" t="str"/>
      <x:c r="R343" s="137" t="str"/>
      <x:c r="S343" s="137" t="str"/>
      <x:c r="T343" s="137" t="str"/>
      <x:c r="U343" s="137" t="str"/>
      <x:c r="V343" s="137" t="str"/>
      <x:c r="W343" s="137" t="str"/>
      <x:c r="X343" s="199" t="str"/>
    </x:row>
    <x:row r="344">
      <x:c r="A344" s="137" t="str"/>
      <x:c r="B344" s="138" t="str"/>
      <x:c r="C344" s="138" t="str"/>
      <x:c r="D344" s="137" t="str"/>
      <x:c r="E344" s="137" t="str"/>
      <x:c r="F344" s="137" t="str"/>
      <x:c r="G344" s="137" t="str"/>
      <x:c r="H344" s="137" t="str"/>
      <x:c r="I344" s="137" t="str"/>
      <x:c r="J344" s="151" t="str"/>
      <x:c r="K344" s="151" t="str"/>
      <x:c r="L344" s="152" t="str">
        <x:f>IF(OR(J344="",K344=""),"",ROUNDUP(J344/K344,0))</x:f>
      </x:c>
      <x:c r="M344" s="151" t="str"/>
      <x:c r="N344" s="137" t="str"/>
      <x:c r="O344" s="137" t="str"/>
      <x:c r="P344" s="137" t="str"/>
      <x:c r="Q344" s="137" t="str"/>
      <x:c r="R344" s="137" t="str"/>
      <x:c r="S344" s="137" t="str"/>
      <x:c r="T344" s="137" t="str"/>
      <x:c r="U344" s="137" t="str"/>
      <x:c r="V344" s="137" t="str"/>
      <x:c r="W344" s="137" t="str"/>
      <x:c r="X344" s="199" t="str"/>
    </x:row>
    <x:row r="345">
      <x:c r="A345" s="137" t="str"/>
      <x:c r="B345" s="138" t="str"/>
      <x:c r="C345" s="138" t="str"/>
      <x:c r="D345" s="137" t="str"/>
      <x:c r="E345" s="137" t="str"/>
      <x:c r="F345" s="137" t="str"/>
      <x:c r="G345" s="137" t="str"/>
      <x:c r="H345" s="137" t="str"/>
      <x:c r="I345" s="137" t="str"/>
      <x:c r="J345" s="151" t="str"/>
      <x:c r="K345" s="151" t="str"/>
      <x:c r="L345" s="152" t="str">
        <x:f>IF(OR(J345="",K345=""),"",ROUNDUP(J345/K345,0))</x:f>
      </x:c>
      <x:c r="M345" s="151" t="str"/>
      <x:c r="N345" s="137" t="str"/>
      <x:c r="O345" s="137" t="str"/>
      <x:c r="P345" s="137" t="str"/>
      <x:c r="Q345" s="137" t="str"/>
      <x:c r="R345" s="137" t="str"/>
      <x:c r="S345" s="137" t="str"/>
      <x:c r="T345" s="137" t="str"/>
      <x:c r="U345" s="137" t="str"/>
      <x:c r="V345" s="137" t="str"/>
      <x:c r="W345" s="137" t="str"/>
      <x:c r="X345" s="199" t="str"/>
    </x:row>
    <x:row r="346">
      <x:c r="A346" s="137" t="str"/>
      <x:c r="B346" s="138" t="str"/>
      <x:c r="C346" s="138" t="str"/>
      <x:c r="D346" s="137" t="str"/>
      <x:c r="E346" s="137" t="str"/>
      <x:c r="F346" s="137" t="str"/>
      <x:c r="G346" s="137" t="str"/>
      <x:c r="H346" s="137" t="str"/>
      <x:c r="I346" s="137" t="str"/>
      <x:c r="J346" s="151" t="str"/>
      <x:c r="K346" s="151" t="str"/>
      <x:c r="L346" s="152" t="str">
        <x:f>IF(OR(J346="",K346=""),"",ROUNDUP(J346/K346,0))</x:f>
      </x:c>
      <x:c r="M346" s="151" t="str"/>
      <x:c r="N346" s="137" t="str"/>
      <x:c r="O346" s="137" t="str"/>
      <x:c r="P346" s="137" t="str"/>
      <x:c r="Q346" s="137" t="str"/>
      <x:c r="R346" s="137" t="str"/>
      <x:c r="S346" s="137" t="str"/>
      <x:c r="T346" s="137" t="str"/>
      <x:c r="U346" s="137" t="str"/>
      <x:c r="V346" s="137" t="str"/>
      <x:c r="W346" s="137" t="str"/>
      <x:c r="X346" s="199" t="str"/>
    </x:row>
    <x:row r="347">
      <x:c r="A347" s="137" t="str"/>
      <x:c r="B347" s="138" t="str"/>
      <x:c r="C347" s="138" t="str"/>
      <x:c r="D347" s="137" t="str"/>
      <x:c r="E347" s="137" t="str"/>
      <x:c r="F347" s="137" t="str"/>
      <x:c r="G347" s="137" t="str"/>
      <x:c r="H347" s="137" t="str"/>
      <x:c r="I347" s="137" t="str"/>
      <x:c r="J347" s="151" t="str"/>
      <x:c r="K347" s="151" t="str"/>
      <x:c r="L347" s="152" t="str">
        <x:f>IF(OR(J347="",K347=""),"",ROUNDUP(J347/K347,0))</x:f>
      </x:c>
      <x:c r="M347" s="151" t="str"/>
      <x:c r="N347" s="137" t="str"/>
      <x:c r="O347" s="137" t="str"/>
      <x:c r="P347" s="137" t="str"/>
      <x:c r="Q347" s="137" t="str"/>
      <x:c r="R347" s="137" t="str"/>
      <x:c r="S347" s="137" t="str"/>
      <x:c r="T347" s="137" t="str"/>
      <x:c r="U347" s="137" t="str"/>
      <x:c r="V347" s="137" t="str"/>
      <x:c r="W347" s="137" t="str"/>
      <x:c r="X347" s="199" t="str"/>
    </x:row>
    <x:row r="348">
      <x:c r="A348" s="137" t="str"/>
      <x:c r="B348" s="138" t="str"/>
      <x:c r="C348" s="138" t="str"/>
      <x:c r="D348" s="137" t="str"/>
      <x:c r="E348" s="137" t="str"/>
      <x:c r="F348" s="137" t="str"/>
      <x:c r="G348" s="137" t="str"/>
      <x:c r="H348" s="137" t="str"/>
      <x:c r="I348" s="137" t="str"/>
      <x:c r="J348" s="151" t="str"/>
      <x:c r="K348" s="151" t="str"/>
      <x:c r="L348" s="152" t="str">
        <x:f>IF(OR(J348="",K348=""),"",ROUNDUP(J348/K348,0))</x:f>
      </x:c>
      <x:c r="M348" s="151" t="str"/>
      <x:c r="N348" s="137" t="str"/>
      <x:c r="O348" s="137" t="str"/>
      <x:c r="P348" s="137" t="str"/>
      <x:c r="Q348" s="137" t="str"/>
      <x:c r="R348" s="137" t="str"/>
      <x:c r="S348" s="137" t="str"/>
      <x:c r="T348" s="137" t="str"/>
      <x:c r="U348" s="137" t="str"/>
      <x:c r="V348" s="137" t="str"/>
      <x:c r="W348" s="137" t="str"/>
      <x:c r="X348" s="199" t="str"/>
    </x:row>
    <x:row r="349">
      <x:c r="A349" s="137" t="str"/>
      <x:c r="B349" s="138" t="str"/>
      <x:c r="C349" s="138" t="str"/>
      <x:c r="D349" s="137" t="str"/>
      <x:c r="E349" s="137" t="str"/>
      <x:c r="F349" s="137" t="str"/>
      <x:c r="G349" s="137" t="str"/>
      <x:c r="H349" s="137" t="str"/>
      <x:c r="I349" s="137" t="str"/>
      <x:c r="J349" s="151" t="str"/>
      <x:c r="K349" s="151" t="str"/>
      <x:c r="L349" s="152" t="str">
        <x:f>IF(OR(J349="",K349=""),"",ROUNDUP(J349/K349,0))</x:f>
      </x:c>
      <x:c r="M349" s="151" t="str"/>
      <x:c r="N349" s="137" t="str"/>
      <x:c r="O349" s="137" t="str"/>
      <x:c r="P349" s="137" t="str"/>
      <x:c r="Q349" s="137" t="str"/>
      <x:c r="R349" s="137" t="str"/>
      <x:c r="S349" s="137" t="str"/>
      <x:c r="T349" s="137" t="str"/>
      <x:c r="U349" s="137" t="str"/>
      <x:c r="V349" s="137" t="str"/>
      <x:c r="W349" s="137" t="str"/>
      <x:c r="X349" s="199" t="str"/>
    </x:row>
    <x:row r="350">
      <x:c r="A350" s="137" t="str"/>
      <x:c r="B350" s="138" t="str"/>
      <x:c r="C350" s="138" t="str"/>
      <x:c r="D350" s="137" t="str"/>
      <x:c r="E350" s="137" t="str"/>
      <x:c r="F350" s="137" t="str"/>
      <x:c r="G350" s="137" t="str"/>
      <x:c r="H350" s="137" t="str"/>
      <x:c r="I350" s="137" t="str"/>
      <x:c r="J350" s="151" t="str"/>
      <x:c r="K350" s="151" t="str"/>
      <x:c r="L350" s="152" t="str">
        <x:f>IF(OR(J350="",K350=""),"",ROUNDUP(J350/K350,0))</x:f>
      </x:c>
      <x:c r="M350" s="151" t="str"/>
      <x:c r="N350" s="137" t="str"/>
      <x:c r="O350" s="137" t="str"/>
      <x:c r="P350" s="137" t="str"/>
      <x:c r="Q350" s="137" t="str"/>
      <x:c r="R350" s="137" t="str"/>
      <x:c r="S350" s="137" t="str"/>
      <x:c r="T350" s="137" t="str"/>
      <x:c r="U350" s="137" t="str"/>
      <x:c r="V350" s="137" t="str"/>
      <x:c r="W350" s="137" t="str"/>
      <x:c r="X350" s="199" t="str"/>
    </x:row>
    <x:row r="351">
      <x:c r="A351" s="137" t="str"/>
      <x:c r="B351" s="138" t="str"/>
      <x:c r="C351" s="138" t="str"/>
      <x:c r="D351" s="137" t="str"/>
      <x:c r="E351" s="137" t="str"/>
      <x:c r="F351" s="137" t="str"/>
      <x:c r="G351" s="137" t="str"/>
      <x:c r="H351" s="137" t="str"/>
      <x:c r="I351" s="137" t="str"/>
      <x:c r="J351" s="151" t="str"/>
      <x:c r="K351" s="151" t="str"/>
      <x:c r="L351" s="152" t="str">
        <x:f>IF(OR(J351="",K351=""),"",ROUNDUP(J351/K351,0))</x:f>
      </x:c>
      <x:c r="M351" s="151" t="str"/>
      <x:c r="N351" s="137" t="str"/>
      <x:c r="O351" s="137" t="str"/>
      <x:c r="P351" s="137" t="str"/>
      <x:c r="Q351" s="137" t="str"/>
      <x:c r="R351" s="137" t="str"/>
      <x:c r="S351" s="137" t="str"/>
      <x:c r="T351" s="137" t="str"/>
      <x:c r="U351" s="137" t="str"/>
      <x:c r="V351" s="137" t="str"/>
      <x:c r="W351" s="137" t="str"/>
      <x:c r="X351" s="199" t="str"/>
    </x:row>
    <x:row r="352">
      <x:c r="A352" s="137" t="str"/>
      <x:c r="B352" s="138" t="str"/>
      <x:c r="C352" s="138" t="str"/>
      <x:c r="D352" s="137" t="str"/>
      <x:c r="E352" s="137" t="str"/>
      <x:c r="F352" s="137" t="str"/>
      <x:c r="G352" s="137" t="str"/>
      <x:c r="H352" s="137" t="str"/>
      <x:c r="I352" s="137" t="str"/>
      <x:c r="J352" s="151" t="str"/>
      <x:c r="K352" s="151" t="str"/>
      <x:c r="L352" s="152" t="str">
        <x:f>IF(OR(J352="",K352=""),"",ROUNDUP(J352/K352,0))</x:f>
      </x:c>
      <x:c r="M352" s="151" t="str"/>
      <x:c r="N352" s="137" t="str"/>
      <x:c r="O352" s="137" t="str"/>
      <x:c r="P352" s="137" t="str"/>
      <x:c r="Q352" s="137" t="str"/>
      <x:c r="R352" s="137" t="str"/>
      <x:c r="S352" s="137" t="str"/>
      <x:c r="T352" s="137" t="str"/>
      <x:c r="U352" s="137" t="str"/>
      <x:c r="V352" s="137" t="str"/>
      <x:c r="W352" s="137" t="str"/>
      <x:c r="X352" s="199" t="str"/>
    </x:row>
    <x:row r="353">
      <x:c r="A353" s="137" t="str"/>
      <x:c r="B353" s="138" t="str"/>
      <x:c r="C353" s="138" t="str"/>
      <x:c r="D353" s="137" t="str"/>
      <x:c r="E353" s="137" t="str"/>
      <x:c r="F353" s="137" t="str"/>
      <x:c r="G353" s="137" t="str"/>
      <x:c r="H353" s="137" t="str"/>
      <x:c r="I353" s="137" t="str"/>
      <x:c r="J353" s="151" t="str"/>
      <x:c r="K353" s="151" t="str"/>
      <x:c r="L353" s="152" t="str">
        <x:f>IF(OR(J353="",K353=""),"",ROUNDUP(J353/K353,0))</x:f>
      </x:c>
      <x:c r="M353" s="151" t="str"/>
      <x:c r="N353" s="137" t="str"/>
      <x:c r="O353" s="137" t="str"/>
      <x:c r="P353" s="137" t="str"/>
      <x:c r="Q353" s="137" t="str"/>
      <x:c r="R353" s="137" t="str"/>
      <x:c r="S353" s="137" t="str"/>
      <x:c r="T353" s="137" t="str"/>
      <x:c r="U353" s="137" t="str"/>
      <x:c r="V353" s="137" t="str"/>
      <x:c r="W353" s="137" t="str"/>
      <x:c r="X353" s="199" t="str"/>
    </x:row>
    <x:row r="354">
      <x:c r="A354" s="137" t="str"/>
      <x:c r="B354" s="138" t="str"/>
      <x:c r="C354" s="138" t="str"/>
      <x:c r="D354" s="137" t="str"/>
      <x:c r="E354" s="137" t="str"/>
      <x:c r="F354" s="137" t="str"/>
      <x:c r="G354" s="137" t="str"/>
      <x:c r="H354" s="137" t="str"/>
      <x:c r="I354" s="137" t="str"/>
      <x:c r="J354" s="151" t="str"/>
      <x:c r="K354" s="151" t="str"/>
      <x:c r="L354" s="152" t="str">
        <x:f>IF(OR(J354="",K354=""),"",ROUNDUP(J354/K354,0))</x:f>
      </x:c>
      <x:c r="M354" s="151" t="str"/>
      <x:c r="N354" s="137" t="str"/>
      <x:c r="O354" s="137" t="str"/>
      <x:c r="P354" s="137" t="str"/>
      <x:c r="Q354" s="137" t="str"/>
      <x:c r="R354" s="137" t="str"/>
      <x:c r="S354" s="137" t="str"/>
      <x:c r="T354" s="137" t="str"/>
      <x:c r="U354" s="137" t="str"/>
      <x:c r="V354" s="137" t="str"/>
      <x:c r="W354" s="137" t="str"/>
      <x:c r="X354" s="199" t="str"/>
    </x:row>
    <x:row r="355">
      <x:c r="A355" s="137" t="str"/>
      <x:c r="B355" s="138" t="str"/>
      <x:c r="C355" s="138" t="str"/>
      <x:c r="D355" s="137" t="str"/>
      <x:c r="E355" s="137" t="str"/>
      <x:c r="F355" s="137" t="str"/>
      <x:c r="G355" s="137" t="str"/>
      <x:c r="H355" s="137" t="str"/>
      <x:c r="I355" s="137" t="str"/>
      <x:c r="J355" s="151" t="str"/>
      <x:c r="K355" s="151" t="str"/>
      <x:c r="L355" s="152" t="str">
        <x:f>IF(OR(J355="",K355=""),"",ROUNDUP(J355/K355,0))</x:f>
      </x:c>
      <x:c r="M355" s="151" t="str"/>
      <x:c r="N355" s="137" t="str"/>
      <x:c r="O355" s="137" t="str"/>
      <x:c r="P355" s="137" t="str"/>
      <x:c r="Q355" s="137" t="str"/>
      <x:c r="R355" s="137" t="str"/>
      <x:c r="S355" s="137" t="str"/>
      <x:c r="T355" s="137" t="str"/>
      <x:c r="U355" s="137" t="str"/>
      <x:c r="V355" s="137" t="str"/>
      <x:c r="W355" s="137" t="str"/>
      <x:c r="X355" s="199" t="str"/>
    </x:row>
    <x:row r="356">
      <x:c r="A356" s="137" t="str"/>
      <x:c r="B356" s="138" t="str"/>
      <x:c r="C356" s="138" t="str"/>
      <x:c r="D356" s="137" t="str"/>
      <x:c r="E356" s="137" t="str"/>
      <x:c r="F356" s="137" t="str"/>
      <x:c r="G356" s="137" t="str"/>
      <x:c r="H356" s="137" t="str"/>
      <x:c r="I356" s="137" t="str"/>
      <x:c r="J356" s="151" t="str"/>
      <x:c r="K356" s="151" t="str"/>
      <x:c r="L356" s="152" t="str">
        <x:f>IF(OR(J356="",K356=""),"",ROUNDUP(J356/K356,0))</x:f>
      </x:c>
      <x:c r="M356" s="151" t="str"/>
      <x:c r="N356" s="137" t="str"/>
      <x:c r="O356" s="137" t="str"/>
      <x:c r="P356" s="137" t="str"/>
      <x:c r="Q356" s="137" t="str"/>
      <x:c r="R356" s="137" t="str"/>
      <x:c r="S356" s="137" t="str"/>
      <x:c r="T356" s="137" t="str"/>
      <x:c r="U356" s="137" t="str"/>
      <x:c r="V356" s="137" t="str"/>
      <x:c r="W356" s="137" t="str"/>
      <x:c r="X356" s="199" t="str"/>
    </x:row>
    <x:row r="357">
      <x:c r="A357" s="137" t="str"/>
      <x:c r="B357" s="138" t="str"/>
      <x:c r="C357" s="138" t="str"/>
      <x:c r="D357" s="137" t="str"/>
      <x:c r="E357" s="137" t="str"/>
      <x:c r="F357" s="137" t="str"/>
      <x:c r="G357" s="137" t="str"/>
      <x:c r="H357" s="137" t="str"/>
      <x:c r="I357" s="137" t="str"/>
      <x:c r="J357" s="151" t="str"/>
      <x:c r="K357" s="151" t="str"/>
      <x:c r="L357" s="152" t="str">
        <x:f>IF(OR(J357="",K357=""),"",ROUNDUP(J357/K357,0))</x:f>
      </x:c>
      <x:c r="M357" s="151" t="str"/>
      <x:c r="N357" s="137" t="str"/>
      <x:c r="O357" s="137" t="str"/>
      <x:c r="P357" s="137" t="str"/>
      <x:c r="Q357" s="137" t="str"/>
      <x:c r="R357" s="137" t="str"/>
      <x:c r="S357" s="137" t="str"/>
      <x:c r="T357" s="137" t="str"/>
      <x:c r="U357" s="137" t="str"/>
      <x:c r="V357" s="137" t="str"/>
      <x:c r="W357" s="137" t="str"/>
      <x:c r="X357" s="199" t="str"/>
    </x:row>
    <x:row r="358">
      <x:c r="A358" s="137" t="str"/>
      <x:c r="B358" s="138" t="str"/>
      <x:c r="C358" s="138" t="str"/>
      <x:c r="D358" s="137" t="str"/>
      <x:c r="E358" s="137" t="str"/>
      <x:c r="F358" s="137" t="str"/>
      <x:c r="G358" s="137" t="str"/>
      <x:c r="H358" s="137" t="str"/>
      <x:c r="I358" s="137" t="str"/>
      <x:c r="J358" s="151" t="str"/>
      <x:c r="K358" s="151" t="str"/>
      <x:c r="L358" s="152" t="str">
        <x:f>IF(OR(J358="",K358=""),"",ROUNDUP(J358/K358,0))</x:f>
      </x:c>
      <x:c r="M358" s="151" t="str"/>
      <x:c r="N358" s="137" t="str"/>
      <x:c r="O358" s="137" t="str"/>
      <x:c r="P358" s="137" t="str"/>
      <x:c r="Q358" s="137" t="str"/>
      <x:c r="R358" s="137" t="str"/>
      <x:c r="S358" s="137" t="str"/>
      <x:c r="T358" s="137" t="str"/>
      <x:c r="U358" s="137" t="str"/>
      <x:c r="V358" s="137" t="str"/>
      <x:c r="W358" s="137" t="str"/>
      <x:c r="X358" s="199" t="str"/>
    </x:row>
    <x:row r="359">
      <x:c r="A359" s="137" t="str"/>
      <x:c r="B359" s="138" t="str"/>
      <x:c r="C359" s="138" t="str"/>
      <x:c r="D359" s="137" t="str"/>
      <x:c r="E359" s="137" t="str"/>
      <x:c r="F359" s="137" t="str"/>
      <x:c r="G359" s="137" t="str"/>
      <x:c r="H359" s="137" t="str"/>
      <x:c r="I359" s="137" t="str"/>
      <x:c r="J359" s="151" t="str"/>
      <x:c r="K359" s="151" t="str"/>
      <x:c r="L359" s="152" t="str">
        <x:f>IF(OR(J359="",K359=""),"",ROUNDUP(J359/K359,0))</x:f>
      </x:c>
      <x:c r="M359" s="151" t="str"/>
      <x:c r="N359" s="137" t="str"/>
      <x:c r="O359" s="137" t="str"/>
      <x:c r="P359" s="137" t="str"/>
      <x:c r="Q359" s="137" t="str"/>
      <x:c r="R359" s="137" t="str"/>
      <x:c r="S359" s="137" t="str"/>
      <x:c r="T359" s="137" t="str"/>
      <x:c r="U359" s="137" t="str"/>
      <x:c r="V359" s="137" t="str"/>
      <x:c r="W359" s="137" t="str"/>
      <x:c r="X359" s="199" t="str"/>
    </x:row>
    <x:row r="360">
      <x:c r="A360" s="137" t="str"/>
      <x:c r="B360" s="138" t="str"/>
      <x:c r="C360" s="138" t="str"/>
      <x:c r="D360" s="137" t="str"/>
      <x:c r="E360" s="137" t="str"/>
      <x:c r="F360" s="137" t="str"/>
      <x:c r="G360" s="137" t="str"/>
      <x:c r="H360" s="137" t="str"/>
      <x:c r="I360" s="137" t="str"/>
      <x:c r="J360" s="151" t="str"/>
      <x:c r="K360" s="151" t="str"/>
      <x:c r="L360" s="152" t="str">
        <x:f>IF(OR(J360="",K360=""),"",ROUNDUP(J360/K360,0))</x:f>
      </x:c>
      <x:c r="M360" s="151" t="str"/>
      <x:c r="N360" s="137" t="str"/>
      <x:c r="O360" s="137" t="str"/>
      <x:c r="P360" s="137" t="str"/>
      <x:c r="Q360" s="137" t="str"/>
      <x:c r="R360" s="137" t="str"/>
      <x:c r="S360" s="137" t="str"/>
      <x:c r="T360" s="137" t="str"/>
      <x:c r="U360" s="137" t="str"/>
      <x:c r="V360" s="137" t="str"/>
      <x:c r="W360" s="137" t="str"/>
      <x:c r="X360" s="199" t="str"/>
    </x:row>
    <x:row r="361">
      <x:c r="A361" s="137" t="str"/>
      <x:c r="B361" s="138" t="str"/>
      <x:c r="C361" s="138" t="str"/>
      <x:c r="D361" s="137" t="str"/>
      <x:c r="E361" s="137" t="str"/>
      <x:c r="F361" s="137" t="str"/>
      <x:c r="G361" s="137" t="str"/>
      <x:c r="H361" s="137" t="str"/>
      <x:c r="I361" s="137" t="str"/>
      <x:c r="J361" s="151" t="str"/>
      <x:c r="K361" s="151" t="str"/>
      <x:c r="L361" s="152" t="str">
        <x:f>IF(OR(J361="",K361=""),"",ROUNDUP(J361/K361,0))</x:f>
      </x:c>
      <x:c r="M361" s="151" t="str"/>
      <x:c r="N361" s="137" t="str"/>
      <x:c r="O361" s="137" t="str"/>
      <x:c r="P361" s="137" t="str"/>
      <x:c r="Q361" s="137" t="str"/>
      <x:c r="R361" s="137" t="str"/>
      <x:c r="S361" s="137" t="str"/>
      <x:c r="T361" s="137" t="str"/>
      <x:c r="U361" s="137" t="str"/>
      <x:c r="V361" s="137" t="str"/>
      <x:c r="W361" s="137" t="str"/>
      <x:c r="X361" s="199" t="str"/>
    </x:row>
    <x:row r="362">
      <x:c r="A362" s="137" t="str"/>
      <x:c r="B362" s="138" t="str"/>
      <x:c r="C362" s="138" t="str"/>
      <x:c r="D362" s="137" t="str"/>
      <x:c r="E362" s="137" t="str"/>
      <x:c r="F362" s="137" t="str"/>
      <x:c r="G362" s="137" t="str"/>
      <x:c r="H362" s="137" t="str"/>
      <x:c r="I362" s="137" t="str"/>
      <x:c r="J362" s="151" t="str"/>
      <x:c r="K362" s="151" t="str"/>
      <x:c r="L362" s="152" t="str">
        <x:f>IF(OR(J362="",K362=""),"",ROUNDUP(J362/K362,0))</x:f>
      </x:c>
      <x:c r="M362" s="151" t="str"/>
      <x:c r="N362" s="137" t="str"/>
      <x:c r="O362" s="137" t="str"/>
      <x:c r="P362" s="137" t="str"/>
      <x:c r="Q362" s="137" t="str"/>
      <x:c r="R362" s="137" t="str"/>
      <x:c r="S362" s="137" t="str"/>
      <x:c r="T362" s="137" t="str"/>
      <x:c r="U362" s="137" t="str"/>
      <x:c r="V362" s="137" t="str"/>
      <x:c r="W362" s="137" t="str"/>
      <x:c r="X362" s="199" t="str"/>
    </x:row>
    <x:row r="363">
      <x:c r="A363" s="137" t="str"/>
      <x:c r="B363" s="138" t="str"/>
      <x:c r="C363" s="138" t="str"/>
      <x:c r="D363" s="137" t="str"/>
      <x:c r="E363" s="137" t="str"/>
      <x:c r="F363" s="137" t="str"/>
      <x:c r="G363" s="137" t="str"/>
      <x:c r="H363" s="137" t="str"/>
      <x:c r="I363" s="137" t="str"/>
      <x:c r="J363" s="151" t="str"/>
      <x:c r="K363" s="151" t="str"/>
      <x:c r="L363" s="152" t="str">
        <x:f>IF(OR(J363="",K363=""),"",ROUNDUP(J363/K363,0))</x:f>
      </x:c>
      <x:c r="M363" s="151" t="str"/>
      <x:c r="N363" s="137" t="str"/>
      <x:c r="O363" s="137" t="str"/>
      <x:c r="P363" s="137" t="str"/>
      <x:c r="Q363" s="137" t="str"/>
      <x:c r="R363" s="137" t="str"/>
      <x:c r="S363" s="137" t="str"/>
      <x:c r="T363" s="137" t="str"/>
      <x:c r="U363" s="137" t="str"/>
      <x:c r="V363" s="137" t="str"/>
      <x:c r="W363" s="137" t="str"/>
      <x:c r="X363" s="199" t="str"/>
    </x:row>
    <x:row r="364">
      <x:c r="A364" s="137" t="str"/>
      <x:c r="B364" s="138" t="str"/>
      <x:c r="C364" s="138" t="str"/>
      <x:c r="D364" s="137" t="str"/>
      <x:c r="E364" s="137" t="str"/>
      <x:c r="F364" s="137" t="str"/>
      <x:c r="G364" s="137" t="str"/>
      <x:c r="H364" s="137" t="str"/>
      <x:c r="I364" s="137" t="str"/>
      <x:c r="J364" s="151" t="str"/>
      <x:c r="K364" s="151" t="str"/>
      <x:c r="L364" s="152" t="str">
        <x:f>IF(OR(J364="",K364=""),"",ROUNDUP(J364/K364,0))</x:f>
      </x:c>
      <x:c r="M364" s="151" t="str"/>
      <x:c r="N364" s="137" t="str"/>
      <x:c r="O364" s="137" t="str"/>
      <x:c r="P364" s="137" t="str"/>
      <x:c r="Q364" s="137" t="str"/>
      <x:c r="R364" s="137" t="str"/>
      <x:c r="S364" s="137" t="str"/>
      <x:c r="T364" s="137" t="str"/>
      <x:c r="U364" s="137" t="str"/>
      <x:c r="V364" s="137" t="str"/>
      <x:c r="W364" s="137" t="str"/>
      <x:c r="X364" s="199" t="str"/>
    </x:row>
    <x:row r="365">
      <x:c r="A365" s="137" t="str"/>
      <x:c r="B365" s="138" t="str"/>
      <x:c r="C365" s="138" t="str"/>
      <x:c r="D365" s="137" t="str"/>
      <x:c r="E365" s="137" t="str"/>
      <x:c r="F365" s="137" t="str"/>
      <x:c r="G365" s="137" t="str"/>
      <x:c r="H365" s="137" t="str"/>
      <x:c r="I365" s="137" t="str"/>
      <x:c r="J365" s="151" t="str"/>
      <x:c r="K365" s="151" t="str"/>
      <x:c r="L365" s="152" t="str">
        <x:f>IF(OR(J365="",K365=""),"",ROUNDUP(J365/K365,0))</x:f>
      </x:c>
      <x:c r="M365" s="151" t="str"/>
      <x:c r="N365" s="137" t="str"/>
      <x:c r="O365" s="137" t="str"/>
      <x:c r="P365" s="137" t="str"/>
      <x:c r="Q365" s="137" t="str"/>
      <x:c r="R365" s="137" t="str"/>
      <x:c r="S365" s="137" t="str"/>
      <x:c r="T365" s="137" t="str"/>
      <x:c r="U365" s="137" t="str"/>
      <x:c r="V365" s="137" t="str"/>
      <x:c r="W365" s="137" t="str"/>
      <x:c r="X365" s="199" t="str"/>
    </x:row>
    <x:row r="366">
      <x:c r="A366" s="137" t="str"/>
      <x:c r="B366" s="138" t="str"/>
      <x:c r="C366" s="138" t="str"/>
      <x:c r="D366" s="137" t="str"/>
      <x:c r="E366" s="137" t="str"/>
      <x:c r="F366" s="137" t="str"/>
      <x:c r="G366" s="137" t="str"/>
      <x:c r="H366" s="137" t="str"/>
      <x:c r="I366" s="137" t="str"/>
      <x:c r="J366" s="151" t="str"/>
      <x:c r="K366" s="151" t="str"/>
      <x:c r="L366" s="152" t="str">
        <x:f>IF(OR(J366="",K366=""),"",ROUNDUP(J366/K366,0))</x:f>
      </x:c>
      <x:c r="M366" s="151" t="str"/>
      <x:c r="N366" s="137" t="str"/>
      <x:c r="O366" s="137" t="str"/>
      <x:c r="P366" s="137" t="str"/>
      <x:c r="Q366" s="137" t="str"/>
      <x:c r="R366" s="137" t="str"/>
      <x:c r="S366" s="137" t="str"/>
      <x:c r="T366" s="137" t="str"/>
      <x:c r="U366" s="137" t="str"/>
      <x:c r="V366" s="137" t="str"/>
      <x:c r="W366" s="137" t="str"/>
      <x:c r="X366" s="199" t="str"/>
    </x:row>
    <x:row r="367">
      <x:c r="A367" s="137" t="str"/>
      <x:c r="B367" s="138" t="str"/>
      <x:c r="C367" s="138" t="str"/>
      <x:c r="D367" s="137" t="str"/>
      <x:c r="E367" s="137" t="str"/>
      <x:c r="F367" s="137" t="str"/>
      <x:c r="G367" s="137" t="str"/>
      <x:c r="H367" s="137" t="str"/>
      <x:c r="I367" s="137" t="str"/>
      <x:c r="J367" s="151" t="str"/>
      <x:c r="K367" s="151" t="str"/>
      <x:c r="L367" s="152" t="str">
        <x:f>IF(OR(J367="",K367=""),"",ROUNDUP(J367/K367,0))</x:f>
      </x:c>
      <x:c r="M367" s="151" t="str"/>
      <x:c r="N367" s="137" t="str"/>
      <x:c r="O367" s="137" t="str"/>
      <x:c r="P367" s="137" t="str"/>
      <x:c r="Q367" s="137" t="str"/>
      <x:c r="R367" s="137" t="str"/>
      <x:c r="S367" s="137" t="str"/>
      <x:c r="T367" s="137" t="str"/>
      <x:c r="U367" s="137" t="str"/>
      <x:c r="V367" s="137" t="str"/>
      <x:c r="W367" s="137" t="str"/>
      <x:c r="X367" s="199" t="str"/>
    </x:row>
    <x:row r="368">
      <x:c r="A368" s="137" t="str"/>
      <x:c r="B368" s="138" t="str"/>
      <x:c r="C368" s="138" t="str"/>
      <x:c r="D368" s="137" t="str"/>
      <x:c r="E368" s="137" t="str"/>
      <x:c r="F368" s="137" t="str"/>
      <x:c r="G368" s="137" t="str"/>
      <x:c r="H368" s="137" t="str"/>
      <x:c r="I368" s="137" t="str"/>
      <x:c r="J368" s="151" t="str"/>
      <x:c r="K368" s="151" t="str"/>
      <x:c r="L368" s="152" t="str">
        <x:f>IF(OR(J368="",K368=""),"",ROUNDUP(J368/K368,0))</x:f>
      </x:c>
      <x:c r="M368" s="151" t="str"/>
      <x:c r="N368" s="137" t="str"/>
      <x:c r="O368" s="137" t="str"/>
      <x:c r="P368" s="137" t="str"/>
      <x:c r="Q368" s="137" t="str"/>
      <x:c r="R368" s="137" t="str"/>
      <x:c r="S368" s="137" t="str"/>
      <x:c r="T368" s="137" t="str"/>
      <x:c r="U368" s="137" t="str"/>
      <x:c r="V368" s="137" t="str"/>
      <x:c r="W368" s="137" t="str"/>
      <x:c r="X368" s="199" t="str"/>
    </x:row>
    <x:row r="369">
      <x:c r="A369" s="137" t="str"/>
      <x:c r="B369" s="138" t="str"/>
      <x:c r="C369" s="138" t="str"/>
      <x:c r="D369" s="137" t="str"/>
      <x:c r="E369" s="137" t="str"/>
      <x:c r="F369" s="137" t="str"/>
      <x:c r="G369" s="137" t="str"/>
      <x:c r="H369" s="137" t="str"/>
      <x:c r="I369" s="137" t="str"/>
      <x:c r="J369" s="151" t="str"/>
      <x:c r="K369" s="151" t="str"/>
      <x:c r="L369" s="152" t="str">
        <x:f>IF(OR(J369="",K369=""),"",ROUNDUP(J369/K369,0))</x:f>
      </x:c>
      <x:c r="M369" s="151" t="str"/>
      <x:c r="N369" s="137" t="str"/>
      <x:c r="O369" s="137" t="str"/>
      <x:c r="P369" s="137" t="str"/>
      <x:c r="Q369" s="137" t="str"/>
      <x:c r="R369" s="137" t="str"/>
      <x:c r="S369" s="137" t="str"/>
      <x:c r="T369" s="137" t="str"/>
      <x:c r="U369" s="137" t="str"/>
      <x:c r="V369" s="137" t="str"/>
      <x:c r="W369" s="137" t="str"/>
      <x:c r="X369" s="199" t="str"/>
    </x:row>
    <x:row r="370">
      <x:c r="A370" s="137" t="str"/>
      <x:c r="B370" s="138" t="str"/>
      <x:c r="C370" s="138" t="str"/>
      <x:c r="D370" s="137" t="str"/>
      <x:c r="E370" s="137" t="str"/>
      <x:c r="F370" s="137" t="str"/>
      <x:c r="G370" s="137" t="str"/>
      <x:c r="H370" s="137" t="str"/>
      <x:c r="I370" s="137" t="str"/>
      <x:c r="J370" s="151" t="str"/>
      <x:c r="K370" s="151" t="str"/>
      <x:c r="L370" s="152" t="str">
        <x:f>IF(OR(J370="",K370=""),"",ROUNDUP(J370/K370,0))</x:f>
      </x:c>
      <x:c r="M370" s="151" t="str"/>
      <x:c r="N370" s="137" t="str"/>
      <x:c r="O370" s="137" t="str"/>
      <x:c r="P370" s="137" t="str"/>
      <x:c r="Q370" s="137" t="str"/>
      <x:c r="R370" s="137" t="str"/>
      <x:c r="S370" s="137" t="str"/>
      <x:c r="T370" s="137" t="str"/>
      <x:c r="U370" s="137" t="str"/>
      <x:c r="V370" s="137" t="str"/>
      <x:c r="W370" s="137" t="str"/>
      <x:c r="X370" s="199" t="str"/>
    </x:row>
    <x:row r="371">
      <x:c r="A371" s="137" t="str"/>
      <x:c r="B371" s="138" t="str"/>
      <x:c r="C371" s="138" t="str"/>
      <x:c r="D371" s="137" t="str"/>
      <x:c r="E371" s="137" t="str"/>
      <x:c r="F371" s="137" t="str"/>
      <x:c r="G371" s="137" t="str"/>
      <x:c r="H371" s="137" t="str"/>
      <x:c r="I371" s="137" t="str"/>
      <x:c r="J371" s="151" t="str"/>
      <x:c r="K371" s="151" t="str"/>
      <x:c r="L371" s="152" t="str">
        <x:f>IF(OR(J371="",K371=""),"",ROUNDUP(J371/K371,0))</x:f>
      </x:c>
      <x:c r="M371" s="151" t="str"/>
      <x:c r="N371" s="137" t="str"/>
      <x:c r="O371" s="137" t="str"/>
      <x:c r="P371" s="137" t="str"/>
      <x:c r="Q371" s="137" t="str"/>
      <x:c r="R371" s="137" t="str"/>
      <x:c r="S371" s="137" t="str"/>
      <x:c r="T371" s="137" t="str"/>
      <x:c r="U371" s="137" t="str"/>
      <x:c r="V371" s="137" t="str"/>
      <x:c r="W371" s="137" t="str"/>
      <x:c r="X371" s="199" t="str"/>
    </x:row>
    <x:row r="372">
      <x:c r="A372" s="137" t="str"/>
      <x:c r="B372" s="138" t="str"/>
      <x:c r="C372" s="138" t="str"/>
      <x:c r="D372" s="137" t="str"/>
      <x:c r="E372" s="137" t="str"/>
      <x:c r="F372" s="137" t="str"/>
      <x:c r="G372" s="137" t="str"/>
      <x:c r="H372" s="137" t="str"/>
      <x:c r="I372" s="137" t="str"/>
      <x:c r="J372" s="151" t="str"/>
      <x:c r="K372" s="151" t="str"/>
      <x:c r="L372" s="152" t="str">
        <x:f>IF(OR(J372="",K372=""),"",ROUNDUP(J372/K372,0))</x:f>
      </x:c>
      <x:c r="M372" s="151" t="str"/>
      <x:c r="N372" s="137" t="str"/>
      <x:c r="O372" s="137" t="str"/>
      <x:c r="P372" s="137" t="str"/>
      <x:c r="Q372" s="137" t="str"/>
      <x:c r="R372" s="137" t="str"/>
      <x:c r="S372" s="137" t="str"/>
      <x:c r="T372" s="137" t="str"/>
      <x:c r="U372" s="137" t="str"/>
      <x:c r="V372" s="137" t="str"/>
      <x:c r="W372" s="137" t="str"/>
      <x:c r="X372" s="199" t="str"/>
    </x:row>
    <x:row r="373">
      <x:c r="A373" s="137" t="str"/>
      <x:c r="B373" s="138" t="str"/>
      <x:c r="C373" s="138" t="str"/>
      <x:c r="D373" s="137" t="str"/>
      <x:c r="E373" s="137" t="str"/>
      <x:c r="F373" s="137" t="str"/>
      <x:c r="G373" s="137" t="str"/>
      <x:c r="H373" s="137" t="str"/>
      <x:c r="I373" s="137" t="str"/>
      <x:c r="J373" s="151" t="str"/>
      <x:c r="K373" s="151" t="str"/>
      <x:c r="L373" s="152" t="str">
        <x:f>IF(OR(J373="",K373=""),"",ROUNDUP(J373/K373,0))</x:f>
      </x:c>
      <x:c r="M373" s="151" t="str"/>
      <x:c r="N373" s="137" t="str"/>
      <x:c r="O373" s="137" t="str"/>
      <x:c r="P373" s="137" t="str"/>
      <x:c r="Q373" s="137" t="str"/>
      <x:c r="R373" s="137" t="str"/>
      <x:c r="S373" s="137" t="str"/>
      <x:c r="T373" s="137" t="str"/>
      <x:c r="U373" s="137" t="str"/>
      <x:c r="V373" s="137" t="str"/>
      <x:c r="W373" s="137" t="str"/>
      <x:c r="X373" s="199" t="str"/>
    </x:row>
    <x:row r="374">
      <x:c r="A374" s="137" t="str"/>
      <x:c r="B374" s="138" t="str"/>
      <x:c r="C374" s="138" t="str"/>
      <x:c r="D374" s="137" t="str"/>
      <x:c r="E374" s="137" t="str"/>
      <x:c r="F374" s="137" t="str"/>
      <x:c r="G374" s="137" t="str"/>
      <x:c r="H374" s="137" t="str"/>
      <x:c r="I374" s="137" t="str"/>
      <x:c r="J374" s="151" t="str"/>
      <x:c r="K374" s="151" t="str"/>
      <x:c r="L374" s="152" t="str">
        <x:f>IF(OR(J374="",K374=""),"",ROUNDUP(J374/K374,0))</x:f>
      </x:c>
      <x:c r="M374" s="151" t="str"/>
      <x:c r="N374" s="137" t="str"/>
      <x:c r="O374" s="137" t="str"/>
      <x:c r="P374" s="137" t="str"/>
      <x:c r="Q374" s="137" t="str"/>
      <x:c r="R374" s="137" t="str"/>
      <x:c r="S374" s="137" t="str"/>
      <x:c r="T374" s="137" t="str"/>
      <x:c r="U374" s="137" t="str"/>
      <x:c r="V374" s="137" t="str"/>
      <x:c r="W374" s="137" t="str"/>
      <x:c r="X374" s="199" t="str"/>
    </x:row>
    <x:row r="375">
      <x:c r="A375" s="137" t="str"/>
      <x:c r="B375" s="138" t="str"/>
      <x:c r="C375" s="138" t="str"/>
      <x:c r="D375" s="137" t="str"/>
      <x:c r="E375" s="137" t="str"/>
      <x:c r="F375" s="137" t="str"/>
      <x:c r="G375" s="137" t="str"/>
      <x:c r="H375" s="137" t="str"/>
      <x:c r="I375" s="137" t="str"/>
      <x:c r="J375" s="151" t="str"/>
      <x:c r="K375" s="151" t="str"/>
      <x:c r="L375" s="152" t="str">
        <x:f>IF(OR(J375="",K375=""),"",ROUNDUP(J375/K375,0))</x:f>
      </x:c>
      <x:c r="M375" s="151" t="str"/>
      <x:c r="N375" s="137" t="str"/>
      <x:c r="O375" s="137" t="str"/>
      <x:c r="P375" s="137" t="str"/>
      <x:c r="Q375" s="137" t="str"/>
      <x:c r="R375" s="137" t="str"/>
      <x:c r="S375" s="137" t="str"/>
      <x:c r="T375" s="137" t="str"/>
      <x:c r="U375" s="137" t="str"/>
      <x:c r="V375" s="137" t="str"/>
      <x:c r="W375" s="137" t="str"/>
      <x:c r="X375" s="199" t="str"/>
    </x:row>
    <x:row r="376">
      <x:c r="A376" s="137" t="str"/>
      <x:c r="B376" s="138" t="str"/>
      <x:c r="C376" s="138" t="str"/>
      <x:c r="D376" s="137" t="str"/>
      <x:c r="E376" s="137" t="str"/>
      <x:c r="F376" s="137" t="str"/>
      <x:c r="G376" s="137" t="str"/>
      <x:c r="H376" s="137" t="str"/>
      <x:c r="I376" s="137" t="str"/>
      <x:c r="J376" s="151" t="str"/>
      <x:c r="K376" s="151" t="str"/>
      <x:c r="L376" s="152" t="str">
        <x:f>IF(OR(J376="",K376=""),"",ROUNDUP(J376/K376,0))</x:f>
      </x:c>
      <x:c r="M376" s="151" t="str"/>
      <x:c r="N376" s="137" t="str"/>
      <x:c r="O376" s="137" t="str"/>
      <x:c r="P376" s="137" t="str"/>
      <x:c r="Q376" s="137" t="str"/>
      <x:c r="R376" s="137" t="str"/>
      <x:c r="S376" s="137" t="str"/>
      <x:c r="T376" s="137" t="str"/>
      <x:c r="U376" s="137" t="str"/>
      <x:c r="V376" s="137" t="str"/>
      <x:c r="W376" s="137" t="str"/>
      <x:c r="X376" s="199" t="str"/>
    </x:row>
    <x:row r="377">
      <x:c r="A377" s="137" t="str"/>
      <x:c r="B377" s="138" t="str"/>
      <x:c r="C377" s="138" t="str"/>
      <x:c r="D377" s="137" t="str"/>
      <x:c r="E377" s="137" t="str"/>
      <x:c r="F377" s="137" t="str"/>
      <x:c r="G377" s="137" t="str"/>
      <x:c r="H377" s="137" t="str"/>
      <x:c r="I377" s="137" t="str"/>
      <x:c r="J377" s="151" t="str"/>
      <x:c r="K377" s="151" t="str"/>
      <x:c r="L377" s="152" t="str">
        <x:f>IF(OR(J377="",K377=""),"",ROUNDUP(J377/K377,0))</x:f>
      </x:c>
      <x:c r="M377" s="151" t="str"/>
      <x:c r="N377" s="137" t="str"/>
      <x:c r="O377" s="137" t="str"/>
      <x:c r="P377" s="137" t="str"/>
      <x:c r="Q377" s="137" t="str"/>
      <x:c r="R377" s="137" t="str"/>
      <x:c r="S377" s="137" t="str"/>
      <x:c r="T377" s="137" t="str"/>
      <x:c r="U377" s="137" t="str"/>
      <x:c r="V377" s="137" t="str"/>
      <x:c r="W377" s="137" t="str"/>
      <x:c r="X377" s="199" t="str"/>
    </x:row>
    <x:row r="378">
      <x:c r="A378" s="137" t="str"/>
      <x:c r="B378" s="138" t="str"/>
      <x:c r="C378" s="138" t="str"/>
      <x:c r="D378" s="137" t="str"/>
      <x:c r="E378" s="137" t="str"/>
      <x:c r="F378" s="137" t="str"/>
      <x:c r="G378" s="137" t="str"/>
      <x:c r="H378" s="137" t="str"/>
      <x:c r="I378" s="137" t="str"/>
      <x:c r="J378" s="151" t="str"/>
      <x:c r="K378" s="151" t="str"/>
      <x:c r="L378" s="152" t="str">
        <x:f>IF(OR(J378="",K378=""),"",ROUNDUP(J378/K378,0))</x:f>
      </x:c>
      <x:c r="M378" s="151" t="str"/>
      <x:c r="N378" s="137" t="str"/>
      <x:c r="O378" s="137" t="str"/>
      <x:c r="P378" s="137" t="str"/>
      <x:c r="Q378" s="137" t="str"/>
      <x:c r="R378" s="137" t="str"/>
      <x:c r="S378" s="137" t="str"/>
      <x:c r="T378" s="137" t="str"/>
      <x:c r="U378" s="137" t="str"/>
      <x:c r="V378" s="137" t="str"/>
      <x:c r="W378" s="137" t="str"/>
      <x:c r="X378" s="199" t="str"/>
    </x:row>
    <x:row r="379">
      <x:c r="A379" s="137" t="str"/>
      <x:c r="B379" s="138" t="str"/>
      <x:c r="C379" s="138" t="str"/>
      <x:c r="D379" s="137" t="str"/>
      <x:c r="E379" s="137" t="str"/>
      <x:c r="F379" s="137" t="str"/>
      <x:c r="G379" s="137" t="str"/>
      <x:c r="H379" s="137" t="str"/>
      <x:c r="I379" s="137" t="str"/>
      <x:c r="J379" s="151" t="str"/>
      <x:c r="K379" s="151" t="str"/>
      <x:c r="L379" s="152" t="str">
        <x:f>IF(OR(J379="",K379=""),"",ROUNDUP(J379/K379,0))</x:f>
      </x:c>
      <x:c r="M379" s="151" t="str"/>
      <x:c r="N379" s="137" t="str"/>
      <x:c r="O379" s="137" t="str"/>
      <x:c r="P379" s="137" t="str"/>
      <x:c r="Q379" s="137" t="str"/>
      <x:c r="R379" s="137" t="str"/>
      <x:c r="S379" s="137" t="str"/>
      <x:c r="T379" s="137" t="str"/>
      <x:c r="U379" s="137" t="str"/>
      <x:c r="V379" s="137" t="str"/>
      <x:c r="W379" s="137" t="str"/>
      <x:c r="X379" s="199" t="str"/>
    </x:row>
    <x:row r="380">
      <x:c r="A380" s="137" t="str"/>
      <x:c r="B380" s="138" t="str"/>
      <x:c r="C380" s="138" t="str"/>
      <x:c r="D380" s="137" t="str"/>
      <x:c r="E380" s="137" t="str"/>
      <x:c r="F380" s="137" t="str"/>
      <x:c r="G380" s="137" t="str"/>
      <x:c r="H380" s="137" t="str"/>
      <x:c r="I380" s="137" t="str"/>
      <x:c r="J380" s="151" t="str"/>
      <x:c r="K380" s="151" t="str"/>
      <x:c r="L380" s="152" t="str">
        <x:f>IF(OR(J380="",K380=""),"",ROUNDUP(J380/K380,0))</x:f>
      </x:c>
      <x:c r="M380" s="151" t="str"/>
      <x:c r="N380" s="137" t="str"/>
      <x:c r="O380" s="137" t="str"/>
      <x:c r="P380" s="137" t="str"/>
      <x:c r="Q380" s="137" t="str"/>
      <x:c r="R380" s="137" t="str"/>
      <x:c r="S380" s="137" t="str"/>
      <x:c r="T380" s="137" t="str"/>
      <x:c r="U380" s="137" t="str"/>
      <x:c r="V380" s="137" t="str"/>
      <x:c r="W380" s="137" t="str"/>
      <x:c r="X380" s="199" t="str"/>
    </x:row>
    <x:row r="381">
      <x:c r="A381" s="137" t="str"/>
      <x:c r="B381" s="138" t="str"/>
      <x:c r="C381" s="138" t="str"/>
      <x:c r="D381" s="137" t="str"/>
      <x:c r="E381" s="137" t="str"/>
      <x:c r="F381" s="137" t="str"/>
      <x:c r="G381" s="137" t="str"/>
      <x:c r="H381" s="137" t="str"/>
      <x:c r="I381" s="137" t="str"/>
      <x:c r="J381" s="151" t="str"/>
      <x:c r="K381" s="151" t="str"/>
      <x:c r="L381" s="152" t="str">
        <x:f>IF(OR(J381="",K381=""),"",ROUNDUP(J381/K381,0))</x:f>
      </x:c>
      <x:c r="M381" s="151" t="str"/>
      <x:c r="N381" s="137" t="str"/>
      <x:c r="O381" s="137" t="str"/>
      <x:c r="P381" s="137" t="str"/>
      <x:c r="Q381" s="137" t="str"/>
      <x:c r="R381" s="137" t="str"/>
      <x:c r="S381" s="137" t="str"/>
      <x:c r="T381" s="137" t="str"/>
      <x:c r="U381" s="137" t="str"/>
      <x:c r="V381" s="137" t="str"/>
      <x:c r="W381" s="137" t="str"/>
      <x:c r="X381" s="199" t="str"/>
    </x:row>
    <x:row r="382">
      <x:c r="A382" s="137" t="str"/>
      <x:c r="B382" s="138" t="str"/>
      <x:c r="C382" s="138" t="str"/>
      <x:c r="D382" s="137" t="str"/>
      <x:c r="E382" s="137" t="str"/>
      <x:c r="F382" s="137" t="str"/>
      <x:c r="G382" s="137" t="str"/>
      <x:c r="H382" s="137" t="str"/>
      <x:c r="I382" s="137" t="str"/>
      <x:c r="J382" s="151" t="str"/>
      <x:c r="K382" s="151" t="str"/>
      <x:c r="L382" s="152" t="str">
        <x:f>IF(OR(J382="",K382=""),"",ROUNDUP(J382/K382,0))</x:f>
      </x:c>
      <x:c r="M382" s="151" t="str"/>
      <x:c r="N382" s="137" t="str"/>
      <x:c r="O382" s="137" t="str"/>
      <x:c r="P382" s="137" t="str"/>
      <x:c r="Q382" s="137" t="str"/>
      <x:c r="R382" s="137" t="str"/>
      <x:c r="S382" s="137" t="str"/>
      <x:c r="T382" s="137" t="str"/>
      <x:c r="U382" s="137" t="str"/>
      <x:c r="V382" s="137" t="str"/>
      <x:c r="W382" s="137" t="str"/>
      <x:c r="X382" s="199" t="str"/>
    </x:row>
    <x:row r="383">
      <x:c r="A383" s="137" t="str"/>
      <x:c r="B383" s="138" t="str"/>
      <x:c r="C383" s="138" t="str"/>
      <x:c r="D383" s="137" t="str"/>
      <x:c r="E383" s="137" t="str"/>
      <x:c r="F383" s="137" t="str"/>
      <x:c r="G383" s="137" t="str"/>
      <x:c r="H383" s="137" t="str"/>
      <x:c r="I383" s="137" t="str"/>
      <x:c r="J383" s="151" t="str"/>
      <x:c r="K383" s="151" t="str"/>
      <x:c r="L383" s="152" t="str">
        <x:f>IF(OR(J383="",K383=""),"",ROUNDUP(J383/K383,0))</x:f>
      </x:c>
      <x:c r="M383" s="151" t="str"/>
      <x:c r="N383" s="137" t="str"/>
      <x:c r="O383" s="137" t="str"/>
      <x:c r="P383" s="137" t="str"/>
      <x:c r="Q383" s="137" t="str"/>
      <x:c r="R383" s="137" t="str"/>
      <x:c r="S383" s="137" t="str"/>
      <x:c r="T383" s="137" t="str"/>
      <x:c r="U383" s="137" t="str"/>
      <x:c r="V383" s="137" t="str"/>
      <x:c r="W383" s="137" t="str"/>
      <x:c r="X383" s="199" t="str"/>
    </x:row>
    <x:row r="384">
      <x:c r="A384" s="137" t="str"/>
      <x:c r="B384" s="138" t="str"/>
      <x:c r="C384" s="138" t="str"/>
      <x:c r="D384" s="137" t="str"/>
      <x:c r="E384" s="137" t="str"/>
      <x:c r="F384" s="137" t="str"/>
      <x:c r="G384" s="137" t="str"/>
      <x:c r="H384" s="137" t="str"/>
      <x:c r="I384" s="137" t="str"/>
      <x:c r="J384" s="151" t="str"/>
      <x:c r="K384" s="151" t="str"/>
      <x:c r="L384" s="152" t="str">
        <x:f>IF(OR(J384="",K384=""),"",ROUNDUP(J384/K384,0))</x:f>
      </x:c>
      <x:c r="M384" s="151" t="str"/>
      <x:c r="N384" s="137" t="str"/>
      <x:c r="O384" s="137" t="str"/>
      <x:c r="P384" s="137" t="str"/>
      <x:c r="Q384" s="137" t="str"/>
      <x:c r="R384" s="137" t="str"/>
      <x:c r="S384" s="137" t="str"/>
      <x:c r="T384" s="137" t="str"/>
      <x:c r="U384" s="137" t="str"/>
      <x:c r="V384" s="137" t="str"/>
      <x:c r="W384" s="137" t="str"/>
      <x:c r="X384" s="199" t="str"/>
    </x:row>
    <x:row r="385">
      <x:c r="A385" s="137" t="str"/>
      <x:c r="B385" s="138" t="str"/>
      <x:c r="C385" s="138" t="str"/>
      <x:c r="D385" s="137" t="str"/>
      <x:c r="E385" s="137" t="str"/>
      <x:c r="F385" s="137" t="str"/>
      <x:c r="G385" s="137" t="str"/>
      <x:c r="H385" s="137" t="str"/>
      <x:c r="I385" s="137" t="str"/>
      <x:c r="J385" s="151" t="str"/>
      <x:c r="K385" s="151" t="str"/>
      <x:c r="L385" s="152" t="str">
        <x:f>IF(OR(J385="",K385=""),"",ROUNDUP(J385/K385,0))</x:f>
      </x:c>
      <x:c r="M385" s="151" t="str"/>
      <x:c r="N385" s="137" t="str"/>
      <x:c r="O385" s="137" t="str"/>
      <x:c r="P385" s="137" t="str"/>
      <x:c r="Q385" s="137" t="str"/>
      <x:c r="R385" s="137" t="str"/>
      <x:c r="S385" s="137" t="str"/>
      <x:c r="T385" s="137" t="str"/>
      <x:c r="U385" s="137" t="str"/>
      <x:c r="V385" s="137" t="str"/>
      <x:c r="W385" s="137" t="str"/>
      <x:c r="X385" s="199" t="str"/>
    </x:row>
    <x:row r="386">
      <x:c r="A386" s="137" t="str"/>
      <x:c r="B386" s="138" t="str"/>
      <x:c r="C386" s="138" t="str"/>
      <x:c r="D386" s="137" t="str"/>
      <x:c r="E386" s="137" t="str"/>
      <x:c r="F386" s="137" t="str"/>
      <x:c r="G386" s="137" t="str"/>
      <x:c r="H386" s="137" t="str"/>
      <x:c r="I386" s="137" t="str"/>
      <x:c r="J386" s="151" t="str"/>
      <x:c r="K386" s="151" t="str"/>
      <x:c r="L386" s="152" t="str">
        <x:f>IF(OR(J386="",K386=""),"",ROUNDUP(J386/K386,0))</x:f>
      </x:c>
      <x:c r="M386" s="151" t="str"/>
      <x:c r="N386" s="137" t="str"/>
      <x:c r="O386" s="137" t="str"/>
      <x:c r="P386" s="137" t="str"/>
      <x:c r="Q386" s="137" t="str"/>
      <x:c r="R386" s="137" t="str"/>
      <x:c r="S386" s="137" t="str"/>
      <x:c r="T386" s="137" t="str"/>
      <x:c r="U386" s="137" t="str"/>
      <x:c r="V386" s="137" t="str"/>
      <x:c r="W386" s="137" t="str"/>
      <x:c r="X386" s="199" t="str"/>
    </x:row>
    <x:row r="387">
      <x:c r="A387" s="137" t="str"/>
      <x:c r="B387" s="138" t="str"/>
      <x:c r="C387" s="138" t="str"/>
      <x:c r="D387" s="137" t="str"/>
      <x:c r="E387" s="137" t="str"/>
      <x:c r="F387" s="137" t="str"/>
      <x:c r="G387" s="137" t="str"/>
      <x:c r="H387" s="137" t="str"/>
      <x:c r="I387" s="137" t="str"/>
      <x:c r="J387" s="151" t="str"/>
      <x:c r="K387" s="151" t="str"/>
      <x:c r="L387" s="152" t="str">
        <x:f>IF(OR(J387="",K387=""),"",ROUNDUP(J387/K387,0))</x:f>
      </x:c>
      <x:c r="M387" s="151" t="str"/>
      <x:c r="N387" s="137" t="str"/>
      <x:c r="O387" s="137" t="str"/>
      <x:c r="P387" s="137" t="str"/>
      <x:c r="Q387" s="137" t="str"/>
      <x:c r="R387" s="137" t="str"/>
      <x:c r="S387" s="137" t="str"/>
      <x:c r="T387" s="137" t="str"/>
      <x:c r="U387" s="137" t="str"/>
      <x:c r="V387" s="137" t="str"/>
      <x:c r="W387" s="137" t="str"/>
      <x:c r="X387" s="199" t="str"/>
    </x:row>
    <x:row r="388">
      <x:c r="A388" s="137" t="str"/>
      <x:c r="B388" s="138" t="str"/>
      <x:c r="C388" s="138" t="str"/>
      <x:c r="D388" s="137" t="str"/>
      <x:c r="E388" s="137" t="str"/>
      <x:c r="F388" s="137" t="str"/>
      <x:c r="G388" s="137" t="str"/>
      <x:c r="H388" s="137" t="str"/>
      <x:c r="I388" s="137" t="str"/>
      <x:c r="J388" s="151" t="str"/>
      <x:c r="K388" s="151" t="str"/>
      <x:c r="L388" s="152" t="str">
        <x:f>IF(OR(J388="",K388=""),"",ROUNDUP(J388/K388,0))</x:f>
      </x:c>
      <x:c r="M388" s="151" t="str"/>
      <x:c r="N388" s="137" t="str"/>
      <x:c r="O388" s="137" t="str"/>
      <x:c r="P388" s="137" t="str"/>
      <x:c r="Q388" s="137" t="str"/>
      <x:c r="R388" s="137" t="str"/>
      <x:c r="S388" s="137" t="str"/>
      <x:c r="T388" s="137" t="str"/>
      <x:c r="U388" s="137" t="str"/>
      <x:c r="V388" s="137" t="str"/>
      <x:c r="W388" s="137" t="str"/>
      <x:c r="X388" s="199" t="str"/>
    </x:row>
    <x:row r="389">
      <x:c r="A389" s="137" t="str"/>
      <x:c r="B389" s="138" t="str"/>
      <x:c r="C389" s="138" t="str"/>
      <x:c r="D389" s="137" t="str"/>
      <x:c r="E389" s="137" t="str"/>
      <x:c r="F389" s="137" t="str"/>
      <x:c r="G389" s="137" t="str"/>
      <x:c r="H389" s="137" t="str"/>
      <x:c r="I389" s="137" t="str"/>
      <x:c r="J389" s="151" t="str"/>
      <x:c r="K389" s="151" t="str"/>
      <x:c r="L389" s="152" t="str">
        <x:f>IF(OR(J389="",K389=""),"",ROUNDUP(J389/K389,0))</x:f>
      </x:c>
      <x:c r="M389" s="151" t="str"/>
      <x:c r="N389" s="137" t="str"/>
      <x:c r="O389" s="137" t="str"/>
      <x:c r="P389" s="137" t="str"/>
      <x:c r="Q389" s="137" t="str"/>
      <x:c r="R389" s="137" t="str"/>
      <x:c r="S389" s="137" t="str"/>
      <x:c r="T389" s="137" t="str"/>
      <x:c r="U389" s="137" t="str"/>
      <x:c r="V389" s="137" t="str"/>
      <x:c r="W389" s="137" t="str"/>
      <x:c r="X389" s="199" t="str"/>
    </x:row>
    <x:row r="390">
      <x:c r="A390" s="137" t="str"/>
      <x:c r="B390" s="138" t="str"/>
      <x:c r="C390" s="138" t="str"/>
      <x:c r="D390" s="137" t="str"/>
      <x:c r="E390" s="137" t="str"/>
      <x:c r="F390" s="137" t="str"/>
      <x:c r="G390" s="137" t="str"/>
      <x:c r="H390" s="137" t="str"/>
      <x:c r="I390" s="137" t="str"/>
      <x:c r="J390" s="151" t="str"/>
      <x:c r="K390" s="151" t="str"/>
      <x:c r="L390" s="152" t="str">
        <x:f>IF(OR(J390="",K390=""),"",ROUNDUP(J390/K390,0))</x:f>
      </x:c>
      <x:c r="M390" s="151" t="str"/>
      <x:c r="N390" s="137" t="str"/>
      <x:c r="O390" s="137" t="str"/>
      <x:c r="P390" s="137" t="str"/>
      <x:c r="Q390" s="137" t="str"/>
      <x:c r="R390" s="137" t="str"/>
      <x:c r="S390" s="137" t="str"/>
      <x:c r="T390" s="137" t="str"/>
      <x:c r="U390" s="137" t="str"/>
      <x:c r="V390" s="137" t="str"/>
      <x:c r="W390" s="137" t="str"/>
      <x:c r="X390" s="199" t="str"/>
    </x:row>
    <x:row r="391">
      <x:c r="A391" s="137" t="str"/>
      <x:c r="B391" s="138" t="str"/>
      <x:c r="C391" s="138" t="str"/>
      <x:c r="D391" s="137" t="str"/>
      <x:c r="E391" s="137" t="str"/>
      <x:c r="F391" s="137" t="str"/>
      <x:c r="G391" s="137" t="str"/>
      <x:c r="H391" s="137" t="str"/>
      <x:c r="I391" s="137" t="str"/>
      <x:c r="J391" s="151" t="str"/>
      <x:c r="K391" s="151" t="str"/>
      <x:c r="L391" s="152" t="str">
        <x:f>IF(OR(J391="",K391=""),"",ROUNDUP(J391/K391,0))</x:f>
      </x:c>
      <x:c r="M391" s="151" t="str"/>
      <x:c r="N391" s="137" t="str"/>
      <x:c r="O391" s="137" t="str"/>
      <x:c r="P391" s="137" t="str"/>
      <x:c r="Q391" s="137" t="str"/>
      <x:c r="R391" s="137" t="str"/>
      <x:c r="S391" s="137" t="str"/>
      <x:c r="T391" s="137" t="str"/>
      <x:c r="U391" s="137" t="str"/>
      <x:c r="V391" s="137" t="str"/>
      <x:c r="W391" s="137" t="str"/>
      <x:c r="X391" s="199" t="str"/>
    </x:row>
    <x:row r="392">
      <x:c r="A392" s="137" t="str"/>
      <x:c r="B392" s="138" t="str"/>
      <x:c r="C392" s="138" t="str"/>
      <x:c r="D392" s="137" t="str"/>
      <x:c r="E392" s="137" t="str"/>
      <x:c r="F392" s="137" t="str"/>
      <x:c r="G392" s="137" t="str"/>
      <x:c r="H392" s="137" t="str"/>
      <x:c r="I392" s="137" t="str"/>
      <x:c r="J392" s="151" t="str"/>
      <x:c r="K392" s="151" t="str"/>
      <x:c r="L392" s="152" t="str">
        <x:f>IF(OR(J392="",K392=""),"",ROUNDUP(J392/K392,0))</x:f>
      </x:c>
      <x:c r="M392" s="151" t="str"/>
      <x:c r="N392" s="137" t="str"/>
      <x:c r="O392" s="137" t="str"/>
      <x:c r="P392" s="137" t="str"/>
      <x:c r="Q392" s="137" t="str"/>
      <x:c r="R392" s="137" t="str"/>
      <x:c r="S392" s="137" t="str"/>
      <x:c r="T392" s="137" t="str"/>
      <x:c r="U392" s="137" t="str"/>
      <x:c r="V392" s="137" t="str"/>
      <x:c r="W392" s="137" t="str"/>
      <x:c r="X392" s="199" t="str"/>
    </x:row>
    <x:row r="393">
      <x:c r="A393" s="137" t="str"/>
      <x:c r="B393" s="138" t="str"/>
      <x:c r="C393" s="138" t="str"/>
      <x:c r="D393" s="137" t="str"/>
      <x:c r="E393" s="137" t="str"/>
      <x:c r="F393" s="137" t="str"/>
      <x:c r="G393" s="137" t="str"/>
      <x:c r="H393" s="137" t="str"/>
      <x:c r="I393" s="137" t="str"/>
      <x:c r="J393" s="151" t="str"/>
      <x:c r="K393" s="151" t="str"/>
      <x:c r="L393" s="152" t="str">
        <x:f>IF(OR(J393="",K393=""),"",ROUNDUP(J393/K393,0))</x:f>
      </x:c>
      <x:c r="M393" s="151" t="str"/>
      <x:c r="N393" s="137" t="str"/>
      <x:c r="O393" s="137" t="str"/>
      <x:c r="P393" s="137" t="str"/>
      <x:c r="Q393" s="137" t="str"/>
      <x:c r="R393" s="137" t="str"/>
      <x:c r="S393" s="137" t="str"/>
      <x:c r="T393" s="137" t="str"/>
      <x:c r="U393" s="137" t="str"/>
      <x:c r="V393" s="137" t="str"/>
      <x:c r="W393" s="137" t="str"/>
      <x:c r="X393" s="199" t="str"/>
    </x:row>
    <x:row r="394">
      <x:c r="A394" s="137" t="str"/>
      <x:c r="B394" s="138" t="str"/>
      <x:c r="C394" s="138" t="str"/>
      <x:c r="D394" s="137" t="str"/>
      <x:c r="E394" s="137" t="str"/>
      <x:c r="F394" s="137" t="str"/>
      <x:c r="G394" s="137" t="str"/>
      <x:c r="H394" s="137" t="str"/>
      <x:c r="I394" s="137" t="str"/>
      <x:c r="J394" s="151" t="str"/>
      <x:c r="K394" s="151" t="str"/>
      <x:c r="L394" s="152" t="str">
        <x:f>IF(OR(J394="",K394=""),"",ROUNDUP(J394/K394,0))</x:f>
      </x:c>
      <x:c r="M394" s="151" t="str"/>
      <x:c r="N394" s="137" t="str"/>
      <x:c r="O394" s="137" t="str"/>
      <x:c r="P394" s="137" t="str"/>
      <x:c r="Q394" s="137" t="str"/>
      <x:c r="R394" s="137" t="str"/>
      <x:c r="S394" s="137" t="str"/>
      <x:c r="T394" s="137" t="str"/>
      <x:c r="U394" s="137" t="str"/>
      <x:c r="V394" s="137" t="str"/>
      <x:c r="W394" s="137" t="str"/>
      <x:c r="X394" s="199" t="str"/>
    </x:row>
    <x:row r="395">
      <x:c r="A395" s="137" t="str"/>
      <x:c r="B395" s="138" t="str"/>
      <x:c r="C395" s="138" t="str"/>
      <x:c r="D395" s="137" t="str"/>
      <x:c r="E395" s="137" t="str"/>
      <x:c r="F395" s="137" t="str"/>
      <x:c r="G395" s="137" t="str"/>
      <x:c r="H395" s="137" t="str"/>
      <x:c r="I395" s="137" t="str"/>
      <x:c r="J395" s="151" t="str"/>
      <x:c r="K395" s="151" t="str"/>
      <x:c r="L395" s="152" t="str">
        <x:f>IF(OR(J395="",K395=""),"",ROUNDUP(J395/K395,0))</x:f>
      </x:c>
      <x:c r="M395" s="151" t="str"/>
      <x:c r="N395" s="137" t="str"/>
      <x:c r="O395" s="137" t="str"/>
      <x:c r="P395" s="137" t="str"/>
      <x:c r="Q395" s="137" t="str"/>
      <x:c r="R395" s="137" t="str"/>
      <x:c r="S395" s="137" t="str"/>
      <x:c r="T395" s="137" t="str"/>
      <x:c r="U395" s="137" t="str"/>
      <x:c r="V395" s="137" t="str"/>
      <x:c r="W395" s="137" t="str"/>
      <x:c r="X395" s="199" t="str"/>
    </x:row>
    <x:row r="396">
      <x:c r="A396" s="137" t="str"/>
      <x:c r="B396" s="138" t="str"/>
      <x:c r="C396" s="138" t="str"/>
      <x:c r="D396" s="137" t="str"/>
      <x:c r="E396" s="137" t="str"/>
      <x:c r="F396" s="137" t="str"/>
      <x:c r="G396" s="137" t="str"/>
      <x:c r="H396" s="137" t="str"/>
      <x:c r="I396" s="137" t="str"/>
      <x:c r="J396" s="151" t="str"/>
      <x:c r="K396" s="151" t="str"/>
      <x:c r="L396" s="152" t="str">
        <x:f>IF(OR(J396="",K396=""),"",ROUNDUP(J396/K396,0))</x:f>
      </x:c>
      <x:c r="M396" s="151" t="str"/>
      <x:c r="N396" s="137" t="str"/>
      <x:c r="O396" s="137" t="str"/>
      <x:c r="P396" s="137" t="str"/>
      <x:c r="Q396" s="137" t="str"/>
      <x:c r="R396" s="137" t="str"/>
      <x:c r="S396" s="137" t="str"/>
      <x:c r="T396" s="137" t="str"/>
      <x:c r="U396" s="137" t="str"/>
      <x:c r="V396" s="137" t="str"/>
      <x:c r="W396" s="137" t="str"/>
      <x:c r="X396" s="199" t="str"/>
    </x:row>
    <x:row r="397">
      <x:c r="A397" s="137" t="str"/>
      <x:c r="B397" s="138" t="str"/>
      <x:c r="C397" s="138" t="str"/>
      <x:c r="D397" s="137" t="str"/>
      <x:c r="E397" s="137" t="str"/>
      <x:c r="F397" s="137" t="str"/>
      <x:c r="G397" s="137" t="str"/>
      <x:c r="H397" s="137" t="str"/>
      <x:c r="I397" s="137" t="str"/>
      <x:c r="J397" s="151" t="str"/>
      <x:c r="K397" s="151" t="str"/>
      <x:c r="L397" s="152" t="str">
        <x:f>IF(OR(J397="",K397=""),"",ROUNDUP(J397/K397,0))</x:f>
      </x:c>
      <x:c r="M397" s="151" t="str"/>
      <x:c r="N397" s="137" t="str"/>
      <x:c r="O397" s="137" t="str"/>
      <x:c r="P397" s="137" t="str"/>
      <x:c r="Q397" s="137" t="str"/>
      <x:c r="R397" s="137" t="str"/>
      <x:c r="S397" s="137" t="str"/>
      <x:c r="T397" s="137" t="str"/>
      <x:c r="U397" s="137" t="str"/>
      <x:c r="V397" s="137" t="str"/>
      <x:c r="W397" s="137" t="str"/>
      <x:c r="X397" s="199" t="str"/>
    </x:row>
    <x:row r="398">
      <x:c r="A398" s="137" t="str"/>
      <x:c r="B398" s="138" t="str"/>
      <x:c r="C398" s="138" t="str"/>
      <x:c r="D398" s="137" t="str"/>
      <x:c r="E398" s="137" t="str"/>
      <x:c r="F398" s="137" t="str"/>
      <x:c r="G398" s="137" t="str"/>
      <x:c r="H398" s="137" t="str"/>
      <x:c r="I398" s="137" t="str"/>
      <x:c r="J398" s="151" t="str"/>
      <x:c r="K398" s="151" t="str"/>
      <x:c r="L398" s="152" t="str">
        <x:f>IF(OR(J398="",K398=""),"",ROUNDUP(J398/K398,0))</x:f>
      </x:c>
      <x:c r="M398" s="151" t="str"/>
      <x:c r="N398" s="137" t="str"/>
      <x:c r="O398" s="137" t="str"/>
      <x:c r="P398" s="137" t="str"/>
      <x:c r="Q398" s="137" t="str"/>
      <x:c r="R398" s="137" t="str"/>
      <x:c r="S398" s="137" t="str"/>
      <x:c r="T398" s="137" t="str"/>
      <x:c r="U398" s="137" t="str"/>
      <x:c r="V398" s="137" t="str"/>
      <x:c r="W398" s="137" t="str"/>
      <x:c r="X398" s="199" t="str"/>
    </x:row>
    <x:row r="399">
      <x:c r="A399" s="137" t="str"/>
      <x:c r="B399" s="138" t="str"/>
      <x:c r="C399" s="138" t="str"/>
      <x:c r="D399" s="137" t="str"/>
      <x:c r="E399" s="137" t="str"/>
      <x:c r="F399" s="137" t="str"/>
      <x:c r="G399" s="137" t="str"/>
      <x:c r="H399" s="137" t="str"/>
      <x:c r="I399" s="137" t="str"/>
      <x:c r="J399" s="151" t="str"/>
      <x:c r="K399" s="151" t="str"/>
      <x:c r="L399" s="152" t="str">
        <x:f>IF(OR(J399="",K399=""),"",ROUNDUP(J399/K399,0))</x:f>
      </x:c>
      <x:c r="M399" s="151" t="str"/>
      <x:c r="N399" s="137" t="str"/>
      <x:c r="O399" s="137" t="str"/>
      <x:c r="P399" s="137" t="str"/>
      <x:c r="Q399" s="137" t="str"/>
      <x:c r="R399" s="137" t="str"/>
      <x:c r="S399" s="137" t="str"/>
      <x:c r="T399" s="137" t="str"/>
      <x:c r="U399" s="137" t="str"/>
      <x:c r="V399" s="137" t="str"/>
      <x:c r="W399" s="137" t="str"/>
      <x:c r="X399" s="199" t="str"/>
    </x:row>
    <x:row r="400">
      <x:c r="A400" s="137" t="str"/>
      <x:c r="B400" s="138" t="str"/>
      <x:c r="C400" s="138" t="str"/>
      <x:c r="D400" s="137" t="str"/>
      <x:c r="E400" s="137" t="str"/>
      <x:c r="F400" s="137" t="str"/>
      <x:c r="G400" s="137" t="str"/>
      <x:c r="H400" s="137" t="str"/>
      <x:c r="I400" s="137" t="str"/>
      <x:c r="J400" s="151" t="str"/>
      <x:c r="K400" s="151" t="str"/>
      <x:c r="L400" s="152" t="str">
        <x:f>IF(OR(J400="",K400=""),"",ROUNDUP(J400/K400,0))</x:f>
      </x:c>
      <x:c r="M400" s="151" t="str"/>
      <x:c r="N400" s="137" t="str"/>
      <x:c r="O400" s="137" t="str"/>
      <x:c r="P400" s="137" t="str"/>
      <x:c r="Q400" s="137" t="str"/>
      <x:c r="R400" s="137" t="str"/>
      <x:c r="S400" s="137" t="str"/>
      <x:c r="T400" s="137" t="str"/>
      <x:c r="U400" s="137" t="str"/>
      <x:c r="V400" s="137" t="str"/>
      <x:c r="W400" s="137" t="str"/>
      <x:c r="X400" s="199" t="str"/>
    </x:row>
    <x:row r="401">
      <x:c r="A401" s="137" t="str"/>
      <x:c r="B401" s="138" t="str"/>
      <x:c r="C401" s="138" t="str"/>
      <x:c r="D401" s="137" t="str"/>
      <x:c r="E401" s="137" t="str"/>
      <x:c r="F401" s="137" t="str"/>
      <x:c r="G401" s="137" t="str"/>
      <x:c r="H401" s="137" t="str"/>
      <x:c r="I401" s="137" t="str"/>
      <x:c r="J401" s="151" t="str"/>
      <x:c r="K401" s="151" t="str"/>
      <x:c r="L401" s="152" t="str">
        <x:f>IF(OR(J401="",K401=""),"",ROUNDUP(J401/K401,0))</x:f>
      </x:c>
      <x:c r="M401" s="151" t="str"/>
      <x:c r="N401" s="137" t="str"/>
      <x:c r="O401" s="137" t="str"/>
      <x:c r="P401" s="137" t="str"/>
      <x:c r="Q401" s="137" t="str"/>
      <x:c r="R401" s="137" t="str"/>
      <x:c r="S401" s="137" t="str"/>
      <x:c r="T401" s="137" t="str"/>
      <x:c r="U401" s="137" t="str"/>
      <x:c r="V401" s="137" t="str"/>
      <x:c r="W401" s="137" t="str"/>
      <x:c r="X401" s="199" t="str"/>
    </x:row>
    <x:row r="402">
      <x:c r="A402" s="137" t="str"/>
      <x:c r="B402" s="138" t="str"/>
      <x:c r="C402" s="138" t="str"/>
      <x:c r="D402" s="137" t="str"/>
      <x:c r="E402" s="137" t="str"/>
      <x:c r="F402" s="137" t="str"/>
      <x:c r="G402" s="137" t="str"/>
      <x:c r="H402" s="137" t="str"/>
      <x:c r="I402" s="137" t="str"/>
      <x:c r="J402" s="151" t="str"/>
      <x:c r="K402" s="151" t="str"/>
      <x:c r="L402" s="152" t="str">
        <x:f>IF(OR(J402="",K402=""),"",ROUNDUP(J402/K402,0))</x:f>
      </x:c>
      <x:c r="M402" s="151" t="str"/>
      <x:c r="N402" s="137" t="str"/>
      <x:c r="O402" s="137" t="str"/>
      <x:c r="P402" s="137" t="str"/>
      <x:c r="Q402" s="137" t="str"/>
      <x:c r="R402" s="137" t="str"/>
      <x:c r="S402" s="137" t="str"/>
      <x:c r="T402" s="137" t="str"/>
      <x:c r="U402" s="137" t="str"/>
      <x:c r="V402" s="137" t="str"/>
      <x:c r="W402" s="137" t="str"/>
      <x:c r="X402" s="199" t="str"/>
    </x:row>
    <x:row r="403">
      <x:c r="A403" s="137" t="str"/>
      <x:c r="B403" s="138" t="str"/>
      <x:c r="C403" s="138" t="str"/>
      <x:c r="D403" s="137" t="str"/>
      <x:c r="E403" s="137" t="str"/>
      <x:c r="F403" s="137" t="str"/>
      <x:c r="G403" s="137" t="str"/>
      <x:c r="H403" s="137" t="str"/>
      <x:c r="I403" s="137" t="str"/>
      <x:c r="J403" s="151" t="str"/>
      <x:c r="K403" s="151" t="str"/>
      <x:c r="L403" s="152" t="str">
        <x:f>IF(OR(J403="",K403=""),"",ROUNDUP(J403/K403,0))</x:f>
      </x:c>
      <x:c r="M403" s="151" t="str"/>
      <x:c r="N403" s="137" t="str"/>
      <x:c r="O403" s="137" t="str"/>
      <x:c r="P403" s="137" t="str"/>
      <x:c r="Q403" s="137" t="str"/>
      <x:c r="R403" s="137" t="str"/>
      <x:c r="S403" s="137" t="str"/>
      <x:c r="T403" s="137" t="str"/>
      <x:c r="U403" s="137" t="str"/>
      <x:c r="V403" s="137" t="str"/>
      <x:c r="W403" s="137" t="str"/>
      <x:c r="X403" s="199" t="str"/>
    </x:row>
    <x:row r="404">
      <x:c r="A404" s="137" t="str"/>
      <x:c r="B404" s="138" t="str"/>
      <x:c r="C404" s="138" t="str"/>
      <x:c r="D404" s="137" t="str"/>
      <x:c r="E404" s="137" t="str"/>
      <x:c r="F404" s="137" t="str"/>
      <x:c r="G404" s="137" t="str"/>
      <x:c r="H404" s="137" t="str"/>
      <x:c r="I404" s="137" t="str"/>
      <x:c r="J404" s="151" t="str"/>
      <x:c r="K404" s="151" t="str"/>
      <x:c r="L404" s="152" t="str">
        <x:f>IF(OR(J404="",K404=""),"",ROUNDUP(J404/K404,0))</x:f>
      </x:c>
      <x:c r="M404" s="151" t="str"/>
      <x:c r="N404" s="137" t="str"/>
      <x:c r="O404" s="137" t="str"/>
      <x:c r="P404" s="137" t="str"/>
      <x:c r="Q404" s="137" t="str"/>
      <x:c r="R404" s="137" t="str"/>
      <x:c r="S404" s="137" t="str"/>
      <x:c r="T404" s="137" t="str"/>
      <x:c r="U404" s="137" t="str"/>
      <x:c r="V404" s="137" t="str"/>
      <x:c r="W404" s="137" t="str"/>
      <x:c r="X404" s="199" t="str"/>
    </x:row>
    <x:row r="405">
      <x:c r="A405" s="137" t="str"/>
      <x:c r="B405" s="138" t="str"/>
      <x:c r="C405" s="138" t="str"/>
      <x:c r="D405" s="137" t="str"/>
      <x:c r="E405" s="137" t="str"/>
      <x:c r="F405" s="137" t="str"/>
      <x:c r="G405" s="137" t="str"/>
      <x:c r="H405" s="137" t="str"/>
      <x:c r="I405" s="137" t="str"/>
      <x:c r="J405" s="151" t="str"/>
      <x:c r="K405" s="151" t="str"/>
      <x:c r="L405" s="152" t="str">
        <x:f>IF(OR(J405="",K405=""),"",ROUNDUP(J405/K405,0))</x:f>
      </x:c>
      <x:c r="M405" s="151" t="str"/>
      <x:c r="N405" s="137" t="str"/>
      <x:c r="O405" s="137" t="str"/>
      <x:c r="P405" s="137" t="str"/>
      <x:c r="Q405" s="137" t="str"/>
      <x:c r="R405" s="137" t="str"/>
      <x:c r="S405" s="137" t="str"/>
      <x:c r="T405" s="137" t="str"/>
      <x:c r="U405" s="137" t="str"/>
      <x:c r="V405" s="137" t="str"/>
      <x:c r="W405" s="137" t="str"/>
      <x:c r="X405" s="199" t="str"/>
    </x:row>
    <x:row r="406">
      <x:c r="A406" s="137" t="str"/>
      <x:c r="B406" s="138" t="str"/>
      <x:c r="C406" s="138" t="str"/>
      <x:c r="D406" s="137" t="str"/>
      <x:c r="E406" s="137" t="str"/>
      <x:c r="F406" s="137" t="str"/>
      <x:c r="G406" s="137" t="str"/>
      <x:c r="H406" s="137" t="str"/>
      <x:c r="I406" s="137" t="str"/>
      <x:c r="J406" s="151" t="str"/>
      <x:c r="K406" s="151" t="str"/>
      <x:c r="L406" s="152" t="str">
        <x:f>IF(OR(J406="",K406=""),"",ROUNDUP(J406/K406,0))</x:f>
      </x:c>
      <x:c r="M406" s="151" t="str"/>
      <x:c r="N406" s="137" t="str"/>
      <x:c r="O406" s="137" t="str"/>
      <x:c r="P406" s="137" t="str"/>
      <x:c r="Q406" s="137" t="str"/>
      <x:c r="R406" s="137" t="str"/>
      <x:c r="S406" s="137" t="str"/>
      <x:c r="T406" s="137" t="str"/>
      <x:c r="U406" s="137" t="str"/>
      <x:c r="V406" s="137" t="str"/>
      <x:c r="W406" s="137" t="str"/>
      <x:c r="X406" s="199" t="str"/>
    </x:row>
    <x:row r="407">
      <x:c r="A407" s="137" t="str"/>
      <x:c r="B407" s="138" t="str"/>
      <x:c r="C407" s="138" t="str"/>
      <x:c r="D407" s="137" t="str"/>
      <x:c r="E407" s="137" t="str"/>
      <x:c r="F407" s="137" t="str"/>
      <x:c r="G407" s="137" t="str"/>
      <x:c r="H407" s="137" t="str"/>
      <x:c r="I407" s="137" t="str"/>
      <x:c r="J407" s="151" t="str"/>
      <x:c r="K407" s="151" t="str"/>
      <x:c r="L407" s="152" t="str">
        <x:f>IF(OR(J407="",K407=""),"",ROUNDUP(J407/K407,0))</x:f>
      </x:c>
      <x:c r="M407" s="151" t="str"/>
      <x:c r="N407" s="137" t="str"/>
      <x:c r="O407" s="137" t="str"/>
      <x:c r="P407" s="137" t="str"/>
      <x:c r="Q407" s="137" t="str"/>
      <x:c r="R407" s="137" t="str"/>
      <x:c r="S407" s="137" t="str"/>
      <x:c r="T407" s="137" t="str"/>
      <x:c r="U407" s="137" t="str"/>
      <x:c r="V407" s="137" t="str"/>
      <x:c r="W407" s="137" t="str"/>
      <x:c r="X407" s="199" t="str"/>
    </x:row>
    <x:row r="408">
      <x:c r="A408" s="137" t="str"/>
      <x:c r="B408" s="138" t="str"/>
      <x:c r="C408" s="138" t="str"/>
      <x:c r="D408" s="137" t="str"/>
      <x:c r="E408" s="137" t="str"/>
      <x:c r="F408" s="137" t="str"/>
      <x:c r="G408" s="137" t="str"/>
      <x:c r="H408" s="137" t="str"/>
      <x:c r="I408" s="137" t="str"/>
      <x:c r="J408" s="151" t="str"/>
      <x:c r="K408" s="151" t="str"/>
      <x:c r="L408" s="152" t="str">
        <x:f>IF(OR(J408="",K408=""),"",ROUNDUP(J408/K408,0))</x:f>
      </x:c>
      <x:c r="M408" s="151" t="str"/>
      <x:c r="N408" s="137" t="str"/>
      <x:c r="O408" s="137" t="str"/>
      <x:c r="P408" s="137" t="str"/>
      <x:c r="Q408" s="137" t="str"/>
      <x:c r="R408" s="137" t="str"/>
      <x:c r="S408" s="137" t="str"/>
      <x:c r="T408" s="137" t="str"/>
      <x:c r="U408" s="137" t="str"/>
      <x:c r="V408" s="137" t="str"/>
      <x:c r="W408" s="137" t="str"/>
      <x:c r="X408" s="199" t="str"/>
    </x:row>
    <x:row r="409">
      <x:c r="A409" s="137" t="str"/>
      <x:c r="B409" s="138" t="str"/>
      <x:c r="C409" s="138" t="str"/>
      <x:c r="D409" s="137" t="str"/>
      <x:c r="E409" s="137" t="str"/>
      <x:c r="F409" s="137" t="str"/>
      <x:c r="G409" s="137" t="str"/>
      <x:c r="H409" s="137" t="str"/>
      <x:c r="I409" s="137" t="str"/>
      <x:c r="J409" s="151" t="str"/>
      <x:c r="K409" s="151" t="str"/>
      <x:c r="L409" s="152" t="str">
        <x:f>IF(OR(J409="",K409=""),"",ROUNDUP(J409/K409,0))</x:f>
      </x:c>
      <x:c r="M409" s="151" t="str"/>
      <x:c r="N409" s="137" t="str"/>
      <x:c r="O409" s="137" t="str"/>
      <x:c r="P409" s="137" t="str"/>
      <x:c r="Q409" s="137" t="str"/>
      <x:c r="R409" s="137" t="str"/>
      <x:c r="S409" s="137" t="str"/>
      <x:c r="T409" s="137" t="str"/>
      <x:c r="U409" s="137" t="str"/>
      <x:c r="V409" s="137" t="str"/>
      <x:c r="W409" s="137" t="str"/>
      <x:c r="X409" s="199" t="str"/>
    </x:row>
    <x:row r="410">
      <x:c r="A410" s="137" t="str"/>
      <x:c r="B410" s="138" t="str"/>
      <x:c r="C410" s="138" t="str"/>
      <x:c r="D410" s="137" t="str"/>
      <x:c r="E410" s="137" t="str"/>
      <x:c r="F410" s="137" t="str"/>
      <x:c r="G410" s="137" t="str"/>
      <x:c r="H410" s="137" t="str"/>
      <x:c r="I410" s="137" t="str"/>
      <x:c r="J410" s="151" t="str"/>
      <x:c r="K410" s="151" t="str"/>
      <x:c r="L410" s="152" t="str">
        <x:f>IF(OR(J410="",K410=""),"",ROUNDUP(J410/K410,0))</x:f>
      </x:c>
      <x:c r="M410" s="151" t="str"/>
      <x:c r="N410" s="137" t="str"/>
      <x:c r="O410" s="137" t="str"/>
      <x:c r="P410" s="137" t="str"/>
      <x:c r="Q410" s="137" t="str"/>
      <x:c r="R410" s="137" t="str"/>
      <x:c r="S410" s="137" t="str"/>
      <x:c r="T410" s="137" t="str"/>
      <x:c r="U410" s="137" t="str"/>
      <x:c r="V410" s="137" t="str"/>
      <x:c r="W410" s="137" t="str"/>
      <x:c r="X410" s="199" t="str"/>
    </x:row>
    <x:row r="411">
      <x:c r="A411" s="137" t="str"/>
      <x:c r="B411" s="138" t="str"/>
      <x:c r="C411" s="138" t="str"/>
      <x:c r="D411" s="137" t="str"/>
      <x:c r="E411" s="137" t="str"/>
      <x:c r="F411" s="137" t="str"/>
      <x:c r="G411" s="137" t="str"/>
      <x:c r="H411" s="137" t="str"/>
      <x:c r="I411" s="137" t="str"/>
      <x:c r="J411" s="151" t="str"/>
      <x:c r="K411" s="151" t="str"/>
      <x:c r="L411" s="152" t="str">
        <x:f>IF(OR(J411="",K411=""),"",ROUNDUP(J411/K411,0))</x:f>
      </x:c>
      <x:c r="M411" s="151" t="str"/>
      <x:c r="N411" s="137" t="str"/>
      <x:c r="O411" s="137" t="str"/>
      <x:c r="P411" s="137" t="str"/>
      <x:c r="Q411" s="137" t="str"/>
      <x:c r="R411" s="137" t="str"/>
      <x:c r="S411" s="137" t="str"/>
      <x:c r="T411" s="137" t="str"/>
      <x:c r="U411" s="137" t="str"/>
      <x:c r="V411" s="137" t="str"/>
      <x:c r="W411" s="137" t="str"/>
      <x:c r="X411" s="199" t="str"/>
    </x:row>
    <x:row r="412">
      <x:c r="A412" s="137" t="str"/>
      <x:c r="B412" s="138" t="str"/>
      <x:c r="C412" s="138" t="str"/>
      <x:c r="D412" s="137" t="str"/>
      <x:c r="E412" s="137" t="str"/>
      <x:c r="F412" s="137" t="str"/>
      <x:c r="G412" s="137" t="str"/>
      <x:c r="H412" s="137" t="str"/>
      <x:c r="I412" s="137" t="str"/>
      <x:c r="J412" s="151" t="str"/>
      <x:c r="K412" s="151" t="str"/>
      <x:c r="L412" s="152" t="str">
        <x:f>IF(OR(J412="",K412=""),"",ROUNDUP(J412/K412,0))</x:f>
      </x:c>
      <x:c r="M412" s="151" t="str"/>
      <x:c r="N412" s="137" t="str"/>
      <x:c r="O412" s="137" t="str"/>
      <x:c r="P412" s="137" t="str"/>
      <x:c r="Q412" s="137" t="str"/>
      <x:c r="R412" s="137" t="str"/>
      <x:c r="S412" s="137" t="str"/>
      <x:c r="T412" s="137" t="str"/>
      <x:c r="U412" s="137" t="str"/>
      <x:c r="V412" s="137" t="str"/>
      <x:c r="W412" s="137" t="str"/>
      <x:c r="X412" s="199" t="str"/>
    </x:row>
    <x:row r="413">
      <x:c r="A413" s="137" t="str"/>
      <x:c r="B413" s="138" t="str"/>
      <x:c r="C413" s="138" t="str"/>
      <x:c r="D413" s="137" t="str"/>
      <x:c r="E413" s="137" t="str"/>
      <x:c r="F413" s="137" t="str"/>
      <x:c r="G413" s="137" t="str"/>
      <x:c r="H413" s="137" t="str"/>
      <x:c r="I413" s="137" t="str"/>
      <x:c r="J413" s="151" t="str"/>
      <x:c r="K413" s="151" t="str"/>
      <x:c r="L413" s="152" t="str">
        <x:f>IF(OR(J413="",K413=""),"",ROUNDUP(J413/K413,0))</x:f>
      </x:c>
      <x:c r="M413" s="151" t="str"/>
      <x:c r="N413" s="137" t="str"/>
      <x:c r="O413" s="137" t="str"/>
      <x:c r="P413" s="137" t="str"/>
      <x:c r="Q413" s="137" t="str"/>
      <x:c r="R413" s="137" t="str"/>
      <x:c r="S413" s="137" t="str"/>
      <x:c r="T413" s="137" t="str"/>
      <x:c r="U413" s="137" t="str"/>
      <x:c r="V413" s="137" t="str"/>
      <x:c r="W413" s="137" t="str"/>
      <x:c r="X413" s="199" t="str"/>
    </x:row>
    <x:row r="414">
      <x:c r="A414" s="137" t="str"/>
      <x:c r="B414" s="138" t="str"/>
      <x:c r="C414" s="138" t="str"/>
      <x:c r="D414" s="137" t="str"/>
      <x:c r="E414" s="137" t="str"/>
      <x:c r="F414" s="137" t="str"/>
      <x:c r="G414" s="137" t="str"/>
      <x:c r="H414" s="137" t="str"/>
      <x:c r="I414" s="137" t="str"/>
      <x:c r="J414" s="151" t="str"/>
      <x:c r="K414" s="151" t="str"/>
      <x:c r="L414" s="152" t="str">
        <x:f>IF(OR(J414="",K414=""),"",ROUNDUP(J414/K414,0))</x:f>
      </x:c>
      <x:c r="M414" s="151" t="str"/>
      <x:c r="N414" s="137" t="str"/>
      <x:c r="O414" s="137" t="str"/>
      <x:c r="P414" s="137" t="str"/>
      <x:c r="Q414" s="137" t="str"/>
      <x:c r="R414" s="137" t="str"/>
      <x:c r="S414" s="137" t="str"/>
      <x:c r="T414" s="137" t="str"/>
      <x:c r="U414" s="137" t="str"/>
      <x:c r="V414" s="137" t="str"/>
      <x:c r="W414" s="137" t="str"/>
      <x:c r="X414" s="199" t="str"/>
    </x:row>
    <x:row r="415">
      <x:c r="A415" s="137" t="str"/>
      <x:c r="B415" s="138" t="str"/>
      <x:c r="C415" s="138" t="str"/>
      <x:c r="D415" s="137" t="str"/>
      <x:c r="E415" s="137" t="str"/>
      <x:c r="F415" s="137" t="str"/>
      <x:c r="G415" s="137" t="str"/>
      <x:c r="H415" s="137" t="str"/>
      <x:c r="I415" s="137" t="str"/>
      <x:c r="J415" s="151" t="str"/>
      <x:c r="K415" s="151" t="str"/>
      <x:c r="L415" s="152" t="str">
        <x:f>IF(OR(J415="",K415=""),"",ROUNDUP(J415/K415,0))</x:f>
      </x:c>
      <x:c r="M415" s="151" t="str"/>
      <x:c r="N415" s="137" t="str"/>
      <x:c r="O415" s="137" t="str"/>
      <x:c r="P415" s="137" t="str"/>
      <x:c r="Q415" s="137" t="str"/>
      <x:c r="R415" s="137" t="str"/>
      <x:c r="S415" s="137" t="str"/>
      <x:c r="T415" s="137" t="str"/>
      <x:c r="U415" s="137" t="str"/>
      <x:c r="V415" s="137" t="str"/>
      <x:c r="W415" s="137" t="str"/>
      <x:c r="X415" s="199" t="str"/>
    </x:row>
    <x:row r="416">
      <x:c r="A416" s="137" t="str"/>
      <x:c r="B416" s="138" t="str"/>
      <x:c r="C416" s="138" t="str"/>
      <x:c r="D416" s="137" t="str"/>
      <x:c r="E416" s="137" t="str"/>
      <x:c r="F416" s="137" t="str"/>
      <x:c r="G416" s="137" t="str"/>
      <x:c r="H416" s="137" t="str"/>
      <x:c r="I416" s="137" t="str"/>
      <x:c r="J416" s="151" t="str"/>
      <x:c r="K416" s="151" t="str"/>
      <x:c r="L416" s="152" t="str">
        <x:f>IF(OR(J416="",K416=""),"",ROUNDUP(J416/K416,0))</x:f>
      </x:c>
      <x:c r="M416" s="151" t="str"/>
      <x:c r="N416" s="137" t="str"/>
      <x:c r="O416" s="137" t="str"/>
      <x:c r="P416" s="137" t="str"/>
      <x:c r="Q416" s="137" t="str"/>
      <x:c r="R416" s="137" t="str"/>
      <x:c r="S416" s="137" t="str"/>
      <x:c r="T416" s="137" t="str"/>
      <x:c r="U416" s="137" t="str"/>
      <x:c r="V416" s="137" t="str"/>
      <x:c r="W416" s="137" t="str"/>
      <x:c r="X416" s="199" t="str"/>
    </x:row>
    <x:row r="417">
      <x:c r="A417" s="137" t="str"/>
      <x:c r="B417" s="138" t="str"/>
      <x:c r="C417" s="138" t="str"/>
      <x:c r="D417" s="137" t="str"/>
      <x:c r="E417" s="137" t="str"/>
      <x:c r="F417" s="137" t="str"/>
      <x:c r="G417" s="137" t="str"/>
      <x:c r="H417" s="137" t="str"/>
      <x:c r="I417" s="137" t="str"/>
      <x:c r="J417" s="151" t="str"/>
      <x:c r="K417" s="151" t="str"/>
      <x:c r="L417" s="152" t="str">
        <x:f>IF(OR(J417="",K417=""),"",ROUNDUP(J417/K417,0))</x:f>
      </x:c>
      <x:c r="M417" s="151" t="str"/>
      <x:c r="N417" s="137" t="str"/>
      <x:c r="O417" s="137" t="str"/>
      <x:c r="P417" s="137" t="str"/>
      <x:c r="Q417" s="137" t="str"/>
      <x:c r="R417" s="137" t="str"/>
      <x:c r="S417" s="137" t="str"/>
      <x:c r="T417" s="137" t="str"/>
      <x:c r="U417" s="137" t="str"/>
      <x:c r="V417" s="137" t="str"/>
      <x:c r="W417" s="137" t="str"/>
      <x:c r="X417" s="199" t="str"/>
    </x:row>
    <x:row r="418">
      <x:c r="A418" s="137" t="str"/>
      <x:c r="B418" s="138" t="str"/>
      <x:c r="C418" s="138" t="str"/>
      <x:c r="D418" s="137" t="str"/>
      <x:c r="E418" s="137" t="str"/>
      <x:c r="F418" s="137" t="str"/>
      <x:c r="G418" s="137" t="str"/>
      <x:c r="H418" s="137" t="str"/>
      <x:c r="I418" s="137" t="str"/>
      <x:c r="J418" s="151" t="str"/>
      <x:c r="K418" s="151" t="str"/>
      <x:c r="L418" s="152" t="str">
        <x:f>IF(OR(J418="",K418=""),"",ROUNDUP(J418/K418,0))</x:f>
      </x:c>
      <x:c r="M418" s="151" t="str"/>
      <x:c r="N418" s="137" t="str"/>
      <x:c r="O418" s="137" t="str"/>
      <x:c r="P418" s="137" t="str"/>
      <x:c r="Q418" s="137" t="str"/>
      <x:c r="R418" s="137" t="str"/>
      <x:c r="S418" s="137" t="str"/>
      <x:c r="T418" s="137" t="str"/>
      <x:c r="U418" s="137" t="str"/>
      <x:c r="V418" s="137" t="str"/>
      <x:c r="W418" s="137" t="str"/>
      <x:c r="X418" s="199" t="str"/>
    </x:row>
    <x:row r="419">
      <x:c r="A419" s="137" t="str"/>
      <x:c r="B419" s="138" t="str"/>
      <x:c r="C419" s="138" t="str"/>
      <x:c r="D419" s="137" t="str"/>
      <x:c r="E419" s="137" t="str"/>
      <x:c r="F419" s="137" t="str"/>
      <x:c r="G419" s="137" t="str"/>
      <x:c r="H419" s="137" t="str"/>
      <x:c r="I419" s="137" t="str"/>
      <x:c r="J419" s="151" t="str"/>
      <x:c r="K419" s="151" t="str"/>
      <x:c r="L419" s="152" t="str">
        <x:f>IF(OR(J419="",K419=""),"",ROUNDUP(J419/K419,0))</x:f>
      </x:c>
      <x:c r="M419" s="151" t="str"/>
      <x:c r="N419" s="137" t="str"/>
      <x:c r="O419" s="137" t="str"/>
      <x:c r="P419" s="137" t="str"/>
      <x:c r="Q419" s="137" t="str"/>
      <x:c r="R419" s="137" t="str"/>
      <x:c r="S419" s="137" t="str"/>
      <x:c r="T419" s="137" t="str"/>
      <x:c r="U419" s="137" t="str"/>
      <x:c r="V419" s="137" t="str"/>
      <x:c r="W419" s="137" t="str"/>
      <x:c r="X419" s="199" t="str"/>
    </x:row>
    <x:row r="420">
      <x:c r="A420" s="137" t="str"/>
      <x:c r="B420" s="138" t="str"/>
      <x:c r="C420" s="138" t="str"/>
      <x:c r="D420" s="137" t="str"/>
      <x:c r="E420" s="137" t="str"/>
      <x:c r="F420" s="137" t="str"/>
      <x:c r="G420" s="137" t="str"/>
      <x:c r="H420" s="137" t="str"/>
      <x:c r="I420" s="137" t="str"/>
      <x:c r="J420" s="151" t="str"/>
      <x:c r="K420" s="151" t="str"/>
      <x:c r="L420" s="152" t="str">
        <x:f>IF(OR(J420="",K420=""),"",ROUNDUP(J420/K420,0))</x:f>
      </x:c>
      <x:c r="M420" s="151" t="str"/>
      <x:c r="N420" s="137" t="str"/>
      <x:c r="O420" s="137" t="str"/>
      <x:c r="P420" s="137" t="str"/>
      <x:c r="Q420" s="137" t="str"/>
      <x:c r="R420" s="137" t="str"/>
      <x:c r="S420" s="137" t="str"/>
      <x:c r="T420" s="137" t="str"/>
      <x:c r="U420" s="137" t="str"/>
      <x:c r="V420" s="137" t="str"/>
      <x:c r="W420" s="137" t="str"/>
      <x:c r="X420" s="199" t="str"/>
    </x:row>
    <x:row r="421">
      <x:c r="A421" s="137" t="str"/>
      <x:c r="B421" s="138" t="str"/>
      <x:c r="C421" s="138" t="str"/>
      <x:c r="D421" s="137" t="str"/>
      <x:c r="E421" s="137" t="str"/>
      <x:c r="F421" s="137" t="str"/>
      <x:c r="G421" s="137" t="str"/>
      <x:c r="H421" s="137" t="str"/>
      <x:c r="I421" s="137" t="str"/>
      <x:c r="J421" s="151" t="str"/>
      <x:c r="K421" s="151" t="str"/>
      <x:c r="L421" s="152" t="str">
        <x:f>IF(OR(J421="",K421=""),"",ROUNDUP(J421/K421,0))</x:f>
      </x:c>
      <x:c r="M421" s="151" t="str"/>
      <x:c r="N421" s="137" t="str"/>
      <x:c r="O421" s="137" t="str"/>
      <x:c r="P421" s="137" t="str"/>
      <x:c r="Q421" s="137" t="str"/>
      <x:c r="R421" s="137" t="str"/>
      <x:c r="S421" s="137" t="str"/>
      <x:c r="T421" s="137" t="str"/>
      <x:c r="U421" s="137" t="str"/>
      <x:c r="V421" s="137" t="str"/>
      <x:c r="W421" s="137" t="str"/>
      <x:c r="X421" s="199" t="str"/>
    </x:row>
    <x:row r="422">
      <x:c r="A422" s="137" t="str"/>
      <x:c r="B422" s="138" t="str"/>
      <x:c r="C422" s="138" t="str"/>
      <x:c r="D422" s="137" t="str"/>
      <x:c r="E422" s="137" t="str"/>
      <x:c r="F422" s="137" t="str"/>
      <x:c r="G422" s="137" t="str"/>
      <x:c r="H422" s="137" t="str"/>
      <x:c r="I422" s="137" t="str"/>
      <x:c r="J422" s="151" t="str"/>
      <x:c r="K422" s="151" t="str"/>
      <x:c r="L422" s="152" t="str">
        <x:f>IF(OR(J422="",K422=""),"",ROUNDUP(J422/K422,0))</x:f>
      </x:c>
      <x:c r="M422" s="151" t="str"/>
      <x:c r="N422" s="137" t="str"/>
      <x:c r="O422" s="137" t="str"/>
      <x:c r="P422" s="137" t="str"/>
      <x:c r="Q422" s="137" t="str"/>
      <x:c r="R422" s="137" t="str"/>
      <x:c r="S422" s="137" t="str"/>
      <x:c r="T422" s="137" t="str"/>
      <x:c r="U422" s="137" t="str"/>
      <x:c r="V422" s="137" t="str"/>
      <x:c r="W422" s="137" t="str"/>
      <x:c r="X422" s="199" t="str"/>
    </x:row>
    <x:row r="423">
      <x:c r="A423" s="137" t="str"/>
      <x:c r="B423" s="138" t="str"/>
      <x:c r="C423" s="138" t="str"/>
      <x:c r="D423" s="137" t="str"/>
      <x:c r="E423" s="137" t="str"/>
      <x:c r="F423" s="137" t="str"/>
      <x:c r="G423" s="137" t="str"/>
      <x:c r="H423" s="137" t="str"/>
      <x:c r="I423" s="137" t="str"/>
      <x:c r="J423" s="151" t="str"/>
      <x:c r="K423" s="151" t="str"/>
      <x:c r="L423" s="152" t="str">
        <x:f>IF(OR(J423="",K423=""),"",ROUNDUP(J423/K423,0))</x:f>
      </x:c>
      <x:c r="M423" s="151" t="str"/>
      <x:c r="N423" s="137" t="str"/>
      <x:c r="O423" s="137" t="str"/>
      <x:c r="P423" s="137" t="str"/>
      <x:c r="Q423" s="137" t="str"/>
      <x:c r="R423" s="137" t="str"/>
      <x:c r="S423" s="137" t="str"/>
      <x:c r="T423" s="137" t="str"/>
      <x:c r="U423" s="137" t="str"/>
      <x:c r="V423" s="137" t="str"/>
      <x:c r="W423" s="137" t="str"/>
      <x:c r="X423" s="199" t="str"/>
    </x:row>
    <x:row r="424">
      <x:c r="A424" s="137" t="str"/>
      <x:c r="B424" s="138" t="str"/>
      <x:c r="C424" s="138" t="str"/>
      <x:c r="D424" s="137" t="str"/>
      <x:c r="E424" s="137" t="str"/>
      <x:c r="F424" s="137" t="str"/>
      <x:c r="G424" s="137" t="str"/>
      <x:c r="H424" s="137" t="str"/>
      <x:c r="I424" s="137" t="str"/>
      <x:c r="J424" s="151" t="str"/>
      <x:c r="K424" s="151" t="str"/>
      <x:c r="L424" s="152" t="str">
        <x:f>IF(OR(J424="",K424=""),"",ROUNDUP(J424/K424,0))</x:f>
      </x:c>
      <x:c r="M424" s="151" t="str"/>
      <x:c r="N424" s="137" t="str"/>
      <x:c r="O424" s="137" t="str"/>
      <x:c r="P424" s="137" t="str"/>
      <x:c r="Q424" s="137" t="str"/>
      <x:c r="R424" s="137" t="str"/>
      <x:c r="S424" s="137" t="str"/>
      <x:c r="T424" s="137" t="str"/>
      <x:c r="U424" s="137" t="str"/>
      <x:c r="V424" s="137" t="str"/>
      <x:c r="W424" s="137" t="str"/>
      <x:c r="X424" s="199" t="str"/>
    </x:row>
    <x:row r="425">
      <x:c r="A425" s="137" t="str"/>
      <x:c r="B425" s="138" t="str"/>
      <x:c r="C425" s="138" t="str"/>
      <x:c r="D425" s="137" t="str"/>
      <x:c r="E425" s="137" t="str"/>
      <x:c r="F425" s="137" t="str"/>
      <x:c r="G425" s="137" t="str"/>
      <x:c r="H425" s="137" t="str"/>
      <x:c r="I425" s="137" t="str"/>
      <x:c r="J425" s="151" t="str"/>
      <x:c r="K425" s="151" t="str"/>
      <x:c r="L425" s="152" t="str">
        <x:f>IF(OR(J425="",K425=""),"",ROUNDUP(J425/K425,0))</x:f>
      </x:c>
      <x:c r="M425" s="151" t="str"/>
      <x:c r="N425" s="137" t="str"/>
      <x:c r="O425" s="137" t="str"/>
      <x:c r="P425" s="137" t="str"/>
      <x:c r="Q425" s="137" t="str"/>
      <x:c r="R425" s="137" t="str"/>
      <x:c r="S425" s="137" t="str"/>
      <x:c r="T425" s="137" t="str"/>
      <x:c r="U425" s="137" t="str"/>
      <x:c r="V425" s="137" t="str"/>
      <x:c r="W425" s="137" t="str"/>
      <x:c r="X425" s="199" t="str"/>
    </x:row>
    <x:row r="426">
      <x:c r="A426" s="137" t="str"/>
      <x:c r="B426" s="138" t="str"/>
      <x:c r="C426" s="138" t="str"/>
      <x:c r="D426" s="137" t="str"/>
      <x:c r="E426" s="137" t="str"/>
      <x:c r="F426" s="137" t="str"/>
      <x:c r="G426" s="137" t="str"/>
      <x:c r="H426" s="137" t="str"/>
      <x:c r="I426" s="137" t="str"/>
      <x:c r="J426" s="151" t="str"/>
      <x:c r="K426" s="151" t="str"/>
      <x:c r="L426" s="152" t="str">
        <x:f>IF(OR(J426="",K426=""),"",ROUNDUP(J426/K426,0))</x:f>
      </x:c>
      <x:c r="M426" s="151" t="str"/>
      <x:c r="N426" s="137" t="str"/>
      <x:c r="O426" s="137" t="str"/>
      <x:c r="P426" s="137" t="str"/>
      <x:c r="Q426" s="137" t="str"/>
      <x:c r="R426" s="137" t="str"/>
      <x:c r="S426" s="137" t="str"/>
      <x:c r="T426" s="137" t="str"/>
      <x:c r="U426" s="137" t="str"/>
      <x:c r="V426" s="137" t="str"/>
      <x:c r="W426" s="137" t="str"/>
      <x:c r="X426" s="199" t="str"/>
    </x:row>
    <x:row r="427">
      <x:c r="A427" s="137" t="str"/>
      <x:c r="B427" s="138" t="str"/>
      <x:c r="C427" s="138" t="str"/>
      <x:c r="D427" s="137" t="str"/>
      <x:c r="E427" s="137" t="str"/>
      <x:c r="F427" s="137" t="str"/>
      <x:c r="G427" s="137" t="str"/>
      <x:c r="H427" s="137" t="str"/>
      <x:c r="I427" s="137" t="str"/>
      <x:c r="J427" s="151" t="str"/>
      <x:c r="K427" s="151" t="str"/>
      <x:c r="L427" s="152" t="str">
        <x:f>IF(OR(J427="",K427=""),"",ROUNDUP(J427/K427,0))</x:f>
      </x:c>
      <x:c r="M427" s="151" t="str"/>
      <x:c r="N427" s="137" t="str"/>
      <x:c r="O427" s="137" t="str"/>
      <x:c r="P427" s="137" t="str"/>
      <x:c r="Q427" s="137" t="str"/>
      <x:c r="R427" s="137" t="str"/>
      <x:c r="S427" s="137" t="str"/>
      <x:c r="T427" s="137" t="str"/>
      <x:c r="U427" s="137" t="str"/>
      <x:c r="V427" s="137" t="str"/>
      <x:c r="W427" s="137" t="str"/>
      <x:c r="X427" s="199" t="str"/>
    </x:row>
    <x:row r="428">
      <x:c r="A428" s="137" t="str"/>
      <x:c r="B428" s="138" t="str"/>
      <x:c r="C428" s="138" t="str"/>
      <x:c r="D428" s="137" t="str"/>
      <x:c r="E428" s="137" t="str"/>
      <x:c r="F428" s="137" t="str"/>
      <x:c r="G428" s="137" t="str"/>
      <x:c r="H428" s="137" t="str"/>
      <x:c r="I428" s="137" t="str"/>
      <x:c r="J428" s="151" t="str"/>
      <x:c r="K428" s="151" t="str"/>
      <x:c r="L428" s="152" t="str">
        <x:f>IF(OR(J428="",K428=""),"",ROUNDUP(J428/K428,0))</x:f>
      </x:c>
      <x:c r="M428" s="151" t="str"/>
      <x:c r="N428" s="137" t="str"/>
      <x:c r="O428" s="137" t="str"/>
      <x:c r="P428" s="137" t="str"/>
      <x:c r="Q428" s="137" t="str"/>
      <x:c r="R428" s="137" t="str"/>
      <x:c r="S428" s="137" t="str"/>
      <x:c r="T428" s="137" t="str"/>
      <x:c r="U428" s="137" t="str"/>
      <x:c r="V428" s="137" t="str"/>
      <x:c r="W428" s="137" t="str"/>
      <x:c r="X428" s="199" t="str"/>
    </x:row>
    <x:row r="429">
      <x:c r="A429" s="137" t="str"/>
      <x:c r="B429" s="138" t="str"/>
      <x:c r="C429" s="138" t="str"/>
      <x:c r="D429" s="137" t="str"/>
      <x:c r="E429" s="137" t="str"/>
      <x:c r="F429" s="137" t="str"/>
      <x:c r="G429" s="137" t="str"/>
      <x:c r="H429" s="137" t="str"/>
      <x:c r="I429" s="137" t="str"/>
      <x:c r="J429" s="151" t="str"/>
      <x:c r="K429" s="151" t="str"/>
      <x:c r="L429" s="152" t="str">
        <x:f>IF(OR(J429="",K429=""),"",ROUNDUP(J429/K429,0))</x:f>
      </x:c>
      <x:c r="M429" s="151" t="str"/>
      <x:c r="N429" s="137" t="str"/>
      <x:c r="O429" s="137" t="str"/>
      <x:c r="P429" s="137" t="str"/>
      <x:c r="Q429" s="137" t="str"/>
      <x:c r="R429" s="137" t="str"/>
      <x:c r="S429" s="137" t="str"/>
      <x:c r="T429" s="137" t="str"/>
      <x:c r="U429" s="137" t="str"/>
      <x:c r="V429" s="137" t="str"/>
      <x:c r="W429" s="137" t="str"/>
      <x:c r="X429" s="199" t="str"/>
    </x:row>
    <x:row r="430">
      <x:c r="A430" s="137" t="str"/>
      <x:c r="B430" s="138" t="str"/>
      <x:c r="C430" s="138" t="str"/>
      <x:c r="D430" s="137" t="str"/>
      <x:c r="E430" s="137" t="str"/>
      <x:c r="F430" s="137" t="str"/>
      <x:c r="G430" s="137" t="str"/>
      <x:c r="H430" s="137" t="str"/>
      <x:c r="I430" s="137" t="str"/>
      <x:c r="J430" s="151" t="str"/>
      <x:c r="K430" s="151" t="str"/>
      <x:c r="L430" s="152" t="str">
        <x:f>IF(OR(J430="",K430=""),"",ROUNDUP(J430/K430,0))</x:f>
      </x:c>
      <x:c r="M430" s="151" t="str"/>
      <x:c r="N430" s="137" t="str"/>
      <x:c r="O430" s="137" t="str"/>
      <x:c r="P430" s="137" t="str"/>
      <x:c r="Q430" s="137" t="str"/>
      <x:c r="R430" s="137" t="str"/>
      <x:c r="S430" s="137" t="str"/>
      <x:c r="T430" s="137" t="str"/>
      <x:c r="U430" s="137" t="str"/>
      <x:c r="V430" s="137" t="str"/>
      <x:c r="W430" s="137" t="str"/>
      <x:c r="X430" s="199" t="str"/>
    </x:row>
    <x:row r="431">
      <x:c r="A431" s="137" t="str"/>
      <x:c r="B431" s="138" t="str"/>
      <x:c r="C431" s="138" t="str"/>
      <x:c r="D431" s="137" t="str"/>
      <x:c r="E431" s="137" t="str"/>
      <x:c r="F431" s="137" t="str"/>
      <x:c r="G431" s="137" t="str"/>
      <x:c r="H431" s="137" t="str"/>
      <x:c r="I431" s="137" t="str"/>
      <x:c r="J431" s="151" t="str"/>
      <x:c r="K431" s="151" t="str"/>
      <x:c r="L431" s="152" t="str">
        <x:f>IF(OR(J431="",K431=""),"",ROUNDUP(J431/K431,0))</x:f>
      </x:c>
      <x:c r="M431" s="151" t="str"/>
      <x:c r="N431" s="137" t="str"/>
      <x:c r="O431" s="137" t="str"/>
      <x:c r="P431" s="137" t="str"/>
      <x:c r="Q431" s="137" t="str"/>
      <x:c r="R431" s="137" t="str"/>
      <x:c r="S431" s="137" t="str"/>
      <x:c r="T431" s="137" t="str"/>
      <x:c r="U431" s="137" t="str"/>
      <x:c r="V431" s="137" t="str"/>
      <x:c r="W431" s="137" t="str"/>
      <x:c r="X431" s="199" t="str"/>
    </x:row>
    <x:row r="432">
      <x:c r="A432" s="137" t="str"/>
      <x:c r="B432" s="138" t="str"/>
      <x:c r="C432" s="138" t="str"/>
      <x:c r="D432" s="137" t="str"/>
      <x:c r="E432" s="137" t="str"/>
      <x:c r="F432" s="137" t="str"/>
      <x:c r="G432" s="137" t="str"/>
      <x:c r="H432" s="137" t="str"/>
      <x:c r="I432" s="137" t="str"/>
      <x:c r="J432" s="151" t="str"/>
      <x:c r="K432" s="151" t="str"/>
      <x:c r="L432" s="152" t="str">
        <x:f>IF(OR(J432="",K432=""),"",ROUNDUP(J432/K432,0))</x:f>
      </x:c>
      <x:c r="M432" s="151" t="str"/>
      <x:c r="N432" s="137" t="str"/>
      <x:c r="O432" s="137" t="str"/>
      <x:c r="P432" s="137" t="str"/>
      <x:c r="Q432" s="137" t="str"/>
      <x:c r="R432" s="137" t="str"/>
      <x:c r="S432" s="137" t="str"/>
      <x:c r="T432" s="137" t="str"/>
      <x:c r="U432" s="137" t="str"/>
      <x:c r="V432" s="137" t="str"/>
      <x:c r="W432" s="137" t="str"/>
      <x:c r="X432" s="199" t="str"/>
    </x:row>
    <x:row r="433">
      <x:c r="A433" s="137" t="str"/>
      <x:c r="B433" s="138" t="str"/>
      <x:c r="C433" s="138" t="str"/>
      <x:c r="D433" s="137" t="str"/>
      <x:c r="E433" s="137" t="str"/>
      <x:c r="F433" s="137" t="str"/>
      <x:c r="G433" s="137" t="str"/>
      <x:c r="H433" s="137" t="str"/>
      <x:c r="I433" s="137" t="str"/>
      <x:c r="J433" s="151" t="str"/>
      <x:c r="K433" s="151" t="str"/>
      <x:c r="L433" s="152" t="str">
        <x:f>IF(OR(J433="",K433=""),"",ROUNDUP(J433/K433,0))</x:f>
      </x:c>
      <x:c r="M433" s="151" t="str"/>
      <x:c r="N433" s="137" t="str"/>
      <x:c r="O433" s="137" t="str"/>
      <x:c r="P433" s="137" t="str"/>
      <x:c r="Q433" s="137" t="str"/>
      <x:c r="R433" s="137" t="str"/>
      <x:c r="S433" s="137" t="str"/>
      <x:c r="T433" s="137" t="str"/>
      <x:c r="U433" s="137" t="str"/>
      <x:c r="V433" s="137" t="str"/>
      <x:c r="W433" s="137" t="str"/>
      <x:c r="X433" s="199" t="str"/>
    </x:row>
    <x:row r="434">
      <x:c r="A434" s="137" t="str"/>
      <x:c r="B434" s="138" t="str"/>
      <x:c r="C434" s="138" t="str"/>
      <x:c r="D434" s="137" t="str"/>
      <x:c r="E434" s="137" t="str"/>
      <x:c r="F434" s="137" t="str"/>
      <x:c r="G434" s="137" t="str"/>
      <x:c r="H434" s="137" t="str"/>
      <x:c r="I434" s="137" t="str"/>
      <x:c r="J434" s="151" t="str"/>
      <x:c r="K434" s="151" t="str"/>
      <x:c r="L434" s="152" t="str">
        <x:f>IF(OR(J434="",K434=""),"",ROUNDUP(J434/K434,0))</x:f>
      </x:c>
      <x:c r="M434" s="151" t="str"/>
      <x:c r="N434" s="137" t="str"/>
      <x:c r="O434" s="137" t="str"/>
      <x:c r="P434" s="137" t="str"/>
      <x:c r="Q434" s="137" t="str"/>
      <x:c r="R434" s="137" t="str"/>
      <x:c r="S434" s="137" t="str"/>
      <x:c r="T434" s="137" t="str"/>
      <x:c r="U434" s="137" t="str"/>
      <x:c r="V434" s="137" t="str"/>
      <x:c r="W434" s="137" t="str"/>
      <x:c r="X434" s="199" t="str"/>
    </x:row>
    <x:row r="435">
      <x:c r="A435" s="137" t="str"/>
      <x:c r="B435" s="138" t="str"/>
      <x:c r="C435" s="138" t="str"/>
      <x:c r="D435" s="137" t="str"/>
      <x:c r="E435" s="137" t="str"/>
      <x:c r="F435" s="137" t="str"/>
      <x:c r="G435" s="137" t="str"/>
      <x:c r="H435" s="137" t="str"/>
      <x:c r="I435" s="137" t="str"/>
      <x:c r="J435" s="151" t="str"/>
      <x:c r="K435" s="151" t="str"/>
      <x:c r="L435" s="152" t="str">
        <x:f>IF(OR(J435="",K435=""),"",ROUNDUP(J435/K435,0))</x:f>
      </x:c>
      <x:c r="M435" s="151" t="str"/>
      <x:c r="N435" s="137" t="str"/>
      <x:c r="O435" s="137" t="str"/>
      <x:c r="P435" s="137" t="str"/>
      <x:c r="Q435" s="137" t="str"/>
      <x:c r="R435" s="137" t="str"/>
      <x:c r="S435" s="137" t="str"/>
      <x:c r="T435" s="137" t="str"/>
      <x:c r="U435" s="137" t="str"/>
      <x:c r="V435" s="137" t="str"/>
      <x:c r="W435" s="137" t="str"/>
      <x:c r="X435" s="199" t="str"/>
    </x:row>
    <x:row r="436">
      <x:c r="A436" s="137" t="str"/>
      <x:c r="B436" s="138" t="str"/>
      <x:c r="C436" s="138" t="str"/>
      <x:c r="D436" s="137" t="str"/>
      <x:c r="E436" s="137" t="str"/>
      <x:c r="F436" s="137" t="str"/>
      <x:c r="G436" s="137" t="str"/>
      <x:c r="H436" s="137" t="str"/>
      <x:c r="I436" s="137" t="str"/>
      <x:c r="J436" s="151" t="str"/>
      <x:c r="K436" s="151" t="str"/>
      <x:c r="L436" s="152" t="str">
        <x:f>IF(OR(J436="",K436=""),"",ROUNDUP(J436/K436,0))</x:f>
      </x:c>
      <x:c r="M436" s="151" t="str"/>
      <x:c r="N436" s="137" t="str"/>
      <x:c r="O436" s="137" t="str"/>
      <x:c r="P436" s="137" t="str"/>
      <x:c r="Q436" s="137" t="str"/>
      <x:c r="R436" s="137" t="str"/>
      <x:c r="S436" s="137" t="str"/>
      <x:c r="T436" s="137" t="str"/>
      <x:c r="U436" s="137" t="str"/>
      <x:c r="V436" s="137" t="str"/>
      <x:c r="W436" s="137" t="str"/>
      <x:c r="X436" s="199" t="str"/>
    </x:row>
    <x:row r="437">
      <x:c r="A437" s="137" t="str"/>
      <x:c r="B437" s="138" t="str"/>
      <x:c r="C437" s="138" t="str"/>
      <x:c r="D437" s="137" t="str"/>
      <x:c r="E437" s="137" t="str"/>
      <x:c r="F437" s="137" t="str"/>
      <x:c r="G437" s="137" t="str"/>
      <x:c r="H437" s="137" t="str"/>
      <x:c r="I437" s="137" t="str"/>
      <x:c r="J437" s="151" t="str"/>
      <x:c r="K437" s="151" t="str"/>
      <x:c r="L437" s="152" t="str">
        <x:f>IF(OR(J437="",K437=""),"",ROUNDUP(J437/K437,0))</x:f>
      </x:c>
      <x:c r="M437" s="151" t="str"/>
      <x:c r="N437" s="137" t="str"/>
      <x:c r="O437" s="137" t="str"/>
      <x:c r="P437" s="137" t="str"/>
      <x:c r="Q437" s="137" t="str"/>
      <x:c r="R437" s="137" t="str"/>
      <x:c r="S437" s="137" t="str"/>
      <x:c r="T437" s="137" t="str"/>
      <x:c r="U437" s="137" t="str"/>
      <x:c r="V437" s="137" t="str"/>
      <x:c r="W437" s="137" t="str"/>
      <x:c r="X437" s="199" t="str"/>
    </x:row>
    <x:row r="438">
      <x:c r="A438" s="137" t="str"/>
      <x:c r="B438" s="138" t="str"/>
      <x:c r="C438" s="138" t="str"/>
      <x:c r="D438" s="137" t="str"/>
      <x:c r="E438" s="137" t="str"/>
      <x:c r="F438" s="137" t="str"/>
      <x:c r="G438" s="137" t="str"/>
      <x:c r="H438" s="137" t="str"/>
      <x:c r="I438" s="137" t="str"/>
      <x:c r="J438" s="151" t="str"/>
      <x:c r="K438" s="151" t="str"/>
      <x:c r="L438" s="152" t="str">
        <x:f>IF(OR(J438="",K438=""),"",ROUNDUP(J438/K438,0))</x:f>
      </x:c>
      <x:c r="M438" s="151" t="str"/>
      <x:c r="N438" s="137" t="str"/>
      <x:c r="O438" s="137" t="str"/>
      <x:c r="P438" s="137" t="str"/>
      <x:c r="Q438" s="137" t="str"/>
      <x:c r="R438" s="137" t="str"/>
      <x:c r="S438" s="137" t="str"/>
      <x:c r="T438" s="137" t="str"/>
      <x:c r="U438" s="137" t="str"/>
      <x:c r="V438" s="137" t="str"/>
      <x:c r="W438" s="137" t="str"/>
      <x:c r="X438" s="199" t="str"/>
    </x:row>
    <x:row r="439">
      <x:c r="A439" s="137" t="str"/>
      <x:c r="B439" s="138" t="str"/>
      <x:c r="C439" s="138" t="str"/>
      <x:c r="D439" s="137" t="str"/>
      <x:c r="E439" s="137" t="str"/>
      <x:c r="F439" s="137" t="str"/>
      <x:c r="G439" s="137" t="str"/>
      <x:c r="H439" s="137" t="str"/>
      <x:c r="I439" s="137" t="str"/>
      <x:c r="J439" s="151" t="str"/>
      <x:c r="K439" s="151" t="str"/>
      <x:c r="L439" s="152" t="str">
        <x:f>IF(OR(J439="",K439=""),"",ROUNDUP(J439/K439,0))</x:f>
      </x:c>
      <x:c r="M439" s="151" t="str"/>
      <x:c r="N439" s="137" t="str"/>
      <x:c r="O439" s="137" t="str"/>
      <x:c r="P439" s="137" t="str"/>
      <x:c r="Q439" s="137" t="str"/>
      <x:c r="R439" s="137" t="str"/>
      <x:c r="S439" s="137" t="str"/>
      <x:c r="T439" s="137" t="str"/>
      <x:c r="U439" s="137" t="str"/>
      <x:c r="V439" s="137" t="str"/>
      <x:c r="W439" s="137" t="str"/>
      <x:c r="X439" s="199" t="str"/>
    </x:row>
    <x:row r="440">
      <x:c r="A440" s="137" t="str"/>
      <x:c r="B440" s="138" t="str"/>
      <x:c r="C440" s="138" t="str"/>
      <x:c r="D440" s="137" t="str"/>
      <x:c r="E440" s="137" t="str"/>
      <x:c r="F440" s="137" t="str"/>
      <x:c r="G440" s="137" t="str"/>
      <x:c r="H440" s="137" t="str"/>
      <x:c r="I440" s="137" t="str"/>
      <x:c r="J440" s="151" t="str"/>
      <x:c r="K440" s="151" t="str"/>
      <x:c r="L440" s="152" t="str">
        <x:f>IF(OR(J440="",K440=""),"",ROUNDUP(J440/K440,0))</x:f>
      </x:c>
      <x:c r="M440" s="151" t="str"/>
      <x:c r="N440" s="137" t="str"/>
      <x:c r="O440" s="137" t="str"/>
      <x:c r="P440" s="137" t="str"/>
      <x:c r="Q440" s="137" t="str"/>
      <x:c r="R440" s="137" t="str"/>
      <x:c r="S440" s="137" t="str"/>
      <x:c r="T440" s="137" t="str"/>
      <x:c r="U440" s="137" t="str"/>
      <x:c r="V440" s="137" t="str"/>
      <x:c r="W440" s="137" t="str"/>
      <x:c r="X440" s="199" t="str"/>
    </x:row>
    <x:row r="441">
      <x:c r="A441" s="137" t="str"/>
      <x:c r="B441" s="138" t="str"/>
      <x:c r="C441" s="138" t="str"/>
      <x:c r="D441" s="137" t="str"/>
      <x:c r="E441" s="137" t="str"/>
      <x:c r="F441" s="137" t="str"/>
      <x:c r="G441" s="137" t="str"/>
      <x:c r="H441" s="137" t="str"/>
      <x:c r="I441" s="137" t="str"/>
      <x:c r="J441" s="151" t="str"/>
      <x:c r="K441" s="151" t="str"/>
      <x:c r="L441" s="152" t="str">
        <x:f>IF(OR(J441="",K441=""),"",ROUNDUP(J441/K441,0))</x:f>
      </x:c>
      <x:c r="M441" s="151" t="str"/>
      <x:c r="N441" s="137" t="str"/>
      <x:c r="O441" s="137" t="str"/>
      <x:c r="P441" s="137" t="str"/>
      <x:c r="Q441" s="137" t="str"/>
      <x:c r="R441" s="137" t="str"/>
      <x:c r="S441" s="137" t="str"/>
      <x:c r="T441" s="137" t="str"/>
      <x:c r="U441" s="137" t="str"/>
      <x:c r="V441" s="137" t="str"/>
      <x:c r="W441" s="137" t="str"/>
      <x:c r="X441" s="199" t="str"/>
    </x:row>
    <x:row r="442">
      <x:c r="A442" s="137" t="str"/>
      <x:c r="B442" s="138" t="str"/>
      <x:c r="C442" s="138" t="str"/>
      <x:c r="D442" s="137" t="str"/>
      <x:c r="E442" s="137" t="str"/>
      <x:c r="F442" s="137" t="str"/>
      <x:c r="G442" s="137" t="str"/>
      <x:c r="H442" s="137" t="str"/>
      <x:c r="I442" s="137" t="str"/>
      <x:c r="J442" s="151" t="str"/>
      <x:c r="K442" s="151" t="str"/>
      <x:c r="L442" s="152" t="str">
        <x:f>IF(OR(J442="",K442=""),"",ROUNDUP(J442/K442,0))</x:f>
      </x:c>
      <x:c r="M442" s="151" t="str"/>
      <x:c r="N442" s="137" t="str"/>
      <x:c r="O442" s="137" t="str"/>
      <x:c r="P442" s="137" t="str"/>
      <x:c r="Q442" s="137" t="str"/>
      <x:c r="R442" s="137" t="str"/>
      <x:c r="S442" s="137" t="str"/>
      <x:c r="T442" s="137" t="str"/>
      <x:c r="U442" s="137" t="str"/>
      <x:c r="V442" s="137" t="str"/>
      <x:c r="W442" s="137" t="str"/>
      <x:c r="X442" s="199" t="str"/>
    </x:row>
    <x:row r="443">
      <x:c r="A443" s="137" t="str"/>
      <x:c r="B443" s="138" t="str"/>
      <x:c r="C443" s="138" t="str"/>
      <x:c r="D443" s="137" t="str"/>
      <x:c r="E443" s="137" t="str"/>
      <x:c r="F443" s="137" t="str"/>
      <x:c r="G443" s="137" t="str"/>
      <x:c r="H443" s="137" t="str"/>
      <x:c r="I443" s="137" t="str"/>
      <x:c r="J443" s="151" t="str"/>
      <x:c r="K443" s="151" t="str"/>
      <x:c r="L443" s="152" t="str">
        <x:f>IF(OR(J443="",K443=""),"",ROUNDUP(J443/K443,0))</x:f>
      </x:c>
      <x:c r="M443" s="151" t="str"/>
      <x:c r="N443" s="137" t="str"/>
      <x:c r="O443" s="137" t="str"/>
      <x:c r="P443" s="137" t="str"/>
      <x:c r="Q443" s="137" t="str"/>
      <x:c r="R443" s="137" t="str"/>
      <x:c r="S443" s="137" t="str"/>
      <x:c r="T443" s="137" t="str"/>
      <x:c r="U443" s="137" t="str"/>
      <x:c r="V443" s="137" t="str"/>
      <x:c r="W443" s="137" t="str"/>
      <x:c r="X443" s="199" t="str"/>
    </x:row>
    <x:row r="444">
      <x:c r="A444" s="137" t="str"/>
      <x:c r="B444" s="138" t="str"/>
      <x:c r="C444" s="138" t="str"/>
      <x:c r="D444" s="137" t="str"/>
      <x:c r="E444" s="137" t="str"/>
      <x:c r="F444" s="137" t="str"/>
      <x:c r="G444" s="137" t="str"/>
      <x:c r="H444" s="137" t="str"/>
      <x:c r="I444" s="137" t="str"/>
      <x:c r="J444" s="151" t="str"/>
      <x:c r="K444" s="151" t="str"/>
      <x:c r="L444" s="152" t="str">
        <x:f>IF(OR(J444="",K444=""),"",ROUNDUP(J444/K444,0))</x:f>
      </x:c>
      <x:c r="M444" s="151" t="str"/>
      <x:c r="N444" s="137" t="str"/>
      <x:c r="O444" s="137" t="str"/>
      <x:c r="P444" s="137" t="str"/>
      <x:c r="Q444" s="137" t="str"/>
      <x:c r="R444" s="137" t="str"/>
      <x:c r="S444" s="137" t="str"/>
      <x:c r="T444" s="137" t="str"/>
      <x:c r="U444" s="137" t="str"/>
      <x:c r="V444" s="137" t="str"/>
      <x:c r="W444" s="137" t="str"/>
      <x:c r="X444" s="199" t="str"/>
    </x:row>
    <x:row r="445">
      <x:c r="A445" s="137" t="str"/>
      <x:c r="B445" s="138" t="str"/>
      <x:c r="C445" s="138" t="str"/>
      <x:c r="D445" s="137" t="str"/>
      <x:c r="E445" s="137" t="str"/>
      <x:c r="F445" s="137" t="str"/>
      <x:c r="G445" s="137" t="str"/>
      <x:c r="H445" s="137" t="str"/>
      <x:c r="I445" s="137" t="str"/>
      <x:c r="J445" s="151" t="str"/>
      <x:c r="K445" s="151" t="str"/>
      <x:c r="L445" s="152" t="str">
        <x:f>IF(OR(J445="",K445=""),"",ROUNDUP(J445/K445,0))</x:f>
      </x:c>
      <x:c r="M445" s="151" t="str"/>
      <x:c r="N445" s="137" t="str"/>
      <x:c r="O445" s="137" t="str"/>
      <x:c r="P445" s="137" t="str"/>
      <x:c r="Q445" s="137" t="str"/>
      <x:c r="R445" s="137" t="str"/>
      <x:c r="S445" s="137" t="str"/>
      <x:c r="T445" s="137" t="str"/>
      <x:c r="U445" s="137" t="str"/>
      <x:c r="V445" s="137" t="str"/>
      <x:c r="W445" s="137" t="str"/>
      <x:c r="X445" s="199" t="str"/>
    </x:row>
    <x:row r="446">
      <x:c r="A446" s="137" t="str"/>
      <x:c r="B446" s="138" t="str"/>
      <x:c r="C446" s="138" t="str"/>
      <x:c r="D446" s="137" t="str"/>
      <x:c r="E446" s="137" t="str"/>
      <x:c r="F446" s="137" t="str"/>
      <x:c r="G446" s="137" t="str"/>
      <x:c r="H446" s="137" t="str"/>
      <x:c r="I446" s="137" t="str"/>
      <x:c r="J446" s="151" t="str"/>
      <x:c r="K446" s="151" t="str"/>
      <x:c r="L446" s="152" t="str">
        <x:f>IF(OR(J446="",K446=""),"",ROUNDUP(J446/K446,0))</x:f>
      </x:c>
      <x:c r="M446" s="151" t="str"/>
      <x:c r="N446" s="137" t="str"/>
      <x:c r="O446" s="137" t="str"/>
      <x:c r="P446" s="137" t="str"/>
      <x:c r="Q446" s="137" t="str"/>
      <x:c r="R446" s="137" t="str"/>
      <x:c r="S446" s="137" t="str"/>
      <x:c r="T446" s="137" t="str"/>
      <x:c r="U446" s="137" t="str"/>
      <x:c r="V446" s="137" t="str"/>
      <x:c r="W446" s="137" t="str"/>
      <x:c r="X446" s="199" t="str"/>
    </x:row>
    <x:row r="447">
      <x:c r="A447" s="137" t="str"/>
      <x:c r="B447" s="138" t="str"/>
      <x:c r="C447" s="138" t="str"/>
      <x:c r="D447" s="137" t="str"/>
      <x:c r="E447" s="137" t="str"/>
      <x:c r="F447" s="137" t="str"/>
      <x:c r="G447" s="137" t="str"/>
      <x:c r="H447" s="137" t="str"/>
      <x:c r="I447" s="137" t="str"/>
      <x:c r="J447" s="151" t="str"/>
      <x:c r="K447" s="151" t="str"/>
      <x:c r="L447" s="152" t="str">
        <x:f>IF(OR(J447="",K447=""),"",ROUNDUP(J447/K447,0))</x:f>
      </x:c>
      <x:c r="M447" s="151" t="str"/>
      <x:c r="N447" s="137" t="str"/>
      <x:c r="O447" s="137" t="str"/>
      <x:c r="P447" s="137" t="str"/>
      <x:c r="Q447" s="137" t="str"/>
      <x:c r="R447" s="137" t="str"/>
      <x:c r="S447" s="137" t="str"/>
      <x:c r="T447" s="137" t="str"/>
      <x:c r="U447" s="137" t="str"/>
      <x:c r="V447" s="137" t="str"/>
      <x:c r="W447" s="137" t="str"/>
      <x:c r="X447" s="199" t="str"/>
    </x:row>
    <x:row r="448">
      <x:c r="A448" s="137" t="str"/>
      <x:c r="B448" s="138" t="str"/>
      <x:c r="C448" s="138" t="str"/>
      <x:c r="D448" s="137" t="str"/>
      <x:c r="E448" s="137" t="str"/>
      <x:c r="F448" s="137" t="str"/>
      <x:c r="G448" s="137" t="str"/>
      <x:c r="H448" s="137" t="str"/>
      <x:c r="I448" s="137" t="str"/>
      <x:c r="J448" s="151" t="str"/>
      <x:c r="K448" s="151" t="str"/>
      <x:c r="L448" s="152" t="str">
        <x:f>IF(OR(J448="",K448=""),"",ROUNDUP(J448/K448,0))</x:f>
      </x:c>
      <x:c r="M448" s="151" t="str"/>
      <x:c r="N448" s="137" t="str"/>
      <x:c r="O448" s="137" t="str"/>
      <x:c r="P448" s="137" t="str"/>
      <x:c r="Q448" s="137" t="str"/>
      <x:c r="R448" s="137" t="str"/>
      <x:c r="S448" s="137" t="str"/>
      <x:c r="T448" s="137" t="str"/>
      <x:c r="U448" s="137" t="str"/>
      <x:c r="V448" s="137" t="str"/>
      <x:c r="W448" s="137" t="str"/>
      <x:c r="X448" s="199" t="str"/>
    </x:row>
    <x:row r="449">
      <x:c r="A449" s="137" t="str"/>
      <x:c r="B449" s="138" t="str"/>
      <x:c r="C449" s="138" t="str"/>
      <x:c r="D449" s="137" t="str"/>
      <x:c r="E449" s="137" t="str"/>
      <x:c r="F449" s="137" t="str"/>
      <x:c r="G449" s="137" t="str"/>
      <x:c r="H449" s="137" t="str"/>
      <x:c r="I449" s="137" t="str"/>
      <x:c r="J449" s="151" t="str"/>
      <x:c r="K449" s="151" t="str"/>
      <x:c r="L449" s="152" t="str">
        <x:f>IF(OR(J449="",K449=""),"",ROUNDUP(J449/K449,0))</x:f>
      </x:c>
      <x:c r="M449" s="151" t="str"/>
      <x:c r="N449" s="137" t="str"/>
      <x:c r="O449" s="137" t="str"/>
      <x:c r="P449" s="137" t="str"/>
      <x:c r="Q449" s="137" t="str"/>
      <x:c r="R449" s="137" t="str"/>
      <x:c r="S449" s="137" t="str"/>
      <x:c r="T449" s="137" t="str"/>
      <x:c r="U449" s="137" t="str"/>
      <x:c r="V449" s="137" t="str"/>
      <x:c r="W449" s="137" t="str"/>
      <x:c r="X449" s="199" t="str"/>
    </x:row>
    <x:row r="450">
      <x:c r="A450" s="137" t="str"/>
      <x:c r="B450" s="138" t="str"/>
      <x:c r="C450" s="138" t="str"/>
      <x:c r="D450" s="137" t="str"/>
      <x:c r="E450" s="137" t="str"/>
      <x:c r="F450" s="137" t="str"/>
      <x:c r="G450" s="137" t="str"/>
      <x:c r="H450" s="137" t="str"/>
      <x:c r="I450" s="137" t="str"/>
      <x:c r="J450" s="151" t="str"/>
      <x:c r="K450" s="151" t="str"/>
      <x:c r="L450" s="152" t="str">
        <x:f>IF(OR(J450="",K450=""),"",ROUNDUP(J450/K450,0))</x:f>
      </x:c>
      <x:c r="M450" s="151" t="str"/>
      <x:c r="N450" s="137" t="str"/>
      <x:c r="O450" s="137" t="str"/>
      <x:c r="P450" s="137" t="str"/>
      <x:c r="Q450" s="137" t="str"/>
      <x:c r="R450" s="137" t="str"/>
      <x:c r="S450" s="137" t="str"/>
      <x:c r="T450" s="137" t="str"/>
      <x:c r="U450" s="137" t="str"/>
      <x:c r="V450" s="137" t="str"/>
      <x:c r="W450" s="137" t="str"/>
      <x:c r="X450" s="199" t="str"/>
    </x:row>
    <x:row r="451">
      <x:c r="A451" s="137" t="str"/>
      <x:c r="B451" s="138" t="str"/>
      <x:c r="C451" s="138" t="str"/>
      <x:c r="D451" s="137" t="str"/>
      <x:c r="E451" s="137" t="str"/>
      <x:c r="F451" s="137" t="str"/>
      <x:c r="G451" s="137" t="str"/>
      <x:c r="H451" s="137" t="str"/>
      <x:c r="I451" s="137" t="str"/>
      <x:c r="J451" s="151" t="str"/>
      <x:c r="K451" s="151" t="str"/>
      <x:c r="L451" s="152" t="str">
        <x:f>IF(OR(J451="",K451=""),"",ROUNDUP(J451/K451,0))</x:f>
      </x:c>
      <x:c r="M451" s="151" t="str"/>
      <x:c r="N451" s="137" t="str"/>
      <x:c r="O451" s="137" t="str"/>
      <x:c r="P451" s="137" t="str"/>
      <x:c r="Q451" s="137" t="str"/>
      <x:c r="R451" s="137" t="str"/>
      <x:c r="S451" s="137" t="str"/>
      <x:c r="T451" s="137" t="str"/>
      <x:c r="U451" s="137" t="str"/>
      <x:c r="V451" s="137" t="str"/>
      <x:c r="W451" s="137" t="str"/>
      <x:c r="X451" s="199" t="str"/>
    </x:row>
    <x:row r="452">
      <x:c r="A452" s="137" t="str"/>
      <x:c r="B452" s="138" t="str"/>
      <x:c r="C452" s="138" t="str"/>
      <x:c r="D452" s="137" t="str"/>
      <x:c r="E452" s="137" t="str"/>
      <x:c r="F452" s="137" t="str"/>
      <x:c r="G452" s="137" t="str"/>
      <x:c r="H452" s="137" t="str"/>
      <x:c r="I452" s="137" t="str"/>
      <x:c r="J452" s="151" t="str"/>
      <x:c r="K452" s="151" t="str"/>
      <x:c r="L452" s="152" t="str">
        <x:f>IF(OR(J452="",K452=""),"",ROUNDUP(J452/K452,0))</x:f>
      </x:c>
      <x:c r="M452" s="151" t="str"/>
      <x:c r="N452" s="137" t="str"/>
      <x:c r="O452" s="137" t="str"/>
      <x:c r="P452" s="137" t="str"/>
      <x:c r="Q452" s="137" t="str"/>
      <x:c r="R452" s="137" t="str"/>
      <x:c r="S452" s="137" t="str"/>
      <x:c r="T452" s="137" t="str"/>
      <x:c r="U452" s="137" t="str"/>
      <x:c r="V452" s="137" t="str"/>
      <x:c r="W452" s="137" t="str"/>
      <x:c r="X452" s="199" t="str"/>
    </x:row>
    <x:row r="453">
      <x:c r="A453" s="137" t="str"/>
      <x:c r="B453" s="138" t="str"/>
      <x:c r="C453" s="138" t="str"/>
      <x:c r="D453" s="137" t="str"/>
      <x:c r="E453" s="137" t="str"/>
      <x:c r="F453" s="137" t="str"/>
      <x:c r="G453" s="137" t="str"/>
      <x:c r="H453" s="137" t="str"/>
      <x:c r="I453" s="137" t="str"/>
      <x:c r="J453" s="151" t="str"/>
      <x:c r="K453" s="151" t="str"/>
      <x:c r="L453" s="152" t="str">
        <x:f>IF(OR(J453="",K453=""),"",ROUNDUP(J453/K453,0))</x:f>
      </x:c>
      <x:c r="M453" s="151" t="str"/>
      <x:c r="N453" s="137" t="str"/>
      <x:c r="O453" s="137" t="str"/>
      <x:c r="P453" s="137" t="str"/>
      <x:c r="Q453" s="137" t="str"/>
      <x:c r="R453" s="137" t="str"/>
      <x:c r="S453" s="137" t="str"/>
      <x:c r="T453" s="137" t="str"/>
      <x:c r="U453" s="137" t="str"/>
      <x:c r="V453" s="137" t="str"/>
      <x:c r="W453" s="137" t="str"/>
      <x:c r="X453" s="199" t="str"/>
    </x:row>
    <x:row r="454">
      <x:c r="A454" s="137" t="str"/>
      <x:c r="B454" s="138" t="str"/>
      <x:c r="C454" s="138" t="str"/>
      <x:c r="D454" s="137" t="str"/>
      <x:c r="E454" s="137" t="str"/>
      <x:c r="F454" s="137" t="str"/>
      <x:c r="G454" s="137" t="str"/>
      <x:c r="H454" s="137" t="str"/>
      <x:c r="I454" s="137" t="str"/>
      <x:c r="J454" s="151" t="str"/>
      <x:c r="K454" s="151" t="str"/>
      <x:c r="L454" s="152" t="str">
        <x:f>IF(OR(J454="",K454=""),"",ROUNDUP(J454/K454,0))</x:f>
      </x:c>
      <x:c r="M454" s="151" t="str"/>
      <x:c r="N454" s="137" t="str"/>
      <x:c r="O454" s="137" t="str"/>
      <x:c r="P454" s="137" t="str"/>
      <x:c r="Q454" s="137" t="str"/>
      <x:c r="R454" s="137" t="str"/>
      <x:c r="S454" s="137" t="str"/>
      <x:c r="T454" s="137" t="str"/>
      <x:c r="U454" s="137" t="str"/>
      <x:c r="V454" s="137" t="str"/>
      <x:c r="W454" s="137" t="str"/>
      <x:c r="X454" s="199" t="str"/>
    </x:row>
    <x:row r="455">
      <x:c r="A455" s="137" t="str"/>
      <x:c r="B455" s="138" t="str"/>
      <x:c r="C455" s="138" t="str"/>
      <x:c r="D455" s="137" t="str"/>
      <x:c r="E455" s="137" t="str"/>
      <x:c r="F455" s="137" t="str"/>
      <x:c r="G455" s="137" t="str"/>
      <x:c r="H455" s="137" t="str"/>
      <x:c r="I455" s="137" t="str"/>
      <x:c r="J455" s="151" t="str"/>
      <x:c r="K455" s="151" t="str"/>
      <x:c r="L455" s="152" t="str">
        <x:f>IF(OR(J455="",K455=""),"",ROUNDUP(J455/K455,0))</x:f>
      </x:c>
      <x:c r="M455" s="151" t="str"/>
      <x:c r="N455" s="137" t="str"/>
      <x:c r="O455" s="137" t="str"/>
      <x:c r="P455" s="137" t="str"/>
      <x:c r="Q455" s="137" t="str"/>
      <x:c r="R455" s="137" t="str"/>
      <x:c r="S455" s="137" t="str"/>
      <x:c r="T455" s="137" t="str"/>
      <x:c r="U455" s="137" t="str"/>
      <x:c r="V455" s="137" t="str"/>
      <x:c r="W455" s="137" t="str"/>
      <x:c r="X455" s="199" t="str"/>
    </x:row>
    <x:row r="456">
      <x:c r="A456" s="137" t="str"/>
      <x:c r="B456" s="138" t="str"/>
      <x:c r="C456" s="138" t="str"/>
      <x:c r="D456" s="137" t="str"/>
      <x:c r="E456" s="137" t="str"/>
      <x:c r="F456" s="137" t="str"/>
      <x:c r="G456" s="137" t="str"/>
      <x:c r="H456" s="137" t="str"/>
      <x:c r="I456" s="137" t="str"/>
      <x:c r="J456" s="151" t="str"/>
      <x:c r="K456" s="151" t="str"/>
      <x:c r="L456" s="152" t="str">
        <x:f>IF(OR(J456="",K456=""),"",ROUNDUP(J456/K456,0))</x:f>
      </x:c>
      <x:c r="M456" s="151" t="str"/>
      <x:c r="N456" s="137" t="str"/>
      <x:c r="O456" s="137" t="str"/>
      <x:c r="P456" s="137" t="str"/>
      <x:c r="Q456" s="137" t="str"/>
      <x:c r="R456" s="137" t="str"/>
      <x:c r="S456" s="137" t="str"/>
      <x:c r="T456" s="137" t="str"/>
      <x:c r="U456" s="137" t="str"/>
      <x:c r="V456" s="137" t="str"/>
      <x:c r="W456" s="137" t="str"/>
      <x:c r="X456" s="199" t="str"/>
    </x:row>
    <x:row r="457">
      <x:c r="A457" s="137" t="str"/>
      <x:c r="B457" s="138" t="str"/>
      <x:c r="C457" s="138" t="str"/>
      <x:c r="D457" s="137" t="str"/>
      <x:c r="E457" s="137" t="str"/>
      <x:c r="F457" s="137" t="str"/>
      <x:c r="G457" s="137" t="str"/>
      <x:c r="H457" s="137" t="str"/>
      <x:c r="I457" s="137" t="str"/>
      <x:c r="J457" s="151" t="str"/>
      <x:c r="K457" s="151" t="str"/>
      <x:c r="L457" s="152" t="str">
        <x:f>IF(OR(J457="",K457=""),"",ROUNDUP(J457/K457,0))</x:f>
      </x:c>
      <x:c r="M457" s="151" t="str"/>
      <x:c r="N457" s="137" t="str"/>
      <x:c r="O457" s="137" t="str"/>
      <x:c r="P457" s="137" t="str"/>
      <x:c r="Q457" s="137" t="str"/>
      <x:c r="R457" s="137" t="str"/>
      <x:c r="S457" s="137" t="str"/>
      <x:c r="T457" s="137" t="str"/>
      <x:c r="U457" s="137" t="str"/>
      <x:c r="V457" s="137" t="str"/>
      <x:c r="W457" s="137" t="str"/>
      <x:c r="X457" s="199" t="str"/>
    </x:row>
    <x:row r="458">
      <x:c r="A458" s="137" t="str"/>
      <x:c r="B458" s="138" t="str"/>
      <x:c r="C458" s="138" t="str"/>
      <x:c r="D458" s="137" t="str"/>
      <x:c r="E458" s="137" t="str"/>
      <x:c r="F458" s="137" t="str"/>
      <x:c r="G458" s="137" t="str"/>
      <x:c r="H458" s="137" t="str"/>
      <x:c r="I458" s="137" t="str"/>
      <x:c r="J458" s="151" t="str"/>
      <x:c r="K458" s="151" t="str"/>
      <x:c r="L458" s="152" t="str">
        <x:f>IF(OR(J458="",K458=""),"",ROUNDUP(J458/K458,0))</x:f>
      </x:c>
      <x:c r="M458" s="151" t="str"/>
      <x:c r="N458" s="137" t="str"/>
      <x:c r="O458" s="137" t="str"/>
      <x:c r="P458" s="137" t="str"/>
      <x:c r="Q458" s="137" t="str"/>
      <x:c r="R458" s="137" t="str"/>
      <x:c r="S458" s="137" t="str"/>
      <x:c r="T458" s="137" t="str"/>
      <x:c r="U458" s="137" t="str"/>
      <x:c r="V458" s="137" t="str"/>
      <x:c r="W458" s="137" t="str"/>
      <x:c r="X458" s="199" t="str"/>
    </x:row>
    <x:row r="459">
      <x:c r="A459" s="137" t="str"/>
      <x:c r="B459" s="138" t="str"/>
      <x:c r="C459" s="138" t="str"/>
      <x:c r="D459" s="137" t="str"/>
      <x:c r="E459" s="137" t="str"/>
      <x:c r="F459" s="137" t="str"/>
      <x:c r="G459" s="137" t="str"/>
      <x:c r="H459" s="137" t="str"/>
      <x:c r="I459" s="137" t="str"/>
      <x:c r="J459" s="151" t="str"/>
      <x:c r="K459" s="151" t="str"/>
      <x:c r="L459" s="152" t="str">
        <x:f>IF(OR(J459="",K459=""),"",ROUNDUP(J459/K459,0))</x:f>
      </x:c>
      <x:c r="M459" s="151" t="str"/>
      <x:c r="N459" s="137" t="str"/>
      <x:c r="O459" s="137" t="str"/>
      <x:c r="P459" s="137" t="str"/>
      <x:c r="Q459" s="137" t="str"/>
      <x:c r="R459" s="137" t="str"/>
      <x:c r="S459" s="137" t="str"/>
      <x:c r="T459" s="137" t="str"/>
      <x:c r="U459" s="137" t="str"/>
      <x:c r="V459" s="137" t="str"/>
      <x:c r="W459" s="137" t="str"/>
      <x:c r="X459" s="199" t="str"/>
    </x:row>
    <x:row r="460">
      <x:c r="A460" s="137" t="str"/>
      <x:c r="B460" s="138" t="str"/>
      <x:c r="C460" s="138" t="str"/>
      <x:c r="D460" s="137" t="str"/>
      <x:c r="E460" s="137" t="str"/>
      <x:c r="F460" s="137" t="str"/>
      <x:c r="G460" s="137" t="str"/>
      <x:c r="H460" s="137" t="str"/>
      <x:c r="I460" s="137" t="str"/>
      <x:c r="J460" s="151" t="str"/>
      <x:c r="K460" s="151" t="str"/>
      <x:c r="L460" s="152" t="str">
        <x:f>IF(OR(J460="",K460=""),"",ROUNDUP(J460/K460,0))</x:f>
      </x:c>
      <x:c r="M460" s="151" t="str"/>
      <x:c r="N460" s="137" t="str"/>
      <x:c r="O460" s="137" t="str"/>
      <x:c r="P460" s="137" t="str"/>
      <x:c r="Q460" s="137" t="str"/>
      <x:c r="R460" s="137" t="str"/>
      <x:c r="S460" s="137" t="str"/>
      <x:c r="T460" s="137" t="str"/>
      <x:c r="U460" s="137" t="str"/>
      <x:c r="V460" s="137" t="str"/>
      <x:c r="W460" s="137" t="str"/>
      <x:c r="X460" s="199" t="str"/>
    </x:row>
    <x:row r="461">
      <x:c r="A461" s="137" t="str"/>
      <x:c r="B461" s="138" t="str"/>
      <x:c r="C461" s="138" t="str"/>
      <x:c r="D461" s="137" t="str"/>
      <x:c r="E461" s="137" t="str"/>
      <x:c r="F461" s="137" t="str"/>
      <x:c r="G461" s="137" t="str"/>
      <x:c r="H461" s="137" t="str"/>
      <x:c r="I461" s="137" t="str"/>
      <x:c r="J461" s="151" t="str"/>
      <x:c r="K461" s="151" t="str"/>
      <x:c r="L461" s="152" t="str">
        <x:f>IF(OR(J461="",K461=""),"",ROUNDUP(J461/K461,0))</x:f>
      </x:c>
      <x:c r="M461" s="151" t="str"/>
      <x:c r="N461" s="137" t="str"/>
      <x:c r="O461" s="137" t="str"/>
      <x:c r="P461" s="137" t="str"/>
      <x:c r="Q461" s="137" t="str"/>
      <x:c r="R461" s="137" t="str"/>
      <x:c r="S461" s="137" t="str"/>
      <x:c r="T461" s="137" t="str"/>
      <x:c r="U461" s="137" t="str"/>
      <x:c r="V461" s="137" t="str"/>
      <x:c r="W461" s="137" t="str"/>
      <x:c r="X461" s="199" t="str"/>
    </x:row>
    <x:row r="462">
      <x:c r="A462" s="137" t="str"/>
      <x:c r="B462" s="138" t="str"/>
      <x:c r="C462" s="138" t="str"/>
      <x:c r="D462" s="137" t="str"/>
      <x:c r="E462" s="137" t="str"/>
      <x:c r="F462" s="137" t="str"/>
      <x:c r="G462" s="137" t="str"/>
      <x:c r="H462" s="137" t="str"/>
      <x:c r="I462" s="137" t="str"/>
      <x:c r="J462" s="151" t="str"/>
      <x:c r="K462" s="151" t="str"/>
      <x:c r="L462" s="152" t="str">
        <x:f>IF(OR(J462="",K462=""),"",ROUNDUP(J462/K462,0))</x:f>
      </x:c>
      <x:c r="M462" s="151" t="str"/>
      <x:c r="N462" s="137" t="str"/>
      <x:c r="O462" s="137" t="str"/>
      <x:c r="P462" s="137" t="str"/>
      <x:c r="Q462" s="137" t="str"/>
      <x:c r="R462" s="137" t="str"/>
      <x:c r="S462" s="137" t="str"/>
      <x:c r="T462" s="137" t="str"/>
      <x:c r="U462" s="137" t="str"/>
      <x:c r="V462" s="137" t="str"/>
      <x:c r="W462" s="137" t="str"/>
      <x:c r="X462" s="199" t="str"/>
    </x:row>
    <x:row r="463">
      <x:c r="A463" s="137" t="str"/>
      <x:c r="B463" s="138" t="str"/>
      <x:c r="C463" s="138" t="str"/>
      <x:c r="D463" s="137" t="str"/>
      <x:c r="E463" s="137" t="str"/>
      <x:c r="F463" s="137" t="str"/>
      <x:c r="G463" s="137" t="str"/>
      <x:c r="H463" s="137" t="str"/>
      <x:c r="I463" s="137" t="str"/>
      <x:c r="J463" s="151" t="str"/>
      <x:c r="K463" s="151" t="str"/>
      <x:c r="L463" s="152" t="str">
        <x:f>IF(OR(J463="",K463=""),"",ROUNDUP(J463/K463,0))</x:f>
      </x:c>
      <x:c r="M463" s="151" t="str"/>
      <x:c r="N463" s="137" t="str"/>
      <x:c r="O463" s="137" t="str"/>
      <x:c r="P463" s="137" t="str"/>
      <x:c r="Q463" s="137" t="str"/>
      <x:c r="R463" s="137" t="str"/>
      <x:c r="S463" s="137" t="str"/>
      <x:c r="T463" s="137" t="str"/>
      <x:c r="U463" s="137" t="str"/>
      <x:c r="V463" s="137" t="str"/>
      <x:c r="W463" s="137" t="str"/>
      <x:c r="X463" s="199" t="str"/>
    </x:row>
    <x:row r="464">
      <x:c r="A464" s="137" t="str"/>
      <x:c r="B464" s="138" t="str"/>
      <x:c r="C464" s="138" t="str"/>
      <x:c r="D464" s="137" t="str"/>
      <x:c r="E464" s="137" t="str"/>
      <x:c r="F464" s="137" t="str"/>
      <x:c r="G464" s="137" t="str"/>
      <x:c r="H464" s="137" t="str"/>
      <x:c r="I464" s="137" t="str"/>
      <x:c r="J464" s="151" t="str"/>
      <x:c r="K464" s="151" t="str"/>
      <x:c r="L464" s="152" t="str">
        <x:f>IF(OR(J464="",K464=""),"",ROUNDUP(J464/K464,0))</x:f>
      </x:c>
      <x:c r="M464" s="151" t="str"/>
      <x:c r="N464" s="137" t="str"/>
      <x:c r="O464" s="137" t="str"/>
      <x:c r="P464" s="137" t="str"/>
      <x:c r="Q464" s="137" t="str"/>
      <x:c r="R464" s="137" t="str"/>
      <x:c r="S464" s="137" t="str"/>
      <x:c r="T464" s="137" t="str"/>
      <x:c r="U464" s="137" t="str"/>
      <x:c r="V464" s="137" t="str"/>
      <x:c r="W464" s="137" t="str"/>
      <x:c r="X464" s="199" t="str"/>
    </x:row>
    <x:row r="465">
      <x:c r="A465" s="137" t="str"/>
      <x:c r="B465" s="138" t="str"/>
      <x:c r="C465" s="138" t="str"/>
      <x:c r="D465" s="137" t="str"/>
      <x:c r="E465" s="137" t="str"/>
      <x:c r="F465" s="137" t="str"/>
      <x:c r="G465" s="137" t="str"/>
      <x:c r="H465" s="137" t="str"/>
      <x:c r="I465" s="137" t="str"/>
      <x:c r="J465" s="151" t="str"/>
      <x:c r="K465" s="151" t="str"/>
      <x:c r="L465" s="152" t="str">
        <x:f>IF(OR(J465="",K465=""),"",ROUNDUP(J465/K465,0))</x:f>
      </x:c>
      <x:c r="M465" s="151" t="str"/>
      <x:c r="N465" s="137" t="str"/>
      <x:c r="O465" s="137" t="str"/>
      <x:c r="P465" s="137" t="str"/>
      <x:c r="Q465" s="137" t="str"/>
      <x:c r="R465" s="137" t="str"/>
      <x:c r="S465" s="137" t="str"/>
      <x:c r="T465" s="137" t="str"/>
      <x:c r="U465" s="137" t="str"/>
      <x:c r="V465" s="137" t="str"/>
      <x:c r="W465" s="137" t="str"/>
      <x:c r="X465" s="199" t="str"/>
    </x:row>
    <x:row r="466">
      <x:c r="A466" s="137" t="str"/>
      <x:c r="B466" s="138" t="str"/>
      <x:c r="C466" s="138" t="str"/>
      <x:c r="D466" s="137" t="str"/>
      <x:c r="E466" s="137" t="str"/>
      <x:c r="F466" s="137" t="str"/>
      <x:c r="G466" s="137" t="str"/>
      <x:c r="H466" s="137" t="str"/>
      <x:c r="I466" s="137" t="str"/>
      <x:c r="J466" s="151" t="str"/>
      <x:c r="K466" s="151" t="str"/>
      <x:c r="L466" s="152" t="str">
        <x:f>IF(OR(J466="",K466=""),"",ROUNDUP(J466/K466,0))</x:f>
      </x:c>
      <x:c r="M466" s="151" t="str"/>
      <x:c r="N466" s="137" t="str"/>
      <x:c r="O466" s="137" t="str"/>
      <x:c r="P466" s="137" t="str"/>
      <x:c r="Q466" s="137" t="str"/>
      <x:c r="R466" s="137" t="str"/>
      <x:c r="S466" s="137" t="str"/>
      <x:c r="T466" s="137" t="str"/>
      <x:c r="U466" s="137" t="str"/>
      <x:c r="V466" s="137" t="str"/>
      <x:c r="W466" s="137" t="str"/>
      <x:c r="X466" s="199" t="str"/>
    </x:row>
    <x:row r="467">
      <x:c r="A467" s="137" t="str"/>
      <x:c r="B467" s="138" t="str"/>
      <x:c r="C467" s="138" t="str"/>
      <x:c r="D467" s="137" t="str"/>
      <x:c r="E467" s="137" t="str"/>
      <x:c r="F467" s="137" t="str"/>
      <x:c r="G467" s="137" t="str"/>
      <x:c r="H467" s="137" t="str"/>
      <x:c r="I467" s="137" t="str"/>
      <x:c r="J467" s="151" t="str"/>
      <x:c r="K467" s="151" t="str"/>
      <x:c r="L467" s="152" t="str">
        <x:f>IF(OR(J467="",K467=""),"",ROUNDUP(J467/K467,0))</x:f>
      </x:c>
      <x:c r="M467" s="151" t="str"/>
      <x:c r="N467" s="137" t="str"/>
      <x:c r="O467" s="137" t="str"/>
      <x:c r="P467" s="137" t="str"/>
      <x:c r="Q467" s="137" t="str"/>
      <x:c r="R467" s="137" t="str"/>
      <x:c r="S467" s="137" t="str"/>
      <x:c r="T467" s="137" t="str"/>
      <x:c r="U467" s="137" t="str"/>
      <x:c r="V467" s="137" t="str"/>
      <x:c r="W467" s="137" t="str"/>
      <x:c r="X467" s="199" t="str"/>
    </x:row>
    <x:row r="468">
      <x:c r="A468" s="137" t="str"/>
      <x:c r="B468" s="138" t="str"/>
      <x:c r="C468" s="138" t="str"/>
      <x:c r="D468" s="137" t="str"/>
      <x:c r="E468" s="137" t="str"/>
      <x:c r="F468" s="137" t="str"/>
      <x:c r="G468" s="137" t="str"/>
      <x:c r="H468" s="137" t="str"/>
      <x:c r="I468" s="137" t="str"/>
      <x:c r="J468" s="151" t="str"/>
      <x:c r="K468" s="151" t="str"/>
      <x:c r="L468" s="152" t="str">
        <x:f>IF(OR(J468="",K468=""),"",ROUNDUP(J468/K468,0))</x:f>
      </x:c>
      <x:c r="M468" s="151" t="str"/>
      <x:c r="N468" s="137" t="str"/>
      <x:c r="O468" s="137" t="str"/>
      <x:c r="P468" s="137" t="str"/>
      <x:c r="Q468" s="137" t="str"/>
      <x:c r="R468" s="137" t="str"/>
      <x:c r="S468" s="137" t="str"/>
      <x:c r="T468" s="137" t="str"/>
      <x:c r="U468" s="137" t="str"/>
      <x:c r="V468" s="137" t="str"/>
      <x:c r="W468" s="137" t="str"/>
      <x:c r="X468" s="199" t="str"/>
    </x:row>
    <x:row r="469">
      <x:c r="A469" s="137" t="str"/>
      <x:c r="B469" s="138" t="str"/>
      <x:c r="C469" s="138" t="str"/>
      <x:c r="D469" s="137" t="str"/>
      <x:c r="E469" s="137" t="str"/>
      <x:c r="F469" s="137" t="str"/>
      <x:c r="G469" s="137" t="str"/>
      <x:c r="H469" s="137" t="str"/>
      <x:c r="I469" s="137" t="str"/>
      <x:c r="J469" s="151" t="str"/>
      <x:c r="K469" s="151" t="str"/>
      <x:c r="L469" s="152" t="str">
        <x:f>IF(OR(J469="",K469=""),"",ROUNDUP(J469/K469,0))</x:f>
      </x:c>
      <x:c r="M469" s="151" t="str"/>
      <x:c r="N469" s="137" t="str"/>
      <x:c r="O469" s="137" t="str"/>
      <x:c r="P469" s="137" t="str"/>
      <x:c r="Q469" s="137" t="str"/>
      <x:c r="R469" s="137" t="str"/>
      <x:c r="S469" s="137" t="str"/>
      <x:c r="T469" s="137" t="str"/>
      <x:c r="U469" s="137" t="str"/>
      <x:c r="V469" s="137" t="str"/>
      <x:c r="W469" s="137" t="str"/>
      <x:c r="X469" s="199" t="str"/>
    </x:row>
    <x:row r="470">
      <x:c r="A470" s="137" t="str"/>
      <x:c r="B470" s="138" t="str"/>
      <x:c r="C470" s="138" t="str"/>
      <x:c r="D470" s="137" t="str"/>
      <x:c r="E470" s="137" t="str"/>
      <x:c r="F470" s="137" t="str"/>
      <x:c r="G470" s="137" t="str"/>
      <x:c r="H470" s="137" t="str"/>
      <x:c r="I470" s="137" t="str"/>
      <x:c r="J470" s="151" t="str"/>
      <x:c r="K470" s="151" t="str"/>
      <x:c r="L470" s="152" t="str">
        <x:f>IF(OR(J470="",K470=""),"",ROUNDUP(J470/K470,0))</x:f>
      </x:c>
      <x:c r="M470" s="151" t="str"/>
      <x:c r="N470" s="137" t="str"/>
      <x:c r="O470" s="137" t="str"/>
      <x:c r="P470" s="137" t="str"/>
      <x:c r="Q470" s="137" t="str"/>
      <x:c r="R470" s="137" t="str"/>
      <x:c r="S470" s="137" t="str"/>
      <x:c r="T470" s="137" t="str"/>
      <x:c r="U470" s="137" t="str"/>
      <x:c r="V470" s="137" t="str"/>
      <x:c r="W470" s="137" t="str"/>
      <x:c r="X470" s="199" t="str"/>
    </x:row>
    <x:row r="471">
      <x:c r="A471" s="137" t="str"/>
      <x:c r="B471" s="138" t="str"/>
      <x:c r="C471" s="138" t="str"/>
      <x:c r="D471" s="137" t="str"/>
      <x:c r="E471" s="137" t="str"/>
      <x:c r="F471" s="137" t="str"/>
      <x:c r="G471" s="137" t="str"/>
      <x:c r="H471" s="137" t="str"/>
      <x:c r="I471" s="137" t="str"/>
      <x:c r="J471" s="151" t="str"/>
      <x:c r="K471" s="151" t="str"/>
      <x:c r="L471" s="152" t="str">
        <x:f>IF(OR(J471="",K471=""),"",ROUNDUP(J471/K471,0))</x:f>
      </x:c>
      <x:c r="M471" s="151" t="str"/>
      <x:c r="N471" s="137" t="str"/>
      <x:c r="O471" s="137" t="str"/>
      <x:c r="P471" s="137" t="str"/>
      <x:c r="Q471" s="137" t="str"/>
      <x:c r="R471" s="137" t="str"/>
      <x:c r="S471" s="137" t="str"/>
      <x:c r="T471" s="137" t="str"/>
      <x:c r="U471" s="137" t="str"/>
      <x:c r="V471" s="137" t="str"/>
      <x:c r="W471" s="137" t="str"/>
      <x:c r="X471" s="199" t="str"/>
    </x:row>
    <x:row r="472">
      <x:c r="A472" s="137" t="str"/>
      <x:c r="B472" s="138" t="str"/>
      <x:c r="C472" s="138" t="str"/>
      <x:c r="D472" s="137" t="str"/>
      <x:c r="E472" s="137" t="str"/>
      <x:c r="F472" s="137" t="str"/>
      <x:c r="G472" s="137" t="str"/>
      <x:c r="H472" s="137" t="str"/>
      <x:c r="I472" s="137" t="str"/>
      <x:c r="J472" s="151" t="str"/>
      <x:c r="K472" s="151" t="str"/>
      <x:c r="L472" s="152" t="str">
        <x:f>IF(OR(J472="",K472=""),"",ROUNDUP(J472/K472,0))</x:f>
      </x:c>
      <x:c r="M472" s="151" t="str"/>
      <x:c r="N472" s="137" t="str"/>
      <x:c r="O472" s="137" t="str"/>
      <x:c r="P472" s="137" t="str"/>
      <x:c r="Q472" s="137" t="str"/>
      <x:c r="R472" s="137" t="str"/>
      <x:c r="S472" s="137" t="str"/>
      <x:c r="T472" s="137" t="str"/>
      <x:c r="U472" s="137" t="str"/>
      <x:c r="V472" s="137" t="str"/>
      <x:c r="W472" s="137" t="str"/>
      <x:c r="X472" s="199" t="str"/>
    </x:row>
    <x:row r="473">
      <x:c r="A473" s="137" t="str"/>
      <x:c r="B473" s="138" t="str"/>
      <x:c r="C473" s="138" t="str"/>
      <x:c r="D473" s="137" t="str"/>
      <x:c r="E473" s="137" t="str"/>
      <x:c r="F473" s="137" t="str"/>
      <x:c r="G473" s="137" t="str"/>
      <x:c r="H473" s="137" t="str"/>
      <x:c r="I473" s="137" t="str"/>
      <x:c r="J473" s="151" t="str"/>
      <x:c r="K473" s="151" t="str"/>
      <x:c r="L473" s="152" t="str">
        <x:f>IF(OR(J473="",K473=""),"",ROUNDUP(J473/K473,0))</x:f>
      </x:c>
      <x:c r="M473" s="151" t="str"/>
      <x:c r="N473" s="137" t="str"/>
      <x:c r="O473" s="137" t="str"/>
      <x:c r="P473" s="137" t="str"/>
      <x:c r="Q473" s="137" t="str"/>
      <x:c r="R473" s="137" t="str"/>
      <x:c r="S473" s="137" t="str"/>
      <x:c r="T473" s="137" t="str"/>
      <x:c r="U473" s="137" t="str"/>
      <x:c r="V473" s="137" t="str"/>
      <x:c r="W473" s="137" t="str"/>
      <x:c r="X473" s="199" t="str"/>
    </x:row>
    <x:row r="474">
      <x:c r="A474" s="137" t="str"/>
      <x:c r="B474" s="138" t="str"/>
      <x:c r="C474" s="138" t="str"/>
      <x:c r="D474" s="137" t="str"/>
      <x:c r="E474" s="137" t="str"/>
      <x:c r="F474" s="137" t="str"/>
      <x:c r="G474" s="137" t="str"/>
      <x:c r="H474" s="137" t="str"/>
      <x:c r="I474" s="137" t="str"/>
      <x:c r="J474" s="151" t="str"/>
      <x:c r="K474" s="151" t="str"/>
      <x:c r="L474" s="152" t="str">
        <x:f>IF(OR(J474="",K474=""),"",ROUNDUP(J474/K474,0))</x:f>
      </x:c>
      <x:c r="M474" s="151" t="str"/>
      <x:c r="N474" s="137" t="str"/>
      <x:c r="O474" s="137" t="str"/>
      <x:c r="P474" s="137" t="str"/>
      <x:c r="Q474" s="137" t="str"/>
      <x:c r="R474" s="137" t="str"/>
      <x:c r="S474" s="137" t="str"/>
      <x:c r="T474" s="137" t="str"/>
      <x:c r="U474" s="137" t="str"/>
      <x:c r="V474" s="137" t="str"/>
      <x:c r="W474" s="137" t="str"/>
      <x:c r="X474" s="199" t="str"/>
    </x:row>
    <x:row r="475">
      <x:c r="A475" s="137" t="str"/>
      <x:c r="B475" s="138" t="str"/>
      <x:c r="C475" s="138" t="str"/>
      <x:c r="D475" s="137" t="str"/>
      <x:c r="E475" s="137" t="str"/>
      <x:c r="F475" s="137" t="str"/>
      <x:c r="G475" s="137" t="str"/>
      <x:c r="H475" s="137" t="str"/>
      <x:c r="I475" s="137" t="str"/>
      <x:c r="J475" s="151" t="str"/>
      <x:c r="K475" s="151" t="str"/>
      <x:c r="L475" s="152" t="str">
        <x:f>IF(OR(J475="",K475=""),"",ROUNDUP(J475/K475,0))</x:f>
      </x:c>
      <x:c r="M475" s="151" t="str"/>
      <x:c r="N475" s="137" t="str"/>
      <x:c r="O475" s="137" t="str"/>
      <x:c r="P475" s="137" t="str"/>
      <x:c r="Q475" s="137" t="str"/>
      <x:c r="R475" s="137" t="str"/>
      <x:c r="S475" s="137" t="str"/>
      <x:c r="T475" s="137" t="str"/>
      <x:c r="U475" s="137" t="str"/>
      <x:c r="V475" s="137" t="str"/>
      <x:c r="W475" s="137" t="str"/>
      <x:c r="X475" s="199" t="str"/>
    </x:row>
    <x:row r="476">
      <x:c r="A476" s="137" t="str"/>
      <x:c r="B476" s="138" t="str"/>
      <x:c r="C476" s="138" t="str"/>
      <x:c r="D476" s="137" t="str"/>
      <x:c r="E476" s="137" t="str"/>
      <x:c r="F476" s="137" t="str"/>
      <x:c r="G476" s="137" t="str"/>
      <x:c r="H476" s="137" t="str"/>
      <x:c r="I476" s="137" t="str"/>
      <x:c r="J476" s="151" t="str"/>
      <x:c r="K476" s="151" t="str"/>
      <x:c r="L476" s="152" t="str">
        <x:f>IF(OR(J476="",K476=""),"",ROUNDUP(J476/K476,0))</x:f>
      </x:c>
      <x:c r="M476" s="151" t="str"/>
      <x:c r="N476" s="137" t="str"/>
      <x:c r="O476" s="137" t="str"/>
      <x:c r="P476" s="137" t="str"/>
      <x:c r="Q476" s="137" t="str"/>
      <x:c r="R476" s="137" t="str"/>
      <x:c r="S476" s="137" t="str"/>
      <x:c r="T476" s="137" t="str"/>
      <x:c r="U476" s="137" t="str"/>
      <x:c r="V476" s="137" t="str"/>
      <x:c r="W476" s="137" t="str"/>
      <x:c r="X476" s="199" t="str"/>
    </x:row>
    <x:row r="477">
      <x:c r="A477" s="137" t="str"/>
      <x:c r="B477" s="138" t="str"/>
      <x:c r="C477" s="138" t="str"/>
      <x:c r="D477" s="137" t="str"/>
      <x:c r="E477" s="137" t="str"/>
      <x:c r="F477" s="137" t="str"/>
      <x:c r="G477" s="137" t="str"/>
      <x:c r="H477" s="137" t="str"/>
      <x:c r="I477" s="137" t="str"/>
      <x:c r="J477" s="151" t="str"/>
      <x:c r="K477" s="151" t="str"/>
      <x:c r="L477" s="152" t="str">
        <x:f>IF(OR(J477="",K477=""),"",ROUNDUP(J477/K477,0))</x:f>
      </x:c>
      <x:c r="M477" s="151" t="str"/>
      <x:c r="N477" s="137" t="str"/>
      <x:c r="O477" s="137" t="str"/>
      <x:c r="P477" s="137" t="str"/>
      <x:c r="Q477" s="137" t="str"/>
      <x:c r="R477" s="137" t="str"/>
      <x:c r="S477" s="137" t="str"/>
      <x:c r="T477" s="137" t="str"/>
      <x:c r="U477" s="137" t="str"/>
      <x:c r="V477" s="137" t="str"/>
      <x:c r="W477" s="137" t="str"/>
      <x:c r="X477" s="199" t="str"/>
    </x:row>
    <x:row r="478">
      <x:c r="A478" s="137" t="str"/>
      <x:c r="B478" s="138" t="str"/>
      <x:c r="C478" s="138" t="str"/>
      <x:c r="D478" s="137" t="str"/>
      <x:c r="E478" s="137" t="str"/>
      <x:c r="F478" s="137" t="str"/>
      <x:c r="G478" s="137" t="str"/>
      <x:c r="H478" s="137" t="str"/>
      <x:c r="I478" s="137" t="str"/>
      <x:c r="J478" s="151" t="str"/>
      <x:c r="K478" s="151" t="str"/>
      <x:c r="L478" s="152" t="str">
        <x:f>IF(OR(J478="",K478=""),"",ROUNDUP(J478/K478,0))</x:f>
      </x:c>
      <x:c r="M478" s="151" t="str"/>
      <x:c r="N478" s="137" t="str"/>
      <x:c r="O478" s="137" t="str"/>
      <x:c r="P478" s="137" t="str"/>
      <x:c r="Q478" s="137" t="str"/>
      <x:c r="R478" s="137" t="str"/>
      <x:c r="S478" s="137" t="str"/>
      <x:c r="T478" s="137" t="str"/>
      <x:c r="U478" s="137" t="str"/>
      <x:c r="V478" s="137" t="str"/>
      <x:c r="W478" s="137" t="str"/>
      <x:c r="X478" s="199" t="str"/>
    </x:row>
    <x:row r="479">
      <x:c r="A479" s="137" t="str"/>
      <x:c r="B479" s="138" t="str"/>
      <x:c r="C479" s="138" t="str"/>
      <x:c r="D479" s="137" t="str"/>
      <x:c r="E479" s="137" t="str"/>
      <x:c r="F479" s="137" t="str"/>
      <x:c r="G479" s="137" t="str"/>
      <x:c r="H479" s="137" t="str"/>
      <x:c r="I479" s="137" t="str"/>
      <x:c r="J479" s="151" t="str"/>
      <x:c r="K479" s="151" t="str"/>
      <x:c r="L479" s="152" t="str">
        <x:f>IF(OR(J479="",K479=""),"",ROUNDUP(J479/K479,0))</x:f>
      </x:c>
      <x:c r="M479" s="151" t="str"/>
      <x:c r="N479" s="137" t="str"/>
      <x:c r="O479" s="137" t="str"/>
      <x:c r="P479" s="137" t="str"/>
      <x:c r="Q479" s="137" t="str"/>
      <x:c r="R479" s="137" t="str"/>
      <x:c r="S479" s="137" t="str"/>
      <x:c r="T479" s="137" t="str"/>
      <x:c r="U479" s="137" t="str"/>
      <x:c r="V479" s="137" t="str"/>
      <x:c r="W479" s="137" t="str"/>
      <x:c r="X479" s="199" t="str"/>
    </x:row>
    <x:row r="480">
      <x:c r="A480" s="137" t="str"/>
      <x:c r="B480" s="138" t="str"/>
      <x:c r="C480" s="138" t="str"/>
      <x:c r="D480" s="137" t="str"/>
      <x:c r="E480" s="137" t="str"/>
      <x:c r="F480" s="137" t="str"/>
      <x:c r="G480" s="137" t="str"/>
      <x:c r="H480" s="137" t="str"/>
      <x:c r="I480" s="137" t="str"/>
      <x:c r="J480" s="151" t="str"/>
      <x:c r="K480" s="151" t="str"/>
      <x:c r="L480" s="152" t="str">
        <x:f>IF(OR(J480="",K480=""),"",ROUNDUP(J480/K480,0))</x:f>
      </x:c>
      <x:c r="M480" s="151" t="str"/>
      <x:c r="N480" s="137" t="str"/>
      <x:c r="O480" s="137" t="str"/>
      <x:c r="P480" s="137" t="str"/>
      <x:c r="Q480" s="137" t="str"/>
      <x:c r="R480" s="137" t="str"/>
      <x:c r="S480" s="137" t="str"/>
      <x:c r="T480" s="137" t="str"/>
      <x:c r="U480" s="137" t="str"/>
      <x:c r="V480" s="137" t="str"/>
      <x:c r="W480" s="137" t="str"/>
      <x:c r="X480" s="199" t="str"/>
    </x:row>
    <x:row r="481">
      <x:c r="A481" s="137" t="str"/>
      <x:c r="B481" s="138" t="str"/>
      <x:c r="C481" s="138" t="str"/>
      <x:c r="D481" s="137" t="str"/>
      <x:c r="E481" s="137" t="str"/>
      <x:c r="F481" s="137" t="str"/>
      <x:c r="G481" s="137" t="str"/>
      <x:c r="H481" s="137" t="str"/>
      <x:c r="I481" s="137" t="str"/>
      <x:c r="J481" s="151" t="str"/>
      <x:c r="K481" s="151" t="str"/>
      <x:c r="L481" s="152" t="str">
        <x:f>IF(OR(J481="",K481=""),"",ROUNDUP(J481/K481,0))</x:f>
      </x:c>
      <x:c r="M481" s="151" t="str"/>
      <x:c r="N481" s="137" t="str"/>
      <x:c r="O481" s="137" t="str"/>
      <x:c r="P481" s="137" t="str"/>
      <x:c r="Q481" s="137" t="str"/>
      <x:c r="R481" s="137" t="str"/>
      <x:c r="S481" s="137" t="str"/>
      <x:c r="T481" s="137" t="str"/>
      <x:c r="U481" s="137" t="str"/>
      <x:c r="V481" s="137" t="str"/>
      <x:c r="W481" s="137" t="str"/>
      <x:c r="X481" s="199" t="str"/>
    </x:row>
    <x:row r="482">
      <x:c r="A482" s="137" t="str"/>
      <x:c r="B482" s="138" t="str"/>
      <x:c r="C482" s="138" t="str"/>
      <x:c r="D482" s="137" t="str"/>
      <x:c r="E482" s="137" t="str"/>
      <x:c r="F482" s="137" t="str"/>
      <x:c r="G482" s="137" t="str"/>
      <x:c r="H482" s="137" t="str"/>
      <x:c r="I482" s="137" t="str"/>
      <x:c r="J482" s="151" t="str"/>
      <x:c r="K482" s="151" t="str"/>
      <x:c r="L482" s="152" t="str">
        <x:f>IF(OR(J482="",K482=""),"",ROUNDUP(J482/K482,0))</x:f>
      </x:c>
      <x:c r="M482" s="151" t="str"/>
      <x:c r="N482" s="137" t="str"/>
      <x:c r="O482" s="137" t="str"/>
      <x:c r="P482" s="137" t="str"/>
      <x:c r="Q482" s="137" t="str"/>
      <x:c r="R482" s="137" t="str"/>
      <x:c r="S482" s="137" t="str"/>
      <x:c r="T482" s="137" t="str"/>
      <x:c r="U482" s="137" t="str"/>
      <x:c r="V482" s="137" t="str"/>
      <x:c r="W482" s="137" t="str"/>
      <x:c r="X482" s="199" t="str"/>
    </x:row>
    <x:row r="483">
      <x:c r="A483" s="137" t="str"/>
      <x:c r="B483" s="138" t="str"/>
      <x:c r="C483" s="138" t="str"/>
      <x:c r="D483" s="137" t="str"/>
      <x:c r="E483" s="137" t="str"/>
      <x:c r="F483" s="137" t="str"/>
      <x:c r="G483" s="137" t="str"/>
      <x:c r="H483" s="137" t="str"/>
      <x:c r="I483" s="137" t="str"/>
      <x:c r="J483" s="151" t="str"/>
      <x:c r="K483" s="151" t="str"/>
      <x:c r="L483" s="152" t="str">
        <x:f>IF(OR(J483="",K483=""),"",ROUNDUP(J483/K483,0))</x:f>
      </x:c>
      <x:c r="M483" s="151" t="str"/>
      <x:c r="N483" s="137" t="str"/>
      <x:c r="O483" s="137" t="str"/>
      <x:c r="P483" s="137" t="str"/>
      <x:c r="Q483" s="137" t="str"/>
      <x:c r="R483" s="137" t="str"/>
      <x:c r="S483" s="137" t="str"/>
      <x:c r="T483" s="137" t="str"/>
      <x:c r="U483" s="137" t="str"/>
      <x:c r="V483" s="137" t="str"/>
      <x:c r="W483" s="137" t="str"/>
      <x:c r="X483" s="199" t="str"/>
    </x:row>
    <x:row r="484">
      <x:c r="A484" s="137" t="str"/>
      <x:c r="B484" s="138" t="str"/>
      <x:c r="C484" s="138" t="str"/>
      <x:c r="D484" s="137" t="str"/>
      <x:c r="E484" s="137" t="str"/>
      <x:c r="F484" s="137" t="str"/>
      <x:c r="G484" s="137" t="str"/>
      <x:c r="H484" s="137" t="str"/>
      <x:c r="I484" s="137" t="str"/>
      <x:c r="J484" s="151" t="str"/>
      <x:c r="K484" s="151" t="str"/>
      <x:c r="L484" s="152" t="str">
        <x:f>IF(OR(J484="",K484=""),"",ROUNDUP(J484/K484,0))</x:f>
      </x:c>
      <x:c r="M484" s="151" t="str"/>
      <x:c r="N484" s="137" t="str"/>
      <x:c r="O484" s="137" t="str"/>
      <x:c r="P484" s="137" t="str"/>
      <x:c r="Q484" s="137" t="str"/>
      <x:c r="R484" s="137" t="str"/>
      <x:c r="S484" s="137" t="str"/>
      <x:c r="T484" s="137" t="str"/>
      <x:c r="U484" s="137" t="str"/>
      <x:c r="V484" s="137" t="str"/>
      <x:c r="W484" s="137" t="str"/>
      <x:c r="X484" s="199" t="str"/>
    </x:row>
    <x:row r="485">
      <x:c r="A485" s="137" t="str"/>
      <x:c r="B485" s="138" t="str"/>
      <x:c r="C485" s="138" t="str"/>
      <x:c r="D485" s="137" t="str"/>
      <x:c r="E485" s="137" t="str"/>
      <x:c r="F485" s="137" t="str"/>
      <x:c r="G485" s="137" t="str"/>
      <x:c r="H485" s="137" t="str"/>
      <x:c r="I485" s="137" t="str"/>
      <x:c r="J485" s="151" t="str"/>
      <x:c r="K485" s="151" t="str"/>
      <x:c r="L485" s="152" t="str">
        <x:f>IF(OR(J485="",K485=""),"",ROUNDUP(J485/K485,0))</x:f>
      </x:c>
      <x:c r="M485" s="151" t="str"/>
      <x:c r="N485" s="137" t="str"/>
      <x:c r="O485" s="137" t="str"/>
      <x:c r="P485" s="137" t="str"/>
      <x:c r="Q485" s="137" t="str"/>
      <x:c r="R485" s="137" t="str"/>
      <x:c r="S485" s="137" t="str"/>
      <x:c r="T485" s="137" t="str"/>
      <x:c r="U485" s="137" t="str"/>
      <x:c r="V485" s="137" t="str"/>
      <x:c r="W485" s="137" t="str"/>
      <x:c r="X485" s="199" t="str"/>
    </x:row>
    <x:row r="486">
      <x:c r="A486" s="137" t="str"/>
      <x:c r="B486" s="138" t="str"/>
      <x:c r="C486" s="138" t="str"/>
      <x:c r="D486" s="137" t="str"/>
      <x:c r="E486" s="137" t="str"/>
      <x:c r="F486" s="137" t="str"/>
      <x:c r="G486" s="137" t="str"/>
      <x:c r="H486" s="137" t="str"/>
      <x:c r="I486" s="137" t="str"/>
      <x:c r="J486" s="151" t="str"/>
      <x:c r="K486" s="151" t="str"/>
      <x:c r="L486" s="152" t="str">
        <x:f>IF(OR(J486="",K486=""),"",ROUNDUP(J486/K486,0))</x:f>
      </x:c>
      <x:c r="M486" s="151" t="str"/>
      <x:c r="N486" s="137" t="str"/>
      <x:c r="O486" s="137" t="str"/>
      <x:c r="P486" s="137" t="str"/>
      <x:c r="Q486" s="137" t="str"/>
      <x:c r="R486" s="137" t="str"/>
      <x:c r="S486" s="137" t="str"/>
      <x:c r="T486" s="137" t="str"/>
      <x:c r="U486" s="137" t="str"/>
      <x:c r="V486" s="137" t="str"/>
      <x:c r="W486" s="137" t="str"/>
      <x:c r="X486" s="199" t="str"/>
    </x:row>
    <x:row r="487">
      <x:c r="A487" s="137" t="str"/>
      <x:c r="B487" s="138" t="str"/>
      <x:c r="C487" s="138" t="str"/>
      <x:c r="D487" s="137" t="str"/>
      <x:c r="E487" s="137" t="str"/>
      <x:c r="F487" s="137" t="str"/>
      <x:c r="G487" s="137" t="str"/>
      <x:c r="H487" s="137" t="str"/>
      <x:c r="I487" s="137" t="str"/>
      <x:c r="J487" s="151" t="str"/>
      <x:c r="K487" s="151" t="str"/>
      <x:c r="L487" s="152" t="str">
        <x:f>IF(OR(J487="",K487=""),"",ROUNDUP(J487/K487,0))</x:f>
      </x:c>
      <x:c r="M487" s="151" t="str"/>
      <x:c r="N487" s="137" t="str"/>
      <x:c r="O487" s="137" t="str"/>
      <x:c r="P487" s="137" t="str"/>
      <x:c r="Q487" s="137" t="str"/>
      <x:c r="R487" s="137" t="str"/>
      <x:c r="S487" s="137" t="str"/>
      <x:c r="T487" s="137" t="str"/>
      <x:c r="U487" s="137" t="str"/>
      <x:c r="V487" s="137" t="str"/>
      <x:c r="W487" s="137" t="str"/>
      <x:c r="X487" s="199" t="str"/>
    </x:row>
    <x:row r="488">
      <x:c r="A488" s="137" t="str"/>
      <x:c r="B488" s="138" t="str"/>
      <x:c r="C488" s="138" t="str"/>
      <x:c r="D488" s="137" t="str"/>
      <x:c r="E488" s="137" t="str"/>
      <x:c r="F488" s="137" t="str"/>
      <x:c r="G488" s="137" t="str"/>
      <x:c r="H488" s="137" t="str"/>
      <x:c r="I488" s="137" t="str"/>
      <x:c r="J488" s="151" t="str"/>
      <x:c r="K488" s="151" t="str"/>
      <x:c r="L488" s="152" t="str">
        <x:f>IF(OR(J488="",K488=""),"",ROUNDUP(J488/K488,0))</x:f>
      </x:c>
      <x:c r="M488" s="151" t="str"/>
      <x:c r="N488" s="137" t="str"/>
      <x:c r="O488" s="137" t="str"/>
      <x:c r="P488" s="137" t="str"/>
      <x:c r="Q488" s="137" t="str"/>
      <x:c r="R488" s="137" t="str"/>
      <x:c r="S488" s="137" t="str"/>
      <x:c r="T488" s="137" t="str"/>
      <x:c r="U488" s="137" t="str"/>
      <x:c r="V488" s="137" t="str"/>
      <x:c r="W488" s="137" t="str"/>
      <x:c r="X488" s="199" t="str"/>
    </x:row>
    <x:row r="489">
      <x:c r="A489" s="137" t="str"/>
      <x:c r="B489" s="138" t="str"/>
      <x:c r="C489" s="138" t="str"/>
      <x:c r="D489" s="137" t="str"/>
      <x:c r="E489" s="137" t="str"/>
      <x:c r="F489" s="137" t="str"/>
      <x:c r="G489" s="137" t="str"/>
      <x:c r="H489" s="137" t="str"/>
      <x:c r="I489" s="137" t="str"/>
      <x:c r="J489" s="151" t="str"/>
      <x:c r="K489" s="151" t="str"/>
      <x:c r="L489" s="152" t="str">
        <x:f>IF(OR(J489="",K489=""),"",ROUNDUP(J489/K489,0))</x:f>
      </x:c>
      <x:c r="M489" s="151" t="str"/>
      <x:c r="N489" s="137" t="str"/>
      <x:c r="O489" s="137" t="str"/>
      <x:c r="P489" s="137" t="str"/>
      <x:c r="Q489" s="137" t="str"/>
      <x:c r="R489" s="137" t="str"/>
      <x:c r="S489" s="137" t="str"/>
      <x:c r="T489" s="137" t="str"/>
      <x:c r="U489" s="137" t="str"/>
      <x:c r="V489" s="137" t="str"/>
      <x:c r="W489" s="137" t="str"/>
      <x:c r="X489" s="199" t="str"/>
    </x:row>
    <x:row r="490">
      <x:c r="A490" s="137" t="str"/>
      <x:c r="B490" s="138" t="str"/>
      <x:c r="C490" s="138" t="str"/>
      <x:c r="D490" s="137" t="str"/>
      <x:c r="E490" s="137" t="str"/>
      <x:c r="F490" s="137" t="str"/>
      <x:c r="G490" s="137" t="str"/>
      <x:c r="H490" s="137" t="str"/>
      <x:c r="I490" s="137" t="str"/>
      <x:c r="J490" s="151" t="str"/>
      <x:c r="K490" s="151" t="str"/>
      <x:c r="L490" s="152" t="str">
        <x:f>IF(OR(J490="",K490=""),"",ROUNDUP(J490/K490,0))</x:f>
      </x:c>
      <x:c r="M490" s="151" t="str"/>
      <x:c r="N490" s="137" t="str"/>
      <x:c r="O490" s="137" t="str"/>
      <x:c r="P490" s="137" t="str"/>
      <x:c r="Q490" s="137" t="str"/>
      <x:c r="R490" s="137" t="str"/>
      <x:c r="S490" s="137" t="str"/>
      <x:c r="T490" s="137" t="str"/>
      <x:c r="U490" s="137" t="str"/>
      <x:c r="V490" s="137" t="str"/>
      <x:c r="W490" s="137" t="str"/>
      <x:c r="X490" s="199" t="str"/>
    </x:row>
    <x:row r="491">
      <x:c r="A491" s="137" t="str"/>
      <x:c r="B491" s="138" t="str"/>
      <x:c r="C491" s="138" t="str"/>
      <x:c r="D491" s="137" t="str"/>
      <x:c r="E491" s="137" t="str"/>
      <x:c r="F491" s="137" t="str"/>
      <x:c r="G491" s="137" t="str"/>
      <x:c r="H491" s="137" t="str"/>
      <x:c r="I491" s="137" t="str"/>
      <x:c r="J491" s="151" t="str"/>
      <x:c r="K491" s="151" t="str"/>
      <x:c r="L491" s="152" t="str">
        <x:f>IF(OR(J491="",K491=""),"",ROUNDUP(J491/K491,0))</x:f>
      </x:c>
      <x:c r="M491" s="151" t="str"/>
      <x:c r="N491" s="137" t="str"/>
      <x:c r="O491" s="137" t="str"/>
      <x:c r="P491" s="137" t="str"/>
      <x:c r="Q491" s="137" t="str"/>
      <x:c r="R491" s="137" t="str"/>
      <x:c r="S491" s="137" t="str"/>
      <x:c r="T491" s="137" t="str"/>
      <x:c r="U491" s="137" t="str"/>
      <x:c r="V491" s="137" t="str"/>
      <x:c r="W491" s="137" t="str"/>
      <x:c r="X491" s="199" t="str"/>
    </x:row>
    <x:row r="492">
      <x:c r="A492" s="137" t="str"/>
      <x:c r="B492" s="138" t="str"/>
      <x:c r="C492" s="138" t="str"/>
      <x:c r="D492" s="137" t="str"/>
      <x:c r="E492" s="137" t="str"/>
      <x:c r="F492" s="137" t="str"/>
      <x:c r="G492" s="137" t="str"/>
      <x:c r="H492" s="137" t="str"/>
      <x:c r="I492" s="137" t="str"/>
      <x:c r="J492" s="151" t="str"/>
      <x:c r="K492" s="151" t="str"/>
      <x:c r="L492" s="152" t="str">
        <x:f>IF(OR(J492="",K492=""),"",ROUNDUP(J492/K492,0))</x:f>
      </x:c>
      <x:c r="M492" s="151" t="str"/>
      <x:c r="N492" s="137" t="str"/>
      <x:c r="O492" s="137" t="str"/>
      <x:c r="P492" s="137" t="str"/>
      <x:c r="Q492" s="137" t="str"/>
      <x:c r="R492" s="137" t="str"/>
      <x:c r="S492" s="137" t="str"/>
      <x:c r="T492" s="137" t="str"/>
      <x:c r="U492" s="137" t="str"/>
      <x:c r="V492" s="137" t="str"/>
      <x:c r="W492" s="137" t="str"/>
      <x:c r="X492" s="199" t="str"/>
    </x:row>
    <x:row r="493">
      <x:c r="A493" s="137" t="str"/>
      <x:c r="B493" s="138" t="str"/>
      <x:c r="C493" s="138" t="str"/>
      <x:c r="D493" s="137" t="str"/>
      <x:c r="E493" s="137" t="str"/>
      <x:c r="F493" s="137" t="str"/>
      <x:c r="G493" s="137" t="str"/>
      <x:c r="H493" s="137" t="str"/>
      <x:c r="I493" s="137" t="str"/>
      <x:c r="J493" s="151" t="str"/>
      <x:c r="K493" s="151" t="str"/>
      <x:c r="L493" s="152" t="str">
        <x:f>IF(OR(J493="",K493=""),"",ROUNDUP(J493/K493,0))</x:f>
      </x:c>
      <x:c r="M493" s="151" t="str"/>
      <x:c r="N493" s="137" t="str"/>
      <x:c r="O493" s="137" t="str"/>
      <x:c r="P493" s="137" t="str"/>
      <x:c r="Q493" s="137" t="str"/>
      <x:c r="R493" s="137" t="str"/>
      <x:c r="S493" s="137" t="str"/>
      <x:c r="T493" s="137" t="str"/>
      <x:c r="U493" s="137" t="str"/>
      <x:c r="V493" s="137" t="str"/>
      <x:c r="W493" s="137" t="str"/>
      <x:c r="X493" s="199" t="str"/>
    </x:row>
    <x:row r="494">
      <x:c r="A494" s="137" t="str"/>
      <x:c r="B494" s="138" t="str"/>
      <x:c r="C494" s="138" t="str"/>
      <x:c r="D494" s="137" t="str"/>
      <x:c r="E494" s="137" t="str"/>
      <x:c r="F494" s="137" t="str"/>
      <x:c r="G494" s="137" t="str"/>
      <x:c r="H494" s="137" t="str"/>
      <x:c r="I494" s="137" t="str"/>
      <x:c r="J494" s="151" t="str"/>
      <x:c r="K494" s="151" t="str"/>
      <x:c r="L494" s="152" t="str">
        <x:f>IF(OR(J494="",K494=""),"",ROUNDUP(J494/K494,0))</x:f>
      </x:c>
      <x:c r="M494" s="151" t="str"/>
      <x:c r="N494" s="137" t="str"/>
      <x:c r="O494" s="137" t="str"/>
      <x:c r="P494" s="137" t="str"/>
      <x:c r="Q494" s="137" t="str"/>
      <x:c r="R494" s="137" t="str"/>
      <x:c r="S494" s="137" t="str"/>
      <x:c r="T494" s="137" t="str"/>
      <x:c r="U494" s="137" t="str"/>
      <x:c r="V494" s="137" t="str"/>
      <x:c r="W494" s="137" t="str"/>
      <x:c r="X494" s="199" t="str"/>
    </x:row>
    <x:row r="495">
      <x:c r="A495" s="137" t="str"/>
      <x:c r="B495" s="138" t="str"/>
      <x:c r="C495" s="138" t="str"/>
      <x:c r="D495" s="137" t="str"/>
      <x:c r="E495" s="137" t="str"/>
      <x:c r="F495" s="137" t="str"/>
      <x:c r="G495" s="137" t="str"/>
      <x:c r="H495" s="137" t="str"/>
      <x:c r="I495" s="137" t="str"/>
      <x:c r="J495" s="151" t="str"/>
      <x:c r="K495" s="151" t="str"/>
      <x:c r="L495" s="152" t="str">
        <x:f>IF(OR(J495="",K495=""),"",ROUNDUP(J495/K495,0))</x:f>
      </x:c>
      <x:c r="M495" s="151" t="str"/>
      <x:c r="N495" s="137" t="str"/>
      <x:c r="O495" s="137" t="str"/>
      <x:c r="P495" s="137" t="str"/>
      <x:c r="Q495" s="137" t="str"/>
      <x:c r="R495" s="137" t="str"/>
      <x:c r="S495" s="137" t="str"/>
      <x:c r="T495" s="137" t="str"/>
      <x:c r="U495" s="137" t="str"/>
      <x:c r="V495" s="137" t="str"/>
      <x:c r="W495" s="137" t="str"/>
      <x:c r="X495" s="199" t="str"/>
    </x:row>
    <x:row r="496">
      <x:c r="A496" s="137" t="str"/>
      <x:c r="B496" s="138" t="str"/>
      <x:c r="C496" s="138" t="str"/>
      <x:c r="D496" s="137" t="str"/>
      <x:c r="E496" s="137" t="str"/>
      <x:c r="F496" s="137" t="str"/>
      <x:c r="G496" s="137" t="str"/>
      <x:c r="H496" s="137" t="str"/>
      <x:c r="I496" s="137" t="str"/>
      <x:c r="J496" s="151" t="str"/>
      <x:c r="K496" s="151" t="str"/>
      <x:c r="L496" s="152" t="str">
        <x:f>IF(OR(J496="",K496=""),"",ROUNDUP(J496/K496,0))</x:f>
      </x:c>
      <x:c r="M496" s="151" t="str"/>
      <x:c r="N496" s="137" t="str"/>
      <x:c r="O496" s="137" t="str"/>
      <x:c r="P496" s="137" t="str"/>
      <x:c r="Q496" s="137" t="str"/>
      <x:c r="R496" s="137" t="str"/>
      <x:c r="S496" s="137" t="str"/>
      <x:c r="T496" s="137" t="str"/>
      <x:c r="U496" s="137" t="str"/>
      <x:c r="V496" s="137" t="str"/>
      <x:c r="W496" s="137" t="str"/>
      <x:c r="X496" s="199" t="str"/>
    </x:row>
    <x:row r="497">
      <x:c r="A497" s="137" t="str"/>
      <x:c r="B497" s="138" t="str"/>
      <x:c r="C497" s="138" t="str"/>
      <x:c r="D497" s="137" t="str"/>
      <x:c r="E497" s="137" t="str"/>
      <x:c r="F497" s="137" t="str"/>
      <x:c r="G497" s="137" t="str"/>
      <x:c r="H497" s="137" t="str"/>
      <x:c r="I497" s="137" t="str"/>
      <x:c r="J497" s="151" t="str"/>
      <x:c r="K497" s="151" t="str"/>
      <x:c r="L497" s="152" t="str">
        <x:f>IF(OR(J497="",K497=""),"",ROUNDUP(J497/K497,0))</x:f>
      </x:c>
      <x:c r="M497" s="151" t="str"/>
      <x:c r="N497" s="137" t="str"/>
      <x:c r="O497" s="137" t="str"/>
      <x:c r="P497" s="137" t="str"/>
      <x:c r="Q497" s="137" t="str"/>
      <x:c r="R497" s="137" t="str"/>
      <x:c r="S497" s="137" t="str"/>
      <x:c r="T497" s="137" t="str"/>
      <x:c r="U497" s="137" t="str"/>
      <x:c r="V497" s="137" t="str"/>
      <x:c r="W497" s="137" t="str"/>
      <x:c r="X497" s="199" t="str"/>
    </x:row>
    <x:row r="498">
      <x:c r="A498" s="137" t="str"/>
      <x:c r="B498" s="138" t="str"/>
      <x:c r="C498" s="138" t="str"/>
      <x:c r="D498" s="137" t="str"/>
      <x:c r="E498" s="137" t="str"/>
      <x:c r="F498" s="137" t="str"/>
      <x:c r="G498" s="137" t="str"/>
      <x:c r="H498" s="137" t="str"/>
      <x:c r="I498" s="137" t="str"/>
      <x:c r="J498" s="151" t="str"/>
      <x:c r="K498" s="151" t="str"/>
      <x:c r="L498" s="152" t="str">
        <x:f>IF(OR(J498="",K498=""),"",ROUNDUP(J498/K498,0))</x:f>
      </x:c>
      <x:c r="M498" s="151" t="str"/>
      <x:c r="N498" s="137" t="str"/>
      <x:c r="O498" s="137" t="str"/>
      <x:c r="P498" s="137" t="str"/>
      <x:c r="Q498" s="137" t="str"/>
      <x:c r="R498" s="137" t="str"/>
      <x:c r="S498" s="137" t="str"/>
      <x:c r="T498" s="137" t="str"/>
      <x:c r="U498" s="137" t="str"/>
      <x:c r="V498" s="137" t="str"/>
      <x:c r="W498" s="137" t="str"/>
      <x:c r="X498" s="199" t="str"/>
    </x:row>
    <x:row r="499">
      <x:c r="A499" s="137" t="str"/>
      <x:c r="B499" s="138" t="str"/>
      <x:c r="C499" s="138" t="str"/>
      <x:c r="D499" s="137" t="str"/>
      <x:c r="E499" s="137" t="str"/>
      <x:c r="F499" s="137" t="str"/>
      <x:c r="G499" s="137" t="str"/>
      <x:c r="H499" s="137" t="str"/>
      <x:c r="I499" s="137" t="str"/>
      <x:c r="J499" s="151" t="str"/>
      <x:c r="K499" s="151" t="str"/>
      <x:c r="L499" s="152" t="str">
        <x:f>IF(OR(J499="",K499=""),"",ROUNDUP(J499/K499,0))</x:f>
      </x:c>
      <x:c r="M499" s="151" t="str"/>
      <x:c r="N499" s="137" t="str"/>
      <x:c r="O499" s="137" t="str"/>
      <x:c r="P499" s="137" t="str"/>
      <x:c r="Q499" s="137" t="str"/>
      <x:c r="R499" s="137" t="str"/>
      <x:c r="S499" s="137" t="str"/>
      <x:c r="T499" s="137" t="str"/>
      <x:c r="U499" s="137" t="str"/>
      <x:c r="V499" s="137" t="str"/>
      <x:c r="W499" s="137" t="str"/>
      <x:c r="X499" s="199" t="str"/>
    </x:row>
    <x:row r="500">
      <x:c r="A500" s="137" t="str"/>
      <x:c r="B500" s="138" t="str"/>
      <x:c r="C500" s="138" t="str"/>
      <x:c r="D500" s="137" t="str"/>
      <x:c r="E500" s="137" t="str"/>
      <x:c r="F500" s="137" t="str"/>
      <x:c r="G500" s="137" t="str"/>
      <x:c r="H500" s="137" t="str"/>
      <x:c r="I500" s="137" t="str"/>
      <x:c r="J500" s="151" t="str"/>
      <x:c r="K500" s="151" t="str"/>
      <x:c r="L500" s="152" t="str">
        <x:f>IF(OR(J500="",K500=""),"",ROUNDUP(J500/K500,0))</x:f>
      </x:c>
      <x:c r="M500" s="151" t="str"/>
      <x:c r="N500" s="137" t="str"/>
      <x:c r="O500" s="137" t="str"/>
      <x:c r="P500" s="137" t="str"/>
      <x:c r="Q500" s="137" t="str"/>
      <x:c r="R500" s="137" t="str"/>
      <x:c r="S500" s="137" t="str"/>
      <x:c r="T500" s="137" t="str"/>
      <x:c r="U500" s="137" t="str"/>
      <x:c r="V500" s="137" t="str"/>
      <x:c r="W500" s="137" t="str"/>
      <x:c r="X500" s="199" t="str"/>
    </x:row>
    <x:row r="501">
      <x:c r="A501" s="137" t="str"/>
      <x:c r="B501" s="138" t="str"/>
      <x:c r="C501" s="138" t="str"/>
      <x:c r="D501" s="137" t="str"/>
      <x:c r="E501" s="137" t="str"/>
      <x:c r="F501" s="137" t="str"/>
      <x:c r="G501" s="137" t="str"/>
      <x:c r="H501" s="137" t="str"/>
      <x:c r="I501" s="137" t="str"/>
      <x:c r="J501" s="151" t="str"/>
      <x:c r="K501" s="151" t="str"/>
      <x:c r="L501" s="152" t="str">
        <x:f>IF(OR(J501="",K501=""),"",ROUNDUP(J501/K501,0))</x:f>
      </x:c>
      <x:c r="M501" s="151" t="str"/>
      <x:c r="N501" s="137" t="str"/>
      <x:c r="O501" s="137" t="str"/>
      <x:c r="P501" s="137" t="str"/>
      <x:c r="Q501" s="137" t="str"/>
      <x:c r="R501" s="137" t="str"/>
      <x:c r="S501" s="137" t="str"/>
      <x:c r="T501" s="137" t="str"/>
      <x:c r="U501" s="137" t="str"/>
      <x:c r="V501" s="137" t="str"/>
      <x:c r="W501" s="137" t="str"/>
      <x:c r="X501" s="199" t="str"/>
    </x:row>
    <x:row r="502">
      <x:c r="A502" s="137" t="str"/>
      <x:c r="B502" s="138" t="str"/>
      <x:c r="C502" s="138" t="str"/>
      <x:c r="D502" s="137" t="str"/>
      <x:c r="E502" s="137" t="str"/>
      <x:c r="F502" s="137" t="str"/>
      <x:c r="G502" s="137" t="str"/>
      <x:c r="H502" s="137" t="str"/>
      <x:c r="I502" s="137" t="str"/>
      <x:c r="J502" s="151" t="str"/>
      <x:c r="K502" s="151" t="str"/>
      <x:c r="L502" s="152" t="str">
        <x:f>IF(OR(J502="",K502=""),"",ROUNDUP(J502/K502,0))</x:f>
      </x:c>
      <x:c r="M502" s="151" t="str"/>
      <x:c r="N502" s="137" t="str"/>
      <x:c r="O502" s="137" t="str"/>
      <x:c r="P502" s="137" t="str"/>
      <x:c r="Q502" s="137" t="str"/>
      <x:c r="R502" s="137" t="str"/>
      <x:c r="S502" s="137" t="str"/>
      <x:c r="T502" s="137" t="str"/>
      <x:c r="U502" s="137" t="str"/>
      <x:c r="V502" s="137" t="str"/>
      <x:c r="W502" s="137" t="str"/>
      <x:c r="X502" s="199" t="str"/>
    </x:row>
    <x:row r="503">
      <x:c r="A503" s="137" t="str"/>
      <x:c r="B503" s="138" t="str"/>
      <x:c r="C503" s="138" t="str"/>
      <x:c r="D503" s="137" t="str"/>
      <x:c r="E503" s="137" t="str"/>
      <x:c r="F503" s="137" t="str"/>
      <x:c r="G503" s="137" t="str"/>
      <x:c r="H503" s="137" t="str"/>
      <x:c r="I503" s="137" t="str"/>
      <x:c r="J503" s="151" t="str"/>
      <x:c r="K503" s="151" t="str"/>
      <x:c r="L503" s="152" t="str">
        <x:f>IF(OR(J503="",K503=""),"",ROUNDUP(J503/K503,0))</x:f>
      </x:c>
      <x:c r="M503" s="151" t="str"/>
      <x:c r="N503" s="137" t="str"/>
      <x:c r="O503" s="137" t="str"/>
      <x:c r="P503" s="137" t="str"/>
      <x:c r="Q503" s="137" t="str"/>
      <x:c r="R503" s="137" t="str"/>
      <x:c r="S503" s="137" t="str"/>
      <x:c r="T503" s="137" t="str"/>
      <x:c r="U503" s="137" t="str"/>
      <x:c r="V503" s="137" t="str"/>
      <x:c r="W503" s="137" t="str"/>
      <x:c r="X503" s="199" t="str"/>
    </x:row>
    <x:row r="504">
      <x:c r="A504" s="139" t="str"/>
      <x:c r="B504" s="145" t="str"/>
      <x:c r="C504" s="145" t="str"/>
      <x:c r="D504" s="139" t="str"/>
      <x:c r="E504" s="139" t="str"/>
      <x:c r="F504" s="139" t="str"/>
      <x:c r="G504" s="139" t="str"/>
      <x:c r="H504" s="139" t="str"/>
      <x:c r="I504" s="139" t="str"/>
      <x:c r="J504" s="155" t="str"/>
      <x:c r="K504" s="155" t="str"/>
      <x:c r="L504" s="156" t="str">
        <x:f>IF(OR(J504="",K504=""),"",ROUNDUP(J504/K504,0))</x:f>
      </x:c>
      <x:c r="M504" s="155" t="str"/>
      <x:c r="N504" s="139" t="str"/>
      <x:c r="O504" s="139" t="str"/>
      <x:c r="P504" s="139" t="str"/>
      <x:c r="Q504" s="139" t="str"/>
      <x:c r="R504" s="139" t="str"/>
      <x:c r="S504" s="139" t="str"/>
      <x:c r="T504" s="139" t="str"/>
      <x:c r="U504" s="139" t="str"/>
      <x:c r="V504" s="139" t="str"/>
      <x:c r="W504" s="139" t="str"/>
      <x:c r="X504" s="200" t="str"/>
    </x:row>
  </x:sheetData>
  <x:mergeCells>
    <x:mergeCell ref="A1:X1"/>
    <x:mergeCell ref="A2:X2"/>
    <x:mergeCell ref="A3:X3"/>
  </x:mergeCells>
  <x:dataValidations count="4">
    <x:dataValidation type="list" sqref="G5:G504">
      <x:formula1>'Lists - Do Not Edit'!$S$2:$S$17</x:formula1>
    </x:dataValidation>
    <x:dataValidation type="list" sqref="N5:N504">
      <x:formula1>"Packed Only,Partial Dispatch,Full Dispatch,Shortage Closure,Quality Hold"</x:formula1>
    </x:dataValidation>
    <x:dataValidation type="list" sqref="P5:P504">
      <x:formula1>"Yes,No"</x:formula1>
    </x:dataValidation>
    <x:dataValidation type="list" sqref="U5:U504">
      <x:formula1>"No,Yes,Released"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7a07471bca4ef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8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0" hidden="0" customWidth="1"/>
    <x:col min="11" max="11" width="42" hidden="0" customWidth="1"/>
    <x:col min="12" max="12" width="22" hidden="0" customWidth="1"/>
    <x:col min="13" max="13" width="22" hidden="0" customWidth="1"/>
    <x:col min="14" max="14" width="15" hidden="0" customWidth="1"/>
    <x:col min="15" max="15" width="18" hidden="0" customWidth="1"/>
    <x:col min="16" max="16" width="34" hidden="0" customWidth="1"/>
    <x:col min="17" max="17" width="34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34" hidden="0" customWidth="1"/>
  </x:cols>
  <x:sheetData>
    <x:row r="1" ht="30" customHeight="1">
      <x:c r="A1" s="140" t="str">
        <x:v>Order Pipeline Change Log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  <x:c r="U1" s="122"/>
      <x:c r="V1" s="122"/>
    </x:row>
    <x:row r="2" ht="34" customHeight="1">
      <x:c r="A2" s="123" t="str">
        <x:v>Use this event log for every stage movement, hold, release, quantity revision, priority change or revised delivery commitment.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  <x:c r="T3" s="124"/>
      <x:c r="U3" s="124"/>
      <x:c r="V3" s="124"/>
    </x:row>
    <x:row r="4" ht="34" customHeight="1">
      <x:c r="A4" s="141" t="str">
        <x:v>Change ID</x:v>
      </x:c>
      <x:c r="B4" s="142" t="str">
        <x:v>Change Timestamp</x:v>
      </x:c>
      <x:c r="C4" s="142" t="str">
        <x:v>PI No</x:v>
      </x:c>
      <x:c r="D4" s="142" t="str">
        <x:v>Order ID</x:v>
      </x:c>
      <x:c r="E4" s="142" t="str">
        <x:v>Article Code</x:v>
      </x:c>
      <x:c r="F4" s="142" t="str">
        <x:v>Quantity Affected</x:v>
      </x:c>
      <x:c r="G4" s="142" t="str">
        <x:v>From Stage</x:v>
      </x:c>
      <x:c r="H4" s="142" t="str">
        <x:v>To Stage</x:v>
      </x:c>
      <x:c r="I4" s="142" t="str">
        <x:v>Change Type</x:v>
      </x:c>
      <x:c r="J4" s="142" t="str">
        <x:v>Reason Code</x:v>
      </x:c>
      <x:c r="K4" s="142" t="str">
        <x:v>Detailed Reason</x:v>
      </x:c>
      <x:c r="L4" s="142" t="str">
        <x:v>Previous Completion Date</x:v>
      </x:c>
      <x:c r="M4" s="142" t="str">
        <x:v>Revised Completion Date</x:v>
      </x:c>
      <x:c r="N4" s="142" t="str">
        <x:v>Delay Days</x:v>
      </x:c>
      <x:c r="O4" s="142" t="str">
        <x:v>Customer Impact?</x:v>
      </x:c>
      <x:c r="P4" s="142" t="str">
        <x:v>Production Plan Impact</x:v>
      </x:c>
      <x:c r="Q4" s="142" t="str">
        <x:v>Dispatch Impact</x:v>
      </x:c>
      <x:c r="R4" s="142" t="str">
        <x:v>Approval Required?</x:v>
      </x:c>
      <x:c r="S4" s="142" t="str">
        <x:v>Approved By</x:v>
      </x:c>
      <x:c r="T4" s="142" t="str">
        <x:v>Updated By</x:v>
      </x:c>
      <x:c r="U4" s="142" t="str">
        <x:v>Resolution Status</x:v>
      </x:c>
      <x:c r="V4" s="143" t="str">
        <x:v>Resolution Note</x:v>
      </x:c>
    </x:row>
    <x:row r="5">
      <x:c r="A5" s="136" t="str"/>
      <x:c r="B5" s="198" t="str"/>
      <x:c r="C5" s="136" t="str"/>
      <x:c r="D5" s="136" t="str"/>
      <x:c r="E5" s="136" t="str"/>
      <x:c r="F5" s="136" t="str"/>
      <x:c r="G5" s="136" t="str"/>
      <x:c r="H5" s="136" t="str"/>
      <x:c r="I5" s="136" t="str"/>
      <x:c r="J5" s="136" t="str"/>
      <x:c r="K5" s="136" t="str"/>
      <x:c r="L5" s="144" t="str"/>
      <x:c r="M5" s="144" t="str"/>
      <x:c r="N5" s="195" t="str">
        <x:f>IF(OR(L5="",M5=""),"",M5-L5)</x:f>
      </x:c>
      <x:c r="O5" s="136" t="str"/>
      <x:c r="P5" s="136" t="str"/>
      <x:c r="Q5" s="136" t="str"/>
      <x:c r="R5" s="136" t="str"/>
      <x:c r="S5" s="136" t="str"/>
      <x:c r="T5" s="136" t="str"/>
      <x:c r="U5" s="136" t="str"/>
      <x:c r="V5" s="136" t="str"/>
    </x:row>
    <x:row r="6">
      <x:c r="A6" s="137" t="str"/>
      <x:c r="B6" s="199" t="str"/>
      <x:c r="C6" s="137" t="str"/>
      <x:c r="D6" s="137" t="str"/>
      <x:c r="E6" s="137" t="str"/>
      <x:c r="F6" s="137" t="str"/>
      <x:c r="G6" s="137" t="str"/>
      <x:c r="H6" s="137" t="str"/>
      <x:c r="I6" s="137" t="str"/>
      <x:c r="J6" s="137" t="str"/>
      <x:c r="K6" s="137" t="str"/>
      <x:c r="L6" s="138" t="str"/>
      <x:c r="M6" s="138" t="str"/>
      <x:c r="N6" s="196" t="str">
        <x:f>IF(OR(L6="",M6=""),"",M6-L6)</x:f>
      </x:c>
      <x:c r="O6" s="137" t="str"/>
      <x:c r="P6" s="137" t="str"/>
      <x:c r="Q6" s="137" t="str"/>
      <x:c r="R6" s="137" t="str"/>
      <x:c r="S6" s="137" t="str"/>
      <x:c r="T6" s="137" t="str"/>
      <x:c r="U6" s="137" t="str"/>
      <x:c r="V6" s="137" t="str"/>
    </x:row>
    <x:row r="7">
      <x:c r="A7" s="137" t="str"/>
      <x:c r="B7" s="199" t="str"/>
      <x:c r="C7" s="137" t="str"/>
      <x:c r="D7" s="137" t="str"/>
      <x:c r="E7" s="137" t="str"/>
      <x:c r="F7" s="137" t="str"/>
      <x:c r="G7" s="137" t="str"/>
      <x:c r="H7" s="137" t="str"/>
      <x:c r="I7" s="137" t="str"/>
      <x:c r="J7" s="137" t="str"/>
      <x:c r="K7" s="137" t="str"/>
      <x:c r="L7" s="138" t="str"/>
      <x:c r="M7" s="138" t="str"/>
      <x:c r="N7" s="196" t="str">
        <x:f>IF(OR(L7="",M7=""),"",M7-L7)</x:f>
      </x:c>
      <x:c r="O7" s="137" t="str"/>
      <x:c r="P7" s="137" t="str"/>
      <x:c r="Q7" s="137" t="str"/>
      <x:c r="R7" s="137" t="str"/>
      <x:c r="S7" s="137" t="str"/>
      <x:c r="T7" s="137" t="str"/>
      <x:c r="U7" s="137" t="str"/>
      <x:c r="V7" s="137" t="str"/>
    </x:row>
    <x:row r="8">
      <x:c r="A8" s="137" t="str"/>
      <x:c r="B8" s="199" t="str"/>
      <x:c r="C8" s="137" t="str"/>
      <x:c r="D8" s="137" t="str"/>
      <x:c r="E8" s="137" t="str"/>
      <x:c r="F8" s="137" t="str"/>
      <x:c r="G8" s="137" t="str"/>
      <x:c r="H8" s="137" t="str"/>
      <x:c r="I8" s="137" t="str"/>
      <x:c r="J8" s="137" t="str"/>
      <x:c r="K8" s="137" t="str"/>
      <x:c r="L8" s="138" t="str"/>
      <x:c r="M8" s="138" t="str"/>
      <x:c r="N8" s="196" t="str">
        <x:f>IF(OR(L8="",M8=""),"",M8-L8)</x:f>
      </x:c>
      <x:c r="O8" s="137" t="str"/>
      <x:c r="P8" s="137" t="str"/>
      <x:c r="Q8" s="137" t="str"/>
      <x:c r="R8" s="137" t="str"/>
      <x:c r="S8" s="137" t="str"/>
      <x:c r="T8" s="137" t="str"/>
      <x:c r="U8" s="137" t="str"/>
      <x:c r="V8" s="137" t="str"/>
    </x:row>
    <x:row r="9">
      <x:c r="A9" s="137" t="str"/>
      <x:c r="B9" s="199" t="str"/>
      <x:c r="C9" s="137" t="str"/>
      <x:c r="D9" s="137" t="str"/>
      <x:c r="E9" s="137" t="str"/>
      <x:c r="F9" s="137" t="str"/>
      <x:c r="G9" s="137" t="str"/>
      <x:c r="H9" s="137" t="str"/>
      <x:c r="I9" s="137" t="str"/>
      <x:c r="J9" s="137" t="str"/>
      <x:c r="K9" s="137" t="str"/>
      <x:c r="L9" s="138" t="str"/>
      <x:c r="M9" s="138" t="str"/>
      <x:c r="N9" s="196" t="str">
        <x:f>IF(OR(L9="",M9=""),"",M9-L9)</x:f>
      </x:c>
      <x:c r="O9" s="137" t="str"/>
      <x:c r="P9" s="137" t="str"/>
      <x:c r="Q9" s="137" t="str"/>
      <x:c r="R9" s="137" t="str"/>
      <x:c r="S9" s="137" t="str"/>
      <x:c r="T9" s="137" t="str"/>
      <x:c r="U9" s="137" t="str"/>
      <x:c r="V9" s="137" t="str"/>
    </x:row>
    <x:row r="10">
      <x:c r="A10" s="137" t="str"/>
      <x:c r="B10" s="199" t="str"/>
      <x:c r="C10" s="137" t="str"/>
      <x:c r="D10" s="137" t="str"/>
      <x:c r="E10" s="137" t="str"/>
      <x:c r="F10" s="137" t="str"/>
      <x:c r="G10" s="137" t="str"/>
      <x:c r="H10" s="137" t="str"/>
      <x:c r="I10" s="137" t="str"/>
      <x:c r="J10" s="137" t="str"/>
      <x:c r="K10" s="137" t="str"/>
      <x:c r="L10" s="138" t="str"/>
      <x:c r="M10" s="138" t="str"/>
      <x:c r="N10" s="196" t="str">
        <x:f>IF(OR(L10="",M10=""),"",M10-L10)</x:f>
      </x:c>
      <x:c r="O10" s="137" t="str"/>
      <x:c r="P10" s="137" t="str"/>
      <x:c r="Q10" s="137" t="str"/>
      <x:c r="R10" s="137" t="str"/>
      <x:c r="S10" s="137" t="str"/>
      <x:c r="T10" s="137" t="str"/>
      <x:c r="U10" s="137" t="str"/>
      <x:c r="V10" s="137" t="str"/>
    </x:row>
    <x:row r="11">
      <x:c r="A11" s="137" t="str"/>
      <x:c r="B11" s="199" t="str"/>
      <x:c r="C11" s="137" t="str"/>
      <x:c r="D11" s="137" t="str"/>
      <x:c r="E11" s="137" t="str"/>
      <x:c r="F11" s="137" t="str"/>
      <x:c r="G11" s="137" t="str"/>
      <x:c r="H11" s="137" t="str"/>
      <x:c r="I11" s="137" t="str"/>
      <x:c r="J11" s="137" t="str"/>
      <x:c r="K11" s="137" t="str"/>
      <x:c r="L11" s="138" t="str"/>
      <x:c r="M11" s="138" t="str"/>
      <x:c r="N11" s="196" t="str">
        <x:f>IF(OR(L11="",M11=""),"",M11-L11)</x:f>
      </x:c>
      <x:c r="O11" s="137" t="str"/>
      <x:c r="P11" s="137" t="str"/>
      <x:c r="Q11" s="137" t="str"/>
      <x:c r="R11" s="137" t="str"/>
      <x:c r="S11" s="137" t="str"/>
      <x:c r="T11" s="137" t="str"/>
      <x:c r="U11" s="137" t="str"/>
      <x:c r="V11" s="137" t="str"/>
    </x:row>
    <x:row r="12">
      <x:c r="A12" s="137" t="str"/>
      <x:c r="B12" s="199" t="str"/>
      <x:c r="C12" s="137" t="str"/>
      <x:c r="D12" s="137" t="str"/>
      <x:c r="E12" s="137" t="str"/>
      <x:c r="F12" s="137" t="str"/>
      <x:c r="G12" s="137" t="str"/>
      <x:c r="H12" s="137" t="str"/>
      <x:c r="I12" s="137" t="str"/>
      <x:c r="J12" s="137" t="str"/>
      <x:c r="K12" s="137" t="str"/>
      <x:c r="L12" s="138" t="str"/>
      <x:c r="M12" s="138" t="str"/>
      <x:c r="N12" s="196" t="str">
        <x:f>IF(OR(L12="",M12=""),"",M12-L12)</x:f>
      </x:c>
      <x:c r="O12" s="137" t="str"/>
      <x:c r="P12" s="137" t="str"/>
      <x:c r="Q12" s="137" t="str"/>
      <x:c r="R12" s="137" t="str"/>
      <x:c r="S12" s="137" t="str"/>
      <x:c r="T12" s="137" t="str"/>
      <x:c r="U12" s="137" t="str"/>
      <x:c r="V12" s="137" t="str"/>
    </x:row>
    <x:row r="13">
      <x:c r="A13" s="137" t="str"/>
      <x:c r="B13" s="199" t="str"/>
      <x:c r="C13" s="137" t="str"/>
      <x:c r="D13" s="137" t="str"/>
      <x:c r="E13" s="137" t="str"/>
      <x:c r="F13" s="137" t="str"/>
      <x:c r="G13" s="137" t="str"/>
      <x:c r="H13" s="137" t="str"/>
      <x:c r="I13" s="137" t="str"/>
      <x:c r="J13" s="137" t="str"/>
      <x:c r="K13" s="137" t="str"/>
      <x:c r="L13" s="138" t="str"/>
      <x:c r="M13" s="138" t="str"/>
      <x:c r="N13" s="196" t="str">
        <x:f>IF(OR(L13="",M13=""),"",M13-L13)</x:f>
      </x:c>
      <x:c r="O13" s="137" t="str"/>
      <x:c r="P13" s="137" t="str"/>
      <x:c r="Q13" s="137" t="str"/>
      <x:c r="R13" s="137" t="str"/>
      <x:c r="S13" s="137" t="str"/>
      <x:c r="T13" s="137" t="str"/>
      <x:c r="U13" s="137" t="str"/>
      <x:c r="V13" s="137" t="str"/>
    </x:row>
    <x:row r="14">
      <x:c r="A14" s="137" t="str"/>
      <x:c r="B14" s="199" t="str"/>
      <x:c r="C14" s="137" t="str"/>
      <x:c r="D14" s="137" t="str"/>
      <x:c r="E14" s="137" t="str"/>
      <x:c r="F14" s="137" t="str"/>
      <x:c r="G14" s="137" t="str"/>
      <x:c r="H14" s="137" t="str"/>
      <x:c r="I14" s="137" t="str"/>
      <x:c r="J14" s="137" t="str"/>
      <x:c r="K14" s="137" t="str"/>
      <x:c r="L14" s="138" t="str"/>
      <x:c r="M14" s="138" t="str"/>
      <x:c r="N14" s="196" t="str">
        <x:f>IF(OR(L14="",M14=""),"",M14-L14)</x:f>
      </x:c>
      <x:c r="O14" s="137" t="str"/>
      <x:c r="P14" s="137" t="str"/>
      <x:c r="Q14" s="137" t="str"/>
      <x:c r="R14" s="137" t="str"/>
      <x:c r="S14" s="137" t="str"/>
      <x:c r="T14" s="137" t="str"/>
      <x:c r="U14" s="137" t="str"/>
      <x:c r="V14" s="137" t="str"/>
    </x:row>
    <x:row r="15">
      <x:c r="A15" s="137" t="str"/>
      <x:c r="B15" s="199" t="str"/>
      <x:c r="C15" s="137" t="str"/>
      <x:c r="D15" s="137" t="str"/>
      <x:c r="E15" s="137" t="str"/>
      <x:c r="F15" s="137" t="str"/>
      <x:c r="G15" s="137" t="str"/>
      <x:c r="H15" s="137" t="str"/>
      <x:c r="I15" s="137" t="str"/>
      <x:c r="J15" s="137" t="str"/>
      <x:c r="K15" s="137" t="str"/>
      <x:c r="L15" s="138" t="str"/>
      <x:c r="M15" s="138" t="str"/>
      <x:c r="N15" s="196" t="str">
        <x:f>IF(OR(L15="",M15=""),"",M15-L15)</x:f>
      </x:c>
      <x:c r="O15" s="137" t="str"/>
      <x:c r="P15" s="137" t="str"/>
      <x:c r="Q15" s="137" t="str"/>
      <x:c r="R15" s="137" t="str"/>
      <x:c r="S15" s="137" t="str"/>
      <x:c r="T15" s="137" t="str"/>
      <x:c r="U15" s="137" t="str"/>
      <x:c r="V15" s="137" t="str"/>
    </x:row>
    <x:row r="16">
      <x:c r="A16" s="137" t="str"/>
      <x:c r="B16" s="199" t="str"/>
      <x:c r="C16" s="137" t="str"/>
      <x:c r="D16" s="137" t="str"/>
      <x:c r="E16" s="137" t="str"/>
      <x:c r="F16" s="137" t="str"/>
      <x:c r="G16" s="137" t="str"/>
      <x:c r="H16" s="137" t="str"/>
      <x:c r="I16" s="137" t="str"/>
      <x:c r="J16" s="137" t="str"/>
      <x:c r="K16" s="137" t="str"/>
      <x:c r="L16" s="138" t="str"/>
      <x:c r="M16" s="138" t="str"/>
      <x:c r="N16" s="196" t="str">
        <x:f>IF(OR(L16="",M16=""),"",M16-L16)</x:f>
      </x:c>
      <x:c r="O16" s="137" t="str"/>
      <x:c r="P16" s="137" t="str"/>
      <x:c r="Q16" s="137" t="str"/>
      <x:c r="R16" s="137" t="str"/>
      <x:c r="S16" s="137" t="str"/>
      <x:c r="T16" s="137" t="str"/>
      <x:c r="U16" s="137" t="str"/>
      <x:c r="V16" s="137" t="str"/>
    </x:row>
    <x:row r="17">
      <x:c r="A17" s="137" t="str"/>
      <x:c r="B17" s="199" t="str"/>
      <x:c r="C17" s="137" t="str"/>
      <x:c r="D17" s="137" t="str"/>
      <x:c r="E17" s="137" t="str"/>
      <x:c r="F17" s="137" t="str"/>
      <x:c r="G17" s="137" t="str"/>
      <x:c r="H17" s="137" t="str"/>
      <x:c r="I17" s="137" t="str"/>
      <x:c r="J17" s="137" t="str"/>
      <x:c r="K17" s="137" t="str"/>
      <x:c r="L17" s="138" t="str"/>
      <x:c r="M17" s="138" t="str"/>
      <x:c r="N17" s="196" t="str">
        <x:f>IF(OR(L17="",M17=""),"",M17-L17)</x:f>
      </x:c>
      <x:c r="O17" s="137" t="str"/>
      <x:c r="P17" s="137" t="str"/>
      <x:c r="Q17" s="137" t="str"/>
      <x:c r="R17" s="137" t="str"/>
      <x:c r="S17" s="137" t="str"/>
      <x:c r="T17" s="137" t="str"/>
      <x:c r="U17" s="137" t="str"/>
      <x:c r="V17" s="137" t="str"/>
    </x:row>
    <x:row r="18">
      <x:c r="A18" s="137" t="str"/>
      <x:c r="B18" s="199" t="str"/>
      <x:c r="C18" s="137" t="str"/>
      <x:c r="D18" s="137" t="str"/>
      <x:c r="E18" s="137" t="str"/>
      <x:c r="F18" s="137" t="str"/>
      <x:c r="G18" s="137" t="str"/>
      <x:c r="H18" s="137" t="str"/>
      <x:c r="I18" s="137" t="str"/>
      <x:c r="J18" s="137" t="str"/>
      <x:c r="K18" s="137" t="str"/>
      <x:c r="L18" s="138" t="str"/>
      <x:c r="M18" s="138" t="str"/>
      <x:c r="N18" s="196" t="str">
        <x:f>IF(OR(L18="",M18=""),"",M18-L18)</x:f>
      </x:c>
      <x:c r="O18" s="137" t="str"/>
      <x:c r="P18" s="137" t="str"/>
      <x:c r="Q18" s="137" t="str"/>
      <x:c r="R18" s="137" t="str"/>
      <x:c r="S18" s="137" t="str"/>
      <x:c r="T18" s="137" t="str"/>
      <x:c r="U18" s="137" t="str"/>
      <x:c r="V18" s="137" t="str"/>
    </x:row>
    <x:row r="19">
      <x:c r="A19" s="137" t="str"/>
      <x:c r="B19" s="199" t="str"/>
      <x:c r="C19" s="137" t="str"/>
      <x:c r="D19" s="137" t="str"/>
      <x:c r="E19" s="137" t="str"/>
      <x:c r="F19" s="137" t="str"/>
      <x:c r="G19" s="137" t="str"/>
      <x:c r="H19" s="137" t="str"/>
      <x:c r="I19" s="137" t="str"/>
      <x:c r="J19" s="137" t="str"/>
      <x:c r="K19" s="137" t="str"/>
      <x:c r="L19" s="138" t="str"/>
      <x:c r="M19" s="138" t="str"/>
      <x:c r="N19" s="196" t="str">
        <x:f>IF(OR(L19="",M19=""),"",M19-L19)</x:f>
      </x:c>
      <x:c r="O19" s="137" t="str"/>
      <x:c r="P19" s="137" t="str"/>
      <x:c r="Q19" s="137" t="str"/>
      <x:c r="R19" s="137" t="str"/>
      <x:c r="S19" s="137" t="str"/>
      <x:c r="T19" s="137" t="str"/>
      <x:c r="U19" s="137" t="str"/>
      <x:c r="V19" s="137" t="str"/>
    </x:row>
    <x:row r="20">
      <x:c r="A20" s="137" t="str"/>
      <x:c r="B20" s="199" t="str"/>
      <x:c r="C20" s="137" t="str"/>
      <x:c r="D20" s="137" t="str"/>
      <x:c r="E20" s="137" t="str"/>
      <x:c r="F20" s="137" t="str"/>
      <x:c r="G20" s="137" t="str"/>
      <x:c r="H20" s="137" t="str"/>
      <x:c r="I20" s="137" t="str"/>
      <x:c r="J20" s="137" t="str"/>
      <x:c r="K20" s="137" t="str"/>
      <x:c r="L20" s="138" t="str"/>
      <x:c r="M20" s="138" t="str"/>
      <x:c r="N20" s="196" t="str">
        <x:f>IF(OR(L20="",M20=""),"",M20-L20)</x:f>
      </x:c>
      <x:c r="O20" s="137" t="str"/>
      <x:c r="P20" s="137" t="str"/>
      <x:c r="Q20" s="137" t="str"/>
      <x:c r="R20" s="137" t="str"/>
      <x:c r="S20" s="137" t="str"/>
      <x:c r="T20" s="137" t="str"/>
      <x:c r="U20" s="137" t="str"/>
      <x:c r="V20" s="137" t="str"/>
    </x:row>
    <x:row r="21">
      <x:c r="A21" s="137" t="str"/>
      <x:c r="B21" s="199" t="str"/>
      <x:c r="C21" s="137" t="str"/>
      <x:c r="D21" s="137" t="str"/>
      <x:c r="E21" s="137" t="str"/>
      <x:c r="F21" s="137" t="str"/>
      <x:c r="G21" s="137" t="str"/>
      <x:c r="H21" s="137" t="str"/>
      <x:c r="I21" s="137" t="str"/>
      <x:c r="J21" s="137" t="str"/>
      <x:c r="K21" s="137" t="str"/>
      <x:c r="L21" s="138" t="str"/>
      <x:c r="M21" s="138" t="str"/>
      <x:c r="N21" s="196" t="str">
        <x:f>IF(OR(L21="",M21=""),"",M21-L21)</x:f>
      </x:c>
      <x:c r="O21" s="137" t="str"/>
      <x:c r="P21" s="137" t="str"/>
      <x:c r="Q21" s="137" t="str"/>
      <x:c r="R21" s="137" t="str"/>
      <x:c r="S21" s="137" t="str"/>
      <x:c r="T21" s="137" t="str"/>
      <x:c r="U21" s="137" t="str"/>
      <x:c r="V21" s="137" t="str"/>
    </x:row>
    <x:row r="22">
      <x:c r="A22" s="137" t="str"/>
      <x:c r="B22" s="199" t="str"/>
      <x:c r="C22" s="137" t="str"/>
      <x:c r="D22" s="137" t="str"/>
      <x:c r="E22" s="137" t="str"/>
      <x:c r="F22" s="137" t="str"/>
      <x:c r="G22" s="137" t="str"/>
      <x:c r="H22" s="137" t="str"/>
      <x:c r="I22" s="137" t="str"/>
      <x:c r="J22" s="137" t="str"/>
      <x:c r="K22" s="137" t="str"/>
      <x:c r="L22" s="138" t="str"/>
      <x:c r="M22" s="138" t="str"/>
      <x:c r="N22" s="196" t="str">
        <x:f>IF(OR(L22="",M22=""),"",M22-L22)</x:f>
      </x:c>
      <x:c r="O22" s="137" t="str"/>
      <x:c r="P22" s="137" t="str"/>
      <x:c r="Q22" s="137" t="str"/>
      <x:c r="R22" s="137" t="str"/>
      <x:c r="S22" s="137" t="str"/>
      <x:c r="T22" s="137" t="str"/>
      <x:c r="U22" s="137" t="str"/>
      <x:c r="V22" s="137" t="str"/>
    </x:row>
    <x:row r="23">
      <x:c r="A23" s="137" t="str"/>
      <x:c r="B23" s="199" t="str"/>
      <x:c r="C23" s="137" t="str"/>
      <x:c r="D23" s="137" t="str"/>
      <x:c r="E23" s="137" t="str"/>
      <x:c r="F23" s="137" t="str"/>
      <x:c r="G23" s="137" t="str"/>
      <x:c r="H23" s="137" t="str"/>
      <x:c r="I23" s="137" t="str"/>
      <x:c r="J23" s="137" t="str"/>
      <x:c r="K23" s="137" t="str"/>
      <x:c r="L23" s="138" t="str"/>
      <x:c r="M23" s="138" t="str"/>
      <x:c r="N23" s="196" t="str">
        <x:f>IF(OR(L23="",M23=""),"",M23-L23)</x:f>
      </x:c>
      <x:c r="O23" s="137" t="str"/>
      <x:c r="P23" s="137" t="str"/>
      <x:c r="Q23" s="137" t="str"/>
      <x:c r="R23" s="137" t="str"/>
      <x:c r="S23" s="137" t="str"/>
      <x:c r="T23" s="137" t="str"/>
      <x:c r="U23" s="137" t="str"/>
      <x:c r="V23" s="137" t="str"/>
    </x:row>
    <x:row r="24">
      <x:c r="A24" s="137" t="str"/>
      <x:c r="B24" s="199" t="str"/>
      <x:c r="C24" s="137" t="str"/>
      <x:c r="D24" s="137" t="str"/>
      <x:c r="E24" s="137" t="str"/>
      <x:c r="F24" s="137" t="str"/>
      <x:c r="G24" s="137" t="str"/>
      <x:c r="H24" s="137" t="str"/>
      <x:c r="I24" s="137" t="str"/>
      <x:c r="J24" s="137" t="str"/>
      <x:c r="K24" s="137" t="str"/>
      <x:c r="L24" s="138" t="str"/>
      <x:c r="M24" s="138" t="str"/>
      <x:c r="N24" s="196" t="str">
        <x:f>IF(OR(L24="",M24=""),"",M24-L24)</x:f>
      </x:c>
      <x:c r="O24" s="137" t="str"/>
      <x:c r="P24" s="137" t="str"/>
      <x:c r="Q24" s="137" t="str"/>
      <x:c r="R24" s="137" t="str"/>
      <x:c r="S24" s="137" t="str"/>
      <x:c r="T24" s="137" t="str"/>
      <x:c r="U24" s="137" t="str"/>
      <x:c r="V24" s="137" t="str"/>
    </x:row>
    <x:row r="25">
      <x:c r="A25" s="137" t="str"/>
      <x:c r="B25" s="199" t="str"/>
      <x:c r="C25" s="137" t="str"/>
      <x:c r="D25" s="137" t="str"/>
      <x:c r="E25" s="137" t="str"/>
      <x:c r="F25" s="137" t="str"/>
      <x:c r="G25" s="137" t="str"/>
      <x:c r="H25" s="137" t="str"/>
      <x:c r="I25" s="137" t="str"/>
      <x:c r="J25" s="137" t="str"/>
      <x:c r="K25" s="137" t="str"/>
      <x:c r="L25" s="138" t="str"/>
      <x:c r="M25" s="138" t="str"/>
      <x:c r="N25" s="196" t="str">
        <x:f>IF(OR(L25="",M25=""),"",M25-L25)</x:f>
      </x:c>
      <x:c r="O25" s="137" t="str"/>
      <x:c r="P25" s="137" t="str"/>
      <x:c r="Q25" s="137" t="str"/>
      <x:c r="R25" s="137" t="str"/>
      <x:c r="S25" s="137" t="str"/>
      <x:c r="T25" s="137" t="str"/>
      <x:c r="U25" s="137" t="str"/>
      <x:c r="V25" s="137" t="str"/>
    </x:row>
    <x:row r="26">
      <x:c r="A26" s="137" t="str"/>
      <x:c r="B26" s="199" t="str"/>
      <x:c r="C26" s="137" t="str"/>
      <x:c r="D26" s="137" t="str"/>
      <x:c r="E26" s="137" t="str"/>
      <x:c r="F26" s="137" t="str"/>
      <x:c r="G26" s="137" t="str"/>
      <x:c r="H26" s="137" t="str"/>
      <x:c r="I26" s="137" t="str"/>
      <x:c r="J26" s="137" t="str"/>
      <x:c r="K26" s="137" t="str"/>
      <x:c r="L26" s="138" t="str"/>
      <x:c r="M26" s="138" t="str"/>
      <x:c r="N26" s="196" t="str">
        <x:f>IF(OR(L26="",M26=""),"",M26-L26)</x:f>
      </x:c>
      <x:c r="O26" s="137" t="str"/>
      <x:c r="P26" s="137" t="str"/>
      <x:c r="Q26" s="137" t="str"/>
      <x:c r="R26" s="137" t="str"/>
      <x:c r="S26" s="137" t="str"/>
      <x:c r="T26" s="137" t="str"/>
      <x:c r="U26" s="137" t="str"/>
      <x:c r="V26" s="137" t="str"/>
    </x:row>
    <x:row r="27">
      <x:c r="A27" s="137" t="str"/>
      <x:c r="B27" s="199" t="str"/>
      <x:c r="C27" s="137" t="str"/>
      <x:c r="D27" s="137" t="str"/>
      <x:c r="E27" s="137" t="str"/>
      <x:c r="F27" s="137" t="str"/>
      <x:c r="G27" s="137" t="str"/>
      <x:c r="H27" s="137" t="str"/>
      <x:c r="I27" s="137" t="str"/>
      <x:c r="J27" s="137" t="str"/>
      <x:c r="K27" s="137" t="str"/>
      <x:c r="L27" s="138" t="str"/>
      <x:c r="M27" s="138" t="str"/>
      <x:c r="N27" s="196" t="str">
        <x:f>IF(OR(L27="",M27=""),"",M27-L27)</x:f>
      </x:c>
      <x:c r="O27" s="137" t="str"/>
      <x:c r="P27" s="137" t="str"/>
      <x:c r="Q27" s="137" t="str"/>
      <x:c r="R27" s="137" t="str"/>
      <x:c r="S27" s="137" t="str"/>
      <x:c r="T27" s="137" t="str"/>
      <x:c r="U27" s="137" t="str"/>
      <x:c r="V27" s="137" t="str"/>
    </x:row>
    <x:row r="28">
      <x:c r="A28" s="137" t="str"/>
      <x:c r="B28" s="199" t="str"/>
      <x:c r="C28" s="137" t="str"/>
      <x:c r="D28" s="137" t="str"/>
      <x:c r="E28" s="137" t="str"/>
      <x:c r="F28" s="137" t="str"/>
      <x:c r="G28" s="137" t="str"/>
      <x:c r="H28" s="137" t="str"/>
      <x:c r="I28" s="137" t="str"/>
      <x:c r="J28" s="137" t="str"/>
      <x:c r="K28" s="137" t="str"/>
      <x:c r="L28" s="138" t="str"/>
      <x:c r="M28" s="138" t="str"/>
      <x:c r="N28" s="196" t="str">
        <x:f>IF(OR(L28="",M28=""),"",M28-L28)</x:f>
      </x:c>
      <x:c r="O28" s="137" t="str"/>
      <x:c r="P28" s="137" t="str"/>
      <x:c r="Q28" s="137" t="str"/>
      <x:c r="R28" s="137" t="str"/>
      <x:c r="S28" s="137" t="str"/>
      <x:c r="T28" s="137" t="str"/>
      <x:c r="U28" s="137" t="str"/>
      <x:c r="V28" s="137" t="str"/>
    </x:row>
    <x:row r="29">
      <x:c r="A29" s="137" t="str"/>
      <x:c r="B29" s="199" t="str"/>
      <x:c r="C29" s="137" t="str"/>
      <x:c r="D29" s="137" t="str"/>
      <x:c r="E29" s="137" t="str"/>
      <x:c r="F29" s="137" t="str"/>
      <x:c r="G29" s="137" t="str"/>
      <x:c r="H29" s="137" t="str"/>
      <x:c r="I29" s="137" t="str"/>
      <x:c r="J29" s="137" t="str"/>
      <x:c r="K29" s="137" t="str"/>
      <x:c r="L29" s="138" t="str"/>
      <x:c r="M29" s="138" t="str"/>
      <x:c r="N29" s="196" t="str">
        <x:f>IF(OR(L29="",M29=""),"",M29-L29)</x:f>
      </x:c>
      <x:c r="O29" s="137" t="str"/>
      <x:c r="P29" s="137" t="str"/>
      <x:c r="Q29" s="137" t="str"/>
      <x:c r="R29" s="137" t="str"/>
      <x:c r="S29" s="137" t="str"/>
      <x:c r="T29" s="137" t="str"/>
      <x:c r="U29" s="137" t="str"/>
      <x:c r="V29" s="137" t="str"/>
    </x:row>
    <x:row r="30">
      <x:c r="A30" s="137" t="str"/>
      <x:c r="B30" s="199" t="str"/>
      <x:c r="C30" s="137" t="str"/>
      <x:c r="D30" s="137" t="str"/>
      <x:c r="E30" s="137" t="str"/>
      <x:c r="F30" s="137" t="str"/>
      <x:c r="G30" s="137" t="str"/>
      <x:c r="H30" s="137" t="str"/>
      <x:c r="I30" s="137" t="str"/>
      <x:c r="J30" s="137" t="str"/>
      <x:c r="K30" s="137" t="str"/>
      <x:c r="L30" s="138" t="str"/>
      <x:c r="M30" s="138" t="str"/>
      <x:c r="N30" s="196" t="str">
        <x:f>IF(OR(L30="",M30=""),"",M30-L30)</x:f>
      </x:c>
      <x:c r="O30" s="137" t="str"/>
      <x:c r="P30" s="137" t="str"/>
      <x:c r="Q30" s="137" t="str"/>
      <x:c r="R30" s="137" t="str"/>
      <x:c r="S30" s="137" t="str"/>
      <x:c r="T30" s="137" t="str"/>
      <x:c r="U30" s="137" t="str"/>
      <x:c r="V30" s="137" t="str"/>
    </x:row>
    <x:row r="31">
      <x:c r="A31" s="137" t="str"/>
      <x:c r="B31" s="199" t="str"/>
      <x:c r="C31" s="137" t="str"/>
      <x:c r="D31" s="137" t="str"/>
      <x:c r="E31" s="137" t="str"/>
      <x:c r="F31" s="137" t="str"/>
      <x:c r="G31" s="137" t="str"/>
      <x:c r="H31" s="137" t="str"/>
      <x:c r="I31" s="137" t="str"/>
      <x:c r="J31" s="137" t="str"/>
      <x:c r="K31" s="137" t="str"/>
      <x:c r="L31" s="138" t="str"/>
      <x:c r="M31" s="138" t="str"/>
      <x:c r="N31" s="196" t="str">
        <x:f>IF(OR(L31="",M31=""),"",M31-L31)</x:f>
      </x:c>
      <x:c r="O31" s="137" t="str"/>
      <x:c r="P31" s="137" t="str"/>
      <x:c r="Q31" s="137" t="str"/>
      <x:c r="R31" s="137" t="str"/>
      <x:c r="S31" s="137" t="str"/>
      <x:c r="T31" s="137" t="str"/>
      <x:c r="U31" s="137" t="str"/>
      <x:c r="V31" s="137" t="str"/>
    </x:row>
    <x:row r="32">
      <x:c r="A32" s="137" t="str"/>
      <x:c r="B32" s="199" t="str"/>
      <x:c r="C32" s="137" t="str"/>
      <x:c r="D32" s="137" t="str"/>
      <x:c r="E32" s="137" t="str"/>
      <x:c r="F32" s="137" t="str"/>
      <x:c r="G32" s="137" t="str"/>
      <x:c r="H32" s="137" t="str"/>
      <x:c r="I32" s="137" t="str"/>
      <x:c r="J32" s="137" t="str"/>
      <x:c r="K32" s="137" t="str"/>
      <x:c r="L32" s="138" t="str"/>
      <x:c r="M32" s="138" t="str"/>
      <x:c r="N32" s="196" t="str">
        <x:f>IF(OR(L32="",M32=""),"",M32-L32)</x:f>
      </x:c>
      <x:c r="O32" s="137" t="str"/>
      <x:c r="P32" s="137" t="str"/>
      <x:c r="Q32" s="137" t="str"/>
      <x:c r="R32" s="137" t="str"/>
      <x:c r="S32" s="137" t="str"/>
      <x:c r="T32" s="137" t="str"/>
      <x:c r="U32" s="137" t="str"/>
      <x:c r="V32" s="137" t="str"/>
    </x:row>
    <x:row r="33">
      <x:c r="A33" s="137" t="str"/>
      <x:c r="B33" s="199" t="str"/>
      <x:c r="C33" s="137" t="str"/>
      <x:c r="D33" s="137" t="str"/>
      <x:c r="E33" s="137" t="str"/>
      <x:c r="F33" s="137" t="str"/>
      <x:c r="G33" s="137" t="str"/>
      <x:c r="H33" s="137" t="str"/>
      <x:c r="I33" s="137" t="str"/>
      <x:c r="J33" s="137" t="str"/>
      <x:c r="K33" s="137" t="str"/>
      <x:c r="L33" s="138" t="str"/>
      <x:c r="M33" s="138" t="str"/>
      <x:c r="N33" s="196" t="str">
        <x:f>IF(OR(L33="",M33=""),"",M33-L33)</x:f>
      </x:c>
      <x:c r="O33" s="137" t="str"/>
      <x:c r="P33" s="137" t="str"/>
      <x:c r="Q33" s="137" t="str"/>
      <x:c r="R33" s="137" t="str"/>
      <x:c r="S33" s="137" t="str"/>
      <x:c r="T33" s="137" t="str"/>
      <x:c r="U33" s="137" t="str"/>
      <x:c r="V33" s="137" t="str"/>
    </x:row>
    <x:row r="34">
      <x:c r="A34" s="137" t="str"/>
      <x:c r="B34" s="199" t="str"/>
      <x:c r="C34" s="137" t="str"/>
      <x:c r="D34" s="137" t="str"/>
      <x:c r="E34" s="137" t="str"/>
      <x:c r="F34" s="137" t="str"/>
      <x:c r="G34" s="137" t="str"/>
      <x:c r="H34" s="137" t="str"/>
      <x:c r="I34" s="137" t="str"/>
      <x:c r="J34" s="137" t="str"/>
      <x:c r="K34" s="137" t="str"/>
      <x:c r="L34" s="138" t="str"/>
      <x:c r="M34" s="138" t="str"/>
      <x:c r="N34" s="196" t="str">
        <x:f>IF(OR(L34="",M34=""),"",M34-L34)</x:f>
      </x:c>
      <x:c r="O34" s="137" t="str"/>
      <x:c r="P34" s="137" t="str"/>
      <x:c r="Q34" s="137" t="str"/>
      <x:c r="R34" s="137" t="str"/>
      <x:c r="S34" s="137" t="str"/>
      <x:c r="T34" s="137" t="str"/>
      <x:c r="U34" s="137" t="str"/>
      <x:c r="V34" s="137" t="str"/>
    </x:row>
    <x:row r="35">
      <x:c r="A35" s="137" t="str"/>
      <x:c r="B35" s="199" t="str"/>
      <x:c r="C35" s="137" t="str"/>
      <x:c r="D35" s="137" t="str"/>
      <x:c r="E35" s="137" t="str"/>
      <x:c r="F35" s="137" t="str"/>
      <x:c r="G35" s="137" t="str"/>
      <x:c r="H35" s="137" t="str"/>
      <x:c r="I35" s="137" t="str"/>
      <x:c r="J35" s="137" t="str"/>
      <x:c r="K35" s="137" t="str"/>
      <x:c r="L35" s="138" t="str"/>
      <x:c r="M35" s="138" t="str"/>
      <x:c r="N35" s="196" t="str">
        <x:f>IF(OR(L35="",M35=""),"",M35-L35)</x:f>
      </x:c>
      <x:c r="O35" s="137" t="str"/>
      <x:c r="P35" s="137" t="str"/>
      <x:c r="Q35" s="137" t="str"/>
      <x:c r="R35" s="137" t="str"/>
      <x:c r="S35" s="137" t="str"/>
      <x:c r="T35" s="137" t="str"/>
      <x:c r="U35" s="137" t="str"/>
      <x:c r="V35" s="137" t="str"/>
    </x:row>
    <x:row r="36">
      <x:c r="A36" s="137" t="str"/>
      <x:c r="B36" s="199" t="str"/>
      <x:c r="C36" s="137" t="str"/>
      <x:c r="D36" s="137" t="str"/>
      <x:c r="E36" s="137" t="str"/>
      <x:c r="F36" s="137" t="str"/>
      <x:c r="G36" s="137" t="str"/>
      <x:c r="H36" s="137" t="str"/>
      <x:c r="I36" s="137" t="str"/>
      <x:c r="J36" s="137" t="str"/>
      <x:c r="K36" s="137" t="str"/>
      <x:c r="L36" s="138" t="str"/>
      <x:c r="M36" s="138" t="str"/>
      <x:c r="N36" s="196" t="str">
        <x:f>IF(OR(L36="",M36=""),"",M36-L36)</x:f>
      </x:c>
      <x:c r="O36" s="137" t="str"/>
      <x:c r="P36" s="137" t="str"/>
      <x:c r="Q36" s="137" t="str"/>
      <x:c r="R36" s="137" t="str"/>
      <x:c r="S36" s="137" t="str"/>
      <x:c r="T36" s="137" t="str"/>
      <x:c r="U36" s="137" t="str"/>
      <x:c r="V36" s="137" t="str"/>
    </x:row>
    <x:row r="37">
      <x:c r="A37" s="137" t="str"/>
      <x:c r="B37" s="199" t="str"/>
      <x:c r="C37" s="137" t="str"/>
      <x:c r="D37" s="137" t="str"/>
      <x:c r="E37" s="137" t="str"/>
      <x:c r="F37" s="137" t="str"/>
      <x:c r="G37" s="137" t="str"/>
      <x:c r="H37" s="137" t="str"/>
      <x:c r="I37" s="137" t="str"/>
      <x:c r="J37" s="137" t="str"/>
      <x:c r="K37" s="137" t="str"/>
      <x:c r="L37" s="138" t="str"/>
      <x:c r="M37" s="138" t="str"/>
      <x:c r="N37" s="196" t="str">
        <x:f>IF(OR(L37="",M37=""),"",M37-L37)</x:f>
      </x:c>
      <x:c r="O37" s="137" t="str"/>
      <x:c r="P37" s="137" t="str"/>
      <x:c r="Q37" s="137" t="str"/>
      <x:c r="R37" s="137" t="str"/>
      <x:c r="S37" s="137" t="str"/>
      <x:c r="T37" s="137" t="str"/>
      <x:c r="U37" s="137" t="str"/>
      <x:c r="V37" s="137" t="str"/>
    </x:row>
    <x:row r="38">
      <x:c r="A38" s="137" t="str"/>
      <x:c r="B38" s="199" t="str"/>
      <x:c r="C38" s="137" t="str"/>
      <x:c r="D38" s="137" t="str"/>
      <x:c r="E38" s="137" t="str"/>
      <x:c r="F38" s="137" t="str"/>
      <x:c r="G38" s="137" t="str"/>
      <x:c r="H38" s="137" t="str"/>
      <x:c r="I38" s="137" t="str"/>
      <x:c r="J38" s="137" t="str"/>
      <x:c r="K38" s="137" t="str"/>
      <x:c r="L38" s="138" t="str"/>
      <x:c r="M38" s="138" t="str"/>
      <x:c r="N38" s="196" t="str">
        <x:f>IF(OR(L38="",M38=""),"",M38-L38)</x:f>
      </x:c>
      <x:c r="O38" s="137" t="str"/>
      <x:c r="P38" s="137" t="str"/>
      <x:c r="Q38" s="137" t="str"/>
      <x:c r="R38" s="137" t="str"/>
      <x:c r="S38" s="137" t="str"/>
      <x:c r="T38" s="137" t="str"/>
      <x:c r="U38" s="137" t="str"/>
      <x:c r="V38" s="137" t="str"/>
    </x:row>
    <x:row r="39">
      <x:c r="A39" s="137" t="str"/>
      <x:c r="B39" s="199" t="str"/>
      <x:c r="C39" s="137" t="str"/>
      <x:c r="D39" s="137" t="str"/>
      <x:c r="E39" s="137" t="str"/>
      <x:c r="F39" s="137" t="str"/>
      <x:c r="G39" s="137" t="str"/>
      <x:c r="H39" s="137" t="str"/>
      <x:c r="I39" s="137" t="str"/>
      <x:c r="J39" s="137" t="str"/>
      <x:c r="K39" s="137" t="str"/>
      <x:c r="L39" s="138" t="str"/>
      <x:c r="M39" s="138" t="str"/>
      <x:c r="N39" s="196" t="str">
        <x:f>IF(OR(L39="",M39=""),"",M39-L39)</x:f>
      </x:c>
      <x:c r="O39" s="137" t="str"/>
      <x:c r="P39" s="137" t="str"/>
      <x:c r="Q39" s="137" t="str"/>
      <x:c r="R39" s="137" t="str"/>
      <x:c r="S39" s="137" t="str"/>
      <x:c r="T39" s="137" t="str"/>
      <x:c r="U39" s="137" t="str"/>
      <x:c r="V39" s="137" t="str"/>
    </x:row>
    <x:row r="40">
      <x:c r="A40" s="137" t="str"/>
      <x:c r="B40" s="199" t="str"/>
      <x:c r="C40" s="137" t="str"/>
      <x:c r="D40" s="137" t="str"/>
      <x:c r="E40" s="137" t="str"/>
      <x:c r="F40" s="137" t="str"/>
      <x:c r="G40" s="137" t="str"/>
      <x:c r="H40" s="137" t="str"/>
      <x:c r="I40" s="137" t="str"/>
      <x:c r="J40" s="137" t="str"/>
      <x:c r="K40" s="137" t="str"/>
      <x:c r="L40" s="138" t="str"/>
      <x:c r="M40" s="138" t="str"/>
      <x:c r="N40" s="196" t="str">
        <x:f>IF(OR(L40="",M40=""),"",M40-L40)</x:f>
      </x:c>
      <x:c r="O40" s="137" t="str"/>
      <x:c r="P40" s="137" t="str"/>
      <x:c r="Q40" s="137" t="str"/>
      <x:c r="R40" s="137" t="str"/>
      <x:c r="S40" s="137" t="str"/>
      <x:c r="T40" s="137" t="str"/>
      <x:c r="U40" s="137" t="str"/>
      <x:c r="V40" s="137" t="str"/>
    </x:row>
    <x:row r="41">
      <x:c r="A41" s="137" t="str"/>
      <x:c r="B41" s="199" t="str"/>
      <x:c r="C41" s="137" t="str"/>
      <x:c r="D41" s="137" t="str"/>
      <x:c r="E41" s="137" t="str"/>
      <x:c r="F41" s="137" t="str"/>
      <x:c r="G41" s="137" t="str"/>
      <x:c r="H41" s="137" t="str"/>
      <x:c r="I41" s="137" t="str"/>
      <x:c r="J41" s="137" t="str"/>
      <x:c r="K41" s="137" t="str"/>
      <x:c r="L41" s="138" t="str"/>
      <x:c r="M41" s="138" t="str"/>
      <x:c r="N41" s="196" t="str">
        <x:f>IF(OR(L41="",M41=""),"",M41-L41)</x:f>
      </x:c>
      <x:c r="O41" s="137" t="str"/>
      <x:c r="P41" s="137" t="str"/>
      <x:c r="Q41" s="137" t="str"/>
      <x:c r="R41" s="137" t="str"/>
      <x:c r="S41" s="137" t="str"/>
      <x:c r="T41" s="137" t="str"/>
      <x:c r="U41" s="137" t="str"/>
      <x:c r="V41" s="137" t="str"/>
    </x:row>
    <x:row r="42">
      <x:c r="A42" s="137" t="str"/>
      <x:c r="B42" s="199" t="str"/>
      <x:c r="C42" s="137" t="str"/>
      <x:c r="D42" s="137" t="str"/>
      <x:c r="E42" s="137" t="str"/>
      <x:c r="F42" s="137" t="str"/>
      <x:c r="G42" s="137" t="str"/>
      <x:c r="H42" s="137" t="str"/>
      <x:c r="I42" s="137" t="str"/>
      <x:c r="J42" s="137" t="str"/>
      <x:c r="K42" s="137" t="str"/>
      <x:c r="L42" s="138" t="str"/>
      <x:c r="M42" s="138" t="str"/>
      <x:c r="N42" s="196" t="str">
        <x:f>IF(OR(L42="",M42=""),"",M42-L42)</x:f>
      </x:c>
      <x:c r="O42" s="137" t="str"/>
      <x:c r="P42" s="137" t="str"/>
      <x:c r="Q42" s="137" t="str"/>
      <x:c r="R42" s="137" t="str"/>
      <x:c r="S42" s="137" t="str"/>
      <x:c r="T42" s="137" t="str"/>
      <x:c r="U42" s="137" t="str"/>
      <x:c r="V42" s="137" t="str"/>
    </x:row>
    <x:row r="43">
      <x:c r="A43" s="137" t="str"/>
      <x:c r="B43" s="199" t="str"/>
      <x:c r="C43" s="137" t="str"/>
      <x:c r="D43" s="137" t="str"/>
      <x:c r="E43" s="137" t="str"/>
      <x:c r="F43" s="137" t="str"/>
      <x:c r="G43" s="137" t="str"/>
      <x:c r="H43" s="137" t="str"/>
      <x:c r="I43" s="137" t="str"/>
      <x:c r="J43" s="137" t="str"/>
      <x:c r="K43" s="137" t="str"/>
      <x:c r="L43" s="138" t="str"/>
      <x:c r="M43" s="138" t="str"/>
      <x:c r="N43" s="196" t="str">
        <x:f>IF(OR(L43="",M43=""),"",M43-L43)</x:f>
      </x:c>
      <x:c r="O43" s="137" t="str"/>
      <x:c r="P43" s="137" t="str"/>
      <x:c r="Q43" s="137" t="str"/>
      <x:c r="R43" s="137" t="str"/>
      <x:c r="S43" s="137" t="str"/>
      <x:c r="T43" s="137" t="str"/>
      <x:c r="U43" s="137" t="str"/>
      <x:c r="V43" s="137" t="str"/>
    </x:row>
    <x:row r="44">
      <x:c r="A44" s="137" t="str"/>
      <x:c r="B44" s="199" t="str"/>
      <x:c r="C44" s="137" t="str"/>
      <x:c r="D44" s="137" t="str"/>
      <x:c r="E44" s="137" t="str"/>
      <x:c r="F44" s="137" t="str"/>
      <x:c r="G44" s="137" t="str"/>
      <x:c r="H44" s="137" t="str"/>
      <x:c r="I44" s="137" t="str"/>
      <x:c r="J44" s="137" t="str"/>
      <x:c r="K44" s="137" t="str"/>
      <x:c r="L44" s="138" t="str"/>
      <x:c r="M44" s="138" t="str"/>
      <x:c r="N44" s="196" t="str">
        <x:f>IF(OR(L44="",M44=""),"",M44-L44)</x:f>
      </x:c>
      <x:c r="O44" s="137" t="str"/>
      <x:c r="P44" s="137" t="str"/>
      <x:c r="Q44" s="137" t="str"/>
      <x:c r="R44" s="137" t="str"/>
      <x:c r="S44" s="137" t="str"/>
      <x:c r="T44" s="137" t="str"/>
      <x:c r="U44" s="137" t="str"/>
      <x:c r="V44" s="137" t="str"/>
    </x:row>
    <x:row r="45">
      <x:c r="A45" s="137" t="str"/>
      <x:c r="B45" s="199" t="str"/>
      <x:c r="C45" s="137" t="str"/>
      <x:c r="D45" s="137" t="str"/>
      <x:c r="E45" s="137" t="str"/>
      <x:c r="F45" s="137" t="str"/>
      <x:c r="G45" s="137" t="str"/>
      <x:c r="H45" s="137" t="str"/>
      <x:c r="I45" s="137" t="str"/>
      <x:c r="J45" s="137" t="str"/>
      <x:c r="K45" s="137" t="str"/>
      <x:c r="L45" s="138" t="str"/>
      <x:c r="M45" s="138" t="str"/>
      <x:c r="N45" s="196" t="str">
        <x:f>IF(OR(L45="",M45=""),"",M45-L45)</x:f>
      </x:c>
      <x:c r="O45" s="137" t="str"/>
      <x:c r="P45" s="137" t="str"/>
      <x:c r="Q45" s="137" t="str"/>
      <x:c r="R45" s="137" t="str"/>
      <x:c r="S45" s="137" t="str"/>
      <x:c r="T45" s="137" t="str"/>
      <x:c r="U45" s="137" t="str"/>
      <x:c r="V45" s="137" t="str"/>
    </x:row>
    <x:row r="46">
      <x:c r="A46" s="137" t="str"/>
      <x:c r="B46" s="199" t="str"/>
      <x:c r="C46" s="137" t="str"/>
      <x:c r="D46" s="137" t="str"/>
      <x:c r="E46" s="137" t="str"/>
      <x:c r="F46" s="137" t="str"/>
      <x:c r="G46" s="137" t="str"/>
      <x:c r="H46" s="137" t="str"/>
      <x:c r="I46" s="137" t="str"/>
      <x:c r="J46" s="137" t="str"/>
      <x:c r="K46" s="137" t="str"/>
      <x:c r="L46" s="138" t="str"/>
      <x:c r="M46" s="138" t="str"/>
      <x:c r="N46" s="196" t="str">
        <x:f>IF(OR(L46="",M46=""),"",M46-L46)</x:f>
      </x:c>
      <x:c r="O46" s="137" t="str"/>
      <x:c r="P46" s="137" t="str"/>
      <x:c r="Q46" s="137" t="str"/>
      <x:c r="R46" s="137" t="str"/>
      <x:c r="S46" s="137" t="str"/>
      <x:c r="T46" s="137" t="str"/>
      <x:c r="U46" s="137" t="str"/>
      <x:c r="V46" s="137" t="str"/>
    </x:row>
    <x:row r="47">
      <x:c r="A47" s="137" t="str"/>
      <x:c r="B47" s="199" t="str"/>
      <x:c r="C47" s="137" t="str"/>
      <x:c r="D47" s="137" t="str"/>
      <x:c r="E47" s="137" t="str"/>
      <x:c r="F47" s="137" t="str"/>
      <x:c r="G47" s="137" t="str"/>
      <x:c r="H47" s="137" t="str"/>
      <x:c r="I47" s="137" t="str"/>
      <x:c r="J47" s="137" t="str"/>
      <x:c r="K47" s="137" t="str"/>
      <x:c r="L47" s="138" t="str"/>
      <x:c r="M47" s="138" t="str"/>
      <x:c r="N47" s="196" t="str">
        <x:f>IF(OR(L47="",M47=""),"",M47-L47)</x:f>
      </x:c>
      <x:c r="O47" s="137" t="str"/>
      <x:c r="P47" s="137" t="str"/>
      <x:c r="Q47" s="137" t="str"/>
      <x:c r="R47" s="137" t="str"/>
      <x:c r="S47" s="137" t="str"/>
      <x:c r="T47" s="137" t="str"/>
      <x:c r="U47" s="137" t="str"/>
      <x:c r="V47" s="137" t="str"/>
    </x:row>
    <x:row r="48">
      <x:c r="A48" s="137" t="str"/>
      <x:c r="B48" s="199" t="str"/>
      <x:c r="C48" s="137" t="str"/>
      <x:c r="D48" s="137" t="str"/>
      <x:c r="E48" s="137" t="str"/>
      <x:c r="F48" s="137" t="str"/>
      <x:c r="G48" s="137" t="str"/>
      <x:c r="H48" s="137" t="str"/>
      <x:c r="I48" s="137" t="str"/>
      <x:c r="J48" s="137" t="str"/>
      <x:c r="K48" s="137" t="str"/>
      <x:c r="L48" s="138" t="str"/>
      <x:c r="M48" s="138" t="str"/>
      <x:c r="N48" s="196" t="str">
        <x:f>IF(OR(L48="",M48=""),"",M48-L48)</x:f>
      </x:c>
      <x:c r="O48" s="137" t="str"/>
      <x:c r="P48" s="137" t="str"/>
      <x:c r="Q48" s="137" t="str"/>
      <x:c r="R48" s="137" t="str"/>
      <x:c r="S48" s="137" t="str"/>
      <x:c r="T48" s="137" t="str"/>
      <x:c r="U48" s="137" t="str"/>
      <x:c r="V48" s="137" t="str"/>
    </x:row>
    <x:row r="49">
      <x:c r="A49" s="137" t="str"/>
      <x:c r="B49" s="199" t="str"/>
      <x:c r="C49" s="137" t="str"/>
      <x:c r="D49" s="137" t="str"/>
      <x:c r="E49" s="137" t="str"/>
      <x:c r="F49" s="137" t="str"/>
      <x:c r="G49" s="137" t="str"/>
      <x:c r="H49" s="137" t="str"/>
      <x:c r="I49" s="137" t="str"/>
      <x:c r="J49" s="137" t="str"/>
      <x:c r="K49" s="137" t="str"/>
      <x:c r="L49" s="138" t="str"/>
      <x:c r="M49" s="138" t="str"/>
      <x:c r="N49" s="196" t="str">
        <x:f>IF(OR(L49="",M49=""),"",M49-L49)</x:f>
      </x:c>
      <x:c r="O49" s="137" t="str"/>
      <x:c r="P49" s="137" t="str"/>
      <x:c r="Q49" s="137" t="str"/>
      <x:c r="R49" s="137" t="str"/>
      <x:c r="S49" s="137" t="str"/>
      <x:c r="T49" s="137" t="str"/>
      <x:c r="U49" s="137" t="str"/>
      <x:c r="V49" s="137" t="str"/>
    </x:row>
    <x:row r="50">
      <x:c r="A50" s="137" t="str"/>
      <x:c r="B50" s="199" t="str"/>
      <x:c r="C50" s="137" t="str"/>
      <x:c r="D50" s="137" t="str"/>
      <x:c r="E50" s="137" t="str"/>
      <x:c r="F50" s="137" t="str"/>
      <x:c r="G50" s="137" t="str"/>
      <x:c r="H50" s="137" t="str"/>
      <x:c r="I50" s="137" t="str"/>
      <x:c r="J50" s="137" t="str"/>
      <x:c r="K50" s="137" t="str"/>
      <x:c r="L50" s="138" t="str"/>
      <x:c r="M50" s="138" t="str"/>
      <x:c r="N50" s="196" t="str">
        <x:f>IF(OR(L50="",M50=""),"",M50-L50)</x:f>
      </x:c>
      <x:c r="O50" s="137" t="str"/>
      <x:c r="P50" s="137" t="str"/>
      <x:c r="Q50" s="137" t="str"/>
      <x:c r="R50" s="137" t="str"/>
      <x:c r="S50" s="137" t="str"/>
      <x:c r="T50" s="137" t="str"/>
      <x:c r="U50" s="137" t="str"/>
      <x:c r="V50" s="137" t="str"/>
    </x:row>
    <x:row r="51">
      <x:c r="A51" s="137" t="str"/>
      <x:c r="B51" s="199" t="str"/>
      <x:c r="C51" s="137" t="str"/>
      <x:c r="D51" s="137" t="str"/>
      <x:c r="E51" s="137" t="str"/>
      <x:c r="F51" s="137" t="str"/>
      <x:c r="G51" s="137" t="str"/>
      <x:c r="H51" s="137" t="str"/>
      <x:c r="I51" s="137" t="str"/>
      <x:c r="J51" s="137" t="str"/>
      <x:c r="K51" s="137" t="str"/>
      <x:c r="L51" s="138" t="str"/>
      <x:c r="M51" s="138" t="str"/>
      <x:c r="N51" s="196" t="str">
        <x:f>IF(OR(L51="",M51=""),"",M51-L51)</x:f>
      </x:c>
      <x:c r="O51" s="137" t="str"/>
      <x:c r="P51" s="137" t="str"/>
      <x:c r="Q51" s="137" t="str"/>
      <x:c r="R51" s="137" t="str"/>
      <x:c r="S51" s="137" t="str"/>
      <x:c r="T51" s="137" t="str"/>
      <x:c r="U51" s="137" t="str"/>
      <x:c r="V51" s="137" t="str"/>
    </x:row>
    <x:row r="52">
      <x:c r="A52" s="137" t="str"/>
      <x:c r="B52" s="199" t="str"/>
      <x:c r="C52" s="137" t="str"/>
      <x:c r="D52" s="137" t="str"/>
      <x:c r="E52" s="137" t="str"/>
      <x:c r="F52" s="137" t="str"/>
      <x:c r="G52" s="137" t="str"/>
      <x:c r="H52" s="137" t="str"/>
      <x:c r="I52" s="137" t="str"/>
      <x:c r="J52" s="137" t="str"/>
      <x:c r="K52" s="137" t="str"/>
      <x:c r="L52" s="138" t="str"/>
      <x:c r="M52" s="138" t="str"/>
      <x:c r="N52" s="196" t="str">
        <x:f>IF(OR(L52="",M52=""),"",M52-L52)</x:f>
      </x:c>
      <x:c r="O52" s="137" t="str"/>
      <x:c r="P52" s="137" t="str"/>
      <x:c r="Q52" s="137" t="str"/>
      <x:c r="R52" s="137" t="str"/>
      <x:c r="S52" s="137" t="str"/>
      <x:c r="T52" s="137" t="str"/>
      <x:c r="U52" s="137" t="str"/>
      <x:c r="V52" s="137" t="str"/>
    </x:row>
    <x:row r="53">
      <x:c r="A53" s="137" t="str"/>
      <x:c r="B53" s="199" t="str"/>
      <x:c r="C53" s="137" t="str"/>
      <x:c r="D53" s="137" t="str"/>
      <x:c r="E53" s="137" t="str"/>
      <x:c r="F53" s="137" t="str"/>
      <x:c r="G53" s="137" t="str"/>
      <x:c r="H53" s="137" t="str"/>
      <x:c r="I53" s="137" t="str"/>
      <x:c r="J53" s="137" t="str"/>
      <x:c r="K53" s="137" t="str"/>
      <x:c r="L53" s="138" t="str"/>
      <x:c r="M53" s="138" t="str"/>
      <x:c r="N53" s="196" t="str">
        <x:f>IF(OR(L53="",M53=""),"",M53-L53)</x:f>
      </x:c>
      <x:c r="O53" s="137" t="str"/>
      <x:c r="P53" s="137" t="str"/>
      <x:c r="Q53" s="137" t="str"/>
      <x:c r="R53" s="137" t="str"/>
      <x:c r="S53" s="137" t="str"/>
      <x:c r="T53" s="137" t="str"/>
      <x:c r="U53" s="137" t="str"/>
      <x:c r="V53" s="137" t="str"/>
    </x:row>
    <x:row r="54">
      <x:c r="A54" s="137" t="str"/>
      <x:c r="B54" s="199" t="str"/>
      <x:c r="C54" s="137" t="str"/>
      <x:c r="D54" s="137" t="str"/>
      <x:c r="E54" s="137" t="str"/>
      <x:c r="F54" s="137" t="str"/>
      <x:c r="G54" s="137" t="str"/>
      <x:c r="H54" s="137" t="str"/>
      <x:c r="I54" s="137" t="str"/>
      <x:c r="J54" s="137" t="str"/>
      <x:c r="K54" s="137" t="str"/>
      <x:c r="L54" s="138" t="str"/>
      <x:c r="M54" s="138" t="str"/>
      <x:c r="N54" s="196" t="str">
        <x:f>IF(OR(L54="",M54=""),"",M54-L54)</x:f>
      </x:c>
      <x:c r="O54" s="137" t="str"/>
      <x:c r="P54" s="137" t="str"/>
      <x:c r="Q54" s="137" t="str"/>
      <x:c r="R54" s="137" t="str"/>
      <x:c r="S54" s="137" t="str"/>
      <x:c r="T54" s="137" t="str"/>
      <x:c r="U54" s="137" t="str"/>
      <x:c r="V54" s="137" t="str"/>
    </x:row>
    <x:row r="55">
      <x:c r="A55" s="137" t="str"/>
      <x:c r="B55" s="199" t="str"/>
      <x:c r="C55" s="137" t="str"/>
      <x:c r="D55" s="137" t="str"/>
      <x:c r="E55" s="137" t="str"/>
      <x:c r="F55" s="137" t="str"/>
      <x:c r="G55" s="137" t="str"/>
      <x:c r="H55" s="137" t="str"/>
      <x:c r="I55" s="137" t="str"/>
      <x:c r="J55" s="137" t="str"/>
      <x:c r="K55" s="137" t="str"/>
      <x:c r="L55" s="138" t="str"/>
      <x:c r="M55" s="138" t="str"/>
      <x:c r="N55" s="196" t="str">
        <x:f>IF(OR(L55="",M55=""),"",M55-L55)</x:f>
      </x:c>
      <x:c r="O55" s="137" t="str"/>
      <x:c r="P55" s="137" t="str"/>
      <x:c r="Q55" s="137" t="str"/>
      <x:c r="R55" s="137" t="str"/>
      <x:c r="S55" s="137" t="str"/>
      <x:c r="T55" s="137" t="str"/>
      <x:c r="U55" s="137" t="str"/>
      <x:c r="V55" s="137" t="str"/>
    </x:row>
    <x:row r="56">
      <x:c r="A56" s="137" t="str"/>
      <x:c r="B56" s="199" t="str"/>
      <x:c r="C56" s="137" t="str"/>
      <x:c r="D56" s="137" t="str"/>
      <x:c r="E56" s="137" t="str"/>
      <x:c r="F56" s="137" t="str"/>
      <x:c r="G56" s="137" t="str"/>
      <x:c r="H56" s="137" t="str"/>
      <x:c r="I56" s="137" t="str"/>
      <x:c r="J56" s="137" t="str"/>
      <x:c r="K56" s="137" t="str"/>
      <x:c r="L56" s="138" t="str"/>
      <x:c r="M56" s="138" t="str"/>
      <x:c r="N56" s="196" t="str">
        <x:f>IF(OR(L56="",M56=""),"",M56-L56)</x:f>
      </x:c>
      <x:c r="O56" s="137" t="str"/>
      <x:c r="P56" s="137" t="str"/>
      <x:c r="Q56" s="137" t="str"/>
      <x:c r="R56" s="137" t="str"/>
      <x:c r="S56" s="137" t="str"/>
      <x:c r="T56" s="137" t="str"/>
      <x:c r="U56" s="137" t="str"/>
      <x:c r="V56" s="137" t="str"/>
    </x:row>
    <x:row r="57">
      <x:c r="A57" s="137" t="str"/>
      <x:c r="B57" s="199" t="str"/>
      <x:c r="C57" s="137" t="str"/>
      <x:c r="D57" s="137" t="str"/>
      <x:c r="E57" s="137" t="str"/>
      <x:c r="F57" s="137" t="str"/>
      <x:c r="G57" s="137" t="str"/>
      <x:c r="H57" s="137" t="str"/>
      <x:c r="I57" s="137" t="str"/>
      <x:c r="J57" s="137" t="str"/>
      <x:c r="K57" s="137" t="str"/>
      <x:c r="L57" s="138" t="str"/>
      <x:c r="M57" s="138" t="str"/>
      <x:c r="N57" s="196" t="str">
        <x:f>IF(OR(L57="",M57=""),"",M57-L57)</x:f>
      </x:c>
      <x:c r="O57" s="137" t="str"/>
      <x:c r="P57" s="137" t="str"/>
      <x:c r="Q57" s="137" t="str"/>
      <x:c r="R57" s="137" t="str"/>
      <x:c r="S57" s="137" t="str"/>
      <x:c r="T57" s="137" t="str"/>
      <x:c r="U57" s="137" t="str"/>
      <x:c r="V57" s="137" t="str"/>
    </x:row>
    <x:row r="58">
      <x:c r="A58" s="137" t="str"/>
      <x:c r="B58" s="199" t="str"/>
      <x:c r="C58" s="137" t="str"/>
      <x:c r="D58" s="137" t="str"/>
      <x:c r="E58" s="137" t="str"/>
      <x:c r="F58" s="137" t="str"/>
      <x:c r="G58" s="137" t="str"/>
      <x:c r="H58" s="137" t="str"/>
      <x:c r="I58" s="137" t="str"/>
      <x:c r="J58" s="137" t="str"/>
      <x:c r="K58" s="137" t="str"/>
      <x:c r="L58" s="138" t="str"/>
      <x:c r="M58" s="138" t="str"/>
      <x:c r="N58" s="196" t="str">
        <x:f>IF(OR(L58="",M58=""),"",M58-L58)</x:f>
      </x:c>
      <x:c r="O58" s="137" t="str"/>
      <x:c r="P58" s="137" t="str"/>
      <x:c r="Q58" s="137" t="str"/>
      <x:c r="R58" s="137" t="str"/>
      <x:c r="S58" s="137" t="str"/>
      <x:c r="T58" s="137" t="str"/>
      <x:c r="U58" s="137" t="str"/>
      <x:c r="V58" s="137" t="str"/>
    </x:row>
    <x:row r="59">
      <x:c r="A59" s="137" t="str"/>
      <x:c r="B59" s="199" t="str"/>
      <x:c r="C59" s="137" t="str"/>
      <x:c r="D59" s="137" t="str"/>
      <x:c r="E59" s="137" t="str"/>
      <x:c r="F59" s="137" t="str"/>
      <x:c r="G59" s="137" t="str"/>
      <x:c r="H59" s="137" t="str"/>
      <x:c r="I59" s="137" t="str"/>
      <x:c r="J59" s="137" t="str"/>
      <x:c r="K59" s="137" t="str"/>
      <x:c r="L59" s="138" t="str"/>
      <x:c r="M59" s="138" t="str"/>
      <x:c r="N59" s="196" t="str">
        <x:f>IF(OR(L59="",M59=""),"",M59-L59)</x:f>
      </x:c>
      <x:c r="O59" s="137" t="str"/>
      <x:c r="P59" s="137" t="str"/>
      <x:c r="Q59" s="137" t="str"/>
      <x:c r="R59" s="137" t="str"/>
      <x:c r="S59" s="137" t="str"/>
      <x:c r="T59" s="137" t="str"/>
      <x:c r="U59" s="137" t="str"/>
      <x:c r="V59" s="137" t="str"/>
    </x:row>
    <x:row r="60">
      <x:c r="A60" s="137" t="str"/>
      <x:c r="B60" s="199" t="str"/>
      <x:c r="C60" s="137" t="str"/>
      <x:c r="D60" s="137" t="str"/>
      <x:c r="E60" s="137" t="str"/>
      <x:c r="F60" s="137" t="str"/>
      <x:c r="G60" s="137" t="str"/>
      <x:c r="H60" s="137" t="str"/>
      <x:c r="I60" s="137" t="str"/>
      <x:c r="J60" s="137" t="str"/>
      <x:c r="K60" s="137" t="str"/>
      <x:c r="L60" s="138" t="str"/>
      <x:c r="M60" s="138" t="str"/>
      <x:c r="N60" s="196" t="str">
        <x:f>IF(OR(L60="",M60=""),"",M60-L60)</x:f>
      </x:c>
      <x:c r="O60" s="137" t="str"/>
      <x:c r="P60" s="137" t="str"/>
      <x:c r="Q60" s="137" t="str"/>
      <x:c r="R60" s="137" t="str"/>
      <x:c r="S60" s="137" t="str"/>
      <x:c r="T60" s="137" t="str"/>
      <x:c r="U60" s="137" t="str"/>
      <x:c r="V60" s="137" t="str"/>
    </x:row>
    <x:row r="61">
      <x:c r="A61" s="137" t="str"/>
      <x:c r="B61" s="199" t="str"/>
      <x:c r="C61" s="137" t="str"/>
      <x:c r="D61" s="137" t="str"/>
      <x:c r="E61" s="137" t="str"/>
      <x:c r="F61" s="137" t="str"/>
      <x:c r="G61" s="137" t="str"/>
      <x:c r="H61" s="137" t="str"/>
      <x:c r="I61" s="137" t="str"/>
      <x:c r="J61" s="137" t="str"/>
      <x:c r="K61" s="137" t="str"/>
      <x:c r="L61" s="138" t="str"/>
      <x:c r="M61" s="138" t="str"/>
      <x:c r="N61" s="196" t="str">
        <x:f>IF(OR(L61="",M61=""),"",M61-L61)</x:f>
      </x:c>
      <x:c r="O61" s="137" t="str"/>
      <x:c r="P61" s="137" t="str"/>
      <x:c r="Q61" s="137" t="str"/>
      <x:c r="R61" s="137" t="str"/>
      <x:c r="S61" s="137" t="str"/>
      <x:c r="T61" s="137" t="str"/>
      <x:c r="U61" s="137" t="str"/>
      <x:c r="V61" s="137" t="str"/>
    </x:row>
    <x:row r="62">
      <x:c r="A62" s="137" t="str"/>
      <x:c r="B62" s="199" t="str"/>
      <x:c r="C62" s="137" t="str"/>
      <x:c r="D62" s="137" t="str"/>
      <x:c r="E62" s="137" t="str"/>
      <x:c r="F62" s="137" t="str"/>
      <x:c r="G62" s="137" t="str"/>
      <x:c r="H62" s="137" t="str"/>
      <x:c r="I62" s="137" t="str"/>
      <x:c r="J62" s="137" t="str"/>
      <x:c r="K62" s="137" t="str"/>
      <x:c r="L62" s="138" t="str"/>
      <x:c r="M62" s="138" t="str"/>
      <x:c r="N62" s="196" t="str">
        <x:f>IF(OR(L62="",M62=""),"",M62-L62)</x:f>
      </x:c>
      <x:c r="O62" s="137" t="str"/>
      <x:c r="P62" s="137" t="str"/>
      <x:c r="Q62" s="137" t="str"/>
      <x:c r="R62" s="137" t="str"/>
      <x:c r="S62" s="137" t="str"/>
      <x:c r="T62" s="137" t="str"/>
      <x:c r="U62" s="137" t="str"/>
      <x:c r="V62" s="137" t="str"/>
    </x:row>
    <x:row r="63">
      <x:c r="A63" s="137" t="str"/>
      <x:c r="B63" s="199" t="str"/>
      <x:c r="C63" s="137" t="str"/>
      <x:c r="D63" s="137" t="str"/>
      <x:c r="E63" s="137" t="str"/>
      <x:c r="F63" s="137" t="str"/>
      <x:c r="G63" s="137" t="str"/>
      <x:c r="H63" s="137" t="str"/>
      <x:c r="I63" s="137" t="str"/>
      <x:c r="J63" s="137" t="str"/>
      <x:c r="K63" s="137" t="str"/>
      <x:c r="L63" s="138" t="str"/>
      <x:c r="M63" s="138" t="str"/>
      <x:c r="N63" s="196" t="str">
        <x:f>IF(OR(L63="",M63=""),"",M63-L63)</x:f>
      </x:c>
      <x:c r="O63" s="137" t="str"/>
      <x:c r="P63" s="137" t="str"/>
      <x:c r="Q63" s="137" t="str"/>
      <x:c r="R63" s="137" t="str"/>
      <x:c r="S63" s="137" t="str"/>
      <x:c r="T63" s="137" t="str"/>
      <x:c r="U63" s="137" t="str"/>
      <x:c r="V63" s="137" t="str"/>
    </x:row>
    <x:row r="64">
      <x:c r="A64" s="137" t="str"/>
      <x:c r="B64" s="199" t="str"/>
      <x:c r="C64" s="137" t="str"/>
      <x:c r="D64" s="137" t="str"/>
      <x:c r="E64" s="137" t="str"/>
      <x:c r="F64" s="137" t="str"/>
      <x:c r="G64" s="137" t="str"/>
      <x:c r="H64" s="137" t="str"/>
      <x:c r="I64" s="137" t="str"/>
      <x:c r="J64" s="137" t="str"/>
      <x:c r="K64" s="137" t="str"/>
      <x:c r="L64" s="138" t="str"/>
      <x:c r="M64" s="138" t="str"/>
      <x:c r="N64" s="196" t="str">
        <x:f>IF(OR(L64="",M64=""),"",M64-L64)</x:f>
      </x:c>
      <x:c r="O64" s="137" t="str"/>
      <x:c r="P64" s="137" t="str"/>
      <x:c r="Q64" s="137" t="str"/>
      <x:c r="R64" s="137" t="str"/>
      <x:c r="S64" s="137" t="str"/>
      <x:c r="T64" s="137" t="str"/>
      <x:c r="U64" s="137" t="str"/>
      <x:c r="V64" s="137" t="str"/>
    </x:row>
    <x:row r="65">
      <x:c r="A65" s="137" t="str"/>
      <x:c r="B65" s="199" t="str"/>
      <x:c r="C65" s="137" t="str"/>
      <x:c r="D65" s="137" t="str"/>
      <x:c r="E65" s="137" t="str"/>
      <x:c r="F65" s="137" t="str"/>
      <x:c r="G65" s="137" t="str"/>
      <x:c r="H65" s="137" t="str"/>
      <x:c r="I65" s="137" t="str"/>
      <x:c r="J65" s="137" t="str"/>
      <x:c r="K65" s="137" t="str"/>
      <x:c r="L65" s="138" t="str"/>
      <x:c r="M65" s="138" t="str"/>
      <x:c r="N65" s="196" t="str">
        <x:f>IF(OR(L65="",M65=""),"",M65-L65)</x:f>
      </x:c>
      <x:c r="O65" s="137" t="str"/>
      <x:c r="P65" s="137" t="str"/>
      <x:c r="Q65" s="137" t="str"/>
      <x:c r="R65" s="137" t="str"/>
      <x:c r="S65" s="137" t="str"/>
      <x:c r="T65" s="137" t="str"/>
      <x:c r="U65" s="137" t="str"/>
      <x:c r="V65" s="137" t="str"/>
    </x:row>
    <x:row r="66">
      <x:c r="A66" s="137" t="str"/>
      <x:c r="B66" s="199" t="str"/>
      <x:c r="C66" s="137" t="str"/>
      <x:c r="D66" s="137" t="str"/>
      <x:c r="E66" s="137" t="str"/>
      <x:c r="F66" s="137" t="str"/>
      <x:c r="G66" s="137" t="str"/>
      <x:c r="H66" s="137" t="str"/>
      <x:c r="I66" s="137" t="str"/>
      <x:c r="J66" s="137" t="str"/>
      <x:c r="K66" s="137" t="str"/>
      <x:c r="L66" s="138" t="str"/>
      <x:c r="M66" s="138" t="str"/>
      <x:c r="N66" s="196" t="str">
        <x:f>IF(OR(L66="",M66=""),"",M66-L66)</x:f>
      </x:c>
      <x:c r="O66" s="137" t="str"/>
      <x:c r="P66" s="137" t="str"/>
      <x:c r="Q66" s="137" t="str"/>
      <x:c r="R66" s="137" t="str"/>
      <x:c r="S66" s="137" t="str"/>
      <x:c r="T66" s="137" t="str"/>
      <x:c r="U66" s="137" t="str"/>
      <x:c r="V66" s="137" t="str"/>
    </x:row>
    <x:row r="67">
      <x:c r="A67" s="137" t="str"/>
      <x:c r="B67" s="199" t="str"/>
      <x:c r="C67" s="137" t="str"/>
      <x:c r="D67" s="137" t="str"/>
      <x:c r="E67" s="137" t="str"/>
      <x:c r="F67" s="137" t="str"/>
      <x:c r="G67" s="137" t="str"/>
      <x:c r="H67" s="137" t="str"/>
      <x:c r="I67" s="137" t="str"/>
      <x:c r="J67" s="137" t="str"/>
      <x:c r="K67" s="137" t="str"/>
      <x:c r="L67" s="138" t="str"/>
      <x:c r="M67" s="138" t="str"/>
      <x:c r="N67" s="196" t="str">
        <x:f>IF(OR(L67="",M67=""),"",M67-L67)</x:f>
      </x:c>
      <x:c r="O67" s="137" t="str"/>
      <x:c r="P67" s="137" t="str"/>
      <x:c r="Q67" s="137" t="str"/>
      <x:c r="R67" s="137" t="str"/>
      <x:c r="S67" s="137" t="str"/>
      <x:c r="T67" s="137" t="str"/>
      <x:c r="U67" s="137" t="str"/>
      <x:c r="V67" s="137" t="str"/>
    </x:row>
    <x:row r="68">
      <x:c r="A68" s="137" t="str"/>
      <x:c r="B68" s="199" t="str"/>
      <x:c r="C68" s="137" t="str"/>
      <x:c r="D68" s="137" t="str"/>
      <x:c r="E68" s="137" t="str"/>
      <x:c r="F68" s="137" t="str"/>
      <x:c r="G68" s="137" t="str"/>
      <x:c r="H68" s="137" t="str"/>
      <x:c r="I68" s="137" t="str"/>
      <x:c r="J68" s="137" t="str"/>
      <x:c r="K68" s="137" t="str"/>
      <x:c r="L68" s="138" t="str"/>
      <x:c r="M68" s="138" t="str"/>
      <x:c r="N68" s="196" t="str">
        <x:f>IF(OR(L68="",M68=""),"",M68-L68)</x:f>
      </x:c>
      <x:c r="O68" s="137" t="str"/>
      <x:c r="P68" s="137" t="str"/>
      <x:c r="Q68" s="137" t="str"/>
      <x:c r="R68" s="137" t="str"/>
      <x:c r="S68" s="137" t="str"/>
      <x:c r="T68" s="137" t="str"/>
      <x:c r="U68" s="137" t="str"/>
      <x:c r="V68" s="137" t="str"/>
    </x:row>
    <x:row r="69">
      <x:c r="A69" s="137" t="str"/>
      <x:c r="B69" s="199" t="str"/>
      <x:c r="C69" s="137" t="str"/>
      <x:c r="D69" s="137" t="str"/>
      <x:c r="E69" s="137" t="str"/>
      <x:c r="F69" s="137" t="str"/>
      <x:c r="G69" s="137" t="str"/>
      <x:c r="H69" s="137" t="str"/>
      <x:c r="I69" s="137" t="str"/>
      <x:c r="J69" s="137" t="str"/>
      <x:c r="K69" s="137" t="str"/>
      <x:c r="L69" s="138" t="str"/>
      <x:c r="M69" s="138" t="str"/>
      <x:c r="N69" s="196" t="str">
        <x:f>IF(OR(L69="",M69=""),"",M69-L69)</x:f>
      </x:c>
      <x:c r="O69" s="137" t="str"/>
      <x:c r="P69" s="137" t="str"/>
      <x:c r="Q69" s="137" t="str"/>
      <x:c r="R69" s="137" t="str"/>
      <x:c r="S69" s="137" t="str"/>
      <x:c r="T69" s="137" t="str"/>
      <x:c r="U69" s="137" t="str"/>
      <x:c r="V69" s="137" t="str"/>
    </x:row>
    <x:row r="70">
      <x:c r="A70" s="137" t="str"/>
      <x:c r="B70" s="199" t="str"/>
      <x:c r="C70" s="137" t="str"/>
      <x:c r="D70" s="137" t="str"/>
      <x:c r="E70" s="137" t="str"/>
      <x:c r="F70" s="137" t="str"/>
      <x:c r="G70" s="137" t="str"/>
      <x:c r="H70" s="137" t="str"/>
      <x:c r="I70" s="137" t="str"/>
      <x:c r="J70" s="137" t="str"/>
      <x:c r="K70" s="137" t="str"/>
      <x:c r="L70" s="138" t="str"/>
      <x:c r="M70" s="138" t="str"/>
      <x:c r="N70" s="196" t="str">
        <x:f>IF(OR(L70="",M70=""),"",M70-L70)</x:f>
      </x:c>
      <x:c r="O70" s="137" t="str"/>
      <x:c r="P70" s="137" t="str"/>
      <x:c r="Q70" s="137" t="str"/>
      <x:c r="R70" s="137" t="str"/>
      <x:c r="S70" s="137" t="str"/>
      <x:c r="T70" s="137" t="str"/>
      <x:c r="U70" s="137" t="str"/>
      <x:c r="V70" s="137" t="str"/>
    </x:row>
    <x:row r="71">
      <x:c r="A71" s="137" t="str"/>
      <x:c r="B71" s="199" t="str"/>
      <x:c r="C71" s="137" t="str"/>
      <x:c r="D71" s="137" t="str"/>
      <x:c r="E71" s="137" t="str"/>
      <x:c r="F71" s="137" t="str"/>
      <x:c r="G71" s="137" t="str"/>
      <x:c r="H71" s="137" t="str"/>
      <x:c r="I71" s="137" t="str"/>
      <x:c r="J71" s="137" t="str"/>
      <x:c r="K71" s="137" t="str"/>
      <x:c r="L71" s="138" t="str"/>
      <x:c r="M71" s="138" t="str"/>
      <x:c r="N71" s="196" t="str">
        <x:f>IF(OR(L71="",M71=""),"",M71-L71)</x:f>
      </x:c>
      <x:c r="O71" s="137" t="str"/>
      <x:c r="P71" s="137" t="str"/>
      <x:c r="Q71" s="137" t="str"/>
      <x:c r="R71" s="137" t="str"/>
      <x:c r="S71" s="137" t="str"/>
      <x:c r="T71" s="137" t="str"/>
      <x:c r="U71" s="137" t="str"/>
      <x:c r="V71" s="137" t="str"/>
    </x:row>
    <x:row r="72">
      <x:c r="A72" s="137" t="str"/>
      <x:c r="B72" s="199" t="str"/>
      <x:c r="C72" s="137" t="str"/>
      <x:c r="D72" s="137" t="str"/>
      <x:c r="E72" s="137" t="str"/>
      <x:c r="F72" s="137" t="str"/>
      <x:c r="G72" s="137" t="str"/>
      <x:c r="H72" s="137" t="str"/>
      <x:c r="I72" s="137" t="str"/>
      <x:c r="J72" s="137" t="str"/>
      <x:c r="K72" s="137" t="str"/>
      <x:c r="L72" s="138" t="str"/>
      <x:c r="M72" s="138" t="str"/>
      <x:c r="N72" s="196" t="str">
        <x:f>IF(OR(L72="",M72=""),"",M72-L72)</x:f>
      </x:c>
      <x:c r="O72" s="137" t="str"/>
      <x:c r="P72" s="137" t="str"/>
      <x:c r="Q72" s="137" t="str"/>
      <x:c r="R72" s="137" t="str"/>
      <x:c r="S72" s="137" t="str"/>
      <x:c r="T72" s="137" t="str"/>
      <x:c r="U72" s="137" t="str"/>
      <x:c r="V72" s="137" t="str"/>
    </x:row>
    <x:row r="73">
      <x:c r="A73" s="137" t="str"/>
      <x:c r="B73" s="199" t="str"/>
      <x:c r="C73" s="137" t="str"/>
      <x:c r="D73" s="137" t="str"/>
      <x:c r="E73" s="137" t="str"/>
      <x:c r="F73" s="137" t="str"/>
      <x:c r="G73" s="137" t="str"/>
      <x:c r="H73" s="137" t="str"/>
      <x:c r="I73" s="137" t="str"/>
      <x:c r="J73" s="137" t="str"/>
      <x:c r="K73" s="137" t="str"/>
      <x:c r="L73" s="138" t="str"/>
      <x:c r="M73" s="138" t="str"/>
      <x:c r="N73" s="196" t="str">
        <x:f>IF(OR(L73="",M73=""),"",M73-L73)</x:f>
      </x:c>
      <x:c r="O73" s="137" t="str"/>
      <x:c r="P73" s="137" t="str"/>
      <x:c r="Q73" s="137" t="str"/>
      <x:c r="R73" s="137" t="str"/>
      <x:c r="S73" s="137" t="str"/>
      <x:c r="T73" s="137" t="str"/>
      <x:c r="U73" s="137" t="str"/>
      <x:c r="V73" s="137" t="str"/>
    </x:row>
    <x:row r="74">
      <x:c r="A74" s="137" t="str"/>
      <x:c r="B74" s="199" t="str"/>
      <x:c r="C74" s="137" t="str"/>
      <x:c r="D74" s="137" t="str"/>
      <x:c r="E74" s="137" t="str"/>
      <x:c r="F74" s="137" t="str"/>
      <x:c r="G74" s="137" t="str"/>
      <x:c r="H74" s="137" t="str"/>
      <x:c r="I74" s="137" t="str"/>
      <x:c r="J74" s="137" t="str"/>
      <x:c r="K74" s="137" t="str"/>
      <x:c r="L74" s="138" t="str"/>
      <x:c r="M74" s="138" t="str"/>
      <x:c r="N74" s="196" t="str">
        <x:f>IF(OR(L74="",M74=""),"",M74-L74)</x:f>
      </x:c>
      <x:c r="O74" s="137" t="str"/>
      <x:c r="P74" s="137" t="str"/>
      <x:c r="Q74" s="137" t="str"/>
      <x:c r="R74" s="137" t="str"/>
      <x:c r="S74" s="137" t="str"/>
      <x:c r="T74" s="137" t="str"/>
      <x:c r="U74" s="137" t="str"/>
      <x:c r="V74" s="137" t="str"/>
    </x:row>
    <x:row r="75">
      <x:c r="A75" s="137" t="str"/>
      <x:c r="B75" s="199" t="str"/>
      <x:c r="C75" s="137" t="str"/>
      <x:c r="D75" s="137" t="str"/>
      <x:c r="E75" s="137" t="str"/>
      <x:c r="F75" s="137" t="str"/>
      <x:c r="G75" s="137" t="str"/>
      <x:c r="H75" s="137" t="str"/>
      <x:c r="I75" s="137" t="str"/>
      <x:c r="J75" s="137" t="str"/>
      <x:c r="K75" s="137" t="str"/>
      <x:c r="L75" s="138" t="str"/>
      <x:c r="M75" s="138" t="str"/>
      <x:c r="N75" s="196" t="str">
        <x:f>IF(OR(L75="",M75=""),"",M75-L75)</x:f>
      </x:c>
      <x:c r="O75" s="137" t="str"/>
      <x:c r="P75" s="137" t="str"/>
      <x:c r="Q75" s="137" t="str"/>
      <x:c r="R75" s="137" t="str"/>
      <x:c r="S75" s="137" t="str"/>
      <x:c r="T75" s="137" t="str"/>
      <x:c r="U75" s="137" t="str"/>
      <x:c r="V75" s="137" t="str"/>
    </x:row>
    <x:row r="76">
      <x:c r="A76" s="137" t="str"/>
      <x:c r="B76" s="199" t="str"/>
      <x:c r="C76" s="137" t="str"/>
      <x:c r="D76" s="137" t="str"/>
      <x:c r="E76" s="137" t="str"/>
      <x:c r="F76" s="137" t="str"/>
      <x:c r="G76" s="137" t="str"/>
      <x:c r="H76" s="137" t="str"/>
      <x:c r="I76" s="137" t="str"/>
      <x:c r="J76" s="137" t="str"/>
      <x:c r="K76" s="137" t="str"/>
      <x:c r="L76" s="138" t="str"/>
      <x:c r="M76" s="138" t="str"/>
      <x:c r="N76" s="196" t="str">
        <x:f>IF(OR(L76="",M76=""),"",M76-L76)</x:f>
      </x:c>
      <x:c r="O76" s="137" t="str"/>
      <x:c r="P76" s="137" t="str"/>
      <x:c r="Q76" s="137" t="str"/>
      <x:c r="R76" s="137" t="str"/>
      <x:c r="S76" s="137" t="str"/>
      <x:c r="T76" s="137" t="str"/>
      <x:c r="U76" s="137" t="str"/>
      <x:c r="V76" s="137" t="str"/>
    </x:row>
    <x:row r="77">
      <x:c r="A77" s="137" t="str"/>
      <x:c r="B77" s="199" t="str"/>
      <x:c r="C77" s="137" t="str"/>
      <x:c r="D77" s="137" t="str"/>
      <x:c r="E77" s="137" t="str"/>
      <x:c r="F77" s="137" t="str"/>
      <x:c r="G77" s="137" t="str"/>
      <x:c r="H77" s="137" t="str"/>
      <x:c r="I77" s="137" t="str"/>
      <x:c r="J77" s="137" t="str"/>
      <x:c r="K77" s="137" t="str"/>
      <x:c r="L77" s="138" t="str"/>
      <x:c r="M77" s="138" t="str"/>
      <x:c r="N77" s="196" t="str">
        <x:f>IF(OR(L77="",M77=""),"",M77-L77)</x:f>
      </x:c>
      <x:c r="O77" s="137" t="str"/>
      <x:c r="P77" s="137" t="str"/>
      <x:c r="Q77" s="137" t="str"/>
      <x:c r="R77" s="137" t="str"/>
      <x:c r="S77" s="137" t="str"/>
      <x:c r="T77" s="137" t="str"/>
      <x:c r="U77" s="137" t="str"/>
      <x:c r="V77" s="137" t="str"/>
    </x:row>
    <x:row r="78">
      <x:c r="A78" s="137" t="str"/>
      <x:c r="B78" s="199" t="str"/>
      <x:c r="C78" s="137" t="str"/>
      <x:c r="D78" s="137" t="str"/>
      <x:c r="E78" s="137" t="str"/>
      <x:c r="F78" s="137" t="str"/>
      <x:c r="G78" s="137" t="str"/>
      <x:c r="H78" s="137" t="str"/>
      <x:c r="I78" s="137" t="str"/>
      <x:c r="J78" s="137" t="str"/>
      <x:c r="K78" s="137" t="str"/>
      <x:c r="L78" s="138" t="str"/>
      <x:c r="M78" s="138" t="str"/>
      <x:c r="N78" s="196" t="str">
        <x:f>IF(OR(L78="",M78=""),"",M78-L78)</x:f>
      </x:c>
      <x:c r="O78" s="137" t="str"/>
      <x:c r="P78" s="137" t="str"/>
      <x:c r="Q78" s="137" t="str"/>
      <x:c r="R78" s="137" t="str"/>
      <x:c r="S78" s="137" t="str"/>
      <x:c r="T78" s="137" t="str"/>
      <x:c r="U78" s="137" t="str"/>
      <x:c r="V78" s="137" t="str"/>
    </x:row>
    <x:row r="79">
      <x:c r="A79" s="137" t="str"/>
      <x:c r="B79" s="199" t="str"/>
      <x:c r="C79" s="137" t="str"/>
      <x:c r="D79" s="137" t="str"/>
      <x:c r="E79" s="137" t="str"/>
      <x:c r="F79" s="137" t="str"/>
      <x:c r="G79" s="137" t="str"/>
      <x:c r="H79" s="137" t="str"/>
      <x:c r="I79" s="137" t="str"/>
      <x:c r="J79" s="137" t="str"/>
      <x:c r="K79" s="137" t="str"/>
      <x:c r="L79" s="138" t="str"/>
      <x:c r="M79" s="138" t="str"/>
      <x:c r="N79" s="196" t="str">
        <x:f>IF(OR(L79="",M79=""),"",M79-L79)</x:f>
      </x:c>
      <x:c r="O79" s="137" t="str"/>
      <x:c r="P79" s="137" t="str"/>
      <x:c r="Q79" s="137" t="str"/>
      <x:c r="R79" s="137" t="str"/>
      <x:c r="S79" s="137" t="str"/>
      <x:c r="T79" s="137" t="str"/>
      <x:c r="U79" s="137" t="str"/>
      <x:c r="V79" s="137" t="str"/>
    </x:row>
    <x:row r="80">
      <x:c r="A80" s="137" t="str"/>
      <x:c r="B80" s="199" t="str"/>
      <x:c r="C80" s="137" t="str"/>
      <x:c r="D80" s="137" t="str"/>
      <x:c r="E80" s="137" t="str"/>
      <x:c r="F80" s="137" t="str"/>
      <x:c r="G80" s="137" t="str"/>
      <x:c r="H80" s="137" t="str"/>
      <x:c r="I80" s="137" t="str"/>
      <x:c r="J80" s="137" t="str"/>
      <x:c r="K80" s="137" t="str"/>
      <x:c r="L80" s="138" t="str"/>
      <x:c r="M80" s="138" t="str"/>
      <x:c r="N80" s="196" t="str">
        <x:f>IF(OR(L80="",M80=""),"",M80-L80)</x:f>
      </x:c>
      <x:c r="O80" s="137" t="str"/>
      <x:c r="P80" s="137" t="str"/>
      <x:c r="Q80" s="137" t="str"/>
      <x:c r="R80" s="137" t="str"/>
      <x:c r="S80" s="137" t="str"/>
      <x:c r="T80" s="137" t="str"/>
      <x:c r="U80" s="137" t="str"/>
      <x:c r="V80" s="137" t="str"/>
    </x:row>
    <x:row r="81">
      <x:c r="A81" s="137" t="str"/>
      <x:c r="B81" s="199" t="str"/>
      <x:c r="C81" s="137" t="str"/>
      <x:c r="D81" s="137" t="str"/>
      <x:c r="E81" s="137" t="str"/>
      <x:c r="F81" s="137" t="str"/>
      <x:c r="G81" s="137" t="str"/>
      <x:c r="H81" s="137" t="str"/>
      <x:c r="I81" s="137" t="str"/>
      <x:c r="J81" s="137" t="str"/>
      <x:c r="K81" s="137" t="str"/>
      <x:c r="L81" s="138" t="str"/>
      <x:c r="M81" s="138" t="str"/>
      <x:c r="N81" s="196" t="str">
        <x:f>IF(OR(L81="",M81=""),"",M81-L81)</x:f>
      </x:c>
      <x:c r="O81" s="137" t="str"/>
      <x:c r="P81" s="137" t="str"/>
      <x:c r="Q81" s="137" t="str"/>
      <x:c r="R81" s="137" t="str"/>
      <x:c r="S81" s="137" t="str"/>
      <x:c r="T81" s="137" t="str"/>
      <x:c r="U81" s="137" t="str"/>
      <x:c r="V81" s="137" t="str"/>
    </x:row>
    <x:row r="82">
      <x:c r="A82" s="137" t="str"/>
      <x:c r="B82" s="199" t="str"/>
      <x:c r="C82" s="137" t="str"/>
      <x:c r="D82" s="137" t="str"/>
      <x:c r="E82" s="137" t="str"/>
      <x:c r="F82" s="137" t="str"/>
      <x:c r="G82" s="137" t="str"/>
      <x:c r="H82" s="137" t="str"/>
      <x:c r="I82" s="137" t="str"/>
      <x:c r="J82" s="137" t="str"/>
      <x:c r="K82" s="137" t="str"/>
      <x:c r="L82" s="138" t="str"/>
      <x:c r="M82" s="138" t="str"/>
      <x:c r="N82" s="196" t="str">
        <x:f>IF(OR(L82="",M82=""),"",M82-L82)</x:f>
      </x:c>
      <x:c r="O82" s="137" t="str"/>
      <x:c r="P82" s="137" t="str"/>
      <x:c r="Q82" s="137" t="str"/>
      <x:c r="R82" s="137" t="str"/>
      <x:c r="S82" s="137" t="str"/>
      <x:c r="T82" s="137" t="str"/>
      <x:c r="U82" s="137" t="str"/>
      <x:c r="V82" s="137" t="str"/>
    </x:row>
    <x:row r="83">
      <x:c r="A83" s="137" t="str"/>
      <x:c r="B83" s="199" t="str"/>
      <x:c r="C83" s="137" t="str"/>
      <x:c r="D83" s="137" t="str"/>
      <x:c r="E83" s="137" t="str"/>
      <x:c r="F83" s="137" t="str"/>
      <x:c r="G83" s="137" t="str"/>
      <x:c r="H83" s="137" t="str"/>
      <x:c r="I83" s="137" t="str"/>
      <x:c r="J83" s="137" t="str"/>
      <x:c r="K83" s="137" t="str"/>
      <x:c r="L83" s="138" t="str"/>
      <x:c r="M83" s="138" t="str"/>
      <x:c r="N83" s="196" t="str">
        <x:f>IF(OR(L83="",M83=""),"",M83-L83)</x:f>
      </x:c>
      <x:c r="O83" s="137" t="str"/>
      <x:c r="P83" s="137" t="str"/>
      <x:c r="Q83" s="137" t="str"/>
      <x:c r="R83" s="137" t="str"/>
      <x:c r="S83" s="137" t="str"/>
      <x:c r="T83" s="137" t="str"/>
      <x:c r="U83" s="137" t="str"/>
      <x:c r="V83" s="137" t="str"/>
    </x:row>
    <x:row r="84">
      <x:c r="A84" s="137" t="str"/>
      <x:c r="B84" s="199" t="str"/>
      <x:c r="C84" s="137" t="str"/>
      <x:c r="D84" s="137" t="str"/>
      <x:c r="E84" s="137" t="str"/>
      <x:c r="F84" s="137" t="str"/>
      <x:c r="G84" s="137" t="str"/>
      <x:c r="H84" s="137" t="str"/>
      <x:c r="I84" s="137" t="str"/>
      <x:c r="J84" s="137" t="str"/>
      <x:c r="K84" s="137" t="str"/>
      <x:c r="L84" s="138" t="str"/>
      <x:c r="M84" s="138" t="str"/>
      <x:c r="N84" s="196" t="str">
        <x:f>IF(OR(L84="",M84=""),"",M84-L84)</x:f>
      </x:c>
      <x:c r="O84" s="137" t="str"/>
      <x:c r="P84" s="137" t="str"/>
      <x:c r="Q84" s="137" t="str"/>
      <x:c r="R84" s="137" t="str"/>
      <x:c r="S84" s="137" t="str"/>
      <x:c r="T84" s="137" t="str"/>
      <x:c r="U84" s="137" t="str"/>
      <x:c r="V84" s="137" t="str"/>
    </x:row>
    <x:row r="85">
      <x:c r="A85" s="137" t="str"/>
      <x:c r="B85" s="199" t="str"/>
      <x:c r="C85" s="137" t="str"/>
      <x:c r="D85" s="137" t="str"/>
      <x:c r="E85" s="137" t="str"/>
      <x:c r="F85" s="137" t="str"/>
      <x:c r="G85" s="137" t="str"/>
      <x:c r="H85" s="137" t="str"/>
      <x:c r="I85" s="137" t="str"/>
      <x:c r="J85" s="137" t="str"/>
      <x:c r="K85" s="137" t="str"/>
      <x:c r="L85" s="138" t="str"/>
      <x:c r="M85" s="138" t="str"/>
      <x:c r="N85" s="196" t="str">
        <x:f>IF(OR(L85="",M85=""),"",M85-L85)</x:f>
      </x:c>
      <x:c r="O85" s="137" t="str"/>
      <x:c r="P85" s="137" t="str"/>
      <x:c r="Q85" s="137" t="str"/>
      <x:c r="R85" s="137" t="str"/>
      <x:c r="S85" s="137" t="str"/>
      <x:c r="T85" s="137" t="str"/>
      <x:c r="U85" s="137" t="str"/>
      <x:c r="V85" s="137" t="str"/>
    </x:row>
    <x:row r="86">
      <x:c r="A86" s="137" t="str"/>
      <x:c r="B86" s="199" t="str"/>
      <x:c r="C86" s="137" t="str"/>
      <x:c r="D86" s="137" t="str"/>
      <x:c r="E86" s="137" t="str"/>
      <x:c r="F86" s="137" t="str"/>
      <x:c r="G86" s="137" t="str"/>
      <x:c r="H86" s="137" t="str"/>
      <x:c r="I86" s="137" t="str"/>
      <x:c r="J86" s="137" t="str"/>
      <x:c r="K86" s="137" t="str"/>
      <x:c r="L86" s="138" t="str"/>
      <x:c r="M86" s="138" t="str"/>
      <x:c r="N86" s="196" t="str">
        <x:f>IF(OR(L86="",M86=""),"",M86-L86)</x:f>
      </x:c>
      <x:c r="O86" s="137" t="str"/>
      <x:c r="P86" s="137" t="str"/>
      <x:c r="Q86" s="137" t="str"/>
      <x:c r="R86" s="137" t="str"/>
      <x:c r="S86" s="137" t="str"/>
      <x:c r="T86" s="137" t="str"/>
      <x:c r="U86" s="137" t="str"/>
      <x:c r="V86" s="137" t="str"/>
    </x:row>
    <x:row r="87">
      <x:c r="A87" s="137" t="str"/>
      <x:c r="B87" s="199" t="str"/>
      <x:c r="C87" s="137" t="str"/>
      <x:c r="D87" s="137" t="str"/>
      <x:c r="E87" s="137" t="str"/>
      <x:c r="F87" s="137" t="str"/>
      <x:c r="G87" s="137" t="str"/>
      <x:c r="H87" s="137" t="str"/>
      <x:c r="I87" s="137" t="str"/>
      <x:c r="J87" s="137" t="str"/>
      <x:c r="K87" s="137" t="str"/>
      <x:c r="L87" s="138" t="str"/>
      <x:c r="M87" s="138" t="str"/>
      <x:c r="N87" s="196" t="str">
        <x:f>IF(OR(L87="",M87=""),"",M87-L87)</x:f>
      </x:c>
      <x:c r="O87" s="137" t="str"/>
      <x:c r="P87" s="137" t="str"/>
      <x:c r="Q87" s="137" t="str"/>
      <x:c r="R87" s="137" t="str"/>
      <x:c r="S87" s="137" t="str"/>
      <x:c r="T87" s="137" t="str"/>
      <x:c r="U87" s="137" t="str"/>
      <x:c r="V87" s="137" t="str"/>
    </x:row>
    <x:row r="88">
      <x:c r="A88" s="137" t="str"/>
      <x:c r="B88" s="199" t="str"/>
      <x:c r="C88" s="137" t="str"/>
      <x:c r="D88" s="137" t="str"/>
      <x:c r="E88" s="137" t="str"/>
      <x:c r="F88" s="137" t="str"/>
      <x:c r="G88" s="137" t="str"/>
      <x:c r="H88" s="137" t="str"/>
      <x:c r="I88" s="137" t="str"/>
      <x:c r="J88" s="137" t="str"/>
      <x:c r="K88" s="137" t="str"/>
      <x:c r="L88" s="138" t="str"/>
      <x:c r="M88" s="138" t="str"/>
      <x:c r="N88" s="196" t="str">
        <x:f>IF(OR(L88="",M88=""),"",M88-L88)</x:f>
      </x:c>
      <x:c r="O88" s="137" t="str"/>
      <x:c r="P88" s="137" t="str"/>
      <x:c r="Q88" s="137" t="str"/>
      <x:c r="R88" s="137" t="str"/>
      <x:c r="S88" s="137" t="str"/>
      <x:c r="T88" s="137" t="str"/>
      <x:c r="U88" s="137" t="str"/>
      <x:c r="V88" s="137" t="str"/>
    </x:row>
    <x:row r="89">
      <x:c r="A89" s="137" t="str"/>
      <x:c r="B89" s="199" t="str"/>
      <x:c r="C89" s="137" t="str"/>
      <x:c r="D89" s="137" t="str"/>
      <x:c r="E89" s="137" t="str"/>
      <x:c r="F89" s="137" t="str"/>
      <x:c r="G89" s="137" t="str"/>
      <x:c r="H89" s="137" t="str"/>
      <x:c r="I89" s="137" t="str"/>
      <x:c r="J89" s="137" t="str"/>
      <x:c r="K89" s="137" t="str"/>
      <x:c r="L89" s="138" t="str"/>
      <x:c r="M89" s="138" t="str"/>
      <x:c r="N89" s="196" t="str">
        <x:f>IF(OR(L89="",M89=""),"",M89-L89)</x:f>
      </x:c>
      <x:c r="O89" s="137" t="str"/>
      <x:c r="P89" s="137" t="str"/>
      <x:c r="Q89" s="137" t="str"/>
      <x:c r="R89" s="137" t="str"/>
      <x:c r="S89" s="137" t="str"/>
      <x:c r="T89" s="137" t="str"/>
      <x:c r="U89" s="137" t="str"/>
      <x:c r="V89" s="137" t="str"/>
    </x:row>
    <x:row r="90">
      <x:c r="A90" s="137" t="str"/>
      <x:c r="B90" s="199" t="str"/>
      <x:c r="C90" s="137" t="str"/>
      <x:c r="D90" s="137" t="str"/>
      <x:c r="E90" s="137" t="str"/>
      <x:c r="F90" s="137" t="str"/>
      <x:c r="G90" s="137" t="str"/>
      <x:c r="H90" s="137" t="str"/>
      <x:c r="I90" s="137" t="str"/>
      <x:c r="J90" s="137" t="str"/>
      <x:c r="K90" s="137" t="str"/>
      <x:c r="L90" s="138" t="str"/>
      <x:c r="M90" s="138" t="str"/>
      <x:c r="N90" s="196" t="str">
        <x:f>IF(OR(L90="",M90=""),"",M90-L90)</x:f>
      </x:c>
      <x:c r="O90" s="137" t="str"/>
      <x:c r="P90" s="137" t="str"/>
      <x:c r="Q90" s="137" t="str"/>
      <x:c r="R90" s="137" t="str"/>
      <x:c r="S90" s="137" t="str"/>
      <x:c r="T90" s="137" t="str"/>
      <x:c r="U90" s="137" t="str"/>
      <x:c r="V90" s="137" t="str"/>
    </x:row>
    <x:row r="91">
      <x:c r="A91" s="137" t="str"/>
      <x:c r="B91" s="199" t="str"/>
      <x:c r="C91" s="137" t="str"/>
      <x:c r="D91" s="137" t="str"/>
      <x:c r="E91" s="137" t="str"/>
      <x:c r="F91" s="137" t="str"/>
      <x:c r="G91" s="137" t="str"/>
      <x:c r="H91" s="137" t="str"/>
      <x:c r="I91" s="137" t="str"/>
      <x:c r="J91" s="137" t="str"/>
      <x:c r="K91" s="137" t="str"/>
      <x:c r="L91" s="138" t="str"/>
      <x:c r="M91" s="138" t="str"/>
      <x:c r="N91" s="196" t="str">
        <x:f>IF(OR(L91="",M91=""),"",M91-L91)</x:f>
      </x:c>
      <x:c r="O91" s="137" t="str"/>
      <x:c r="P91" s="137" t="str"/>
      <x:c r="Q91" s="137" t="str"/>
      <x:c r="R91" s="137" t="str"/>
      <x:c r="S91" s="137" t="str"/>
      <x:c r="T91" s="137" t="str"/>
      <x:c r="U91" s="137" t="str"/>
      <x:c r="V91" s="137" t="str"/>
    </x:row>
    <x:row r="92">
      <x:c r="A92" s="137" t="str"/>
      <x:c r="B92" s="199" t="str"/>
      <x:c r="C92" s="137" t="str"/>
      <x:c r="D92" s="137" t="str"/>
      <x:c r="E92" s="137" t="str"/>
      <x:c r="F92" s="137" t="str"/>
      <x:c r="G92" s="137" t="str"/>
      <x:c r="H92" s="137" t="str"/>
      <x:c r="I92" s="137" t="str"/>
      <x:c r="J92" s="137" t="str"/>
      <x:c r="K92" s="137" t="str"/>
      <x:c r="L92" s="138" t="str"/>
      <x:c r="M92" s="138" t="str"/>
      <x:c r="N92" s="196" t="str">
        <x:f>IF(OR(L92="",M92=""),"",M92-L92)</x:f>
      </x:c>
      <x:c r="O92" s="137" t="str"/>
      <x:c r="P92" s="137" t="str"/>
      <x:c r="Q92" s="137" t="str"/>
      <x:c r="R92" s="137" t="str"/>
      <x:c r="S92" s="137" t="str"/>
      <x:c r="T92" s="137" t="str"/>
      <x:c r="U92" s="137" t="str"/>
      <x:c r="V92" s="137" t="str"/>
    </x:row>
    <x:row r="93">
      <x:c r="A93" s="137" t="str"/>
      <x:c r="B93" s="199" t="str"/>
      <x:c r="C93" s="137" t="str"/>
      <x:c r="D93" s="137" t="str"/>
      <x:c r="E93" s="137" t="str"/>
      <x:c r="F93" s="137" t="str"/>
      <x:c r="G93" s="137" t="str"/>
      <x:c r="H93" s="137" t="str"/>
      <x:c r="I93" s="137" t="str"/>
      <x:c r="J93" s="137" t="str"/>
      <x:c r="K93" s="137" t="str"/>
      <x:c r="L93" s="138" t="str"/>
      <x:c r="M93" s="138" t="str"/>
      <x:c r="N93" s="196" t="str">
        <x:f>IF(OR(L93="",M93=""),"",M93-L93)</x:f>
      </x:c>
      <x:c r="O93" s="137" t="str"/>
      <x:c r="P93" s="137" t="str"/>
      <x:c r="Q93" s="137" t="str"/>
      <x:c r="R93" s="137" t="str"/>
      <x:c r="S93" s="137" t="str"/>
      <x:c r="T93" s="137" t="str"/>
      <x:c r="U93" s="137" t="str"/>
      <x:c r="V93" s="137" t="str"/>
    </x:row>
    <x:row r="94">
      <x:c r="A94" s="137" t="str"/>
      <x:c r="B94" s="199" t="str"/>
      <x:c r="C94" s="137" t="str"/>
      <x:c r="D94" s="137" t="str"/>
      <x:c r="E94" s="137" t="str"/>
      <x:c r="F94" s="137" t="str"/>
      <x:c r="G94" s="137" t="str"/>
      <x:c r="H94" s="137" t="str"/>
      <x:c r="I94" s="137" t="str"/>
      <x:c r="J94" s="137" t="str"/>
      <x:c r="K94" s="137" t="str"/>
      <x:c r="L94" s="138" t="str"/>
      <x:c r="M94" s="138" t="str"/>
      <x:c r="N94" s="196" t="str">
        <x:f>IF(OR(L94="",M94=""),"",M94-L94)</x:f>
      </x:c>
      <x:c r="O94" s="137" t="str"/>
      <x:c r="P94" s="137" t="str"/>
      <x:c r="Q94" s="137" t="str"/>
      <x:c r="R94" s="137" t="str"/>
      <x:c r="S94" s="137" t="str"/>
      <x:c r="T94" s="137" t="str"/>
      <x:c r="U94" s="137" t="str"/>
      <x:c r="V94" s="137" t="str"/>
    </x:row>
    <x:row r="95">
      <x:c r="A95" s="137" t="str"/>
      <x:c r="B95" s="199" t="str"/>
      <x:c r="C95" s="137" t="str"/>
      <x:c r="D95" s="137" t="str"/>
      <x:c r="E95" s="137" t="str"/>
      <x:c r="F95" s="137" t="str"/>
      <x:c r="G95" s="137" t="str"/>
      <x:c r="H95" s="137" t="str"/>
      <x:c r="I95" s="137" t="str"/>
      <x:c r="J95" s="137" t="str"/>
      <x:c r="K95" s="137" t="str"/>
      <x:c r="L95" s="138" t="str"/>
      <x:c r="M95" s="138" t="str"/>
      <x:c r="N95" s="196" t="str">
        <x:f>IF(OR(L95="",M95=""),"",M95-L95)</x:f>
      </x:c>
      <x:c r="O95" s="137" t="str"/>
      <x:c r="P95" s="137" t="str"/>
      <x:c r="Q95" s="137" t="str"/>
      <x:c r="R95" s="137" t="str"/>
      <x:c r="S95" s="137" t="str"/>
      <x:c r="T95" s="137" t="str"/>
      <x:c r="U95" s="137" t="str"/>
      <x:c r="V95" s="137" t="str"/>
    </x:row>
    <x:row r="96">
      <x:c r="A96" s="137" t="str"/>
      <x:c r="B96" s="199" t="str"/>
      <x:c r="C96" s="137" t="str"/>
      <x:c r="D96" s="137" t="str"/>
      <x:c r="E96" s="137" t="str"/>
      <x:c r="F96" s="137" t="str"/>
      <x:c r="G96" s="137" t="str"/>
      <x:c r="H96" s="137" t="str"/>
      <x:c r="I96" s="137" t="str"/>
      <x:c r="J96" s="137" t="str"/>
      <x:c r="K96" s="137" t="str"/>
      <x:c r="L96" s="138" t="str"/>
      <x:c r="M96" s="138" t="str"/>
      <x:c r="N96" s="196" t="str">
        <x:f>IF(OR(L96="",M96=""),"",M96-L96)</x:f>
      </x:c>
      <x:c r="O96" s="137" t="str"/>
      <x:c r="P96" s="137" t="str"/>
      <x:c r="Q96" s="137" t="str"/>
      <x:c r="R96" s="137" t="str"/>
      <x:c r="S96" s="137" t="str"/>
      <x:c r="T96" s="137" t="str"/>
      <x:c r="U96" s="137" t="str"/>
      <x:c r="V96" s="137" t="str"/>
    </x:row>
    <x:row r="97">
      <x:c r="A97" s="137" t="str"/>
      <x:c r="B97" s="199" t="str"/>
      <x:c r="C97" s="137" t="str"/>
      <x:c r="D97" s="137" t="str"/>
      <x:c r="E97" s="137" t="str"/>
      <x:c r="F97" s="137" t="str"/>
      <x:c r="G97" s="137" t="str"/>
      <x:c r="H97" s="137" t="str"/>
      <x:c r="I97" s="137" t="str"/>
      <x:c r="J97" s="137" t="str"/>
      <x:c r="K97" s="137" t="str"/>
      <x:c r="L97" s="138" t="str"/>
      <x:c r="M97" s="138" t="str"/>
      <x:c r="N97" s="196" t="str">
        <x:f>IF(OR(L97="",M97=""),"",M97-L97)</x:f>
      </x:c>
      <x:c r="O97" s="137" t="str"/>
      <x:c r="P97" s="137" t="str"/>
      <x:c r="Q97" s="137" t="str"/>
      <x:c r="R97" s="137" t="str"/>
      <x:c r="S97" s="137" t="str"/>
      <x:c r="T97" s="137" t="str"/>
      <x:c r="U97" s="137" t="str"/>
      <x:c r="V97" s="137" t="str"/>
    </x:row>
    <x:row r="98">
      <x:c r="A98" s="137" t="str"/>
      <x:c r="B98" s="199" t="str"/>
      <x:c r="C98" s="137" t="str"/>
      <x:c r="D98" s="137" t="str"/>
      <x:c r="E98" s="137" t="str"/>
      <x:c r="F98" s="137" t="str"/>
      <x:c r="G98" s="137" t="str"/>
      <x:c r="H98" s="137" t="str"/>
      <x:c r="I98" s="137" t="str"/>
      <x:c r="J98" s="137" t="str"/>
      <x:c r="K98" s="137" t="str"/>
      <x:c r="L98" s="138" t="str"/>
      <x:c r="M98" s="138" t="str"/>
      <x:c r="N98" s="196" t="str">
        <x:f>IF(OR(L98="",M98=""),"",M98-L98)</x:f>
      </x:c>
      <x:c r="O98" s="137" t="str"/>
      <x:c r="P98" s="137" t="str"/>
      <x:c r="Q98" s="137" t="str"/>
      <x:c r="R98" s="137" t="str"/>
      <x:c r="S98" s="137" t="str"/>
      <x:c r="T98" s="137" t="str"/>
      <x:c r="U98" s="137" t="str"/>
      <x:c r="V98" s="137" t="str"/>
    </x:row>
    <x:row r="99">
      <x:c r="A99" s="137" t="str"/>
      <x:c r="B99" s="199" t="str"/>
      <x:c r="C99" s="137" t="str"/>
      <x:c r="D99" s="137" t="str"/>
      <x:c r="E99" s="137" t="str"/>
      <x:c r="F99" s="137" t="str"/>
      <x:c r="G99" s="137" t="str"/>
      <x:c r="H99" s="137" t="str"/>
      <x:c r="I99" s="137" t="str"/>
      <x:c r="J99" s="137" t="str"/>
      <x:c r="K99" s="137" t="str"/>
      <x:c r="L99" s="138" t="str"/>
      <x:c r="M99" s="138" t="str"/>
      <x:c r="N99" s="196" t="str">
        <x:f>IF(OR(L99="",M99=""),"",M99-L99)</x:f>
      </x:c>
      <x:c r="O99" s="137" t="str"/>
      <x:c r="P99" s="137" t="str"/>
      <x:c r="Q99" s="137" t="str"/>
      <x:c r="R99" s="137" t="str"/>
      <x:c r="S99" s="137" t="str"/>
      <x:c r="T99" s="137" t="str"/>
      <x:c r="U99" s="137" t="str"/>
      <x:c r="V99" s="137" t="str"/>
    </x:row>
    <x:row r="100">
      <x:c r="A100" s="137" t="str"/>
      <x:c r="B100" s="199" t="str"/>
      <x:c r="C100" s="137" t="str"/>
      <x:c r="D100" s="137" t="str"/>
      <x:c r="E100" s="137" t="str"/>
      <x:c r="F100" s="137" t="str"/>
      <x:c r="G100" s="137" t="str"/>
      <x:c r="H100" s="137" t="str"/>
      <x:c r="I100" s="137" t="str"/>
      <x:c r="J100" s="137" t="str"/>
      <x:c r="K100" s="137" t="str"/>
      <x:c r="L100" s="138" t="str"/>
      <x:c r="M100" s="138" t="str"/>
      <x:c r="N100" s="196" t="str">
        <x:f>IF(OR(L100="",M100=""),"",M100-L100)</x:f>
      </x:c>
      <x:c r="O100" s="137" t="str"/>
      <x:c r="P100" s="137" t="str"/>
      <x:c r="Q100" s="137" t="str"/>
      <x:c r="R100" s="137" t="str"/>
      <x:c r="S100" s="137" t="str"/>
      <x:c r="T100" s="137" t="str"/>
      <x:c r="U100" s="137" t="str"/>
      <x:c r="V100" s="137" t="str"/>
    </x:row>
    <x:row r="101">
      <x:c r="A101" s="137" t="str"/>
      <x:c r="B101" s="199" t="str"/>
      <x:c r="C101" s="137" t="str"/>
      <x:c r="D101" s="137" t="str"/>
      <x:c r="E101" s="137" t="str"/>
      <x:c r="F101" s="137" t="str"/>
      <x:c r="G101" s="137" t="str"/>
      <x:c r="H101" s="137" t="str"/>
      <x:c r="I101" s="137" t="str"/>
      <x:c r="J101" s="137" t="str"/>
      <x:c r="K101" s="137" t="str"/>
      <x:c r="L101" s="138" t="str"/>
      <x:c r="M101" s="138" t="str"/>
      <x:c r="N101" s="196" t="str">
        <x:f>IF(OR(L101="",M101=""),"",M101-L101)</x:f>
      </x:c>
      <x:c r="O101" s="137" t="str"/>
      <x:c r="P101" s="137" t="str"/>
      <x:c r="Q101" s="137" t="str"/>
      <x:c r="R101" s="137" t="str"/>
      <x:c r="S101" s="137" t="str"/>
      <x:c r="T101" s="137" t="str"/>
      <x:c r="U101" s="137" t="str"/>
      <x:c r="V101" s="137" t="str"/>
    </x:row>
    <x:row r="102">
      <x:c r="A102" s="137" t="str"/>
      <x:c r="B102" s="199" t="str"/>
      <x:c r="C102" s="137" t="str"/>
      <x:c r="D102" s="137" t="str"/>
      <x:c r="E102" s="137" t="str"/>
      <x:c r="F102" s="137" t="str"/>
      <x:c r="G102" s="137" t="str"/>
      <x:c r="H102" s="137" t="str"/>
      <x:c r="I102" s="137" t="str"/>
      <x:c r="J102" s="137" t="str"/>
      <x:c r="K102" s="137" t="str"/>
      <x:c r="L102" s="138" t="str"/>
      <x:c r="M102" s="138" t="str"/>
      <x:c r="N102" s="196" t="str">
        <x:f>IF(OR(L102="",M102=""),"",M102-L102)</x:f>
      </x:c>
      <x:c r="O102" s="137" t="str"/>
      <x:c r="P102" s="137" t="str"/>
      <x:c r="Q102" s="137" t="str"/>
      <x:c r="R102" s="137" t="str"/>
      <x:c r="S102" s="137" t="str"/>
      <x:c r="T102" s="137" t="str"/>
      <x:c r="U102" s="137" t="str"/>
      <x:c r="V102" s="137" t="str"/>
    </x:row>
    <x:row r="103">
      <x:c r="A103" s="137" t="str"/>
      <x:c r="B103" s="199" t="str"/>
      <x:c r="C103" s="137" t="str"/>
      <x:c r="D103" s="137" t="str"/>
      <x:c r="E103" s="137" t="str"/>
      <x:c r="F103" s="137" t="str"/>
      <x:c r="G103" s="137" t="str"/>
      <x:c r="H103" s="137" t="str"/>
      <x:c r="I103" s="137" t="str"/>
      <x:c r="J103" s="137" t="str"/>
      <x:c r="K103" s="137" t="str"/>
      <x:c r="L103" s="138" t="str"/>
      <x:c r="M103" s="138" t="str"/>
      <x:c r="N103" s="196" t="str">
        <x:f>IF(OR(L103="",M103=""),"",M103-L103)</x:f>
      </x:c>
      <x:c r="O103" s="137" t="str"/>
      <x:c r="P103" s="137" t="str"/>
      <x:c r="Q103" s="137" t="str"/>
      <x:c r="R103" s="137" t="str"/>
      <x:c r="S103" s="137" t="str"/>
      <x:c r="T103" s="137" t="str"/>
      <x:c r="U103" s="137" t="str"/>
      <x:c r="V103" s="137" t="str"/>
    </x:row>
    <x:row r="104">
      <x:c r="A104" s="137" t="str"/>
      <x:c r="B104" s="199" t="str"/>
      <x:c r="C104" s="137" t="str"/>
      <x:c r="D104" s="137" t="str"/>
      <x:c r="E104" s="137" t="str"/>
      <x:c r="F104" s="137" t="str"/>
      <x:c r="G104" s="137" t="str"/>
      <x:c r="H104" s="137" t="str"/>
      <x:c r="I104" s="137" t="str"/>
      <x:c r="J104" s="137" t="str"/>
      <x:c r="K104" s="137" t="str"/>
      <x:c r="L104" s="138" t="str"/>
      <x:c r="M104" s="138" t="str"/>
      <x:c r="N104" s="196" t="str">
        <x:f>IF(OR(L104="",M104=""),"",M104-L104)</x:f>
      </x:c>
      <x:c r="O104" s="137" t="str"/>
      <x:c r="P104" s="137" t="str"/>
      <x:c r="Q104" s="137" t="str"/>
      <x:c r="R104" s="137" t="str"/>
      <x:c r="S104" s="137" t="str"/>
      <x:c r="T104" s="137" t="str"/>
      <x:c r="U104" s="137" t="str"/>
      <x:c r="V104" s="137" t="str"/>
    </x:row>
    <x:row r="105">
      <x:c r="A105" s="137" t="str"/>
      <x:c r="B105" s="199" t="str"/>
      <x:c r="C105" s="137" t="str"/>
      <x:c r="D105" s="137" t="str"/>
      <x:c r="E105" s="137" t="str"/>
      <x:c r="F105" s="137" t="str"/>
      <x:c r="G105" s="137" t="str"/>
      <x:c r="H105" s="137" t="str"/>
      <x:c r="I105" s="137" t="str"/>
      <x:c r="J105" s="137" t="str"/>
      <x:c r="K105" s="137" t="str"/>
      <x:c r="L105" s="138" t="str"/>
      <x:c r="M105" s="138" t="str"/>
      <x:c r="N105" s="196" t="str">
        <x:f>IF(OR(L105="",M105=""),"",M105-L105)</x:f>
      </x:c>
      <x:c r="O105" s="137" t="str"/>
      <x:c r="P105" s="137" t="str"/>
      <x:c r="Q105" s="137" t="str"/>
      <x:c r="R105" s="137" t="str"/>
      <x:c r="S105" s="137" t="str"/>
      <x:c r="T105" s="137" t="str"/>
      <x:c r="U105" s="137" t="str"/>
      <x:c r="V105" s="137" t="str"/>
    </x:row>
    <x:row r="106">
      <x:c r="A106" s="137" t="str"/>
      <x:c r="B106" s="199" t="str"/>
      <x:c r="C106" s="137" t="str"/>
      <x:c r="D106" s="137" t="str"/>
      <x:c r="E106" s="137" t="str"/>
      <x:c r="F106" s="137" t="str"/>
      <x:c r="G106" s="137" t="str"/>
      <x:c r="H106" s="137" t="str"/>
      <x:c r="I106" s="137" t="str"/>
      <x:c r="J106" s="137" t="str"/>
      <x:c r="K106" s="137" t="str"/>
      <x:c r="L106" s="138" t="str"/>
      <x:c r="M106" s="138" t="str"/>
      <x:c r="N106" s="196" t="str">
        <x:f>IF(OR(L106="",M106=""),"",M106-L106)</x:f>
      </x:c>
      <x:c r="O106" s="137" t="str"/>
      <x:c r="P106" s="137" t="str"/>
      <x:c r="Q106" s="137" t="str"/>
      <x:c r="R106" s="137" t="str"/>
      <x:c r="S106" s="137" t="str"/>
      <x:c r="T106" s="137" t="str"/>
      <x:c r="U106" s="137" t="str"/>
      <x:c r="V106" s="137" t="str"/>
    </x:row>
    <x:row r="107">
      <x:c r="A107" s="137" t="str"/>
      <x:c r="B107" s="199" t="str"/>
      <x:c r="C107" s="137" t="str"/>
      <x:c r="D107" s="137" t="str"/>
      <x:c r="E107" s="137" t="str"/>
      <x:c r="F107" s="137" t="str"/>
      <x:c r="G107" s="137" t="str"/>
      <x:c r="H107" s="137" t="str"/>
      <x:c r="I107" s="137" t="str"/>
      <x:c r="J107" s="137" t="str"/>
      <x:c r="K107" s="137" t="str"/>
      <x:c r="L107" s="138" t="str"/>
      <x:c r="M107" s="138" t="str"/>
      <x:c r="N107" s="196" t="str">
        <x:f>IF(OR(L107="",M107=""),"",M107-L107)</x:f>
      </x:c>
      <x:c r="O107" s="137" t="str"/>
      <x:c r="P107" s="137" t="str"/>
      <x:c r="Q107" s="137" t="str"/>
      <x:c r="R107" s="137" t="str"/>
      <x:c r="S107" s="137" t="str"/>
      <x:c r="T107" s="137" t="str"/>
      <x:c r="U107" s="137" t="str"/>
      <x:c r="V107" s="137" t="str"/>
    </x:row>
    <x:row r="108">
      <x:c r="A108" s="137" t="str"/>
      <x:c r="B108" s="199" t="str"/>
      <x:c r="C108" s="137" t="str"/>
      <x:c r="D108" s="137" t="str"/>
      <x:c r="E108" s="137" t="str"/>
      <x:c r="F108" s="137" t="str"/>
      <x:c r="G108" s="137" t="str"/>
      <x:c r="H108" s="137" t="str"/>
      <x:c r="I108" s="137" t="str"/>
      <x:c r="J108" s="137" t="str"/>
      <x:c r="K108" s="137" t="str"/>
      <x:c r="L108" s="138" t="str"/>
      <x:c r="M108" s="138" t="str"/>
      <x:c r="N108" s="196" t="str">
        <x:f>IF(OR(L108="",M108=""),"",M108-L108)</x:f>
      </x:c>
      <x:c r="O108" s="137" t="str"/>
      <x:c r="P108" s="137" t="str"/>
      <x:c r="Q108" s="137" t="str"/>
      <x:c r="R108" s="137" t="str"/>
      <x:c r="S108" s="137" t="str"/>
      <x:c r="T108" s="137" t="str"/>
      <x:c r="U108" s="137" t="str"/>
      <x:c r="V108" s="137" t="str"/>
    </x:row>
    <x:row r="109">
      <x:c r="A109" s="137" t="str"/>
      <x:c r="B109" s="199" t="str"/>
      <x:c r="C109" s="137" t="str"/>
      <x:c r="D109" s="137" t="str"/>
      <x:c r="E109" s="137" t="str"/>
      <x:c r="F109" s="137" t="str"/>
      <x:c r="G109" s="137" t="str"/>
      <x:c r="H109" s="137" t="str"/>
      <x:c r="I109" s="137" t="str"/>
      <x:c r="J109" s="137" t="str"/>
      <x:c r="K109" s="137" t="str"/>
      <x:c r="L109" s="138" t="str"/>
      <x:c r="M109" s="138" t="str"/>
      <x:c r="N109" s="196" t="str">
        <x:f>IF(OR(L109="",M109=""),"",M109-L109)</x:f>
      </x:c>
      <x:c r="O109" s="137" t="str"/>
      <x:c r="P109" s="137" t="str"/>
      <x:c r="Q109" s="137" t="str"/>
      <x:c r="R109" s="137" t="str"/>
      <x:c r="S109" s="137" t="str"/>
      <x:c r="T109" s="137" t="str"/>
      <x:c r="U109" s="137" t="str"/>
      <x:c r="V109" s="137" t="str"/>
    </x:row>
    <x:row r="110">
      <x:c r="A110" s="137" t="str"/>
      <x:c r="B110" s="199" t="str"/>
      <x:c r="C110" s="137" t="str"/>
      <x:c r="D110" s="137" t="str"/>
      <x:c r="E110" s="137" t="str"/>
      <x:c r="F110" s="137" t="str"/>
      <x:c r="G110" s="137" t="str"/>
      <x:c r="H110" s="137" t="str"/>
      <x:c r="I110" s="137" t="str"/>
      <x:c r="J110" s="137" t="str"/>
      <x:c r="K110" s="137" t="str"/>
      <x:c r="L110" s="138" t="str"/>
      <x:c r="M110" s="138" t="str"/>
      <x:c r="N110" s="196" t="str">
        <x:f>IF(OR(L110="",M110=""),"",M110-L110)</x:f>
      </x:c>
      <x:c r="O110" s="137" t="str"/>
      <x:c r="P110" s="137" t="str"/>
      <x:c r="Q110" s="137" t="str"/>
      <x:c r="R110" s="137" t="str"/>
      <x:c r="S110" s="137" t="str"/>
      <x:c r="T110" s="137" t="str"/>
      <x:c r="U110" s="137" t="str"/>
      <x:c r="V110" s="137" t="str"/>
    </x:row>
    <x:row r="111">
      <x:c r="A111" s="137" t="str"/>
      <x:c r="B111" s="199" t="str"/>
      <x:c r="C111" s="137" t="str"/>
      <x:c r="D111" s="137" t="str"/>
      <x:c r="E111" s="137" t="str"/>
      <x:c r="F111" s="137" t="str"/>
      <x:c r="G111" s="137" t="str"/>
      <x:c r="H111" s="137" t="str"/>
      <x:c r="I111" s="137" t="str"/>
      <x:c r="J111" s="137" t="str"/>
      <x:c r="K111" s="137" t="str"/>
      <x:c r="L111" s="138" t="str"/>
      <x:c r="M111" s="138" t="str"/>
      <x:c r="N111" s="196" t="str">
        <x:f>IF(OR(L111="",M111=""),"",M111-L111)</x:f>
      </x:c>
      <x:c r="O111" s="137" t="str"/>
      <x:c r="P111" s="137" t="str"/>
      <x:c r="Q111" s="137" t="str"/>
      <x:c r="R111" s="137" t="str"/>
      <x:c r="S111" s="137" t="str"/>
      <x:c r="T111" s="137" t="str"/>
      <x:c r="U111" s="137" t="str"/>
      <x:c r="V111" s="137" t="str"/>
    </x:row>
    <x:row r="112">
      <x:c r="A112" s="137" t="str"/>
      <x:c r="B112" s="199" t="str"/>
      <x:c r="C112" s="137" t="str"/>
      <x:c r="D112" s="137" t="str"/>
      <x:c r="E112" s="137" t="str"/>
      <x:c r="F112" s="137" t="str"/>
      <x:c r="G112" s="137" t="str"/>
      <x:c r="H112" s="137" t="str"/>
      <x:c r="I112" s="137" t="str"/>
      <x:c r="J112" s="137" t="str"/>
      <x:c r="K112" s="137" t="str"/>
      <x:c r="L112" s="138" t="str"/>
      <x:c r="M112" s="138" t="str"/>
      <x:c r="N112" s="196" t="str">
        <x:f>IF(OR(L112="",M112=""),"",M112-L112)</x:f>
      </x:c>
      <x:c r="O112" s="137" t="str"/>
      <x:c r="P112" s="137" t="str"/>
      <x:c r="Q112" s="137" t="str"/>
      <x:c r="R112" s="137" t="str"/>
      <x:c r="S112" s="137" t="str"/>
      <x:c r="T112" s="137" t="str"/>
      <x:c r="U112" s="137" t="str"/>
      <x:c r="V112" s="137" t="str"/>
    </x:row>
    <x:row r="113">
      <x:c r="A113" s="137" t="str"/>
      <x:c r="B113" s="199" t="str"/>
      <x:c r="C113" s="137" t="str"/>
      <x:c r="D113" s="137" t="str"/>
      <x:c r="E113" s="137" t="str"/>
      <x:c r="F113" s="137" t="str"/>
      <x:c r="G113" s="137" t="str"/>
      <x:c r="H113" s="137" t="str"/>
      <x:c r="I113" s="137" t="str"/>
      <x:c r="J113" s="137" t="str"/>
      <x:c r="K113" s="137" t="str"/>
      <x:c r="L113" s="138" t="str"/>
      <x:c r="M113" s="138" t="str"/>
      <x:c r="N113" s="196" t="str">
        <x:f>IF(OR(L113="",M113=""),"",M113-L113)</x:f>
      </x:c>
      <x:c r="O113" s="137" t="str"/>
      <x:c r="P113" s="137" t="str"/>
      <x:c r="Q113" s="137" t="str"/>
      <x:c r="R113" s="137" t="str"/>
      <x:c r="S113" s="137" t="str"/>
      <x:c r="T113" s="137" t="str"/>
      <x:c r="U113" s="137" t="str"/>
      <x:c r="V113" s="137" t="str"/>
    </x:row>
    <x:row r="114">
      <x:c r="A114" s="137" t="str"/>
      <x:c r="B114" s="199" t="str"/>
      <x:c r="C114" s="137" t="str"/>
      <x:c r="D114" s="137" t="str"/>
      <x:c r="E114" s="137" t="str"/>
      <x:c r="F114" s="137" t="str"/>
      <x:c r="G114" s="137" t="str"/>
      <x:c r="H114" s="137" t="str"/>
      <x:c r="I114" s="137" t="str"/>
      <x:c r="J114" s="137" t="str"/>
      <x:c r="K114" s="137" t="str"/>
      <x:c r="L114" s="138" t="str"/>
      <x:c r="M114" s="138" t="str"/>
      <x:c r="N114" s="196" t="str">
        <x:f>IF(OR(L114="",M114=""),"",M114-L114)</x:f>
      </x:c>
      <x:c r="O114" s="137" t="str"/>
      <x:c r="P114" s="137" t="str"/>
      <x:c r="Q114" s="137" t="str"/>
      <x:c r="R114" s="137" t="str"/>
      <x:c r="S114" s="137" t="str"/>
      <x:c r="T114" s="137" t="str"/>
      <x:c r="U114" s="137" t="str"/>
      <x:c r="V114" s="137" t="str"/>
    </x:row>
    <x:row r="115">
      <x:c r="A115" s="137" t="str"/>
      <x:c r="B115" s="199" t="str"/>
      <x:c r="C115" s="137" t="str"/>
      <x:c r="D115" s="137" t="str"/>
      <x:c r="E115" s="137" t="str"/>
      <x:c r="F115" s="137" t="str"/>
      <x:c r="G115" s="137" t="str"/>
      <x:c r="H115" s="137" t="str"/>
      <x:c r="I115" s="137" t="str"/>
      <x:c r="J115" s="137" t="str"/>
      <x:c r="K115" s="137" t="str"/>
      <x:c r="L115" s="138" t="str"/>
      <x:c r="M115" s="138" t="str"/>
      <x:c r="N115" s="196" t="str">
        <x:f>IF(OR(L115="",M115=""),"",M115-L115)</x:f>
      </x:c>
      <x:c r="O115" s="137" t="str"/>
      <x:c r="P115" s="137" t="str"/>
      <x:c r="Q115" s="137" t="str"/>
      <x:c r="R115" s="137" t="str"/>
      <x:c r="S115" s="137" t="str"/>
      <x:c r="T115" s="137" t="str"/>
      <x:c r="U115" s="137" t="str"/>
      <x:c r="V115" s="137" t="str"/>
    </x:row>
    <x:row r="116">
      <x:c r="A116" s="137" t="str"/>
      <x:c r="B116" s="199" t="str"/>
      <x:c r="C116" s="137" t="str"/>
      <x:c r="D116" s="137" t="str"/>
      <x:c r="E116" s="137" t="str"/>
      <x:c r="F116" s="137" t="str"/>
      <x:c r="G116" s="137" t="str"/>
      <x:c r="H116" s="137" t="str"/>
      <x:c r="I116" s="137" t="str"/>
      <x:c r="J116" s="137" t="str"/>
      <x:c r="K116" s="137" t="str"/>
      <x:c r="L116" s="138" t="str"/>
      <x:c r="M116" s="138" t="str"/>
      <x:c r="N116" s="196" t="str">
        <x:f>IF(OR(L116="",M116=""),"",M116-L116)</x:f>
      </x:c>
      <x:c r="O116" s="137" t="str"/>
      <x:c r="P116" s="137" t="str"/>
      <x:c r="Q116" s="137" t="str"/>
      <x:c r="R116" s="137" t="str"/>
      <x:c r="S116" s="137" t="str"/>
      <x:c r="T116" s="137" t="str"/>
      <x:c r="U116" s="137" t="str"/>
      <x:c r="V116" s="137" t="str"/>
    </x:row>
    <x:row r="117">
      <x:c r="A117" s="137" t="str"/>
      <x:c r="B117" s="199" t="str"/>
      <x:c r="C117" s="137" t="str"/>
      <x:c r="D117" s="137" t="str"/>
      <x:c r="E117" s="137" t="str"/>
      <x:c r="F117" s="137" t="str"/>
      <x:c r="G117" s="137" t="str"/>
      <x:c r="H117" s="137" t="str"/>
      <x:c r="I117" s="137" t="str"/>
      <x:c r="J117" s="137" t="str"/>
      <x:c r="K117" s="137" t="str"/>
      <x:c r="L117" s="138" t="str"/>
      <x:c r="M117" s="138" t="str"/>
      <x:c r="N117" s="196" t="str">
        <x:f>IF(OR(L117="",M117=""),"",M117-L117)</x:f>
      </x:c>
      <x:c r="O117" s="137" t="str"/>
      <x:c r="P117" s="137" t="str"/>
      <x:c r="Q117" s="137" t="str"/>
      <x:c r="R117" s="137" t="str"/>
      <x:c r="S117" s="137" t="str"/>
      <x:c r="T117" s="137" t="str"/>
      <x:c r="U117" s="137" t="str"/>
      <x:c r="V117" s="137" t="str"/>
    </x:row>
    <x:row r="118">
      <x:c r="A118" s="137" t="str"/>
      <x:c r="B118" s="199" t="str"/>
      <x:c r="C118" s="137" t="str"/>
      <x:c r="D118" s="137" t="str"/>
      <x:c r="E118" s="137" t="str"/>
      <x:c r="F118" s="137" t="str"/>
      <x:c r="G118" s="137" t="str"/>
      <x:c r="H118" s="137" t="str"/>
      <x:c r="I118" s="137" t="str"/>
      <x:c r="J118" s="137" t="str"/>
      <x:c r="K118" s="137" t="str"/>
      <x:c r="L118" s="138" t="str"/>
      <x:c r="M118" s="138" t="str"/>
      <x:c r="N118" s="196" t="str">
        <x:f>IF(OR(L118="",M118=""),"",M118-L118)</x:f>
      </x:c>
      <x:c r="O118" s="137" t="str"/>
      <x:c r="P118" s="137" t="str"/>
      <x:c r="Q118" s="137" t="str"/>
      <x:c r="R118" s="137" t="str"/>
      <x:c r="S118" s="137" t="str"/>
      <x:c r="T118" s="137" t="str"/>
      <x:c r="U118" s="137" t="str"/>
      <x:c r="V118" s="137" t="str"/>
    </x:row>
    <x:row r="119">
      <x:c r="A119" s="137" t="str"/>
      <x:c r="B119" s="199" t="str"/>
      <x:c r="C119" s="137" t="str"/>
      <x:c r="D119" s="137" t="str"/>
      <x:c r="E119" s="137" t="str"/>
      <x:c r="F119" s="137" t="str"/>
      <x:c r="G119" s="137" t="str"/>
      <x:c r="H119" s="137" t="str"/>
      <x:c r="I119" s="137" t="str"/>
      <x:c r="J119" s="137" t="str"/>
      <x:c r="K119" s="137" t="str"/>
      <x:c r="L119" s="138" t="str"/>
      <x:c r="M119" s="138" t="str"/>
      <x:c r="N119" s="196" t="str">
        <x:f>IF(OR(L119="",M119=""),"",M119-L119)</x:f>
      </x:c>
      <x:c r="O119" s="137" t="str"/>
      <x:c r="P119" s="137" t="str"/>
      <x:c r="Q119" s="137" t="str"/>
      <x:c r="R119" s="137" t="str"/>
      <x:c r="S119" s="137" t="str"/>
      <x:c r="T119" s="137" t="str"/>
      <x:c r="U119" s="137" t="str"/>
      <x:c r="V119" s="137" t="str"/>
    </x:row>
    <x:row r="120">
      <x:c r="A120" s="137" t="str"/>
      <x:c r="B120" s="199" t="str"/>
      <x:c r="C120" s="137" t="str"/>
      <x:c r="D120" s="137" t="str"/>
      <x:c r="E120" s="137" t="str"/>
      <x:c r="F120" s="137" t="str"/>
      <x:c r="G120" s="137" t="str"/>
      <x:c r="H120" s="137" t="str"/>
      <x:c r="I120" s="137" t="str"/>
      <x:c r="J120" s="137" t="str"/>
      <x:c r="K120" s="137" t="str"/>
      <x:c r="L120" s="138" t="str"/>
      <x:c r="M120" s="138" t="str"/>
      <x:c r="N120" s="196" t="str">
        <x:f>IF(OR(L120="",M120=""),"",M120-L120)</x:f>
      </x:c>
      <x:c r="O120" s="137" t="str"/>
      <x:c r="P120" s="137" t="str"/>
      <x:c r="Q120" s="137" t="str"/>
      <x:c r="R120" s="137" t="str"/>
      <x:c r="S120" s="137" t="str"/>
      <x:c r="T120" s="137" t="str"/>
      <x:c r="U120" s="137" t="str"/>
      <x:c r="V120" s="137" t="str"/>
    </x:row>
    <x:row r="121">
      <x:c r="A121" s="137" t="str"/>
      <x:c r="B121" s="199" t="str"/>
      <x:c r="C121" s="137" t="str"/>
      <x:c r="D121" s="137" t="str"/>
      <x:c r="E121" s="137" t="str"/>
      <x:c r="F121" s="137" t="str"/>
      <x:c r="G121" s="137" t="str"/>
      <x:c r="H121" s="137" t="str"/>
      <x:c r="I121" s="137" t="str"/>
      <x:c r="J121" s="137" t="str"/>
      <x:c r="K121" s="137" t="str"/>
      <x:c r="L121" s="138" t="str"/>
      <x:c r="M121" s="138" t="str"/>
      <x:c r="N121" s="196" t="str">
        <x:f>IF(OR(L121="",M121=""),"",M121-L121)</x:f>
      </x:c>
      <x:c r="O121" s="137" t="str"/>
      <x:c r="P121" s="137" t="str"/>
      <x:c r="Q121" s="137" t="str"/>
      <x:c r="R121" s="137" t="str"/>
      <x:c r="S121" s="137" t="str"/>
      <x:c r="T121" s="137" t="str"/>
      <x:c r="U121" s="137" t="str"/>
      <x:c r="V121" s="137" t="str"/>
    </x:row>
    <x:row r="122">
      <x:c r="A122" s="137" t="str"/>
      <x:c r="B122" s="199" t="str"/>
      <x:c r="C122" s="137" t="str"/>
      <x:c r="D122" s="137" t="str"/>
      <x:c r="E122" s="137" t="str"/>
      <x:c r="F122" s="137" t="str"/>
      <x:c r="G122" s="137" t="str"/>
      <x:c r="H122" s="137" t="str"/>
      <x:c r="I122" s="137" t="str"/>
      <x:c r="J122" s="137" t="str"/>
      <x:c r="K122" s="137" t="str"/>
      <x:c r="L122" s="138" t="str"/>
      <x:c r="M122" s="138" t="str"/>
      <x:c r="N122" s="196" t="str">
        <x:f>IF(OR(L122="",M122=""),"",M122-L122)</x:f>
      </x:c>
      <x:c r="O122" s="137" t="str"/>
      <x:c r="P122" s="137" t="str"/>
      <x:c r="Q122" s="137" t="str"/>
      <x:c r="R122" s="137" t="str"/>
      <x:c r="S122" s="137" t="str"/>
      <x:c r="T122" s="137" t="str"/>
      <x:c r="U122" s="137" t="str"/>
      <x:c r="V122" s="137" t="str"/>
    </x:row>
    <x:row r="123">
      <x:c r="A123" s="137" t="str"/>
      <x:c r="B123" s="199" t="str"/>
      <x:c r="C123" s="137" t="str"/>
      <x:c r="D123" s="137" t="str"/>
      <x:c r="E123" s="137" t="str"/>
      <x:c r="F123" s="137" t="str"/>
      <x:c r="G123" s="137" t="str"/>
      <x:c r="H123" s="137" t="str"/>
      <x:c r="I123" s="137" t="str"/>
      <x:c r="J123" s="137" t="str"/>
      <x:c r="K123" s="137" t="str"/>
      <x:c r="L123" s="138" t="str"/>
      <x:c r="M123" s="138" t="str"/>
      <x:c r="N123" s="196" t="str">
        <x:f>IF(OR(L123="",M123=""),"",M123-L123)</x:f>
      </x:c>
      <x:c r="O123" s="137" t="str"/>
      <x:c r="P123" s="137" t="str"/>
      <x:c r="Q123" s="137" t="str"/>
      <x:c r="R123" s="137" t="str"/>
      <x:c r="S123" s="137" t="str"/>
      <x:c r="T123" s="137" t="str"/>
      <x:c r="U123" s="137" t="str"/>
      <x:c r="V123" s="137" t="str"/>
    </x:row>
    <x:row r="124">
      <x:c r="A124" s="137" t="str"/>
      <x:c r="B124" s="199" t="str"/>
      <x:c r="C124" s="137" t="str"/>
      <x:c r="D124" s="137" t="str"/>
      <x:c r="E124" s="137" t="str"/>
      <x:c r="F124" s="137" t="str"/>
      <x:c r="G124" s="137" t="str"/>
      <x:c r="H124" s="137" t="str"/>
      <x:c r="I124" s="137" t="str"/>
      <x:c r="J124" s="137" t="str"/>
      <x:c r="K124" s="137" t="str"/>
      <x:c r="L124" s="138" t="str"/>
      <x:c r="M124" s="138" t="str"/>
      <x:c r="N124" s="196" t="str">
        <x:f>IF(OR(L124="",M124=""),"",M124-L124)</x:f>
      </x:c>
      <x:c r="O124" s="137" t="str"/>
      <x:c r="P124" s="137" t="str"/>
      <x:c r="Q124" s="137" t="str"/>
      <x:c r="R124" s="137" t="str"/>
      <x:c r="S124" s="137" t="str"/>
      <x:c r="T124" s="137" t="str"/>
      <x:c r="U124" s="137" t="str"/>
      <x:c r="V124" s="137" t="str"/>
    </x:row>
    <x:row r="125">
      <x:c r="A125" s="137" t="str"/>
      <x:c r="B125" s="199" t="str"/>
      <x:c r="C125" s="137" t="str"/>
      <x:c r="D125" s="137" t="str"/>
      <x:c r="E125" s="137" t="str"/>
      <x:c r="F125" s="137" t="str"/>
      <x:c r="G125" s="137" t="str"/>
      <x:c r="H125" s="137" t="str"/>
      <x:c r="I125" s="137" t="str"/>
      <x:c r="J125" s="137" t="str"/>
      <x:c r="K125" s="137" t="str"/>
      <x:c r="L125" s="138" t="str"/>
      <x:c r="M125" s="138" t="str"/>
      <x:c r="N125" s="196" t="str">
        <x:f>IF(OR(L125="",M125=""),"",M125-L125)</x:f>
      </x:c>
      <x:c r="O125" s="137" t="str"/>
      <x:c r="P125" s="137" t="str"/>
      <x:c r="Q125" s="137" t="str"/>
      <x:c r="R125" s="137" t="str"/>
      <x:c r="S125" s="137" t="str"/>
      <x:c r="T125" s="137" t="str"/>
      <x:c r="U125" s="137" t="str"/>
      <x:c r="V125" s="137" t="str"/>
    </x:row>
    <x:row r="126">
      <x:c r="A126" s="137" t="str"/>
      <x:c r="B126" s="199" t="str"/>
      <x:c r="C126" s="137" t="str"/>
      <x:c r="D126" s="137" t="str"/>
      <x:c r="E126" s="137" t="str"/>
      <x:c r="F126" s="137" t="str"/>
      <x:c r="G126" s="137" t="str"/>
      <x:c r="H126" s="137" t="str"/>
      <x:c r="I126" s="137" t="str"/>
      <x:c r="J126" s="137" t="str"/>
      <x:c r="K126" s="137" t="str"/>
      <x:c r="L126" s="138" t="str"/>
      <x:c r="M126" s="138" t="str"/>
      <x:c r="N126" s="196" t="str">
        <x:f>IF(OR(L126="",M126=""),"",M126-L126)</x:f>
      </x:c>
      <x:c r="O126" s="137" t="str"/>
      <x:c r="P126" s="137" t="str"/>
      <x:c r="Q126" s="137" t="str"/>
      <x:c r="R126" s="137" t="str"/>
      <x:c r="S126" s="137" t="str"/>
      <x:c r="T126" s="137" t="str"/>
      <x:c r="U126" s="137" t="str"/>
      <x:c r="V126" s="137" t="str"/>
    </x:row>
    <x:row r="127">
      <x:c r="A127" s="137" t="str"/>
      <x:c r="B127" s="199" t="str"/>
      <x:c r="C127" s="137" t="str"/>
      <x:c r="D127" s="137" t="str"/>
      <x:c r="E127" s="137" t="str"/>
      <x:c r="F127" s="137" t="str"/>
      <x:c r="G127" s="137" t="str"/>
      <x:c r="H127" s="137" t="str"/>
      <x:c r="I127" s="137" t="str"/>
      <x:c r="J127" s="137" t="str"/>
      <x:c r="K127" s="137" t="str"/>
      <x:c r="L127" s="138" t="str"/>
      <x:c r="M127" s="138" t="str"/>
      <x:c r="N127" s="196" t="str">
        <x:f>IF(OR(L127="",M127=""),"",M127-L127)</x:f>
      </x:c>
      <x:c r="O127" s="137" t="str"/>
      <x:c r="P127" s="137" t="str"/>
      <x:c r="Q127" s="137" t="str"/>
      <x:c r="R127" s="137" t="str"/>
      <x:c r="S127" s="137" t="str"/>
      <x:c r="T127" s="137" t="str"/>
      <x:c r="U127" s="137" t="str"/>
      <x:c r="V127" s="137" t="str"/>
    </x:row>
    <x:row r="128">
      <x:c r="A128" s="137" t="str"/>
      <x:c r="B128" s="199" t="str"/>
      <x:c r="C128" s="137" t="str"/>
      <x:c r="D128" s="137" t="str"/>
      <x:c r="E128" s="137" t="str"/>
      <x:c r="F128" s="137" t="str"/>
      <x:c r="G128" s="137" t="str"/>
      <x:c r="H128" s="137" t="str"/>
      <x:c r="I128" s="137" t="str"/>
      <x:c r="J128" s="137" t="str"/>
      <x:c r="K128" s="137" t="str"/>
      <x:c r="L128" s="138" t="str"/>
      <x:c r="M128" s="138" t="str"/>
      <x:c r="N128" s="196" t="str">
        <x:f>IF(OR(L128="",M128=""),"",M128-L128)</x:f>
      </x:c>
      <x:c r="O128" s="137" t="str"/>
      <x:c r="P128" s="137" t="str"/>
      <x:c r="Q128" s="137" t="str"/>
      <x:c r="R128" s="137" t="str"/>
      <x:c r="S128" s="137" t="str"/>
      <x:c r="T128" s="137" t="str"/>
      <x:c r="U128" s="137" t="str"/>
      <x:c r="V128" s="137" t="str"/>
    </x:row>
    <x:row r="129">
      <x:c r="A129" s="137" t="str"/>
      <x:c r="B129" s="199" t="str"/>
      <x:c r="C129" s="137" t="str"/>
      <x:c r="D129" s="137" t="str"/>
      <x:c r="E129" s="137" t="str"/>
      <x:c r="F129" s="137" t="str"/>
      <x:c r="G129" s="137" t="str"/>
      <x:c r="H129" s="137" t="str"/>
      <x:c r="I129" s="137" t="str"/>
      <x:c r="J129" s="137" t="str"/>
      <x:c r="K129" s="137" t="str"/>
      <x:c r="L129" s="138" t="str"/>
      <x:c r="M129" s="138" t="str"/>
      <x:c r="N129" s="196" t="str">
        <x:f>IF(OR(L129="",M129=""),"",M129-L129)</x:f>
      </x:c>
      <x:c r="O129" s="137" t="str"/>
      <x:c r="P129" s="137" t="str"/>
      <x:c r="Q129" s="137" t="str"/>
      <x:c r="R129" s="137" t="str"/>
      <x:c r="S129" s="137" t="str"/>
      <x:c r="T129" s="137" t="str"/>
      <x:c r="U129" s="137" t="str"/>
      <x:c r="V129" s="137" t="str"/>
    </x:row>
    <x:row r="130">
      <x:c r="A130" s="137" t="str"/>
      <x:c r="B130" s="199" t="str"/>
      <x:c r="C130" s="137" t="str"/>
      <x:c r="D130" s="137" t="str"/>
      <x:c r="E130" s="137" t="str"/>
      <x:c r="F130" s="137" t="str"/>
      <x:c r="G130" s="137" t="str"/>
      <x:c r="H130" s="137" t="str"/>
      <x:c r="I130" s="137" t="str"/>
      <x:c r="J130" s="137" t="str"/>
      <x:c r="K130" s="137" t="str"/>
      <x:c r="L130" s="138" t="str"/>
      <x:c r="M130" s="138" t="str"/>
      <x:c r="N130" s="196" t="str">
        <x:f>IF(OR(L130="",M130=""),"",M130-L130)</x:f>
      </x:c>
      <x:c r="O130" s="137" t="str"/>
      <x:c r="P130" s="137" t="str"/>
      <x:c r="Q130" s="137" t="str"/>
      <x:c r="R130" s="137" t="str"/>
      <x:c r="S130" s="137" t="str"/>
      <x:c r="T130" s="137" t="str"/>
      <x:c r="U130" s="137" t="str"/>
      <x:c r="V130" s="137" t="str"/>
    </x:row>
    <x:row r="131">
      <x:c r="A131" s="137" t="str"/>
      <x:c r="B131" s="199" t="str"/>
      <x:c r="C131" s="137" t="str"/>
      <x:c r="D131" s="137" t="str"/>
      <x:c r="E131" s="137" t="str"/>
      <x:c r="F131" s="137" t="str"/>
      <x:c r="G131" s="137" t="str"/>
      <x:c r="H131" s="137" t="str"/>
      <x:c r="I131" s="137" t="str"/>
      <x:c r="J131" s="137" t="str"/>
      <x:c r="K131" s="137" t="str"/>
      <x:c r="L131" s="138" t="str"/>
      <x:c r="M131" s="138" t="str"/>
      <x:c r="N131" s="196" t="str">
        <x:f>IF(OR(L131="",M131=""),"",M131-L131)</x:f>
      </x:c>
      <x:c r="O131" s="137" t="str"/>
      <x:c r="P131" s="137" t="str"/>
      <x:c r="Q131" s="137" t="str"/>
      <x:c r="R131" s="137" t="str"/>
      <x:c r="S131" s="137" t="str"/>
      <x:c r="T131" s="137" t="str"/>
      <x:c r="U131" s="137" t="str"/>
      <x:c r="V131" s="137" t="str"/>
    </x:row>
    <x:row r="132">
      <x:c r="A132" s="137" t="str"/>
      <x:c r="B132" s="199" t="str"/>
      <x:c r="C132" s="137" t="str"/>
      <x:c r="D132" s="137" t="str"/>
      <x:c r="E132" s="137" t="str"/>
      <x:c r="F132" s="137" t="str"/>
      <x:c r="G132" s="137" t="str"/>
      <x:c r="H132" s="137" t="str"/>
      <x:c r="I132" s="137" t="str"/>
      <x:c r="J132" s="137" t="str"/>
      <x:c r="K132" s="137" t="str"/>
      <x:c r="L132" s="138" t="str"/>
      <x:c r="M132" s="138" t="str"/>
      <x:c r="N132" s="196" t="str">
        <x:f>IF(OR(L132="",M132=""),"",M132-L132)</x:f>
      </x:c>
      <x:c r="O132" s="137" t="str"/>
      <x:c r="P132" s="137" t="str"/>
      <x:c r="Q132" s="137" t="str"/>
      <x:c r="R132" s="137" t="str"/>
      <x:c r="S132" s="137" t="str"/>
      <x:c r="T132" s="137" t="str"/>
      <x:c r="U132" s="137" t="str"/>
      <x:c r="V132" s="137" t="str"/>
    </x:row>
    <x:row r="133">
      <x:c r="A133" s="137" t="str"/>
      <x:c r="B133" s="199" t="str"/>
      <x:c r="C133" s="137" t="str"/>
      <x:c r="D133" s="137" t="str"/>
      <x:c r="E133" s="137" t="str"/>
      <x:c r="F133" s="137" t="str"/>
      <x:c r="G133" s="137" t="str"/>
      <x:c r="H133" s="137" t="str"/>
      <x:c r="I133" s="137" t="str"/>
      <x:c r="J133" s="137" t="str"/>
      <x:c r="K133" s="137" t="str"/>
      <x:c r="L133" s="138" t="str"/>
      <x:c r="M133" s="138" t="str"/>
      <x:c r="N133" s="196" t="str">
        <x:f>IF(OR(L133="",M133=""),"",M133-L133)</x:f>
      </x:c>
      <x:c r="O133" s="137" t="str"/>
      <x:c r="P133" s="137" t="str"/>
      <x:c r="Q133" s="137" t="str"/>
      <x:c r="R133" s="137" t="str"/>
      <x:c r="S133" s="137" t="str"/>
      <x:c r="T133" s="137" t="str"/>
      <x:c r="U133" s="137" t="str"/>
      <x:c r="V133" s="137" t="str"/>
    </x:row>
    <x:row r="134">
      <x:c r="A134" s="137" t="str"/>
      <x:c r="B134" s="199" t="str"/>
      <x:c r="C134" s="137" t="str"/>
      <x:c r="D134" s="137" t="str"/>
      <x:c r="E134" s="137" t="str"/>
      <x:c r="F134" s="137" t="str"/>
      <x:c r="G134" s="137" t="str"/>
      <x:c r="H134" s="137" t="str"/>
      <x:c r="I134" s="137" t="str"/>
      <x:c r="J134" s="137" t="str"/>
      <x:c r="K134" s="137" t="str"/>
      <x:c r="L134" s="138" t="str"/>
      <x:c r="M134" s="138" t="str"/>
      <x:c r="N134" s="196" t="str">
        <x:f>IF(OR(L134="",M134=""),"",M134-L134)</x:f>
      </x:c>
      <x:c r="O134" s="137" t="str"/>
      <x:c r="P134" s="137" t="str"/>
      <x:c r="Q134" s="137" t="str"/>
      <x:c r="R134" s="137" t="str"/>
      <x:c r="S134" s="137" t="str"/>
      <x:c r="T134" s="137" t="str"/>
      <x:c r="U134" s="137" t="str"/>
      <x:c r="V134" s="137" t="str"/>
    </x:row>
    <x:row r="135">
      <x:c r="A135" s="137" t="str"/>
      <x:c r="B135" s="199" t="str"/>
      <x:c r="C135" s="137" t="str"/>
      <x:c r="D135" s="137" t="str"/>
      <x:c r="E135" s="137" t="str"/>
      <x:c r="F135" s="137" t="str"/>
      <x:c r="G135" s="137" t="str"/>
      <x:c r="H135" s="137" t="str"/>
      <x:c r="I135" s="137" t="str"/>
      <x:c r="J135" s="137" t="str"/>
      <x:c r="K135" s="137" t="str"/>
      <x:c r="L135" s="138" t="str"/>
      <x:c r="M135" s="138" t="str"/>
      <x:c r="N135" s="196" t="str">
        <x:f>IF(OR(L135="",M135=""),"",M135-L135)</x:f>
      </x:c>
      <x:c r="O135" s="137" t="str"/>
      <x:c r="P135" s="137" t="str"/>
      <x:c r="Q135" s="137" t="str"/>
      <x:c r="R135" s="137" t="str"/>
      <x:c r="S135" s="137" t="str"/>
      <x:c r="T135" s="137" t="str"/>
      <x:c r="U135" s="137" t="str"/>
      <x:c r="V135" s="137" t="str"/>
    </x:row>
    <x:row r="136">
      <x:c r="A136" s="137" t="str"/>
      <x:c r="B136" s="199" t="str"/>
      <x:c r="C136" s="137" t="str"/>
      <x:c r="D136" s="137" t="str"/>
      <x:c r="E136" s="137" t="str"/>
      <x:c r="F136" s="137" t="str"/>
      <x:c r="G136" s="137" t="str"/>
      <x:c r="H136" s="137" t="str"/>
      <x:c r="I136" s="137" t="str"/>
      <x:c r="J136" s="137" t="str"/>
      <x:c r="K136" s="137" t="str"/>
      <x:c r="L136" s="138" t="str"/>
      <x:c r="M136" s="138" t="str"/>
      <x:c r="N136" s="196" t="str">
        <x:f>IF(OR(L136="",M136=""),"",M136-L136)</x:f>
      </x:c>
      <x:c r="O136" s="137" t="str"/>
      <x:c r="P136" s="137" t="str"/>
      <x:c r="Q136" s="137" t="str"/>
      <x:c r="R136" s="137" t="str"/>
      <x:c r="S136" s="137" t="str"/>
      <x:c r="T136" s="137" t="str"/>
      <x:c r="U136" s="137" t="str"/>
      <x:c r="V136" s="137" t="str"/>
    </x:row>
    <x:row r="137">
      <x:c r="A137" s="137" t="str"/>
      <x:c r="B137" s="199" t="str"/>
      <x:c r="C137" s="137" t="str"/>
      <x:c r="D137" s="137" t="str"/>
      <x:c r="E137" s="137" t="str"/>
      <x:c r="F137" s="137" t="str"/>
      <x:c r="G137" s="137" t="str"/>
      <x:c r="H137" s="137" t="str"/>
      <x:c r="I137" s="137" t="str"/>
      <x:c r="J137" s="137" t="str"/>
      <x:c r="K137" s="137" t="str"/>
      <x:c r="L137" s="138" t="str"/>
      <x:c r="M137" s="138" t="str"/>
      <x:c r="N137" s="196" t="str">
        <x:f>IF(OR(L137="",M137=""),"",M137-L137)</x:f>
      </x:c>
      <x:c r="O137" s="137" t="str"/>
      <x:c r="P137" s="137" t="str"/>
      <x:c r="Q137" s="137" t="str"/>
      <x:c r="R137" s="137" t="str"/>
      <x:c r="S137" s="137" t="str"/>
      <x:c r="T137" s="137" t="str"/>
      <x:c r="U137" s="137" t="str"/>
      <x:c r="V137" s="137" t="str"/>
    </x:row>
    <x:row r="138">
      <x:c r="A138" s="137" t="str"/>
      <x:c r="B138" s="199" t="str"/>
      <x:c r="C138" s="137" t="str"/>
      <x:c r="D138" s="137" t="str"/>
      <x:c r="E138" s="137" t="str"/>
      <x:c r="F138" s="137" t="str"/>
      <x:c r="G138" s="137" t="str"/>
      <x:c r="H138" s="137" t="str"/>
      <x:c r="I138" s="137" t="str"/>
      <x:c r="J138" s="137" t="str"/>
      <x:c r="K138" s="137" t="str"/>
      <x:c r="L138" s="138" t="str"/>
      <x:c r="M138" s="138" t="str"/>
      <x:c r="N138" s="196" t="str">
        <x:f>IF(OR(L138="",M138=""),"",M138-L138)</x:f>
      </x:c>
      <x:c r="O138" s="137" t="str"/>
      <x:c r="P138" s="137" t="str"/>
      <x:c r="Q138" s="137" t="str"/>
      <x:c r="R138" s="137" t="str"/>
      <x:c r="S138" s="137" t="str"/>
      <x:c r="T138" s="137" t="str"/>
      <x:c r="U138" s="137" t="str"/>
      <x:c r="V138" s="137" t="str"/>
    </x:row>
    <x:row r="139">
      <x:c r="A139" s="137" t="str"/>
      <x:c r="B139" s="199" t="str"/>
      <x:c r="C139" s="137" t="str"/>
      <x:c r="D139" s="137" t="str"/>
      <x:c r="E139" s="137" t="str"/>
      <x:c r="F139" s="137" t="str"/>
      <x:c r="G139" s="137" t="str"/>
      <x:c r="H139" s="137" t="str"/>
      <x:c r="I139" s="137" t="str"/>
      <x:c r="J139" s="137" t="str"/>
      <x:c r="K139" s="137" t="str"/>
      <x:c r="L139" s="138" t="str"/>
      <x:c r="M139" s="138" t="str"/>
      <x:c r="N139" s="196" t="str">
        <x:f>IF(OR(L139="",M139=""),"",M139-L139)</x:f>
      </x:c>
      <x:c r="O139" s="137" t="str"/>
      <x:c r="P139" s="137" t="str"/>
      <x:c r="Q139" s="137" t="str"/>
      <x:c r="R139" s="137" t="str"/>
      <x:c r="S139" s="137" t="str"/>
      <x:c r="T139" s="137" t="str"/>
      <x:c r="U139" s="137" t="str"/>
      <x:c r="V139" s="137" t="str"/>
    </x:row>
    <x:row r="140">
      <x:c r="A140" s="137" t="str"/>
      <x:c r="B140" s="199" t="str"/>
      <x:c r="C140" s="137" t="str"/>
      <x:c r="D140" s="137" t="str"/>
      <x:c r="E140" s="137" t="str"/>
      <x:c r="F140" s="137" t="str"/>
      <x:c r="G140" s="137" t="str"/>
      <x:c r="H140" s="137" t="str"/>
      <x:c r="I140" s="137" t="str"/>
      <x:c r="J140" s="137" t="str"/>
      <x:c r="K140" s="137" t="str"/>
      <x:c r="L140" s="138" t="str"/>
      <x:c r="M140" s="138" t="str"/>
      <x:c r="N140" s="196" t="str">
        <x:f>IF(OR(L140="",M140=""),"",M140-L140)</x:f>
      </x:c>
      <x:c r="O140" s="137" t="str"/>
      <x:c r="P140" s="137" t="str"/>
      <x:c r="Q140" s="137" t="str"/>
      <x:c r="R140" s="137" t="str"/>
      <x:c r="S140" s="137" t="str"/>
      <x:c r="T140" s="137" t="str"/>
      <x:c r="U140" s="137" t="str"/>
      <x:c r="V140" s="137" t="str"/>
    </x:row>
    <x:row r="141">
      <x:c r="A141" s="137" t="str"/>
      <x:c r="B141" s="199" t="str"/>
      <x:c r="C141" s="137" t="str"/>
      <x:c r="D141" s="137" t="str"/>
      <x:c r="E141" s="137" t="str"/>
      <x:c r="F141" s="137" t="str"/>
      <x:c r="G141" s="137" t="str"/>
      <x:c r="H141" s="137" t="str"/>
      <x:c r="I141" s="137" t="str"/>
      <x:c r="J141" s="137" t="str"/>
      <x:c r="K141" s="137" t="str"/>
      <x:c r="L141" s="138" t="str"/>
      <x:c r="M141" s="138" t="str"/>
      <x:c r="N141" s="196" t="str">
        <x:f>IF(OR(L141="",M141=""),"",M141-L141)</x:f>
      </x:c>
      <x:c r="O141" s="137" t="str"/>
      <x:c r="P141" s="137" t="str"/>
      <x:c r="Q141" s="137" t="str"/>
      <x:c r="R141" s="137" t="str"/>
      <x:c r="S141" s="137" t="str"/>
      <x:c r="T141" s="137" t="str"/>
      <x:c r="U141" s="137" t="str"/>
      <x:c r="V141" s="137" t="str"/>
    </x:row>
    <x:row r="142">
      <x:c r="A142" s="137" t="str"/>
      <x:c r="B142" s="199" t="str"/>
      <x:c r="C142" s="137" t="str"/>
      <x:c r="D142" s="137" t="str"/>
      <x:c r="E142" s="137" t="str"/>
      <x:c r="F142" s="137" t="str"/>
      <x:c r="G142" s="137" t="str"/>
      <x:c r="H142" s="137" t="str"/>
      <x:c r="I142" s="137" t="str"/>
      <x:c r="J142" s="137" t="str"/>
      <x:c r="K142" s="137" t="str"/>
      <x:c r="L142" s="138" t="str"/>
      <x:c r="M142" s="138" t="str"/>
      <x:c r="N142" s="196" t="str">
        <x:f>IF(OR(L142="",M142=""),"",M142-L142)</x:f>
      </x:c>
      <x:c r="O142" s="137" t="str"/>
      <x:c r="P142" s="137" t="str"/>
      <x:c r="Q142" s="137" t="str"/>
      <x:c r="R142" s="137" t="str"/>
      <x:c r="S142" s="137" t="str"/>
      <x:c r="T142" s="137" t="str"/>
      <x:c r="U142" s="137" t="str"/>
      <x:c r="V142" s="137" t="str"/>
    </x:row>
    <x:row r="143">
      <x:c r="A143" s="137" t="str"/>
      <x:c r="B143" s="199" t="str"/>
      <x:c r="C143" s="137" t="str"/>
      <x:c r="D143" s="137" t="str"/>
      <x:c r="E143" s="137" t="str"/>
      <x:c r="F143" s="137" t="str"/>
      <x:c r="G143" s="137" t="str"/>
      <x:c r="H143" s="137" t="str"/>
      <x:c r="I143" s="137" t="str"/>
      <x:c r="J143" s="137" t="str"/>
      <x:c r="K143" s="137" t="str"/>
      <x:c r="L143" s="138" t="str"/>
      <x:c r="M143" s="138" t="str"/>
      <x:c r="N143" s="196" t="str">
        <x:f>IF(OR(L143="",M143=""),"",M143-L143)</x:f>
      </x:c>
      <x:c r="O143" s="137" t="str"/>
      <x:c r="P143" s="137" t="str"/>
      <x:c r="Q143" s="137" t="str"/>
      <x:c r="R143" s="137" t="str"/>
      <x:c r="S143" s="137" t="str"/>
      <x:c r="T143" s="137" t="str"/>
      <x:c r="U143" s="137" t="str"/>
      <x:c r="V143" s="137" t="str"/>
    </x:row>
    <x:row r="144">
      <x:c r="A144" s="137" t="str"/>
      <x:c r="B144" s="199" t="str"/>
      <x:c r="C144" s="137" t="str"/>
      <x:c r="D144" s="137" t="str"/>
      <x:c r="E144" s="137" t="str"/>
      <x:c r="F144" s="137" t="str"/>
      <x:c r="G144" s="137" t="str"/>
      <x:c r="H144" s="137" t="str"/>
      <x:c r="I144" s="137" t="str"/>
      <x:c r="J144" s="137" t="str"/>
      <x:c r="K144" s="137" t="str"/>
      <x:c r="L144" s="138" t="str"/>
      <x:c r="M144" s="138" t="str"/>
      <x:c r="N144" s="196" t="str">
        <x:f>IF(OR(L144="",M144=""),"",M144-L144)</x:f>
      </x:c>
      <x:c r="O144" s="137" t="str"/>
      <x:c r="P144" s="137" t="str"/>
      <x:c r="Q144" s="137" t="str"/>
      <x:c r="R144" s="137" t="str"/>
      <x:c r="S144" s="137" t="str"/>
      <x:c r="T144" s="137" t="str"/>
      <x:c r="U144" s="137" t="str"/>
      <x:c r="V144" s="137" t="str"/>
    </x:row>
    <x:row r="145">
      <x:c r="A145" s="137" t="str"/>
      <x:c r="B145" s="199" t="str"/>
      <x:c r="C145" s="137" t="str"/>
      <x:c r="D145" s="137" t="str"/>
      <x:c r="E145" s="137" t="str"/>
      <x:c r="F145" s="137" t="str"/>
      <x:c r="G145" s="137" t="str"/>
      <x:c r="H145" s="137" t="str"/>
      <x:c r="I145" s="137" t="str"/>
      <x:c r="J145" s="137" t="str"/>
      <x:c r="K145" s="137" t="str"/>
      <x:c r="L145" s="138" t="str"/>
      <x:c r="M145" s="138" t="str"/>
      <x:c r="N145" s="196" t="str">
        <x:f>IF(OR(L145="",M145=""),"",M145-L145)</x:f>
      </x:c>
      <x:c r="O145" s="137" t="str"/>
      <x:c r="P145" s="137" t="str"/>
      <x:c r="Q145" s="137" t="str"/>
      <x:c r="R145" s="137" t="str"/>
      <x:c r="S145" s="137" t="str"/>
      <x:c r="T145" s="137" t="str"/>
      <x:c r="U145" s="137" t="str"/>
      <x:c r="V145" s="137" t="str"/>
    </x:row>
    <x:row r="146">
      <x:c r="A146" s="137" t="str"/>
      <x:c r="B146" s="199" t="str"/>
      <x:c r="C146" s="137" t="str"/>
      <x:c r="D146" s="137" t="str"/>
      <x:c r="E146" s="137" t="str"/>
      <x:c r="F146" s="137" t="str"/>
      <x:c r="G146" s="137" t="str"/>
      <x:c r="H146" s="137" t="str"/>
      <x:c r="I146" s="137" t="str"/>
      <x:c r="J146" s="137" t="str"/>
      <x:c r="K146" s="137" t="str"/>
      <x:c r="L146" s="138" t="str"/>
      <x:c r="M146" s="138" t="str"/>
      <x:c r="N146" s="196" t="str">
        <x:f>IF(OR(L146="",M146=""),"",M146-L146)</x:f>
      </x:c>
      <x:c r="O146" s="137" t="str"/>
      <x:c r="P146" s="137" t="str"/>
      <x:c r="Q146" s="137" t="str"/>
      <x:c r="R146" s="137" t="str"/>
      <x:c r="S146" s="137" t="str"/>
      <x:c r="T146" s="137" t="str"/>
      <x:c r="U146" s="137" t="str"/>
      <x:c r="V146" s="137" t="str"/>
    </x:row>
    <x:row r="147">
      <x:c r="A147" s="137" t="str"/>
      <x:c r="B147" s="199" t="str"/>
      <x:c r="C147" s="137" t="str"/>
      <x:c r="D147" s="137" t="str"/>
      <x:c r="E147" s="137" t="str"/>
      <x:c r="F147" s="137" t="str"/>
      <x:c r="G147" s="137" t="str"/>
      <x:c r="H147" s="137" t="str"/>
      <x:c r="I147" s="137" t="str"/>
      <x:c r="J147" s="137" t="str"/>
      <x:c r="K147" s="137" t="str"/>
      <x:c r="L147" s="138" t="str"/>
      <x:c r="M147" s="138" t="str"/>
      <x:c r="N147" s="196" t="str">
        <x:f>IF(OR(L147="",M147=""),"",M147-L147)</x:f>
      </x:c>
      <x:c r="O147" s="137" t="str"/>
      <x:c r="P147" s="137" t="str"/>
      <x:c r="Q147" s="137" t="str"/>
      <x:c r="R147" s="137" t="str"/>
      <x:c r="S147" s="137" t="str"/>
      <x:c r="T147" s="137" t="str"/>
      <x:c r="U147" s="137" t="str"/>
      <x:c r="V147" s="137" t="str"/>
    </x:row>
    <x:row r="148">
      <x:c r="A148" s="137" t="str"/>
      <x:c r="B148" s="199" t="str"/>
      <x:c r="C148" s="137" t="str"/>
      <x:c r="D148" s="137" t="str"/>
      <x:c r="E148" s="137" t="str"/>
      <x:c r="F148" s="137" t="str"/>
      <x:c r="G148" s="137" t="str"/>
      <x:c r="H148" s="137" t="str"/>
      <x:c r="I148" s="137" t="str"/>
      <x:c r="J148" s="137" t="str"/>
      <x:c r="K148" s="137" t="str"/>
      <x:c r="L148" s="138" t="str"/>
      <x:c r="M148" s="138" t="str"/>
      <x:c r="N148" s="196" t="str">
        <x:f>IF(OR(L148="",M148=""),"",M148-L148)</x:f>
      </x:c>
      <x:c r="O148" s="137" t="str"/>
      <x:c r="P148" s="137" t="str"/>
      <x:c r="Q148" s="137" t="str"/>
      <x:c r="R148" s="137" t="str"/>
      <x:c r="S148" s="137" t="str"/>
      <x:c r="T148" s="137" t="str"/>
      <x:c r="U148" s="137" t="str"/>
      <x:c r="V148" s="137" t="str"/>
    </x:row>
    <x:row r="149">
      <x:c r="A149" s="137" t="str"/>
      <x:c r="B149" s="199" t="str"/>
      <x:c r="C149" s="137" t="str"/>
      <x:c r="D149" s="137" t="str"/>
      <x:c r="E149" s="137" t="str"/>
      <x:c r="F149" s="137" t="str"/>
      <x:c r="G149" s="137" t="str"/>
      <x:c r="H149" s="137" t="str"/>
      <x:c r="I149" s="137" t="str"/>
      <x:c r="J149" s="137" t="str"/>
      <x:c r="K149" s="137" t="str"/>
      <x:c r="L149" s="138" t="str"/>
      <x:c r="M149" s="138" t="str"/>
      <x:c r="N149" s="196" t="str">
        <x:f>IF(OR(L149="",M149=""),"",M149-L149)</x:f>
      </x:c>
      <x:c r="O149" s="137" t="str"/>
      <x:c r="P149" s="137" t="str"/>
      <x:c r="Q149" s="137" t="str"/>
      <x:c r="R149" s="137" t="str"/>
      <x:c r="S149" s="137" t="str"/>
      <x:c r="T149" s="137" t="str"/>
      <x:c r="U149" s="137" t="str"/>
      <x:c r="V149" s="137" t="str"/>
    </x:row>
    <x:row r="150">
      <x:c r="A150" s="137" t="str"/>
      <x:c r="B150" s="199" t="str"/>
      <x:c r="C150" s="137" t="str"/>
      <x:c r="D150" s="137" t="str"/>
      <x:c r="E150" s="137" t="str"/>
      <x:c r="F150" s="137" t="str"/>
      <x:c r="G150" s="137" t="str"/>
      <x:c r="H150" s="137" t="str"/>
      <x:c r="I150" s="137" t="str"/>
      <x:c r="J150" s="137" t="str"/>
      <x:c r="K150" s="137" t="str"/>
      <x:c r="L150" s="138" t="str"/>
      <x:c r="M150" s="138" t="str"/>
      <x:c r="N150" s="196" t="str">
        <x:f>IF(OR(L150="",M150=""),"",M150-L150)</x:f>
      </x:c>
      <x:c r="O150" s="137" t="str"/>
      <x:c r="P150" s="137" t="str"/>
      <x:c r="Q150" s="137" t="str"/>
      <x:c r="R150" s="137" t="str"/>
      <x:c r="S150" s="137" t="str"/>
      <x:c r="T150" s="137" t="str"/>
      <x:c r="U150" s="137" t="str"/>
      <x:c r="V150" s="137" t="str"/>
    </x:row>
    <x:row r="151">
      <x:c r="A151" s="137" t="str"/>
      <x:c r="B151" s="199" t="str"/>
      <x:c r="C151" s="137" t="str"/>
      <x:c r="D151" s="137" t="str"/>
      <x:c r="E151" s="137" t="str"/>
      <x:c r="F151" s="137" t="str"/>
      <x:c r="G151" s="137" t="str"/>
      <x:c r="H151" s="137" t="str"/>
      <x:c r="I151" s="137" t="str"/>
      <x:c r="J151" s="137" t="str"/>
      <x:c r="K151" s="137" t="str"/>
      <x:c r="L151" s="138" t="str"/>
      <x:c r="M151" s="138" t="str"/>
      <x:c r="N151" s="196" t="str">
        <x:f>IF(OR(L151="",M151=""),"",M151-L151)</x:f>
      </x:c>
      <x:c r="O151" s="137" t="str"/>
      <x:c r="P151" s="137" t="str"/>
      <x:c r="Q151" s="137" t="str"/>
      <x:c r="R151" s="137" t="str"/>
      <x:c r="S151" s="137" t="str"/>
      <x:c r="T151" s="137" t="str"/>
      <x:c r="U151" s="137" t="str"/>
      <x:c r="V151" s="137" t="str"/>
    </x:row>
    <x:row r="152">
      <x:c r="A152" s="137" t="str"/>
      <x:c r="B152" s="199" t="str"/>
      <x:c r="C152" s="137" t="str"/>
      <x:c r="D152" s="137" t="str"/>
      <x:c r="E152" s="137" t="str"/>
      <x:c r="F152" s="137" t="str"/>
      <x:c r="G152" s="137" t="str"/>
      <x:c r="H152" s="137" t="str"/>
      <x:c r="I152" s="137" t="str"/>
      <x:c r="J152" s="137" t="str"/>
      <x:c r="K152" s="137" t="str"/>
      <x:c r="L152" s="138" t="str"/>
      <x:c r="M152" s="138" t="str"/>
      <x:c r="N152" s="196" t="str">
        <x:f>IF(OR(L152="",M152=""),"",M152-L152)</x:f>
      </x:c>
      <x:c r="O152" s="137" t="str"/>
      <x:c r="P152" s="137" t="str"/>
      <x:c r="Q152" s="137" t="str"/>
      <x:c r="R152" s="137" t="str"/>
      <x:c r="S152" s="137" t="str"/>
      <x:c r="T152" s="137" t="str"/>
      <x:c r="U152" s="137" t="str"/>
      <x:c r="V152" s="137" t="str"/>
    </x:row>
    <x:row r="153">
      <x:c r="A153" s="137" t="str"/>
      <x:c r="B153" s="199" t="str"/>
      <x:c r="C153" s="137" t="str"/>
      <x:c r="D153" s="137" t="str"/>
      <x:c r="E153" s="137" t="str"/>
      <x:c r="F153" s="137" t="str"/>
      <x:c r="G153" s="137" t="str"/>
      <x:c r="H153" s="137" t="str"/>
      <x:c r="I153" s="137" t="str"/>
      <x:c r="J153" s="137" t="str"/>
      <x:c r="K153" s="137" t="str"/>
      <x:c r="L153" s="138" t="str"/>
      <x:c r="M153" s="138" t="str"/>
      <x:c r="N153" s="196" t="str">
        <x:f>IF(OR(L153="",M153=""),"",M153-L153)</x:f>
      </x:c>
      <x:c r="O153" s="137" t="str"/>
      <x:c r="P153" s="137" t="str"/>
      <x:c r="Q153" s="137" t="str"/>
      <x:c r="R153" s="137" t="str"/>
      <x:c r="S153" s="137" t="str"/>
      <x:c r="T153" s="137" t="str"/>
      <x:c r="U153" s="137" t="str"/>
      <x:c r="V153" s="137" t="str"/>
    </x:row>
    <x:row r="154">
      <x:c r="A154" s="137" t="str"/>
      <x:c r="B154" s="199" t="str"/>
      <x:c r="C154" s="137" t="str"/>
      <x:c r="D154" s="137" t="str"/>
      <x:c r="E154" s="137" t="str"/>
      <x:c r="F154" s="137" t="str"/>
      <x:c r="G154" s="137" t="str"/>
      <x:c r="H154" s="137" t="str"/>
      <x:c r="I154" s="137" t="str"/>
      <x:c r="J154" s="137" t="str"/>
      <x:c r="K154" s="137" t="str"/>
      <x:c r="L154" s="138" t="str"/>
      <x:c r="M154" s="138" t="str"/>
      <x:c r="N154" s="196" t="str">
        <x:f>IF(OR(L154="",M154=""),"",M154-L154)</x:f>
      </x:c>
      <x:c r="O154" s="137" t="str"/>
      <x:c r="P154" s="137" t="str"/>
      <x:c r="Q154" s="137" t="str"/>
      <x:c r="R154" s="137" t="str"/>
      <x:c r="S154" s="137" t="str"/>
      <x:c r="T154" s="137" t="str"/>
      <x:c r="U154" s="137" t="str"/>
      <x:c r="V154" s="137" t="str"/>
    </x:row>
    <x:row r="155">
      <x:c r="A155" s="137" t="str"/>
      <x:c r="B155" s="199" t="str"/>
      <x:c r="C155" s="137" t="str"/>
      <x:c r="D155" s="137" t="str"/>
      <x:c r="E155" s="137" t="str"/>
      <x:c r="F155" s="137" t="str"/>
      <x:c r="G155" s="137" t="str"/>
      <x:c r="H155" s="137" t="str"/>
      <x:c r="I155" s="137" t="str"/>
      <x:c r="J155" s="137" t="str"/>
      <x:c r="K155" s="137" t="str"/>
      <x:c r="L155" s="138" t="str"/>
      <x:c r="M155" s="138" t="str"/>
      <x:c r="N155" s="196" t="str">
        <x:f>IF(OR(L155="",M155=""),"",M155-L155)</x:f>
      </x:c>
      <x:c r="O155" s="137" t="str"/>
      <x:c r="P155" s="137" t="str"/>
      <x:c r="Q155" s="137" t="str"/>
      <x:c r="R155" s="137" t="str"/>
      <x:c r="S155" s="137" t="str"/>
      <x:c r="T155" s="137" t="str"/>
      <x:c r="U155" s="137" t="str"/>
      <x:c r="V155" s="137" t="str"/>
    </x:row>
    <x:row r="156">
      <x:c r="A156" s="137" t="str"/>
      <x:c r="B156" s="199" t="str"/>
      <x:c r="C156" s="137" t="str"/>
      <x:c r="D156" s="137" t="str"/>
      <x:c r="E156" s="137" t="str"/>
      <x:c r="F156" s="137" t="str"/>
      <x:c r="G156" s="137" t="str"/>
      <x:c r="H156" s="137" t="str"/>
      <x:c r="I156" s="137" t="str"/>
      <x:c r="J156" s="137" t="str"/>
      <x:c r="K156" s="137" t="str"/>
      <x:c r="L156" s="138" t="str"/>
      <x:c r="M156" s="138" t="str"/>
      <x:c r="N156" s="196" t="str">
        <x:f>IF(OR(L156="",M156=""),"",M156-L156)</x:f>
      </x:c>
      <x:c r="O156" s="137" t="str"/>
      <x:c r="P156" s="137" t="str"/>
      <x:c r="Q156" s="137" t="str"/>
      <x:c r="R156" s="137" t="str"/>
      <x:c r="S156" s="137" t="str"/>
      <x:c r="T156" s="137" t="str"/>
      <x:c r="U156" s="137" t="str"/>
      <x:c r="V156" s="137" t="str"/>
    </x:row>
    <x:row r="157">
      <x:c r="A157" s="137" t="str"/>
      <x:c r="B157" s="199" t="str"/>
      <x:c r="C157" s="137" t="str"/>
      <x:c r="D157" s="137" t="str"/>
      <x:c r="E157" s="137" t="str"/>
      <x:c r="F157" s="137" t="str"/>
      <x:c r="G157" s="137" t="str"/>
      <x:c r="H157" s="137" t="str"/>
      <x:c r="I157" s="137" t="str"/>
      <x:c r="J157" s="137" t="str"/>
      <x:c r="K157" s="137" t="str"/>
      <x:c r="L157" s="138" t="str"/>
      <x:c r="M157" s="138" t="str"/>
      <x:c r="N157" s="196" t="str">
        <x:f>IF(OR(L157="",M157=""),"",M157-L157)</x:f>
      </x:c>
      <x:c r="O157" s="137" t="str"/>
      <x:c r="P157" s="137" t="str"/>
      <x:c r="Q157" s="137" t="str"/>
      <x:c r="R157" s="137" t="str"/>
      <x:c r="S157" s="137" t="str"/>
      <x:c r="T157" s="137" t="str"/>
      <x:c r="U157" s="137" t="str"/>
      <x:c r="V157" s="137" t="str"/>
    </x:row>
    <x:row r="158">
      <x:c r="A158" s="137" t="str"/>
      <x:c r="B158" s="199" t="str"/>
      <x:c r="C158" s="137" t="str"/>
      <x:c r="D158" s="137" t="str"/>
      <x:c r="E158" s="137" t="str"/>
      <x:c r="F158" s="137" t="str"/>
      <x:c r="G158" s="137" t="str"/>
      <x:c r="H158" s="137" t="str"/>
      <x:c r="I158" s="137" t="str"/>
      <x:c r="J158" s="137" t="str"/>
      <x:c r="K158" s="137" t="str"/>
      <x:c r="L158" s="138" t="str"/>
      <x:c r="M158" s="138" t="str"/>
      <x:c r="N158" s="196" t="str">
        <x:f>IF(OR(L158="",M158=""),"",M158-L158)</x:f>
      </x:c>
      <x:c r="O158" s="137" t="str"/>
      <x:c r="P158" s="137" t="str"/>
      <x:c r="Q158" s="137" t="str"/>
      <x:c r="R158" s="137" t="str"/>
      <x:c r="S158" s="137" t="str"/>
      <x:c r="T158" s="137" t="str"/>
      <x:c r="U158" s="137" t="str"/>
      <x:c r="V158" s="137" t="str"/>
    </x:row>
    <x:row r="159">
      <x:c r="A159" s="137" t="str"/>
      <x:c r="B159" s="199" t="str"/>
      <x:c r="C159" s="137" t="str"/>
      <x:c r="D159" s="137" t="str"/>
      <x:c r="E159" s="137" t="str"/>
      <x:c r="F159" s="137" t="str"/>
      <x:c r="G159" s="137" t="str"/>
      <x:c r="H159" s="137" t="str"/>
      <x:c r="I159" s="137" t="str"/>
      <x:c r="J159" s="137" t="str"/>
      <x:c r="K159" s="137" t="str"/>
      <x:c r="L159" s="138" t="str"/>
      <x:c r="M159" s="138" t="str"/>
      <x:c r="N159" s="196" t="str">
        <x:f>IF(OR(L159="",M159=""),"",M159-L159)</x:f>
      </x:c>
      <x:c r="O159" s="137" t="str"/>
      <x:c r="P159" s="137" t="str"/>
      <x:c r="Q159" s="137" t="str"/>
      <x:c r="R159" s="137" t="str"/>
      <x:c r="S159" s="137" t="str"/>
      <x:c r="T159" s="137" t="str"/>
      <x:c r="U159" s="137" t="str"/>
      <x:c r="V159" s="137" t="str"/>
    </x:row>
    <x:row r="160">
      <x:c r="A160" s="137" t="str"/>
      <x:c r="B160" s="199" t="str"/>
      <x:c r="C160" s="137" t="str"/>
      <x:c r="D160" s="137" t="str"/>
      <x:c r="E160" s="137" t="str"/>
      <x:c r="F160" s="137" t="str"/>
      <x:c r="G160" s="137" t="str"/>
      <x:c r="H160" s="137" t="str"/>
      <x:c r="I160" s="137" t="str"/>
      <x:c r="J160" s="137" t="str"/>
      <x:c r="K160" s="137" t="str"/>
      <x:c r="L160" s="138" t="str"/>
      <x:c r="M160" s="138" t="str"/>
      <x:c r="N160" s="196" t="str">
        <x:f>IF(OR(L160="",M160=""),"",M160-L160)</x:f>
      </x:c>
      <x:c r="O160" s="137" t="str"/>
      <x:c r="P160" s="137" t="str"/>
      <x:c r="Q160" s="137" t="str"/>
      <x:c r="R160" s="137" t="str"/>
      <x:c r="S160" s="137" t="str"/>
      <x:c r="T160" s="137" t="str"/>
      <x:c r="U160" s="137" t="str"/>
      <x:c r="V160" s="137" t="str"/>
    </x:row>
    <x:row r="161">
      <x:c r="A161" s="137" t="str"/>
      <x:c r="B161" s="199" t="str"/>
      <x:c r="C161" s="137" t="str"/>
      <x:c r="D161" s="137" t="str"/>
      <x:c r="E161" s="137" t="str"/>
      <x:c r="F161" s="137" t="str"/>
      <x:c r="G161" s="137" t="str"/>
      <x:c r="H161" s="137" t="str"/>
      <x:c r="I161" s="137" t="str"/>
      <x:c r="J161" s="137" t="str"/>
      <x:c r="K161" s="137" t="str"/>
      <x:c r="L161" s="138" t="str"/>
      <x:c r="M161" s="138" t="str"/>
      <x:c r="N161" s="196" t="str">
        <x:f>IF(OR(L161="",M161=""),"",M161-L161)</x:f>
      </x:c>
      <x:c r="O161" s="137" t="str"/>
      <x:c r="P161" s="137" t="str"/>
      <x:c r="Q161" s="137" t="str"/>
      <x:c r="R161" s="137" t="str"/>
      <x:c r="S161" s="137" t="str"/>
      <x:c r="T161" s="137" t="str"/>
      <x:c r="U161" s="137" t="str"/>
      <x:c r="V161" s="137" t="str"/>
    </x:row>
    <x:row r="162">
      <x:c r="A162" s="137" t="str"/>
      <x:c r="B162" s="199" t="str"/>
      <x:c r="C162" s="137" t="str"/>
      <x:c r="D162" s="137" t="str"/>
      <x:c r="E162" s="137" t="str"/>
      <x:c r="F162" s="137" t="str"/>
      <x:c r="G162" s="137" t="str"/>
      <x:c r="H162" s="137" t="str"/>
      <x:c r="I162" s="137" t="str"/>
      <x:c r="J162" s="137" t="str"/>
      <x:c r="K162" s="137" t="str"/>
      <x:c r="L162" s="138" t="str"/>
      <x:c r="M162" s="138" t="str"/>
      <x:c r="N162" s="196" t="str">
        <x:f>IF(OR(L162="",M162=""),"",M162-L162)</x:f>
      </x:c>
      <x:c r="O162" s="137" t="str"/>
      <x:c r="P162" s="137" t="str"/>
      <x:c r="Q162" s="137" t="str"/>
      <x:c r="R162" s="137" t="str"/>
      <x:c r="S162" s="137" t="str"/>
      <x:c r="T162" s="137" t="str"/>
      <x:c r="U162" s="137" t="str"/>
      <x:c r="V162" s="137" t="str"/>
    </x:row>
    <x:row r="163">
      <x:c r="A163" s="137" t="str"/>
      <x:c r="B163" s="199" t="str"/>
      <x:c r="C163" s="137" t="str"/>
      <x:c r="D163" s="137" t="str"/>
      <x:c r="E163" s="137" t="str"/>
      <x:c r="F163" s="137" t="str"/>
      <x:c r="G163" s="137" t="str"/>
      <x:c r="H163" s="137" t="str"/>
      <x:c r="I163" s="137" t="str"/>
      <x:c r="J163" s="137" t="str"/>
      <x:c r="K163" s="137" t="str"/>
      <x:c r="L163" s="138" t="str"/>
      <x:c r="M163" s="138" t="str"/>
      <x:c r="N163" s="196" t="str">
        <x:f>IF(OR(L163="",M163=""),"",M163-L163)</x:f>
      </x:c>
      <x:c r="O163" s="137" t="str"/>
      <x:c r="P163" s="137" t="str"/>
      <x:c r="Q163" s="137" t="str"/>
      <x:c r="R163" s="137" t="str"/>
      <x:c r="S163" s="137" t="str"/>
      <x:c r="T163" s="137" t="str"/>
      <x:c r="U163" s="137" t="str"/>
      <x:c r="V163" s="137" t="str"/>
    </x:row>
    <x:row r="164">
      <x:c r="A164" s="137" t="str"/>
      <x:c r="B164" s="199" t="str"/>
      <x:c r="C164" s="137" t="str"/>
      <x:c r="D164" s="137" t="str"/>
      <x:c r="E164" s="137" t="str"/>
      <x:c r="F164" s="137" t="str"/>
      <x:c r="G164" s="137" t="str"/>
      <x:c r="H164" s="137" t="str"/>
      <x:c r="I164" s="137" t="str"/>
      <x:c r="J164" s="137" t="str"/>
      <x:c r="K164" s="137" t="str"/>
      <x:c r="L164" s="138" t="str"/>
      <x:c r="M164" s="138" t="str"/>
      <x:c r="N164" s="196" t="str">
        <x:f>IF(OR(L164="",M164=""),"",M164-L164)</x:f>
      </x:c>
      <x:c r="O164" s="137" t="str"/>
      <x:c r="P164" s="137" t="str"/>
      <x:c r="Q164" s="137" t="str"/>
      <x:c r="R164" s="137" t="str"/>
      <x:c r="S164" s="137" t="str"/>
      <x:c r="T164" s="137" t="str"/>
      <x:c r="U164" s="137" t="str"/>
      <x:c r="V164" s="137" t="str"/>
    </x:row>
    <x:row r="165">
      <x:c r="A165" s="137" t="str"/>
      <x:c r="B165" s="199" t="str"/>
      <x:c r="C165" s="137" t="str"/>
      <x:c r="D165" s="137" t="str"/>
      <x:c r="E165" s="137" t="str"/>
      <x:c r="F165" s="137" t="str"/>
      <x:c r="G165" s="137" t="str"/>
      <x:c r="H165" s="137" t="str"/>
      <x:c r="I165" s="137" t="str"/>
      <x:c r="J165" s="137" t="str"/>
      <x:c r="K165" s="137" t="str"/>
      <x:c r="L165" s="138" t="str"/>
      <x:c r="M165" s="138" t="str"/>
      <x:c r="N165" s="196" t="str">
        <x:f>IF(OR(L165="",M165=""),"",M165-L165)</x:f>
      </x:c>
      <x:c r="O165" s="137" t="str"/>
      <x:c r="P165" s="137" t="str"/>
      <x:c r="Q165" s="137" t="str"/>
      <x:c r="R165" s="137" t="str"/>
      <x:c r="S165" s="137" t="str"/>
      <x:c r="T165" s="137" t="str"/>
      <x:c r="U165" s="137" t="str"/>
      <x:c r="V165" s="137" t="str"/>
    </x:row>
    <x:row r="166">
      <x:c r="A166" s="137" t="str"/>
      <x:c r="B166" s="199" t="str"/>
      <x:c r="C166" s="137" t="str"/>
      <x:c r="D166" s="137" t="str"/>
      <x:c r="E166" s="137" t="str"/>
      <x:c r="F166" s="137" t="str"/>
      <x:c r="G166" s="137" t="str"/>
      <x:c r="H166" s="137" t="str"/>
      <x:c r="I166" s="137" t="str"/>
      <x:c r="J166" s="137" t="str"/>
      <x:c r="K166" s="137" t="str"/>
      <x:c r="L166" s="138" t="str"/>
      <x:c r="M166" s="138" t="str"/>
      <x:c r="N166" s="196" t="str">
        <x:f>IF(OR(L166="",M166=""),"",M166-L166)</x:f>
      </x:c>
      <x:c r="O166" s="137" t="str"/>
      <x:c r="P166" s="137" t="str"/>
      <x:c r="Q166" s="137" t="str"/>
      <x:c r="R166" s="137" t="str"/>
      <x:c r="S166" s="137" t="str"/>
      <x:c r="T166" s="137" t="str"/>
      <x:c r="U166" s="137" t="str"/>
      <x:c r="V166" s="137" t="str"/>
    </x:row>
    <x:row r="167">
      <x:c r="A167" s="137" t="str"/>
      <x:c r="B167" s="199" t="str"/>
      <x:c r="C167" s="137" t="str"/>
      <x:c r="D167" s="137" t="str"/>
      <x:c r="E167" s="137" t="str"/>
      <x:c r="F167" s="137" t="str"/>
      <x:c r="G167" s="137" t="str"/>
      <x:c r="H167" s="137" t="str"/>
      <x:c r="I167" s="137" t="str"/>
      <x:c r="J167" s="137" t="str"/>
      <x:c r="K167" s="137" t="str"/>
      <x:c r="L167" s="138" t="str"/>
      <x:c r="M167" s="138" t="str"/>
      <x:c r="N167" s="196" t="str">
        <x:f>IF(OR(L167="",M167=""),"",M167-L167)</x:f>
      </x:c>
      <x:c r="O167" s="137" t="str"/>
      <x:c r="P167" s="137" t="str"/>
      <x:c r="Q167" s="137" t="str"/>
      <x:c r="R167" s="137" t="str"/>
      <x:c r="S167" s="137" t="str"/>
      <x:c r="T167" s="137" t="str"/>
      <x:c r="U167" s="137" t="str"/>
      <x:c r="V167" s="137" t="str"/>
    </x:row>
    <x:row r="168">
      <x:c r="A168" s="137" t="str"/>
      <x:c r="B168" s="199" t="str"/>
      <x:c r="C168" s="137" t="str"/>
      <x:c r="D168" s="137" t="str"/>
      <x:c r="E168" s="137" t="str"/>
      <x:c r="F168" s="137" t="str"/>
      <x:c r="G168" s="137" t="str"/>
      <x:c r="H168" s="137" t="str"/>
      <x:c r="I168" s="137" t="str"/>
      <x:c r="J168" s="137" t="str"/>
      <x:c r="K168" s="137" t="str"/>
      <x:c r="L168" s="138" t="str"/>
      <x:c r="M168" s="138" t="str"/>
      <x:c r="N168" s="196" t="str">
        <x:f>IF(OR(L168="",M168=""),"",M168-L168)</x:f>
      </x:c>
      <x:c r="O168" s="137" t="str"/>
      <x:c r="P168" s="137" t="str"/>
      <x:c r="Q168" s="137" t="str"/>
      <x:c r="R168" s="137" t="str"/>
      <x:c r="S168" s="137" t="str"/>
      <x:c r="T168" s="137" t="str"/>
      <x:c r="U168" s="137" t="str"/>
      <x:c r="V168" s="137" t="str"/>
    </x:row>
    <x:row r="169">
      <x:c r="A169" s="137" t="str"/>
      <x:c r="B169" s="199" t="str"/>
      <x:c r="C169" s="137" t="str"/>
      <x:c r="D169" s="137" t="str"/>
      <x:c r="E169" s="137" t="str"/>
      <x:c r="F169" s="137" t="str"/>
      <x:c r="G169" s="137" t="str"/>
      <x:c r="H169" s="137" t="str"/>
      <x:c r="I169" s="137" t="str"/>
      <x:c r="J169" s="137" t="str"/>
      <x:c r="K169" s="137" t="str"/>
      <x:c r="L169" s="138" t="str"/>
      <x:c r="M169" s="138" t="str"/>
      <x:c r="N169" s="196" t="str">
        <x:f>IF(OR(L169="",M169=""),"",M169-L169)</x:f>
      </x:c>
      <x:c r="O169" s="137" t="str"/>
      <x:c r="P169" s="137" t="str"/>
      <x:c r="Q169" s="137" t="str"/>
      <x:c r="R169" s="137" t="str"/>
      <x:c r="S169" s="137" t="str"/>
      <x:c r="T169" s="137" t="str"/>
      <x:c r="U169" s="137" t="str"/>
      <x:c r="V169" s="137" t="str"/>
    </x:row>
    <x:row r="170">
      <x:c r="A170" s="137" t="str"/>
      <x:c r="B170" s="199" t="str"/>
      <x:c r="C170" s="137" t="str"/>
      <x:c r="D170" s="137" t="str"/>
      <x:c r="E170" s="137" t="str"/>
      <x:c r="F170" s="137" t="str"/>
      <x:c r="G170" s="137" t="str"/>
      <x:c r="H170" s="137" t="str"/>
      <x:c r="I170" s="137" t="str"/>
      <x:c r="J170" s="137" t="str"/>
      <x:c r="K170" s="137" t="str"/>
      <x:c r="L170" s="138" t="str"/>
      <x:c r="M170" s="138" t="str"/>
      <x:c r="N170" s="196" t="str">
        <x:f>IF(OR(L170="",M170=""),"",M170-L170)</x:f>
      </x:c>
      <x:c r="O170" s="137" t="str"/>
      <x:c r="P170" s="137" t="str"/>
      <x:c r="Q170" s="137" t="str"/>
      <x:c r="R170" s="137" t="str"/>
      <x:c r="S170" s="137" t="str"/>
      <x:c r="T170" s="137" t="str"/>
      <x:c r="U170" s="137" t="str"/>
      <x:c r="V170" s="137" t="str"/>
    </x:row>
    <x:row r="171">
      <x:c r="A171" s="137" t="str"/>
      <x:c r="B171" s="199" t="str"/>
      <x:c r="C171" s="137" t="str"/>
      <x:c r="D171" s="137" t="str"/>
      <x:c r="E171" s="137" t="str"/>
      <x:c r="F171" s="137" t="str"/>
      <x:c r="G171" s="137" t="str"/>
      <x:c r="H171" s="137" t="str"/>
      <x:c r="I171" s="137" t="str"/>
      <x:c r="J171" s="137" t="str"/>
      <x:c r="K171" s="137" t="str"/>
      <x:c r="L171" s="138" t="str"/>
      <x:c r="M171" s="138" t="str"/>
      <x:c r="N171" s="196" t="str">
        <x:f>IF(OR(L171="",M171=""),"",M171-L171)</x:f>
      </x:c>
      <x:c r="O171" s="137" t="str"/>
      <x:c r="P171" s="137" t="str"/>
      <x:c r="Q171" s="137" t="str"/>
      <x:c r="R171" s="137" t="str"/>
      <x:c r="S171" s="137" t="str"/>
      <x:c r="T171" s="137" t="str"/>
      <x:c r="U171" s="137" t="str"/>
      <x:c r="V171" s="137" t="str"/>
    </x:row>
    <x:row r="172">
      <x:c r="A172" s="137" t="str"/>
      <x:c r="B172" s="199" t="str"/>
      <x:c r="C172" s="137" t="str"/>
      <x:c r="D172" s="137" t="str"/>
      <x:c r="E172" s="137" t="str"/>
      <x:c r="F172" s="137" t="str"/>
      <x:c r="G172" s="137" t="str"/>
      <x:c r="H172" s="137" t="str"/>
      <x:c r="I172" s="137" t="str"/>
      <x:c r="J172" s="137" t="str"/>
      <x:c r="K172" s="137" t="str"/>
      <x:c r="L172" s="138" t="str"/>
      <x:c r="M172" s="138" t="str"/>
      <x:c r="N172" s="196" t="str">
        <x:f>IF(OR(L172="",M172=""),"",M172-L172)</x:f>
      </x:c>
      <x:c r="O172" s="137" t="str"/>
      <x:c r="P172" s="137" t="str"/>
      <x:c r="Q172" s="137" t="str"/>
      <x:c r="R172" s="137" t="str"/>
      <x:c r="S172" s="137" t="str"/>
      <x:c r="T172" s="137" t="str"/>
      <x:c r="U172" s="137" t="str"/>
      <x:c r="V172" s="137" t="str"/>
    </x:row>
    <x:row r="173">
      <x:c r="A173" s="137" t="str"/>
      <x:c r="B173" s="199" t="str"/>
      <x:c r="C173" s="137" t="str"/>
      <x:c r="D173" s="137" t="str"/>
      <x:c r="E173" s="137" t="str"/>
      <x:c r="F173" s="137" t="str"/>
      <x:c r="G173" s="137" t="str"/>
      <x:c r="H173" s="137" t="str"/>
      <x:c r="I173" s="137" t="str"/>
      <x:c r="J173" s="137" t="str"/>
      <x:c r="K173" s="137" t="str"/>
      <x:c r="L173" s="138" t="str"/>
      <x:c r="M173" s="138" t="str"/>
      <x:c r="N173" s="196" t="str">
        <x:f>IF(OR(L173="",M173=""),"",M173-L173)</x:f>
      </x:c>
      <x:c r="O173" s="137" t="str"/>
      <x:c r="P173" s="137" t="str"/>
      <x:c r="Q173" s="137" t="str"/>
      <x:c r="R173" s="137" t="str"/>
      <x:c r="S173" s="137" t="str"/>
      <x:c r="T173" s="137" t="str"/>
      <x:c r="U173" s="137" t="str"/>
      <x:c r="V173" s="137" t="str"/>
    </x:row>
    <x:row r="174">
      <x:c r="A174" s="137" t="str"/>
      <x:c r="B174" s="199" t="str"/>
      <x:c r="C174" s="137" t="str"/>
      <x:c r="D174" s="137" t="str"/>
      <x:c r="E174" s="137" t="str"/>
      <x:c r="F174" s="137" t="str"/>
      <x:c r="G174" s="137" t="str"/>
      <x:c r="H174" s="137" t="str"/>
      <x:c r="I174" s="137" t="str"/>
      <x:c r="J174" s="137" t="str"/>
      <x:c r="K174" s="137" t="str"/>
      <x:c r="L174" s="138" t="str"/>
      <x:c r="M174" s="138" t="str"/>
      <x:c r="N174" s="196" t="str">
        <x:f>IF(OR(L174="",M174=""),"",M174-L174)</x:f>
      </x:c>
      <x:c r="O174" s="137" t="str"/>
      <x:c r="P174" s="137" t="str"/>
      <x:c r="Q174" s="137" t="str"/>
      <x:c r="R174" s="137" t="str"/>
      <x:c r="S174" s="137" t="str"/>
      <x:c r="T174" s="137" t="str"/>
      <x:c r="U174" s="137" t="str"/>
      <x:c r="V174" s="137" t="str"/>
    </x:row>
    <x:row r="175">
      <x:c r="A175" s="137" t="str"/>
      <x:c r="B175" s="199" t="str"/>
      <x:c r="C175" s="137" t="str"/>
      <x:c r="D175" s="137" t="str"/>
      <x:c r="E175" s="137" t="str"/>
      <x:c r="F175" s="137" t="str"/>
      <x:c r="G175" s="137" t="str"/>
      <x:c r="H175" s="137" t="str"/>
      <x:c r="I175" s="137" t="str"/>
      <x:c r="J175" s="137" t="str"/>
      <x:c r="K175" s="137" t="str"/>
      <x:c r="L175" s="138" t="str"/>
      <x:c r="M175" s="138" t="str"/>
      <x:c r="N175" s="196" t="str">
        <x:f>IF(OR(L175="",M175=""),"",M175-L175)</x:f>
      </x:c>
      <x:c r="O175" s="137" t="str"/>
      <x:c r="P175" s="137" t="str"/>
      <x:c r="Q175" s="137" t="str"/>
      <x:c r="R175" s="137" t="str"/>
      <x:c r="S175" s="137" t="str"/>
      <x:c r="T175" s="137" t="str"/>
      <x:c r="U175" s="137" t="str"/>
      <x:c r="V175" s="137" t="str"/>
    </x:row>
    <x:row r="176">
      <x:c r="A176" s="137" t="str"/>
      <x:c r="B176" s="199" t="str"/>
      <x:c r="C176" s="137" t="str"/>
      <x:c r="D176" s="137" t="str"/>
      <x:c r="E176" s="137" t="str"/>
      <x:c r="F176" s="137" t="str"/>
      <x:c r="G176" s="137" t="str"/>
      <x:c r="H176" s="137" t="str"/>
      <x:c r="I176" s="137" t="str"/>
      <x:c r="J176" s="137" t="str"/>
      <x:c r="K176" s="137" t="str"/>
      <x:c r="L176" s="138" t="str"/>
      <x:c r="M176" s="138" t="str"/>
      <x:c r="N176" s="196" t="str">
        <x:f>IF(OR(L176="",M176=""),"",M176-L176)</x:f>
      </x:c>
      <x:c r="O176" s="137" t="str"/>
      <x:c r="P176" s="137" t="str"/>
      <x:c r="Q176" s="137" t="str"/>
      <x:c r="R176" s="137" t="str"/>
      <x:c r="S176" s="137" t="str"/>
      <x:c r="T176" s="137" t="str"/>
      <x:c r="U176" s="137" t="str"/>
      <x:c r="V176" s="137" t="str"/>
    </x:row>
    <x:row r="177">
      <x:c r="A177" s="137" t="str"/>
      <x:c r="B177" s="199" t="str"/>
      <x:c r="C177" s="137" t="str"/>
      <x:c r="D177" s="137" t="str"/>
      <x:c r="E177" s="137" t="str"/>
      <x:c r="F177" s="137" t="str"/>
      <x:c r="G177" s="137" t="str"/>
      <x:c r="H177" s="137" t="str"/>
      <x:c r="I177" s="137" t="str"/>
      <x:c r="J177" s="137" t="str"/>
      <x:c r="K177" s="137" t="str"/>
      <x:c r="L177" s="138" t="str"/>
      <x:c r="M177" s="138" t="str"/>
      <x:c r="N177" s="196" t="str">
        <x:f>IF(OR(L177="",M177=""),"",M177-L177)</x:f>
      </x:c>
      <x:c r="O177" s="137" t="str"/>
      <x:c r="P177" s="137" t="str"/>
      <x:c r="Q177" s="137" t="str"/>
      <x:c r="R177" s="137" t="str"/>
      <x:c r="S177" s="137" t="str"/>
      <x:c r="T177" s="137" t="str"/>
      <x:c r="U177" s="137" t="str"/>
      <x:c r="V177" s="137" t="str"/>
    </x:row>
    <x:row r="178">
      <x:c r="A178" s="137" t="str"/>
      <x:c r="B178" s="199" t="str"/>
      <x:c r="C178" s="137" t="str"/>
      <x:c r="D178" s="137" t="str"/>
      <x:c r="E178" s="137" t="str"/>
      <x:c r="F178" s="137" t="str"/>
      <x:c r="G178" s="137" t="str"/>
      <x:c r="H178" s="137" t="str"/>
      <x:c r="I178" s="137" t="str"/>
      <x:c r="J178" s="137" t="str"/>
      <x:c r="K178" s="137" t="str"/>
      <x:c r="L178" s="138" t="str"/>
      <x:c r="M178" s="138" t="str"/>
      <x:c r="N178" s="196" t="str">
        <x:f>IF(OR(L178="",M178=""),"",M178-L178)</x:f>
      </x:c>
      <x:c r="O178" s="137" t="str"/>
      <x:c r="P178" s="137" t="str"/>
      <x:c r="Q178" s="137" t="str"/>
      <x:c r="R178" s="137" t="str"/>
      <x:c r="S178" s="137" t="str"/>
      <x:c r="T178" s="137" t="str"/>
      <x:c r="U178" s="137" t="str"/>
      <x:c r="V178" s="137" t="str"/>
    </x:row>
    <x:row r="179">
      <x:c r="A179" s="137" t="str"/>
      <x:c r="B179" s="199" t="str"/>
      <x:c r="C179" s="137" t="str"/>
      <x:c r="D179" s="137" t="str"/>
      <x:c r="E179" s="137" t="str"/>
      <x:c r="F179" s="137" t="str"/>
      <x:c r="G179" s="137" t="str"/>
      <x:c r="H179" s="137" t="str"/>
      <x:c r="I179" s="137" t="str"/>
      <x:c r="J179" s="137" t="str"/>
      <x:c r="K179" s="137" t="str"/>
      <x:c r="L179" s="138" t="str"/>
      <x:c r="M179" s="138" t="str"/>
      <x:c r="N179" s="196" t="str">
        <x:f>IF(OR(L179="",M179=""),"",M179-L179)</x:f>
      </x:c>
      <x:c r="O179" s="137" t="str"/>
      <x:c r="P179" s="137" t="str"/>
      <x:c r="Q179" s="137" t="str"/>
      <x:c r="R179" s="137" t="str"/>
      <x:c r="S179" s="137" t="str"/>
      <x:c r="T179" s="137" t="str"/>
      <x:c r="U179" s="137" t="str"/>
      <x:c r="V179" s="137" t="str"/>
    </x:row>
    <x:row r="180">
      <x:c r="A180" s="137" t="str"/>
      <x:c r="B180" s="199" t="str"/>
      <x:c r="C180" s="137" t="str"/>
      <x:c r="D180" s="137" t="str"/>
      <x:c r="E180" s="137" t="str"/>
      <x:c r="F180" s="137" t="str"/>
      <x:c r="G180" s="137" t="str"/>
      <x:c r="H180" s="137" t="str"/>
      <x:c r="I180" s="137" t="str"/>
      <x:c r="J180" s="137" t="str"/>
      <x:c r="K180" s="137" t="str"/>
      <x:c r="L180" s="138" t="str"/>
      <x:c r="M180" s="138" t="str"/>
      <x:c r="N180" s="196" t="str">
        <x:f>IF(OR(L180="",M180=""),"",M180-L180)</x:f>
      </x:c>
      <x:c r="O180" s="137" t="str"/>
      <x:c r="P180" s="137" t="str"/>
      <x:c r="Q180" s="137" t="str"/>
      <x:c r="R180" s="137" t="str"/>
      <x:c r="S180" s="137" t="str"/>
      <x:c r="T180" s="137" t="str"/>
      <x:c r="U180" s="137" t="str"/>
      <x:c r="V180" s="137" t="str"/>
    </x:row>
    <x:row r="181">
      <x:c r="A181" s="137" t="str"/>
      <x:c r="B181" s="199" t="str"/>
      <x:c r="C181" s="137" t="str"/>
      <x:c r="D181" s="137" t="str"/>
      <x:c r="E181" s="137" t="str"/>
      <x:c r="F181" s="137" t="str"/>
      <x:c r="G181" s="137" t="str"/>
      <x:c r="H181" s="137" t="str"/>
      <x:c r="I181" s="137" t="str"/>
      <x:c r="J181" s="137" t="str"/>
      <x:c r="K181" s="137" t="str"/>
      <x:c r="L181" s="138" t="str"/>
      <x:c r="M181" s="138" t="str"/>
      <x:c r="N181" s="196" t="str">
        <x:f>IF(OR(L181="",M181=""),"",M181-L181)</x:f>
      </x:c>
      <x:c r="O181" s="137" t="str"/>
      <x:c r="P181" s="137" t="str"/>
      <x:c r="Q181" s="137" t="str"/>
      <x:c r="R181" s="137" t="str"/>
      <x:c r="S181" s="137" t="str"/>
      <x:c r="T181" s="137" t="str"/>
      <x:c r="U181" s="137" t="str"/>
      <x:c r="V181" s="137" t="str"/>
    </x:row>
    <x:row r="182">
      <x:c r="A182" s="137" t="str"/>
      <x:c r="B182" s="199" t="str"/>
      <x:c r="C182" s="137" t="str"/>
      <x:c r="D182" s="137" t="str"/>
      <x:c r="E182" s="137" t="str"/>
      <x:c r="F182" s="137" t="str"/>
      <x:c r="G182" s="137" t="str"/>
      <x:c r="H182" s="137" t="str"/>
      <x:c r="I182" s="137" t="str"/>
      <x:c r="J182" s="137" t="str"/>
      <x:c r="K182" s="137" t="str"/>
      <x:c r="L182" s="138" t="str"/>
      <x:c r="M182" s="138" t="str"/>
      <x:c r="N182" s="196" t="str">
        <x:f>IF(OR(L182="",M182=""),"",M182-L182)</x:f>
      </x:c>
      <x:c r="O182" s="137" t="str"/>
      <x:c r="P182" s="137" t="str"/>
      <x:c r="Q182" s="137" t="str"/>
      <x:c r="R182" s="137" t="str"/>
      <x:c r="S182" s="137" t="str"/>
      <x:c r="T182" s="137" t="str"/>
      <x:c r="U182" s="137" t="str"/>
      <x:c r="V182" s="137" t="str"/>
    </x:row>
    <x:row r="183">
      <x:c r="A183" s="137" t="str"/>
      <x:c r="B183" s="199" t="str"/>
      <x:c r="C183" s="137" t="str"/>
      <x:c r="D183" s="137" t="str"/>
      <x:c r="E183" s="137" t="str"/>
      <x:c r="F183" s="137" t="str"/>
      <x:c r="G183" s="137" t="str"/>
      <x:c r="H183" s="137" t="str"/>
      <x:c r="I183" s="137" t="str"/>
      <x:c r="J183" s="137" t="str"/>
      <x:c r="K183" s="137" t="str"/>
      <x:c r="L183" s="138" t="str"/>
      <x:c r="M183" s="138" t="str"/>
      <x:c r="N183" s="196" t="str">
        <x:f>IF(OR(L183="",M183=""),"",M183-L183)</x:f>
      </x:c>
      <x:c r="O183" s="137" t="str"/>
      <x:c r="P183" s="137" t="str"/>
      <x:c r="Q183" s="137" t="str"/>
      <x:c r="R183" s="137" t="str"/>
      <x:c r="S183" s="137" t="str"/>
      <x:c r="T183" s="137" t="str"/>
      <x:c r="U183" s="137" t="str"/>
      <x:c r="V183" s="137" t="str"/>
    </x:row>
    <x:row r="184">
      <x:c r="A184" s="137" t="str"/>
      <x:c r="B184" s="199" t="str"/>
      <x:c r="C184" s="137" t="str"/>
      <x:c r="D184" s="137" t="str"/>
      <x:c r="E184" s="137" t="str"/>
      <x:c r="F184" s="137" t="str"/>
      <x:c r="G184" s="137" t="str"/>
      <x:c r="H184" s="137" t="str"/>
      <x:c r="I184" s="137" t="str"/>
      <x:c r="J184" s="137" t="str"/>
      <x:c r="K184" s="137" t="str"/>
      <x:c r="L184" s="138" t="str"/>
      <x:c r="M184" s="138" t="str"/>
      <x:c r="N184" s="196" t="str">
        <x:f>IF(OR(L184="",M184=""),"",M184-L184)</x:f>
      </x:c>
      <x:c r="O184" s="137" t="str"/>
      <x:c r="P184" s="137" t="str"/>
      <x:c r="Q184" s="137" t="str"/>
      <x:c r="R184" s="137" t="str"/>
      <x:c r="S184" s="137" t="str"/>
      <x:c r="T184" s="137" t="str"/>
      <x:c r="U184" s="137" t="str"/>
      <x:c r="V184" s="137" t="str"/>
    </x:row>
    <x:row r="185">
      <x:c r="A185" s="137" t="str"/>
      <x:c r="B185" s="199" t="str"/>
      <x:c r="C185" s="137" t="str"/>
      <x:c r="D185" s="137" t="str"/>
      <x:c r="E185" s="137" t="str"/>
      <x:c r="F185" s="137" t="str"/>
      <x:c r="G185" s="137" t="str"/>
      <x:c r="H185" s="137" t="str"/>
      <x:c r="I185" s="137" t="str"/>
      <x:c r="J185" s="137" t="str"/>
      <x:c r="K185" s="137" t="str"/>
      <x:c r="L185" s="138" t="str"/>
      <x:c r="M185" s="138" t="str"/>
      <x:c r="N185" s="196" t="str">
        <x:f>IF(OR(L185="",M185=""),"",M185-L185)</x:f>
      </x:c>
      <x:c r="O185" s="137" t="str"/>
      <x:c r="P185" s="137" t="str"/>
      <x:c r="Q185" s="137" t="str"/>
      <x:c r="R185" s="137" t="str"/>
      <x:c r="S185" s="137" t="str"/>
      <x:c r="T185" s="137" t="str"/>
      <x:c r="U185" s="137" t="str"/>
      <x:c r="V185" s="137" t="str"/>
    </x:row>
    <x:row r="186">
      <x:c r="A186" s="137" t="str"/>
      <x:c r="B186" s="199" t="str"/>
      <x:c r="C186" s="137" t="str"/>
      <x:c r="D186" s="137" t="str"/>
      <x:c r="E186" s="137" t="str"/>
      <x:c r="F186" s="137" t="str"/>
      <x:c r="G186" s="137" t="str"/>
      <x:c r="H186" s="137" t="str"/>
      <x:c r="I186" s="137" t="str"/>
      <x:c r="J186" s="137" t="str"/>
      <x:c r="K186" s="137" t="str"/>
      <x:c r="L186" s="138" t="str"/>
      <x:c r="M186" s="138" t="str"/>
      <x:c r="N186" s="196" t="str">
        <x:f>IF(OR(L186="",M186=""),"",M186-L186)</x:f>
      </x:c>
      <x:c r="O186" s="137" t="str"/>
      <x:c r="P186" s="137" t="str"/>
      <x:c r="Q186" s="137" t="str"/>
      <x:c r="R186" s="137" t="str"/>
      <x:c r="S186" s="137" t="str"/>
      <x:c r="T186" s="137" t="str"/>
      <x:c r="U186" s="137" t="str"/>
      <x:c r="V186" s="137" t="str"/>
    </x:row>
    <x:row r="187">
      <x:c r="A187" s="137" t="str"/>
      <x:c r="B187" s="199" t="str"/>
      <x:c r="C187" s="137" t="str"/>
      <x:c r="D187" s="137" t="str"/>
      <x:c r="E187" s="137" t="str"/>
      <x:c r="F187" s="137" t="str"/>
      <x:c r="G187" s="137" t="str"/>
      <x:c r="H187" s="137" t="str"/>
      <x:c r="I187" s="137" t="str"/>
      <x:c r="J187" s="137" t="str"/>
      <x:c r="K187" s="137" t="str"/>
      <x:c r="L187" s="138" t="str"/>
      <x:c r="M187" s="138" t="str"/>
      <x:c r="N187" s="196" t="str">
        <x:f>IF(OR(L187="",M187=""),"",M187-L187)</x:f>
      </x:c>
      <x:c r="O187" s="137" t="str"/>
      <x:c r="P187" s="137" t="str"/>
      <x:c r="Q187" s="137" t="str"/>
      <x:c r="R187" s="137" t="str"/>
      <x:c r="S187" s="137" t="str"/>
      <x:c r="T187" s="137" t="str"/>
      <x:c r="U187" s="137" t="str"/>
      <x:c r="V187" s="137" t="str"/>
    </x:row>
    <x:row r="188">
      <x:c r="A188" s="137" t="str"/>
      <x:c r="B188" s="199" t="str"/>
      <x:c r="C188" s="137" t="str"/>
      <x:c r="D188" s="137" t="str"/>
      <x:c r="E188" s="137" t="str"/>
      <x:c r="F188" s="137" t="str"/>
      <x:c r="G188" s="137" t="str"/>
      <x:c r="H188" s="137" t="str"/>
      <x:c r="I188" s="137" t="str"/>
      <x:c r="J188" s="137" t="str"/>
      <x:c r="K188" s="137" t="str"/>
      <x:c r="L188" s="138" t="str"/>
      <x:c r="M188" s="138" t="str"/>
      <x:c r="N188" s="196" t="str">
        <x:f>IF(OR(L188="",M188=""),"",M188-L188)</x:f>
      </x:c>
      <x:c r="O188" s="137" t="str"/>
      <x:c r="P188" s="137" t="str"/>
      <x:c r="Q188" s="137" t="str"/>
      <x:c r="R188" s="137" t="str"/>
      <x:c r="S188" s="137" t="str"/>
      <x:c r="T188" s="137" t="str"/>
      <x:c r="U188" s="137" t="str"/>
      <x:c r="V188" s="137" t="str"/>
    </x:row>
    <x:row r="189">
      <x:c r="A189" s="137" t="str"/>
      <x:c r="B189" s="199" t="str"/>
      <x:c r="C189" s="137" t="str"/>
      <x:c r="D189" s="137" t="str"/>
      <x:c r="E189" s="137" t="str"/>
      <x:c r="F189" s="137" t="str"/>
      <x:c r="G189" s="137" t="str"/>
      <x:c r="H189" s="137" t="str"/>
      <x:c r="I189" s="137" t="str"/>
      <x:c r="J189" s="137" t="str"/>
      <x:c r="K189" s="137" t="str"/>
      <x:c r="L189" s="138" t="str"/>
      <x:c r="M189" s="138" t="str"/>
      <x:c r="N189" s="196" t="str">
        <x:f>IF(OR(L189="",M189=""),"",M189-L189)</x:f>
      </x:c>
      <x:c r="O189" s="137" t="str"/>
      <x:c r="P189" s="137" t="str"/>
      <x:c r="Q189" s="137" t="str"/>
      <x:c r="R189" s="137" t="str"/>
      <x:c r="S189" s="137" t="str"/>
      <x:c r="T189" s="137" t="str"/>
      <x:c r="U189" s="137" t="str"/>
      <x:c r="V189" s="137" t="str"/>
    </x:row>
    <x:row r="190">
      <x:c r="A190" s="137" t="str"/>
      <x:c r="B190" s="199" t="str"/>
      <x:c r="C190" s="137" t="str"/>
      <x:c r="D190" s="137" t="str"/>
      <x:c r="E190" s="137" t="str"/>
      <x:c r="F190" s="137" t="str"/>
      <x:c r="G190" s="137" t="str"/>
      <x:c r="H190" s="137" t="str"/>
      <x:c r="I190" s="137" t="str"/>
      <x:c r="J190" s="137" t="str"/>
      <x:c r="K190" s="137" t="str"/>
      <x:c r="L190" s="138" t="str"/>
      <x:c r="M190" s="138" t="str"/>
      <x:c r="N190" s="196" t="str">
        <x:f>IF(OR(L190="",M190=""),"",M190-L190)</x:f>
      </x:c>
      <x:c r="O190" s="137" t="str"/>
      <x:c r="P190" s="137" t="str"/>
      <x:c r="Q190" s="137" t="str"/>
      <x:c r="R190" s="137" t="str"/>
      <x:c r="S190" s="137" t="str"/>
      <x:c r="T190" s="137" t="str"/>
      <x:c r="U190" s="137" t="str"/>
      <x:c r="V190" s="137" t="str"/>
    </x:row>
    <x:row r="191">
      <x:c r="A191" s="137" t="str"/>
      <x:c r="B191" s="199" t="str"/>
      <x:c r="C191" s="137" t="str"/>
      <x:c r="D191" s="137" t="str"/>
      <x:c r="E191" s="137" t="str"/>
      <x:c r="F191" s="137" t="str"/>
      <x:c r="G191" s="137" t="str"/>
      <x:c r="H191" s="137" t="str"/>
      <x:c r="I191" s="137" t="str"/>
      <x:c r="J191" s="137" t="str"/>
      <x:c r="K191" s="137" t="str"/>
      <x:c r="L191" s="138" t="str"/>
      <x:c r="M191" s="138" t="str"/>
      <x:c r="N191" s="196" t="str">
        <x:f>IF(OR(L191="",M191=""),"",M191-L191)</x:f>
      </x:c>
      <x:c r="O191" s="137" t="str"/>
      <x:c r="P191" s="137" t="str"/>
      <x:c r="Q191" s="137" t="str"/>
      <x:c r="R191" s="137" t="str"/>
      <x:c r="S191" s="137" t="str"/>
      <x:c r="T191" s="137" t="str"/>
      <x:c r="U191" s="137" t="str"/>
      <x:c r="V191" s="137" t="str"/>
    </x:row>
    <x:row r="192">
      <x:c r="A192" s="137" t="str"/>
      <x:c r="B192" s="199" t="str"/>
      <x:c r="C192" s="137" t="str"/>
      <x:c r="D192" s="137" t="str"/>
      <x:c r="E192" s="137" t="str"/>
      <x:c r="F192" s="137" t="str"/>
      <x:c r="G192" s="137" t="str"/>
      <x:c r="H192" s="137" t="str"/>
      <x:c r="I192" s="137" t="str"/>
      <x:c r="J192" s="137" t="str"/>
      <x:c r="K192" s="137" t="str"/>
      <x:c r="L192" s="138" t="str"/>
      <x:c r="M192" s="138" t="str"/>
      <x:c r="N192" s="196" t="str">
        <x:f>IF(OR(L192="",M192=""),"",M192-L192)</x:f>
      </x:c>
      <x:c r="O192" s="137" t="str"/>
      <x:c r="P192" s="137" t="str"/>
      <x:c r="Q192" s="137" t="str"/>
      <x:c r="R192" s="137" t="str"/>
      <x:c r="S192" s="137" t="str"/>
      <x:c r="T192" s="137" t="str"/>
      <x:c r="U192" s="137" t="str"/>
      <x:c r="V192" s="137" t="str"/>
    </x:row>
    <x:row r="193">
      <x:c r="A193" s="137" t="str"/>
      <x:c r="B193" s="199" t="str"/>
      <x:c r="C193" s="137" t="str"/>
      <x:c r="D193" s="137" t="str"/>
      <x:c r="E193" s="137" t="str"/>
      <x:c r="F193" s="137" t="str"/>
      <x:c r="G193" s="137" t="str"/>
      <x:c r="H193" s="137" t="str"/>
      <x:c r="I193" s="137" t="str"/>
      <x:c r="J193" s="137" t="str"/>
      <x:c r="K193" s="137" t="str"/>
      <x:c r="L193" s="138" t="str"/>
      <x:c r="M193" s="138" t="str"/>
      <x:c r="N193" s="196" t="str">
        <x:f>IF(OR(L193="",M193=""),"",M193-L193)</x:f>
      </x:c>
      <x:c r="O193" s="137" t="str"/>
      <x:c r="P193" s="137" t="str"/>
      <x:c r="Q193" s="137" t="str"/>
      <x:c r="R193" s="137" t="str"/>
      <x:c r="S193" s="137" t="str"/>
      <x:c r="T193" s="137" t="str"/>
      <x:c r="U193" s="137" t="str"/>
      <x:c r="V193" s="137" t="str"/>
    </x:row>
    <x:row r="194">
      <x:c r="A194" s="137" t="str"/>
      <x:c r="B194" s="199" t="str"/>
      <x:c r="C194" s="137" t="str"/>
      <x:c r="D194" s="137" t="str"/>
      <x:c r="E194" s="137" t="str"/>
      <x:c r="F194" s="137" t="str"/>
      <x:c r="G194" s="137" t="str"/>
      <x:c r="H194" s="137" t="str"/>
      <x:c r="I194" s="137" t="str"/>
      <x:c r="J194" s="137" t="str"/>
      <x:c r="K194" s="137" t="str"/>
      <x:c r="L194" s="138" t="str"/>
      <x:c r="M194" s="138" t="str"/>
      <x:c r="N194" s="196" t="str">
        <x:f>IF(OR(L194="",M194=""),"",M194-L194)</x:f>
      </x:c>
      <x:c r="O194" s="137" t="str"/>
      <x:c r="P194" s="137" t="str"/>
      <x:c r="Q194" s="137" t="str"/>
      <x:c r="R194" s="137" t="str"/>
      <x:c r="S194" s="137" t="str"/>
      <x:c r="T194" s="137" t="str"/>
      <x:c r="U194" s="137" t="str"/>
      <x:c r="V194" s="137" t="str"/>
    </x:row>
    <x:row r="195">
      <x:c r="A195" s="137" t="str"/>
      <x:c r="B195" s="199" t="str"/>
      <x:c r="C195" s="137" t="str"/>
      <x:c r="D195" s="137" t="str"/>
      <x:c r="E195" s="137" t="str"/>
      <x:c r="F195" s="137" t="str"/>
      <x:c r="G195" s="137" t="str"/>
      <x:c r="H195" s="137" t="str"/>
      <x:c r="I195" s="137" t="str"/>
      <x:c r="J195" s="137" t="str"/>
      <x:c r="K195" s="137" t="str"/>
      <x:c r="L195" s="138" t="str"/>
      <x:c r="M195" s="138" t="str"/>
      <x:c r="N195" s="196" t="str">
        <x:f>IF(OR(L195="",M195=""),"",M195-L195)</x:f>
      </x:c>
      <x:c r="O195" s="137" t="str"/>
      <x:c r="P195" s="137" t="str"/>
      <x:c r="Q195" s="137" t="str"/>
      <x:c r="R195" s="137" t="str"/>
      <x:c r="S195" s="137" t="str"/>
      <x:c r="T195" s="137" t="str"/>
      <x:c r="U195" s="137" t="str"/>
      <x:c r="V195" s="137" t="str"/>
    </x:row>
    <x:row r="196">
      <x:c r="A196" s="137" t="str"/>
      <x:c r="B196" s="199" t="str"/>
      <x:c r="C196" s="137" t="str"/>
      <x:c r="D196" s="137" t="str"/>
      <x:c r="E196" s="137" t="str"/>
      <x:c r="F196" s="137" t="str"/>
      <x:c r="G196" s="137" t="str"/>
      <x:c r="H196" s="137" t="str"/>
      <x:c r="I196" s="137" t="str"/>
      <x:c r="J196" s="137" t="str"/>
      <x:c r="K196" s="137" t="str"/>
      <x:c r="L196" s="138" t="str"/>
      <x:c r="M196" s="138" t="str"/>
      <x:c r="N196" s="196" t="str">
        <x:f>IF(OR(L196="",M196=""),"",M196-L196)</x:f>
      </x:c>
      <x:c r="O196" s="137" t="str"/>
      <x:c r="P196" s="137" t="str"/>
      <x:c r="Q196" s="137" t="str"/>
      <x:c r="R196" s="137" t="str"/>
      <x:c r="S196" s="137" t="str"/>
      <x:c r="T196" s="137" t="str"/>
      <x:c r="U196" s="137" t="str"/>
      <x:c r="V196" s="137" t="str"/>
    </x:row>
    <x:row r="197">
      <x:c r="A197" s="137" t="str"/>
      <x:c r="B197" s="199" t="str"/>
      <x:c r="C197" s="137" t="str"/>
      <x:c r="D197" s="137" t="str"/>
      <x:c r="E197" s="137" t="str"/>
      <x:c r="F197" s="137" t="str"/>
      <x:c r="G197" s="137" t="str"/>
      <x:c r="H197" s="137" t="str"/>
      <x:c r="I197" s="137" t="str"/>
      <x:c r="J197" s="137" t="str"/>
      <x:c r="K197" s="137" t="str"/>
      <x:c r="L197" s="138" t="str"/>
      <x:c r="M197" s="138" t="str"/>
      <x:c r="N197" s="196" t="str">
        <x:f>IF(OR(L197="",M197=""),"",M197-L197)</x:f>
      </x:c>
      <x:c r="O197" s="137" t="str"/>
      <x:c r="P197" s="137" t="str"/>
      <x:c r="Q197" s="137" t="str"/>
      <x:c r="R197" s="137" t="str"/>
      <x:c r="S197" s="137" t="str"/>
      <x:c r="T197" s="137" t="str"/>
      <x:c r="U197" s="137" t="str"/>
      <x:c r="V197" s="137" t="str"/>
    </x:row>
    <x:row r="198">
      <x:c r="A198" s="137" t="str"/>
      <x:c r="B198" s="199" t="str"/>
      <x:c r="C198" s="137" t="str"/>
      <x:c r="D198" s="137" t="str"/>
      <x:c r="E198" s="137" t="str"/>
      <x:c r="F198" s="137" t="str"/>
      <x:c r="G198" s="137" t="str"/>
      <x:c r="H198" s="137" t="str"/>
      <x:c r="I198" s="137" t="str"/>
      <x:c r="J198" s="137" t="str"/>
      <x:c r="K198" s="137" t="str"/>
      <x:c r="L198" s="138" t="str"/>
      <x:c r="M198" s="138" t="str"/>
      <x:c r="N198" s="196" t="str">
        <x:f>IF(OR(L198="",M198=""),"",M198-L198)</x:f>
      </x:c>
      <x:c r="O198" s="137" t="str"/>
      <x:c r="P198" s="137" t="str"/>
      <x:c r="Q198" s="137" t="str"/>
      <x:c r="R198" s="137" t="str"/>
      <x:c r="S198" s="137" t="str"/>
      <x:c r="T198" s="137" t="str"/>
      <x:c r="U198" s="137" t="str"/>
      <x:c r="V198" s="137" t="str"/>
    </x:row>
    <x:row r="199">
      <x:c r="A199" s="137" t="str"/>
      <x:c r="B199" s="199" t="str"/>
      <x:c r="C199" s="137" t="str"/>
      <x:c r="D199" s="137" t="str"/>
      <x:c r="E199" s="137" t="str"/>
      <x:c r="F199" s="137" t="str"/>
      <x:c r="G199" s="137" t="str"/>
      <x:c r="H199" s="137" t="str"/>
      <x:c r="I199" s="137" t="str"/>
      <x:c r="J199" s="137" t="str"/>
      <x:c r="K199" s="137" t="str"/>
      <x:c r="L199" s="138" t="str"/>
      <x:c r="M199" s="138" t="str"/>
      <x:c r="N199" s="196" t="str">
        <x:f>IF(OR(L199="",M199=""),"",M199-L199)</x:f>
      </x:c>
      <x:c r="O199" s="137" t="str"/>
      <x:c r="P199" s="137" t="str"/>
      <x:c r="Q199" s="137" t="str"/>
      <x:c r="R199" s="137" t="str"/>
      <x:c r="S199" s="137" t="str"/>
      <x:c r="T199" s="137" t="str"/>
      <x:c r="U199" s="137" t="str"/>
      <x:c r="V199" s="137" t="str"/>
    </x:row>
    <x:row r="200">
      <x:c r="A200" s="137" t="str"/>
      <x:c r="B200" s="199" t="str"/>
      <x:c r="C200" s="137" t="str"/>
      <x:c r="D200" s="137" t="str"/>
      <x:c r="E200" s="137" t="str"/>
      <x:c r="F200" s="137" t="str"/>
      <x:c r="G200" s="137" t="str"/>
      <x:c r="H200" s="137" t="str"/>
      <x:c r="I200" s="137" t="str"/>
      <x:c r="J200" s="137" t="str"/>
      <x:c r="K200" s="137" t="str"/>
      <x:c r="L200" s="138" t="str"/>
      <x:c r="M200" s="138" t="str"/>
      <x:c r="N200" s="196" t="str">
        <x:f>IF(OR(L200="",M200=""),"",M200-L200)</x:f>
      </x:c>
      <x:c r="O200" s="137" t="str"/>
      <x:c r="P200" s="137" t="str"/>
      <x:c r="Q200" s="137" t="str"/>
      <x:c r="R200" s="137" t="str"/>
      <x:c r="S200" s="137" t="str"/>
      <x:c r="T200" s="137" t="str"/>
      <x:c r="U200" s="137" t="str"/>
      <x:c r="V200" s="137" t="str"/>
    </x:row>
    <x:row r="201">
      <x:c r="A201" s="137" t="str"/>
      <x:c r="B201" s="199" t="str"/>
      <x:c r="C201" s="137" t="str"/>
      <x:c r="D201" s="137" t="str"/>
      <x:c r="E201" s="137" t="str"/>
      <x:c r="F201" s="137" t="str"/>
      <x:c r="G201" s="137" t="str"/>
      <x:c r="H201" s="137" t="str"/>
      <x:c r="I201" s="137" t="str"/>
      <x:c r="J201" s="137" t="str"/>
      <x:c r="K201" s="137" t="str"/>
      <x:c r="L201" s="138" t="str"/>
      <x:c r="M201" s="138" t="str"/>
      <x:c r="N201" s="196" t="str">
        <x:f>IF(OR(L201="",M201=""),"",M201-L201)</x:f>
      </x:c>
      <x:c r="O201" s="137" t="str"/>
      <x:c r="P201" s="137" t="str"/>
      <x:c r="Q201" s="137" t="str"/>
      <x:c r="R201" s="137" t="str"/>
      <x:c r="S201" s="137" t="str"/>
      <x:c r="T201" s="137" t="str"/>
      <x:c r="U201" s="137" t="str"/>
      <x:c r="V201" s="137" t="str"/>
    </x:row>
    <x:row r="202">
      <x:c r="A202" s="137" t="str"/>
      <x:c r="B202" s="199" t="str"/>
      <x:c r="C202" s="137" t="str"/>
      <x:c r="D202" s="137" t="str"/>
      <x:c r="E202" s="137" t="str"/>
      <x:c r="F202" s="137" t="str"/>
      <x:c r="G202" s="137" t="str"/>
      <x:c r="H202" s="137" t="str"/>
      <x:c r="I202" s="137" t="str"/>
      <x:c r="J202" s="137" t="str"/>
      <x:c r="K202" s="137" t="str"/>
      <x:c r="L202" s="138" t="str"/>
      <x:c r="M202" s="138" t="str"/>
      <x:c r="N202" s="196" t="str">
        <x:f>IF(OR(L202="",M202=""),"",M202-L202)</x:f>
      </x:c>
      <x:c r="O202" s="137" t="str"/>
      <x:c r="P202" s="137" t="str"/>
      <x:c r="Q202" s="137" t="str"/>
      <x:c r="R202" s="137" t="str"/>
      <x:c r="S202" s="137" t="str"/>
      <x:c r="T202" s="137" t="str"/>
      <x:c r="U202" s="137" t="str"/>
      <x:c r="V202" s="137" t="str"/>
    </x:row>
    <x:row r="203">
      <x:c r="A203" s="137" t="str"/>
      <x:c r="B203" s="199" t="str"/>
      <x:c r="C203" s="137" t="str"/>
      <x:c r="D203" s="137" t="str"/>
      <x:c r="E203" s="137" t="str"/>
      <x:c r="F203" s="137" t="str"/>
      <x:c r="G203" s="137" t="str"/>
      <x:c r="H203" s="137" t="str"/>
      <x:c r="I203" s="137" t="str"/>
      <x:c r="J203" s="137" t="str"/>
      <x:c r="K203" s="137" t="str"/>
      <x:c r="L203" s="138" t="str"/>
      <x:c r="M203" s="138" t="str"/>
      <x:c r="N203" s="196" t="str">
        <x:f>IF(OR(L203="",M203=""),"",M203-L203)</x:f>
      </x:c>
      <x:c r="O203" s="137" t="str"/>
      <x:c r="P203" s="137" t="str"/>
      <x:c r="Q203" s="137" t="str"/>
      <x:c r="R203" s="137" t="str"/>
      <x:c r="S203" s="137" t="str"/>
      <x:c r="T203" s="137" t="str"/>
      <x:c r="U203" s="137" t="str"/>
      <x:c r="V203" s="137" t="str"/>
    </x:row>
    <x:row r="204">
      <x:c r="A204" s="137" t="str"/>
      <x:c r="B204" s="199" t="str"/>
      <x:c r="C204" s="137" t="str"/>
      <x:c r="D204" s="137" t="str"/>
      <x:c r="E204" s="137" t="str"/>
      <x:c r="F204" s="137" t="str"/>
      <x:c r="G204" s="137" t="str"/>
      <x:c r="H204" s="137" t="str"/>
      <x:c r="I204" s="137" t="str"/>
      <x:c r="J204" s="137" t="str"/>
      <x:c r="K204" s="137" t="str"/>
      <x:c r="L204" s="138" t="str"/>
      <x:c r="M204" s="138" t="str"/>
      <x:c r="N204" s="196" t="str">
        <x:f>IF(OR(L204="",M204=""),"",M204-L204)</x:f>
      </x:c>
      <x:c r="O204" s="137" t="str"/>
      <x:c r="P204" s="137" t="str"/>
      <x:c r="Q204" s="137" t="str"/>
      <x:c r="R204" s="137" t="str"/>
      <x:c r="S204" s="137" t="str"/>
      <x:c r="T204" s="137" t="str"/>
      <x:c r="U204" s="137" t="str"/>
      <x:c r="V204" s="137" t="str"/>
    </x:row>
    <x:row r="205">
      <x:c r="A205" s="137" t="str"/>
      <x:c r="B205" s="199" t="str"/>
      <x:c r="C205" s="137" t="str"/>
      <x:c r="D205" s="137" t="str"/>
      <x:c r="E205" s="137" t="str"/>
      <x:c r="F205" s="137" t="str"/>
      <x:c r="G205" s="137" t="str"/>
      <x:c r="H205" s="137" t="str"/>
      <x:c r="I205" s="137" t="str"/>
      <x:c r="J205" s="137" t="str"/>
      <x:c r="K205" s="137" t="str"/>
      <x:c r="L205" s="138" t="str"/>
      <x:c r="M205" s="138" t="str"/>
      <x:c r="N205" s="196" t="str">
        <x:f>IF(OR(L205="",M205=""),"",M205-L205)</x:f>
      </x:c>
      <x:c r="O205" s="137" t="str"/>
      <x:c r="P205" s="137" t="str"/>
      <x:c r="Q205" s="137" t="str"/>
      <x:c r="R205" s="137" t="str"/>
      <x:c r="S205" s="137" t="str"/>
      <x:c r="T205" s="137" t="str"/>
      <x:c r="U205" s="137" t="str"/>
      <x:c r="V205" s="137" t="str"/>
    </x:row>
    <x:row r="206">
      <x:c r="A206" s="137" t="str"/>
      <x:c r="B206" s="199" t="str"/>
      <x:c r="C206" s="137" t="str"/>
      <x:c r="D206" s="137" t="str"/>
      <x:c r="E206" s="137" t="str"/>
      <x:c r="F206" s="137" t="str"/>
      <x:c r="G206" s="137" t="str"/>
      <x:c r="H206" s="137" t="str"/>
      <x:c r="I206" s="137" t="str"/>
      <x:c r="J206" s="137" t="str"/>
      <x:c r="K206" s="137" t="str"/>
      <x:c r="L206" s="138" t="str"/>
      <x:c r="M206" s="138" t="str"/>
      <x:c r="N206" s="196" t="str">
        <x:f>IF(OR(L206="",M206=""),"",M206-L206)</x:f>
      </x:c>
      <x:c r="O206" s="137" t="str"/>
      <x:c r="P206" s="137" t="str"/>
      <x:c r="Q206" s="137" t="str"/>
      <x:c r="R206" s="137" t="str"/>
      <x:c r="S206" s="137" t="str"/>
      <x:c r="T206" s="137" t="str"/>
      <x:c r="U206" s="137" t="str"/>
      <x:c r="V206" s="137" t="str"/>
    </x:row>
    <x:row r="207">
      <x:c r="A207" s="137" t="str"/>
      <x:c r="B207" s="199" t="str"/>
      <x:c r="C207" s="137" t="str"/>
      <x:c r="D207" s="137" t="str"/>
      <x:c r="E207" s="137" t="str"/>
      <x:c r="F207" s="137" t="str"/>
      <x:c r="G207" s="137" t="str"/>
      <x:c r="H207" s="137" t="str"/>
      <x:c r="I207" s="137" t="str"/>
      <x:c r="J207" s="137" t="str"/>
      <x:c r="K207" s="137" t="str"/>
      <x:c r="L207" s="138" t="str"/>
      <x:c r="M207" s="138" t="str"/>
      <x:c r="N207" s="196" t="str">
        <x:f>IF(OR(L207="",M207=""),"",M207-L207)</x:f>
      </x:c>
      <x:c r="O207" s="137" t="str"/>
      <x:c r="P207" s="137" t="str"/>
      <x:c r="Q207" s="137" t="str"/>
      <x:c r="R207" s="137" t="str"/>
      <x:c r="S207" s="137" t="str"/>
      <x:c r="T207" s="137" t="str"/>
      <x:c r="U207" s="137" t="str"/>
      <x:c r="V207" s="137" t="str"/>
    </x:row>
    <x:row r="208">
      <x:c r="A208" s="137" t="str"/>
      <x:c r="B208" s="199" t="str"/>
      <x:c r="C208" s="137" t="str"/>
      <x:c r="D208" s="137" t="str"/>
      <x:c r="E208" s="137" t="str"/>
      <x:c r="F208" s="137" t="str"/>
      <x:c r="G208" s="137" t="str"/>
      <x:c r="H208" s="137" t="str"/>
      <x:c r="I208" s="137" t="str"/>
      <x:c r="J208" s="137" t="str"/>
      <x:c r="K208" s="137" t="str"/>
      <x:c r="L208" s="138" t="str"/>
      <x:c r="M208" s="138" t="str"/>
      <x:c r="N208" s="196" t="str">
        <x:f>IF(OR(L208="",M208=""),"",M208-L208)</x:f>
      </x:c>
      <x:c r="O208" s="137" t="str"/>
      <x:c r="P208" s="137" t="str"/>
      <x:c r="Q208" s="137" t="str"/>
      <x:c r="R208" s="137" t="str"/>
      <x:c r="S208" s="137" t="str"/>
      <x:c r="T208" s="137" t="str"/>
      <x:c r="U208" s="137" t="str"/>
      <x:c r="V208" s="137" t="str"/>
    </x:row>
    <x:row r="209">
      <x:c r="A209" s="137" t="str"/>
      <x:c r="B209" s="199" t="str"/>
      <x:c r="C209" s="137" t="str"/>
      <x:c r="D209" s="137" t="str"/>
      <x:c r="E209" s="137" t="str"/>
      <x:c r="F209" s="137" t="str"/>
      <x:c r="G209" s="137" t="str"/>
      <x:c r="H209" s="137" t="str"/>
      <x:c r="I209" s="137" t="str"/>
      <x:c r="J209" s="137" t="str"/>
      <x:c r="K209" s="137" t="str"/>
      <x:c r="L209" s="138" t="str"/>
      <x:c r="M209" s="138" t="str"/>
      <x:c r="N209" s="196" t="str">
        <x:f>IF(OR(L209="",M209=""),"",M209-L209)</x:f>
      </x:c>
      <x:c r="O209" s="137" t="str"/>
      <x:c r="P209" s="137" t="str"/>
      <x:c r="Q209" s="137" t="str"/>
      <x:c r="R209" s="137" t="str"/>
      <x:c r="S209" s="137" t="str"/>
      <x:c r="T209" s="137" t="str"/>
      <x:c r="U209" s="137" t="str"/>
      <x:c r="V209" s="137" t="str"/>
    </x:row>
    <x:row r="210">
      <x:c r="A210" s="137" t="str"/>
      <x:c r="B210" s="199" t="str"/>
      <x:c r="C210" s="137" t="str"/>
      <x:c r="D210" s="137" t="str"/>
      <x:c r="E210" s="137" t="str"/>
      <x:c r="F210" s="137" t="str"/>
      <x:c r="G210" s="137" t="str"/>
      <x:c r="H210" s="137" t="str"/>
      <x:c r="I210" s="137" t="str"/>
      <x:c r="J210" s="137" t="str"/>
      <x:c r="K210" s="137" t="str"/>
      <x:c r="L210" s="138" t="str"/>
      <x:c r="M210" s="138" t="str"/>
      <x:c r="N210" s="196" t="str">
        <x:f>IF(OR(L210="",M210=""),"",M210-L210)</x:f>
      </x:c>
      <x:c r="O210" s="137" t="str"/>
      <x:c r="P210" s="137" t="str"/>
      <x:c r="Q210" s="137" t="str"/>
      <x:c r="R210" s="137" t="str"/>
      <x:c r="S210" s="137" t="str"/>
      <x:c r="T210" s="137" t="str"/>
      <x:c r="U210" s="137" t="str"/>
      <x:c r="V210" s="137" t="str"/>
    </x:row>
    <x:row r="211">
      <x:c r="A211" s="137" t="str"/>
      <x:c r="B211" s="199" t="str"/>
      <x:c r="C211" s="137" t="str"/>
      <x:c r="D211" s="137" t="str"/>
      <x:c r="E211" s="137" t="str"/>
      <x:c r="F211" s="137" t="str"/>
      <x:c r="G211" s="137" t="str"/>
      <x:c r="H211" s="137" t="str"/>
      <x:c r="I211" s="137" t="str"/>
      <x:c r="J211" s="137" t="str"/>
      <x:c r="K211" s="137" t="str"/>
      <x:c r="L211" s="138" t="str"/>
      <x:c r="M211" s="138" t="str"/>
      <x:c r="N211" s="196" t="str">
        <x:f>IF(OR(L211="",M211=""),"",M211-L211)</x:f>
      </x:c>
      <x:c r="O211" s="137" t="str"/>
      <x:c r="P211" s="137" t="str"/>
      <x:c r="Q211" s="137" t="str"/>
      <x:c r="R211" s="137" t="str"/>
      <x:c r="S211" s="137" t="str"/>
      <x:c r="T211" s="137" t="str"/>
      <x:c r="U211" s="137" t="str"/>
      <x:c r="V211" s="137" t="str"/>
    </x:row>
    <x:row r="212">
      <x:c r="A212" s="137" t="str"/>
      <x:c r="B212" s="199" t="str"/>
      <x:c r="C212" s="137" t="str"/>
      <x:c r="D212" s="137" t="str"/>
      <x:c r="E212" s="137" t="str"/>
      <x:c r="F212" s="137" t="str"/>
      <x:c r="G212" s="137" t="str"/>
      <x:c r="H212" s="137" t="str"/>
      <x:c r="I212" s="137" t="str"/>
      <x:c r="J212" s="137" t="str"/>
      <x:c r="K212" s="137" t="str"/>
      <x:c r="L212" s="138" t="str"/>
      <x:c r="M212" s="138" t="str"/>
      <x:c r="N212" s="196" t="str">
        <x:f>IF(OR(L212="",M212=""),"",M212-L212)</x:f>
      </x:c>
      <x:c r="O212" s="137" t="str"/>
      <x:c r="P212" s="137" t="str"/>
      <x:c r="Q212" s="137" t="str"/>
      <x:c r="R212" s="137" t="str"/>
      <x:c r="S212" s="137" t="str"/>
      <x:c r="T212" s="137" t="str"/>
      <x:c r="U212" s="137" t="str"/>
      <x:c r="V212" s="137" t="str"/>
    </x:row>
    <x:row r="213">
      <x:c r="A213" s="137" t="str"/>
      <x:c r="B213" s="199" t="str"/>
      <x:c r="C213" s="137" t="str"/>
      <x:c r="D213" s="137" t="str"/>
      <x:c r="E213" s="137" t="str"/>
      <x:c r="F213" s="137" t="str"/>
      <x:c r="G213" s="137" t="str"/>
      <x:c r="H213" s="137" t="str"/>
      <x:c r="I213" s="137" t="str"/>
      <x:c r="J213" s="137" t="str"/>
      <x:c r="K213" s="137" t="str"/>
      <x:c r="L213" s="138" t="str"/>
      <x:c r="M213" s="138" t="str"/>
      <x:c r="N213" s="196" t="str">
        <x:f>IF(OR(L213="",M213=""),"",M213-L213)</x:f>
      </x:c>
      <x:c r="O213" s="137" t="str"/>
      <x:c r="P213" s="137" t="str"/>
      <x:c r="Q213" s="137" t="str"/>
      <x:c r="R213" s="137" t="str"/>
      <x:c r="S213" s="137" t="str"/>
      <x:c r="T213" s="137" t="str"/>
      <x:c r="U213" s="137" t="str"/>
      <x:c r="V213" s="137" t="str"/>
    </x:row>
    <x:row r="214">
      <x:c r="A214" s="137" t="str"/>
      <x:c r="B214" s="199" t="str"/>
      <x:c r="C214" s="137" t="str"/>
      <x:c r="D214" s="137" t="str"/>
      <x:c r="E214" s="137" t="str"/>
      <x:c r="F214" s="137" t="str"/>
      <x:c r="G214" s="137" t="str"/>
      <x:c r="H214" s="137" t="str"/>
      <x:c r="I214" s="137" t="str"/>
      <x:c r="J214" s="137" t="str"/>
      <x:c r="K214" s="137" t="str"/>
      <x:c r="L214" s="138" t="str"/>
      <x:c r="M214" s="138" t="str"/>
      <x:c r="N214" s="196" t="str">
        <x:f>IF(OR(L214="",M214=""),"",M214-L214)</x:f>
      </x:c>
      <x:c r="O214" s="137" t="str"/>
      <x:c r="P214" s="137" t="str"/>
      <x:c r="Q214" s="137" t="str"/>
      <x:c r="R214" s="137" t="str"/>
      <x:c r="S214" s="137" t="str"/>
      <x:c r="T214" s="137" t="str"/>
      <x:c r="U214" s="137" t="str"/>
      <x:c r="V214" s="137" t="str"/>
    </x:row>
    <x:row r="215">
      <x:c r="A215" s="137" t="str"/>
      <x:c r="B215" s="199" t="str"/>
      <x:c r="C215" s="137" t="str"/>
      <x:c r="D215" s="137" t="str"/>
      <x:c r="E215" s="137" t="str"/>
      <x:c r="F215" s="137" t="str"/>
      <x:c r="G215" s="137" t="str"/>
      <x:c r="H215" s="137" t="str"/>
      <x:c r="I215" s="137" t="str"/>
      <x:c r="J215" s="137" t="str"/>
      <x:c r="K215" s="137" t="str"/>
      <x:c r="L215" s="138" t="str"/>
      <x:c r="M215" s="138" t="str"/>
      <x:c r="N215" s="196" t="str">
        <x:f>IF(OR(L215="",M215=""),"",M215-L215)</x:f>
      </x:c>
      <x:c r="O215" s="137" t="str"/>
      <x:c r="P215" s="137" t="str"/>
      <x:c r="Q215" s="137" t="str"/>
      <x:c r="R215" s="137" t="str"/>
      <x:c r="S215" s="137" t="str"/>
      <x:c r="T215" s="137" t="str"/>
      <x:c r="U215" s="137" t="str"/>
      <x:c r="V215" s="137" t="str"/>
    </x:row>
    <x:row r="216">
      <x:c r="A216" s="137" t="str"/>
      <x:c r="B216" s="199" t="str"/>
      <x:c r="C216" s="137" t="str"/>
      <x:c r="D216" s="137" t="str"/>
      <x:c r="E216" s="137" t="str"/>
      <x:c r="F216" s="137" t="str"/>
      <x:c r="G216" s="137" t="str"/>
      <x:c r="H216" s="137" t="str"/>
      <x:c r="I216" s="137" t="str"/>
      <x:c r="J216" s="137" t="str"/>
      <x:c r="K216" s="137" t="str"/>
      <x:c r="L216" s="138" t="str"/>
      <x:c r="M216" s="138" t="str"/>
      <x:c r="N216" s="196" t="str">
        <x:f>IF(OR(L216="",M216=""),"",M216-L216)</x:f>
      </x:c>
      <x:c r="O216" s="137" t="str"/>
      <x:c r="P216" s="137" t="str"/>
      <x:c r="Q216" s="137" t="str"/>
      <x:c r="R216" s="137" t="str"/>
      <x:c r="S216" s="137" t="str"/>
      <x:c r="T216" s="137" t="str"/>
      <x:c r="U216" s="137" t="str"/>
      <x:c r="V216" s="137" t="str"/>
    </x:row>
    <x:row r="217">
      <x:c r="A217" s="137" t="str"/>
      <x:c r="B217" s="199" t="str"/>
      <x:c r="C217" s="137" t="str"/>
      <x:c r="D217" s="137" t="str"/>
      <x:c r="E217" s="137" t="str"/>
      <x:c r="F217" s="137" t="str"/>
      <x:c r="G217" s="137" t="str"/>
      <x:c r="H217" s="137" t="str"/>
      <x:c r="I217" s="137" t="str"/>
      <x:c r="J217" s="137" t="str"/>
      <x:c r="K217" s="137" t="str"/>
      <x:c r="L217" s="138" t="str"/>
      <x:c r="M217" s="138" t="str"/>
      <x:c r="N217" s="196" t="str">
        <x:f>IF(OR(L217="",M217=""),"",M217-L217)</x:f>
      </x:c>
      <x:c r="O217" s="137" t="str"/>
      <x:c r="P217" s="137" t="str"/>
      <x:c r="Q217" s="137" t="str"/>
      <x:c r="R217" s="137" t="str"/>
      <x:c r="S217" s="137" t="str"/>
      <x:c r="T217" s="137" t="str"/>
      <x:c r="U217" s="137" t="str"/>
      <x:c r="V217" s="137" t="str"/>
    </x:row>
    <x:row r="218">
      <x:c r="A218" s="137" t="str"/>
      <x:c r="B218" s="199" t="str"/>
      <x:c r="C218" s="137" t="str"/>
      <x:c r="D218" s="137" t="str"/>
      <x:c r="E218" s="137" t="str"/>
      <x:c r="F218" s="137" t="str"/>
      <x:c r="G218" s="137" t="str"/>
      <x:c r="H218" s="137" t="str"/>
      <x:c r="I218" s="137" t="str"/>
      <x:c r="J218" s="137" t="str"/>
      <x:c r="K218" s="137" t="str"/>
      <x:c r="L218" s="138" t="str"/>
      <x:c r="M218" s="138" t="str"/>
      <x:c r="N218" s="196" t="str">
        <x:f>IF(OR(L218="",M218=""),"",M218-L218)</x:f>
      </x:c>
      <x:c r="O218" s="137" t="str"/>
      <x:c r="P218" s="137" t="str"/>
      <x:c r="Q218" s="137" t="str"/>
      <x:c r="R218" s="137" t="str"/>
      <x:c r="S218" s="137" t="str"/>
      <x:c r="T218" s="137" t="str"/>
      <x:c r="U218" s="137" t="str"/>
      <x:c r="V218" s="137" t="str"/>
    </x:row>
    <x:row r="219">
      <x:c r="A219" s="137" t="str"/>
      <x:c r="B219" s="199" t="str"/>
      <x:c r="C219" s="137" t="str"/>
      <x:c r="D219" s="137" t="str"/>
      <x:c r="E219" s="137" t="str"/>
      <x:c r="F219" s="137" t="str"/>
      <x:c r="G219" s="137" t="str"/>
      <x:c r="H219" s="137" t="str"/>
      <x:c r="I219" s="137" t="str"/>
      <x:c r="J219" s="137" t="str"/>
      <x:c r="K219" s="137" t="str"/>
      <x:c r="L219" s="138" t="str"/>
      <x:c r="M219" s="138" t="str"/>
      <x:c r="N219" s="196" t="str">
        <x:f>IF(OR(L219="",M219=""),"",M219-L219)</x:f>
      </x:c>
      <x:c r="O219" s="137" t="str"/>
      <x:c r="P219" s="137" t="str"/>
      <x:c r="Q219" s="137" t="str"/>
      <x:c r="R219" s="137" t="str"/>
      <x:c r="S219" s="137" t="str"/>
      <x:c r="T219" s="137" t="str"/>
      <x:c r="U219" s="137" t="str"/>
      <x:c r="V219" s="137" t="str"/>
    </x:row>
    <x:row r="220">
      <x:c r="A220" s="137" t="str"/>
      <x:c r="B220" s="199" t="str"/>
      <x:c r="C220" s="137" t="str"/>
      <x:c r="D220" s="137" t="str"/>
      <x:c r="E220" s="137" t="str"/>
      <x:c r="F220" s="137" t="str"/>
      <x:c r="G220" s="137" t="str"/>
      <x:c r="H220" s="137" t="str"/>
      <x:c r="I220" s="137" t="str"/>
      <x:c r="J220" s="137" t="str"/>
      <x:c r="K220" s="137" t="str"/>
      <x:c r="L220" s="138" t="str"/>
      <x:c r="M220" s="138" t="str"/>
      <x:c r="N220" s="196" t="str">
        <x:f>IF(OR(L220="",M220=""),"",M220-L220)</x:f>
      </x:c>
      <x:c r="O220" s="137" t="str"/>
      <x:c r="P220" s="137" t="str"/>
      <x:c r="Q220" s="137" t="str"/>
      <x:c r="R220" s="137" t="str"/>
      <x:c r="S220" s="137" t="str"/>
      <x:c r="T220" s="137" t="str"/>
      <x:c r="U220" s="137" t="str"/>
      <x:c r="V220" s="137" t="str"/>
    </x:row>
    <x:row r="221">
      <x:c r="A221" s="137" t="str"/>
      <x:c r="B221" s="199" t="str"/>
      <x:c r="C221" s="137" t="str"/>
      <x:c r="D221" s="137" t="str"/>
      <x:c r="E221" s="137" t="str"/>
      <x:c r="F221" s="137" t="str"/>
      <x:c r="G221" s="137" t="str"/>
      <x:c r="H221" s="137" t="str"/>
      <x:c r="I221" s="137" t="str"/>
      <x:c r="J221" s="137" t="str"/>
      <x:c r="K221" s="137" t="str"/>
      <x:c r="L221" s="138" t="str"/>
      <x:c r="M221" s="138" t="str"/>
      <x:c r="N221" s="196" t="str">
        <x:f>IF(OR(L221="",M221=""),"",M221-L221)</x:f>
      </x:c>
      <x:c r="O221" s="137" t="str"/>
      <x:c r="P221" s="137" t="str"/>
      <x:c r="Q221" s="137" t="str"/>
      <x:c r="R221" s="137" t="str"/>
      <x:c r="S221" s="137" t="str"/>
      <x:c r="T221" s="137" t="str"/>
      <x:c r="U221" s="137" t="str"/>
      <x:c r="V221" s="137" t="str"/>
    </x:row>
    <x:row r="222">
      <x:c r="A222" s="137" t="str"/>
      <x:c r="B222" s="199" t="str"/>
      <x:c r="C222" s="137" t="str"/>
      <x:c r="D222" s="137" t="str"/>
      <x:c r="E222" s="137" t="str"/>
      <x:c r="F222" s="137" t="str"/>
      <x:c r="G222" s="137" t="str"/>
      <x:c r="H222" s="137" t="str"/>
      <x:c r="I222" s="137" t="str"/>
      <x:c r="J222" s="137" t="str"/>
      <x:c r="K222" s="137" t="str"/>
      <x:c r="L222" s="138" t="str"/>
      <x:c r="M222" s="138" t="str"/>
      <x:c r="N222" s="196" t="str">
        <x:f>IF(OR(L222="",M222=""),"",M222-L222)</x:f>
      </x:c>
      <x:c r="O222" s="137" t="str"/>
      <x:c r="P222" s="137" t="str"/>
      <x:c r="Q222" s="137" t="str"/>
      <x:c r="R222" s="137" t="str"/>
      <x:c r="S222" s="137" t="str"/>
      <x:c r="T222" s="137" t="str"/>
      <x:c r="U222" s="137" t="str"/>
      <x:c r="V222" s="137" t="str"/>
    </x:row>
    <x:row r="223">
      <x:c r="A223" s="137" t="str"/>
      <x:c r="B223" s="199" t="str"/>
      <x:c r="C223" s="137" t="str"/>
      <x:c r="D223" s="137" t="str"/>
      <x:c r="E223" s="137" t="str"/>
      <x:c r="F223" s="137" t="str"/>
      <x:c r="G223" s="137" t="str"/>
      <x:c r="H223" s="137" t="str"/>
      <x:c r="I223" s="137" t="str"/>
      <x:c r="J223" s="137" t="str"/>
      <x:c r="K223" s="137" t="str"/>
      <x:c r="L223" s="138" t="str"/>
      <x:c r="M223" s="138" t="str"/>
      <x:c r="N223" s="196" t="str">
        <x:f>IF(OR(L223="",M223=""),"",M223-L223)</x:f>
      </x:c>
      <x:c r="O223" s="137" t="str"/>
      <x:c r="P223" s="137" t="str"/>
      <x:c r="Q223" s="137" t="str"/>
      <x:c r="R223" s="137" t="str"/>
      <x:c r="S223" s="137" t="str"/>
      <x:c r="T223" s="137" t="str"/>
      <x:c r="U223" s="137" t="str"/>
      <x:c r="V223" s="137" t="str"/>
    </x:row>
    <x:row r="224">
      <x:c r="A224" s="137" t="str"/>
      <x:c r="B224" s="199" t="str"/>
      <x:c r="C224" s="137" t="str"/>
      <x:c r="D224" s="137" t="str"/>
      <x:c r="E224" s="137" t="str"/>
      <x:c r="F224" s="137" t="str"/>
      <x:c r="G224" s="137" t="str"/>
      <x:c r="H224" s="137" t="str"/>
      <x:c r="I224" s="137" t="str"/>
      <x:c r="J224" s="137" t="str"/>
      <x:c r="K224" s="137" t="str"/>
      <x:c r="L224" s="138" t="str"/>
      <x:c r="M224" s="138" t="str"/>
      <x:c r="N224" s="196" t="str">
        <x:f>IF(OR(L224="",M224=""),"",M224-L224)</x:f>
      </x:c>
      <x:c r="O224" s="137" t="str"/>
      <x:c r="P224" s="137" t="str"/>
      <x:c r="Q224" s="137" t="str"/>
      <x:c r="R224" s="137" t="str"/>
      <x:c r="S224" s="137" t="str"/>
      <x:c r="T224" s="137" t="str"/>
      <x:c r="U224" s="137" t="str"/>
      <x:c r="V224" s="137" t="str"/>
    </x:row>
    <x:row r="225">
      <x:c r="A225" s="137" t="str"/>
      <x:c r="B225" s="199" t="str"/>
      <x:c r="C225" s="137" t="str"/>
      <x:c r="D225" s="137" t="str"/>
      <x:c r="E225" s="137" t="str"/>
      <x:c r="F225" s="137" t="str"/>
      <x:c r="G225" s="137" t="str"/>
      <x:c r="H225" s="137" t="str"/>
      <x:c r="I225" s="137" t="str"/>
      <x:c r="J225" s="137" t="str"/>
      <x:c r="K225" s="137" t="str"/>
      <x:c r="L225" s="138" t="str"/>
      <x:c r="M225" s="138" t="str"/>
      <x:c r="N225" s="196" t="str">
        <x:f>IF(OR(L225="",M225=""),"",M225-L225)</x:f>
      </x:c>
      <x:c r="O225" s="137" t="str"/>
      <x:c r="P225" s="137" t="str"/>
      <x:c r="Q225" s="137" t="str"/>
      <x:c r="R225" s="137" t="str"/>
      <x:c r="S225" s="137" t="str"/>
      <x:c r="T225" s="137" t="str"/>
      <x:c r="U225" s="137" t="str"/>
      <x:c r="V225" s="137" t="str"/>
    </x:row>
    <x:row r="226">
      <x:c r="A226" s="137" t="str"/>
      <x:c r="B226" s="199" t="str"/>
      <x:c r="C226" s="137" t="str"/>
      <x:c r="D226" s="137" t="str"/>
      <x:c r="E226" s="137" t="str"/>
      <x:c r="F226" s="137" t="str"/>
      <x:c r="G226" s="137" t="str"/>
      <x:c r="H226" s="137" t="str"/>
      <x:c r="I226" s="137" t="str"/>
      <x:c r="J226" s="137" t="str"/>
      <x:c r="K226" s="137" t="str"/>
      <x:c r="L226" s="138" t="str"/>
      <x:c r="M226" s="138" t="str"/>
      <x:c r="N226" s="196" t="str">
        <x:f>IF(OR(L226="",M226=""),"",M226-L226)</x:f>
      </x:c>
      <x:c r="O226" s="137" t="str"/>
      <x:c r="P226" s="137" t="str"/>
      <x:c r="Q226" s="137" t="str"/>
      <x:c r="R226" s="137" t="str"/>
      <x:c r="S226" s="137" t="str"/>
      <x:c r="T226" s="137" t="str"/>
      <x:c r="U226" s="137" t="str"/>
      <x:c r="V226" s="137" t="str"/>
    </x:row>
    <x:row r="227">
      <x:c r="A227" s="137" t="str"/>
      <x:c r="B227" s="199" t="str"/>
      <x:c r="C227" s="137" t="str"/>
      <x:c r="D227" s="137" t="str"/>
      <x:c r="E227" s="137" t="str"/>
      <x:c r="F227" s="137" t="str"/>
      <x:c r="G227" s="137" t="str"/>
      <x:c r="H227" s="137" t="str"/>
      <x:c r="I227" s="137" t="str"/>
      <x:c r="J227" s="137" t="str"/>
      <x:c r="K227" s="137" t="str"/>
      <x:c r="L227" s="138" t="str"/>
      <x:c r="M227" s="138" t="str"/>
      <x:c r="N227" s="196" t="str">
        <x:f>IF(OR(L227="",M227=""),"",M227-L227)</x:f>
      </x:c>
      <x:c r="O227" s="137" t="str"/>
      <x:c r="P227" s="137" t="str"/>
      <x:c r="Q227" s="137" t="str"/>
      <x:c r="R227" s="137" t="str"/>
      <x:c r="S227" s="137" t="str"/>
      <x:c r="T227" s="137" t="str"/>
      <x:c r="U227" s="137" t="str"/>
      <x:c r="V227" s="137" t="str"/>
    </x:row>
    <x:row r="228">
      <x:c r="A228" s="137" t="str"/>
      <x:c r="B228" s="199" t="str"/>
      <x:c r="C228" s="137" t="str"/>
      <x:c r="D228" s="137" t="str"/>
      <x:c r="E228" s="137" t="str"/>
      <x:c r="F228" s="137" t="str"/>
      <x:c r="G228" s="137" t="str"/>
      <x:c r="H228" s="137" t="str"/>
      <x:c r="I228" s="137" t="str"/>
      <x:c r="J228" s="137" t="str"/>
      <x:c r="K228" s="137" t="str"/>
      <x:c r="L228" s="138" t="str"/>
      <x:c r="M228" s="138" t="str"/>
      <x:c r="N228" s="196" t="str">
        <x:f>IF(OR(L228="",M228=""),"",M228-L228)</x:f>
      </x:c>
      <x:c r="O228" s="137" t="str"/>
      <x:c r="P228" s="137" t="str"/>
      <x:c r="Q228" s="137" t="str"/>
      <x:c r="R228" s="137" t="str"/>
      <x:c r="S228" s="137" t="str"/>
      <x:c r="T228" s="137" t="str"/>
      <x:c r="U228" s="137" t="str"/>
      <x:c r="V228" s="137" t="str"/>
    </x:row>
    <x:row r="229">
      <x:c r="A229" s="137" t="str"/>
      <x:c r="B229" s="199" t="str"/>
      <x:c r="C229" s="137" t="str"/>
      <x:c r="D229" s="137" t="str"/>
      <x:c r="E229" s="137" t="str"/>
      <x:c r="F229" s="137" t="str"/>
      <x:c r="G229" s="137" t="str"/>
      <x:c r="H229" s="137" t="str"/>
      <x:c r="I229" s="137" t="str"/>
      <x:c r="J229" s="137" t="str"/>
      <x:c r="K229" s="137" t="str"/>
      <x:c r="L229" s="138" t="str"/>
      <x:c r="M229" s="138" t="str"/>
      <x:c r="N229" s="196" t="str">
        <x:f>IF(OR(L229="",M229=""),"",M229-L229)</x:f>
      </x:c>
      <x:c r="O229" s="137" t="str"/>
      <x:c r="P229" s="137" t="str"/>
      <x:c r="Q229" s="137" t="str"/>
      <x:c r="R229" s="137" t="str"/>
      <x:c r="S229" s="137" t="str"/>
      <x:c r="T229" s="137" t="str"/>
      <x:c r="U229" s="137" t="str"/>
      <x:c r="V229" s="137" t="str"/>
    </x:row>
    <x:row r="230">
      <x:c r="A230" s="137" t="str"/>
      <x:c r="B230" s="199" t="str"/>
      <x:c r="C230" s="137" t="str"/>
      <x:c r="D230" s="137" t="str"/>
      <x:c r="E230" s="137" t="str"/>
      <x:c r="F230" s="137" t="str"/>
      <x:c r="G230" s="137" t="str"/>
      <x:c r="H230" s="137" t="str"/>
      <x:c r="I230" s="137" t="str"/>
      <x:c r="J230" s="137" t="str"/>
      <x:c r="K230" s="137" t="str"/>
      <x:c r="L230" s="138" t="str"/>
      <x:c r="M230" s="138" t="str"/>
      <x:c r="N230" s="196" t="str">
        <x:f>IF(OR(L230="",M230=""),"",M230-L230)</x:f>
      </x:c>
      <x:c r="O230" s="137" t="str"/>
      <x:c r="P230" s="137" t="str"/>
      <x:c r="Q230" s="137" t="str"/>
      <x:c r="R230" s="137" t="str"/>
      <x:c r="S230" s="137" t="str"/>
      <x:c r="T230" s="137" t="str"/>
      <x:c r="U230" s="137" t="str"/>
      <x:c r="V230" s="137" t="str"/>
    </x:row>
    <x:row r="231">
      <x:c r="A231" s="137" t="str"/>
      <x:c r="B231" s="199" t="str"/>
      <x:c r="C231" s="137" t="str"/>
      <x:c r="D231" s="137" t="str"/>
      <x:c r="E231" s="137" t="str"/>
      <x:c r="F231" s="137" t="str"/>
      <x:c r="G231" s="137" t="str"/>
      <x:c r="H231" s="137" t="str"/>
      <x:c r="I231" s="137" t="str"/>
      <x:c r="J231" s="137" t="str"/>
      <x:c r="K231" s="137" t="str"/>
      <x:c r="L231" s="138" t="str"/>
      <x:c r="M231" s="138" t="str"/>
      <x:c r="N231" s="196" t="str">
        <x:f>IF(OR(L231="",M231=""),"",M231-L231)</x:f>
      </x:c>
      <x:c r="O231" s="137" t="str"/>
      <x:c r="P231" s="137" t="str"/>
      <x:c r="Q231" s="137" t="str"/>
      <x:c r="R231" s="137" t="str"/>
      <x:c r="S231" s="137" t="str"/>
      <x:c r="T231" s="137" t="str"/>
      <x:c r="U231" s="137" t="str"/>
      <x:c r="V231" s="137" t="str"/>
    </x:row>
    <x:row r="232">
      <x:c r="A232" s="137" t="str"/>
      <x:c r="B232" s="199" t="str"/>
      <x:c r="C232" s="137" t="str"/>
      <x:c r="D232" s="137" t="str"/>
      <x:c r="E232" s="137" t="str"/>
      <x:c r="F232" s="137" t="str"/>
      <x:c r="G232" s="137" t="str"/>
      <x:c r="H232" s="137" t="str"/>
      <x:c r="I232" s="137" t="str"/>
      <x:c r="J232" s="137" t="str"/>
      <x:c r="K232" s="137" t="str"/>
      <x:c r="L232" s="138" t="str"/>
      <x:c r="M232" s="138" t="str"/>
      <x:c r="N232" s="196" t="str">
        <x:f>IF(OR(L232="",M232=""),"",M232-L232)</x:f>
      </x:c>
      <x:c r="O232" s="137" t="str"/>
      <x:c r="P232" s="137" t="str"/>
      <x:c r="Q232" s="137" t="str"/>
      <x:c r="R232" s="137" t="str"/>
      <x:c r="S232" s="137" t="str"/>
      <x:c r="T232" s="137" t="str"/>
      <x:c r="U232" s="137" t="str"/>
      <x:c r="V232" s="137" t="str"/>
    </x:row>
    <x:row r="233">
      <x:c r="A233" s="137" t="str"/>
      <x:c r="B233" s="199" t="str"/>
      <x:c r="C233" s="137" t="str"/>
      <x:c r="D233" s="137" t="str"/>
      <x:c r="E233" s="137" t="str"/>
      <x:c r="F233" s="137" t="str"/>
      <x:c r="G233" s="137" t="str"/>
      <x:c r="H233" s="137" t="str"/>
      <x:c r="I233" s="137" t="str"/>
      <x:c r="J233" s="137" t="str"/>
      <x:c r="K233" s="137" t="str"/>
      <x:c r="L233" s="138" t="str"/>
      <x:c r="M233" s="138" t="str"/>
      <x:c r="N233" s="196" t="str">
        <x:f>IF(OR(L233="",M233=""),"",M233-L233)</x:f>
      </x:c>
      <x:c r="O233" s="137" t="str"/>
      <x:c r="P233" s="137" t="str"/>
      <x:c r="Q233" s="137" t="str"/>
      <x:c r="R233" s="137" t="str"/>
      <x:c r="S233" s="137" t="str"/>
      <x:c r="T233" s="137" t="str"/>
      <x:c r="U233" s="137" t="str"/>
      <x:c r="V233" s="137" t="str"/>
    </x:row>
    <x:row r="234">
      <x:c r="A234" s="137" t="str"/>
      <x:c r="B234" s="199" t="str"/>
      <x:c r="C234" s="137" t="str"/>
      <x:c r="D234" s="137" t="str"/>
      <x:c r="E234" s="137" t="str"/>
      <x:c r="F234" s="137" t="str"/>
      <x:c r="G234" s="137" t="str"/>
      <x:c r="H234" s="137" t="str"/>
      <x:c r="I234" s="137" t="str"/>
      <x:c r="J234" s="137" t="str"/>
      <x:c r="K234" s="137" t="str"/>
      <x:c r="L234" s="138" t="str"/>
      <x:c r="M234" s="138" t="str"/>
      <x:c r="N234" s="196" t="str">
        <x:f>IF(OR(L234="",M234=""),"",M234-L234)</x:f>
      </x:c>
      <x:c r="O234" s="137" t="str"/>
      <x:c r="P234" s="137" t="str"/>
      <x:c r="Q234" s="137" t="str"/>
      <x:c r="R234" s="137" t="str"/>
      <x:c r="S234" s="137" t="str"/>
      <x:c r="T234" s="137" t="str"/>
      <x:c r="U234" s="137" t="str"/>
      <x:c r="V234" s="137" t="str"/>
    </x:row>
    <x:row r="235">
      <x:c r="A235" s="137" t="str"/>
      <x:c r="B235" s="199" t="str"/>
      <x:c r="C235" s="137" t="str"/>
      <x:c r="D235" s="137" t="str"/>
      <x:c r="E235" s="137" t="str"/>
      <x:c r="F235" s="137" t="str"/>
      <x:c r="G235" s="137" t="str"/>
      <x:c r="H235" s="137" t="str"/>
      <x:c r="I235" s="137" t="str"/>
      <x:c r="J235" s="137" t="str"/>
      <x:c r="K235" s="137" t="str"/>
      <x:c r="L235" s="138" t="str"/>
      <x:c r="M235" s="138" t="str"/>
      <x:c r="N235" s="196" t="str">
        <x:f>IF(OR(L235="",M235=""),"",M235-L235)</x:f>
      </x:c>
      <x:c r="O235" s="137" t="str"/>
      <x:c r="P235" s="137" t="str"/>
      <x:c r="Q235" s="137" t="str"/>
      <x:c r="R235" s="137" t="str"/>
      <x:c r="S235" s="137" t="str"/>
      <x:c r="T235" s="137" t="str"/>
      <x:c r="U235" s="137" t="str"/>
      <x:c r="V235" s="137" t="str"/>
    </x:row>
    <x:row r="236">
      <x:c r="A236" s="137" t="str"/>
      <x:c r="B236" s="199" t="str"/>
      <x:c r="C236" s="137" t="str"/>
      <x:c r="D236" s="137" t="str"/>
      <x:c r="E236" s="137" t="str"/>
      <x:c r="F236" s="137" t="str"/>
      <x:c r="G236" s="137" t="str"/>
      <x:c r="H236" s="137" t="str"/>
      <x:c r="I236" s="137" t="str"/>
      <x:c r="J236" s="137" t="str"/>
      <x:c r="K236" s="137" t="str"/>
      <x:c r="L236" s="138" t="str"/>
      <x:c r="M236" s="138" t="str"/>
      <x:c r="N236" s="196" t="str">
        <x:f>IF(OR(L236="",M236=""),"",M236-L236)</x:f>
      </x:c>
      <x:c r="O236" s="137" t="str"/>
      <x:c r="P236" s="137" t="str"/>
      <x:c r="Q236" s="137" t="str"/>
      <x:c r="R236" s="137" t="str"/>
      <x:c r="S236" s="137" t="str"/>
      <x:c r="T236" s="137" t="str"/>
      <x:c r="U236" s="137" t="str"/>
      <x:c r="V236" s="137" t="str"/>
    </x:row>
    <x:row r="237">
      <x:c r="A237" s="137" t="str"/>
      <x:c r="B237" s="199" t="str"/>
      <x:c r="C237" s="137" t="str"/>
      <x:c r="D237" s="137" t="str"/>
      <x:c r="E237" s="137" t="str"/>
      <x:c r="F237" s="137" t="str"/>
      <x:c r="G237" s="137" t="str"/>
      <x:c r="H237" s="137" t="str"/>
      <x:c r="I237" s="137" t="str"/>
      <x:c r="J237" s="137" t="str"/>
      <x:c r="K237" s="137" t="str"/>
      <x:c r="L237" s="138" t="str"/>
      <x:c r="M237" s="138" t="str"/>
      <x:c r="N237" s="196" t="str">
        <x:f>IF(OR(L237="",M237=""),"",M237-L237)</x:f>
      </x:c>
      <x:c r="O237" s="137" t="str"/>
      <x:c r="P237" s="137" t="str"/>
      <x:c r="Q237" s="137" t="str"/>
      <x:c r="R237" s="137" t="str"/>
      <x:c r="S237" s="137" t="str"/>
      <x:c r="T237" s="137" t="str"/>
      <x:c r="U237" s="137" t="str"/>
      <x:c r="V237" s="137" t="str"/>
    </x:row>
    <x:row r="238">
      <x:c r="A238" s="137" t="str"/>
      <x:c r="B238" s="199" t="str"/>
      <x:c r="C238" s="137" t="str"/>
      <x:c r="D238" s="137" t="str"/>
      <x:c r="E238" s="137" t="str"/>
      <x:c r="F238" s="137" t="str"/>
      <x:c r="G238" s="137" t="str"/>
      <x:c r="H238" s="137" t="str"/>
      <x:c r="I238" s="137" t="str"/>
      <x:c r="J238" s="137" t="str"/>
      <x:c r="K238" s="137" t="str"/>
      <x:c r="L238" s="138" t="str"/>
      <x:c r="M238" s="138" t="str"/>
      <x:c r="N238" s="196" t="str">
        <x:f>IF(OR(L238="",M238=""),"",M238-L238)</x:f>
      </x:c>
      <x:c r="O238" s="137" t="str"/>
      <x:c r="P238" s="137" t="str"/>
      <x:c r="Q238" s="137" t="str"/>
      <x:c r="R238" s="137" t="str"/>
      <x:c r="S238" s="137" t="str"/>
      <x:c r="T238" s="137" t="str"/>
      <x:c r="U238" s="137" t="str"/>
      <x:c r="V238" s="137" t="str"/>
    </x:row>
    <x:row r="239">
      <x:c r="A239" s="137" t="str"/>
      <x:c r="B239" s="199" t="str"/>
      <x:c r="C239" s="137" t="str"/>
      <x:c r="D239" s="137" t="str"/>
      <x:c r="E239" s="137" t="str"/>
      <x:c r="F239" s="137" t="str"/>
      <x:c r="G239" s="137" t="str"/>
      <x:c r="H239" s="137" t="str"/>
      <x:c r="I239" s="137" t="str"/>
      <x:c r="J239" s="137" t="str"/>
      <x:c r="K239" s="137" t="str"/>
      <x:c r="L239" s="138" t="str"/>
      <x:c r="M239" s="138" t="str"/>
      <x:c r="N239" s="196" t="str">
        <x:f>IF(OR(L239="",M239=""),"",M239-L239)</x:f>
      </x:c>
      <x:c r="O239" s="137" t="str"/>
      <x:c r="P239" s="137" t="str"/>
      <x:c r="Q239" s="137" t="str"/>
      <x:c r="R239" s="137" t="str"/>
      <x:c r="S239" s="137" t="str"/>
      <x:c r="T239" s="137" t="str"/>
      <x:c r="U239" s="137" t="str"/>
      <x:c r="V239" s="137" t="str"/>
    </x:row>
    <x:row r="240">
      <x:c r="A240" s="137" t="str"/>
      <x:c r="B240" s="199" t="str"/>
      <x:c r="C240" s="137" t="str"/>
      <x:c r="D240" s="137" t="str"/>
      <x:c r="E240" s="137" t="str"/>
      <x:c r="F240" s="137" t="str"/>
      <x:c r="G240" s="137" t="str"/>
      <x:c r="H240" s="137" t="str"/>
      <x:c r="I240" s="137" t="str"/>
      <x:c r="J240" s="137" t="str"/>
      <x:c r="K240" s="137" t="str"/>
      <x:c r="L240" s="138" t="str"/>
      <x:c r="M240" s="138" t="str"/>
      <x:c r="N240" s="196" t="str">
        <x:f>IF(OR(L240="",M240=""),"",M240-L240)</x:f>
      </x:c>
      <x:c r="O240" s="137" t="str"/>
      <x:c r="P240" s="137" t="str"/>
      <x:c r="Q240" s="137" t="str"/>
      <x:c r="R240" s="137" t="str"/>
      <x:c r="S240" s="137" t="str"/>
      <x:c r="T240" s="137" t="str"/>
      <x:c r="U240" s="137" t="str"/>
      <x:c r="V240" s="137" t="str"/>
    </x:row>
    <x:row r="241">
      <x:c r="A241" s="137" t="str"/>
      <x:c r="B241" s="199" t="str"/>
      <x:c r="C241" s="137" t="str"/>
      <x:c r="D241" s="137" t="str"/>
      <x:c r="E241" s="137" t="str"/>
      <x:c r="F241" s="137" t="str"/>
      <x:c r="G241" s="137" t="str"/>
      <x:c r="H241" s="137" t="str"/>
      <x:c r="I241" s="137" t="str"/>
      <x:c r="J241" s="137" t="str"/>
      <x:c r="K241" s="137" t="str"/>
      <x:c r="L241" s="138" t="str"/>
      <x:c r="M241" s="138" t="str"/>
      <x:c r="N241" s="196" t="str">
        <x:f>IF(OR(L241="",M241=""),"",M241-L241)</x:f>
      </x:c>
      <x:c r="O241" s="137" t="str"/>
      <x:c r="P241" s="137" t="str"/>
      <x:c r="Q241" s="137" t="str"/>
      <x:c r="R241" s="137" t="str"/>
      <x:c r="S241" s="137" t="str"/>
      <x:c r="T241" s="137" t="str"/>
      <x:c r="U241" s="137" t="str"/>
      <x:c r="V241" s="137" t="str"/>
    </x:row>
    <x:row r="242">
      <x:c r="A242" s="137" t="str"/>
      <x:c r="B242" s="199" t="str"/>
      <x:c r="C242" s="137" t="str"/>
      <x:c r="D242" s="137" t="str"/>
      <x:c r="E242" s="137" t="str"/>
      <x:c r="F242" s="137" t="str"/>
      <x:c r="G242" s="137" t="str"/>
      <x:c r="H242" s="137" t="str"/>
      <x:c r="I242" s="137" t="str"/>
      <x:c r="J242" s="137" t="str"/>
      <x:c r="K242" s="137" t="str"/>
      <x:c r="L242" s="138" t="str"/>
      <x:c r="M242" s="138" t="str"/>
      <x:c r="N242" s="196" t="str">
        <x:f>IF(OR(L242="",M242=""),"",M242-L242)</x:f>
      </x:c>
      <x:c r="O242" s="137" t="str"/>
      <x:c r="P242" s="137" t="str"/>
      <x:c r="Q242" s="137" t="str"/>
      <x:c r="R242" s="137" t="str"/>
      <x:c r="S242" s="137" t="str"/>
      <x:c r="T242" s="137" t="str"/>
      <x:c r="U242" s="137" t="str"/>
      <x:c r="V242" s="137" t="str"/>
    </x:row>
    <x:row r="243">
      <x:c r="A243" s="137" t="str"/>
      <x:c r="B243" s="199" t="str"/>
      <x:c r="C243" s="137" t="str"/>
      <x:c r="D243" s="137" t="str"/>
      <x:c r="E243" s="137" t="str"/>
      <x:c r="F243" s="137" t="str"/>
      <x:c r="G243" s="137" t="str"/>
      <x:c r="H243" s="137" t="str"/>
      <x:c r="I243" s="137" t="str"/>
      <x:c r="J243" s="137" t="str"/>
      <x:c r="K243" s="137" t="str"/>
      <x:c r="L243" s="138" t="str"/>
      <x:c r="M243" s="138" t="str"/>
      <x:c r="N243" s="196" t="str">
        <x:f>IF(OR(L243="",M243=""),"",M243-L243)</x:f>
      </x:c>
      <x:c r="O243" s="137" t="str"/>
      <x:c r="P243" s="137" t="str"/>
      <x:c r="Q243" s="137" t="str"/>
      <x:c r="R243" s="137" t="str"/>
      <x:c r="S243" s="137" t="str"/>
      <x:c r="T243" s="137" t="str"/>
      <x:c r="U243" s="137" t="str"/>
      <x:c r="V243" s="137" t="str"/>
    </x:row>
    <x:row r="244">
      <x:c r="A244" s="137" t="str"/>
      <x:c r="B244" s="199" t="str"/>
      <x:c r="C244" s="137" t="str"/>
      <x:c r="D244" s="137" t="str"/>
      <x:c r="E244" s="137" t="str"/>
      <x:c r="F244" s="137" t="str"/>
      <x:c r="G244" s="137" t="str"/>
      <x:c r="H244" s="137" t="str"/>
      <x:c r="I244" s="137" t="str"/>
      <x:c r="J244" s="137" t="str"/>
      <x:c r="K244" s="137" t="str"/>
      <x:c r="L244" s="138" t="str"/>
      <x:c r="M244" s="138" t="str"/>
      <x:c r="N244" s="196" t="str">
        <x:f>IF(OR(L244="",M244=""),"",M244-L244)</x:f>
      </x:c>
      <x:c r="O244" s="137" t="str"/>
      <x:c r="P244" s="137" t="str"/>
      <x:c r="Q244" s="137" t="str"/>
      <x:c r="R244" s="137" t="str"/>
      <x:c r="S244" s="137" t="str"/>
      <x:c r="T244" s="137" t="str"/>
      <x:c r="U244" s="137" t="str"/>
      <x:c r="V244" s="137" t="str"/>
    </x:row>
    <x:row r="245">
      <x:c r="A245" s="137" t="str"/>
      <x:c r="B245" s="199" t="str"/>
      <x:c r="C245" s="137" t="str"/>
      <x:c r="D245" s="137" t="str"/>
      <x:c r="E245" s="137" t="str"/>
      <x:c r="F245" s="137" t="str"/>
      <x:c r="G245" s="137" t="str"/>
      <x:c r="H245" s="137" t="str"/>
      <x:c r="I245" s="137" t="str"/>
      <x:c r="J245" s="137" t="str"/>
      <x:c r="K245" s="137" t="str"/>
      <x:c r="L245" s="138" t="str"/>
      <x:c r="M245" s="138" t="str"/>
      <x:c r="N245" s="196" t="str">
        <x:f>IF(OR(L245="",M245=""),"",M245-L245)</x:f>
      </x:c>
      <x:c r="O245" s="137" t="str"/>
      <x:c r="P245" s="137" t="str"/>
      <x:c r="Q245" s="137" t="str"/>
      <x:c r="R245" s="137" t="str"/>
      <x:c r="S245" s="137" t="str"/>
      <x:c r="T245" s="137" t="str"/>
      <x:c r="U245" s="137" t="str"/>
      <x:c r="V245" s="137" t="str"/>
    </x:row>
    <x:row r="246">
      <x:c r="A246" s="137" t="str"/>
      <x:c r="B246" s="199" t="str"/>
      <x:c r="C246" s="137" t="str"/>
      <x:c r="D246" s="137" t="str"/>
      <x:c r="E246" s="137" t="str"/>
      <x:c r="F246" s="137" t="str"/>
      <x:c r="G246" s="137" t="str"/>
      <x:c r="H246" s="137" t="str"/>
      <x:c r="I246" s="137" t="str"/>
      <x:c r="J246" s="137" t="str"/>
      <x:c r="K246" s="137" t="str"/>
      <x:c r="L246" s="138" t="str"/>
      <x:c r="M246" s="138" t="str"/>
      <x:c r="N246" s="196" t="str">
        <x:f>IF(OR(L246="",M246=""),"",M246-L246)</x:f>
      </x:c>
      <x:c r="O246" s="137" t="str"/>
      <x:c r="P246" s="137" t="str"/>
      <x:c r="Q246" s="137" t="str"/>
      <x:c r="R246" s="137" t="str"/>
      <x:c r="S246" s="137" t="str"/>
      <x:c r="T246" s="137" t="str"/>
      <x:c r="U246" s="137" t="str"/>
      <x:c r="V246" s="137" t="str"/>
    </x:row>
    <x:row r="247">
      <x:c r="A247" s="137" t="str"/>
      <x:c r="B247" s="199" t="str"/>
      <x:c r="C247" s="137" t="str"/>
      <x:c r="D247" s="137" t="str"/>
      <x:c r="E247" s="137" t="str"/>
      <x:c r="F247" s="137" t="str"/>
      <x:c r="G247" s="137" t="str"/>
      <x:c r="H247" s="137" t="str"/>
      <x:c r="I247" s="137" t="str"/>
      <x:c r="J247" s="137" t="str"/>
      <x:c r="K247" s="137" t="str"/>
      <x:c r="L247" s="138" t="str"/>
      <x:c r="M247" s="138" t="str"/>
      <x:c r="N247" s="196" t="str">
        <x:f>IF(OR(L247="",M247=""),"",M247-L247)</x:f>
      </x:c>
      <x:c r="O247" s="137" t="str"/>
      <x:c r="P247" s="137" t="str"/>
      <x:c r="Q247" s="137" t="str"/>
      <x:c r="R247" s="137" t="str"/>
      <x:c r="S247" s="137" t="str"/>
      <x:c r="T247" s="137" t="str"/>
      <x:c r="U247" s="137" t="str"/>
      <x:c r="V247" s="137" t="str"/>
    </x:row>
    <x:row r="248">
      <x:c r="A248" s="137" t="str"/>
      <x:c r="B248" s="199" t="str"/>
      <x:c r="C248" s="137" t="str"/>
      <x:c r="D248" s="137" t="str"/>
      <x:c r="E248" s="137" t="str"/>
      <x:c r="F248" s="137" t="str"/>
      <x:c r="G248" s="137" t="str"/>
      <x:c r="H248" s="137" t="str"/>
      <x:c r="I248" s="137" t="str"/>
      <x:c r="J248" s="137" t="str"/>
      <x:c r="K248" s="137" t="str"/>
      <x:c r="L248" s="138" t="str"/>
      <x:c r="M248" s="138" t="str"/>
      <x:c r="N248" s="196" t="str">
        <x:f>IF(OR(L248="",M248=""),"",M248-L248)</x:f>
      </x:c>
      <x:c r="O248" s="137" t="str"/>
      <x:c r="P248" s="137" t="str"/>
      <x:c r="Q248" s="137" t="str"/>
      <x:c r="R248" s="137" t="str"/>
      <x:c r="S248" s="137" t="str"/>
      <x:c r="T248" s="137" t="str"/>
      <x:c r="U248" s="137" t="str"/>
      <x:c r="V248" s="137" t="str"/>
    </x:row>
    <x:row r="249">
      <x:c r="A249" s="137" t="str"/>
      <x:c r="B249" s="199" t="str"/>
      <x:c r="C249" s="137" t="str"/>
      <x:c r="D249" s="137" t="str"/>
      <x:c r="E249" s="137" t="str"/>
      <x:c r="F249" s="137" t="str"/>
      <x:c r="G249" s="137" t="str"/>
      <x:c r="H249" s="137" t="str"/>
      <x:c r="I249" s="137" t="str"/>
      <x:c r="J249" s="137" t="str"/>
      <x:c r="K249" s="137" t="str"/>
      <x:c r="L249" s="138" t="str"/>
      <x:c r="M249" s="138" t="str"/>
      <x:c r="N249" s="196" t="str">
        <x:f>IF(OR(L249="",M249=""),"",M249-L249)</x:f>
      </x:c>
      <x:c r="O249" s="137" t="str"/>
      <x:c r="P249" s="137" t="str"/>
      <x:c r="Q249" s="137" t="str"/>
      <x:c r="R249" s="137" t="str"/>
      <x:c r="S249" s="137" t="str"/>
      <x:c r="T249" s="137" t="str"/>
      <x:c r="U249" s="137" t="str"/>
      <x:c r="V249" s="137" t="str"/>
    </x:row>
    <x:row r="250">
      <x:c r="A250" s="137" t="str"/>
      <x:c r="B250" s="199" t="str"/>
      <x:c r="C250" s="137" t="str"/>
      <x:c r="D250" s="137" t="str"/>
      <x:c r="E250" s="137" t="str"/>
      <x:c r="F250" s="137" t="str"/>
      <x:c r="G250" s="137" t="str"/>
      <x:c r="H250" s="137" t="str"/>
      <x:c r="I250" s="137" t="str"/>
      <x:c r="J250" s="137" t="str"/>
      <x:c r="K250" s="137" t="str"/>
      <x:c r="L250" s="138" t="str"/>
      <x:c r="M250" s="138" t="str"/>
      <x:c r="N250" s="196" t="str">
        <x:f>IF(OR(L250="",M250=""),"",M250-L250)</x:f>
      </x:c>
      <x:c r="O250" s="137" t="str"/>
      <x:c r="P250" s="137" t="str"/>
      <x:c r="Q250" s="137" t="str"/>
      <x:c r="R250" s="137" t="str"/>
      <x:c r="S250" s="137" t="str"/>
      <x:c r="T250" s="137" t="str"/>
      <x:c r="U250" s="137" t="str"/>
      <x:c r="V250" s="137" t="str"/>
    </x:row>
    <x:row r="251">
      <x:c r="A251" s="137" t="str"/>
      <x:c r="B251" s="199" t="str"/>
      <x:c r="C251" s="137" t="str"/>
      <x:c r="D251" s="137" t="str"/>
      <x:c r="E251" s="137" t="str"/>
      <x:c r="F251" s="137" t="str"/>
      <x:c r="G251" s="137" t="str"/>
      <x:c r="H251" s="137" t="str"/>
      <x:c r="I251" s="137" t="str"/>
      <x:c r="J251" s="137" t="str"/>
      <x:c r="K251" s="137" t="str"/>
      <x:c r="L251" s="138" t="str"/>
      <x:c r="M251" s="138" t="str"/>
      <x:c r="N251" s="196" t="str">
        <x:f>IF(OR(L251="",M251=""),"",M251-L251)</x:f>
      </x:c>
      <x:c r="O251" s="137" t="str"/>
      <x:c r="P251" s="137" t="str"/>
      <x:c r="Q251" s="137" t="str"/>
      <x:c r="R251" s="137" t="str"/>
      <x:c r="S251" s="137" t="str"/>
      <x:c r="T251" s="137" t="str"/>
      <x:c r="U251" s="137" t="str"/>
      <x:c r="V251" s="137" t="str"/>
    </x:row>
    <x:row r="252">
      <x:c r="A252" s="137" t="str"/>
      <x:c r="B252" s="199" t="str"/>
      <x:c r="C252" s="137" t="str"/>
      <x:c r="D252" s="137" t="str"/>
      <x:c r="E252" s="137" t="str"/>
      <x:c r="F252" s="137" t="str"/>
      <x:c r="G252" s="137" t="str"/>
      <x:c r="H252" s="137" t="str"/>
      <x:c r="I252" s="137" t="str"/>
      <x:c r="J252" s="137" t="str"/>
      <x:c r="K252" s="137" t="str"/>
      <x:c r="L252" s="138" t="str"/>
      <x:c r="M252" s="138" t="str"/>
      <x:c r="N252" s="196" t="str">
        <x:f>IF(OR(L252="",M252=""),"",M252-L252)</x:f>
      </x:c>
      <x:c r="O252" s="137" t="str"/>
      <x:c r="P252" s="137" t="str"/>
      <x:c r="Q252" s="137" t="str"/>
      <x:c r="R252" s="137" t="str"/>
      <x:c r="S252" s="137" t="str"/>
      <x:c r="T252" s="137" t="str"/>
      <x:c r="U252" s="137" t="str"/>
      <x:c r="V252" s="137" t="str"/>
    </x:row>
    <x:row r="253">
      <x:c r="A253" s="137" t="str"/>
      <x:c r="B253" s="199" t="str"/>
      <x:c r="C253" s="137" t="str"/>
      <x:c r="D253" s="137" t="str"/>
      <x:c r="E253" s="137" t="str"/>
      <x:c r="F253" s="137" t="str"/>
      <x:c r="G253" s="137" t="str"/>
      <x:c r="H253" s="137" t="str"/>
      <x:c r="I253" s="137" t="str"/>
      <x:c r="J253" s="137" t="str"/>
      <x:c r="K253" s="137" t="str"/>
      <x:c r="L253" s="138" t="str"/>
      <x:c r="M253" s="138" t="str"/>
      <x:c r="N253" s="196" t="str">
        <x:f>IF(OR(L253="",M253=""),"",M253-L253)</x:f>
      </x:c>
      <x:c r="O253" s="137" t="str"/>
      <x:c r="P253" s="137" t="str"/>
      <x:c r="Q253" s="137" t="str"/>
      <x:c r="R253" s="137" t="str"/>
      <x:c r="S253" s="137" t="str"/>
      <x:c r="T253" s="137" t="str"/>
      <x:c r="U253" s="137" t="str"/>
      <x:c r="V253" s="137" t="str"/>
    </x:row>
    <x:row r="254">
      <x:c r="A254" s="137" t="str"/>
      <x:c r="B254" s="199" t="str"/>
      <x:c r="C254" s="137" t="str"/>
      <x:c r="D254" s="137" t="str"/>
      <x:c r="E254" s="137" t="str"/>
      <x:c r="F254" s="137" t="str"/>
      <x:c r="G254" s="137" t="str"/>
      <x:c r="H254" s="137" t="str"/>
      <x:c r="I254" s="137" t="str"/>
      <x:c r="J254" s="137" t="str"/>
      <x:c r="K254" s="137" t="str"/>
      <x:c r="L254" s="138" t="str"/>
      <x:c r="M254" s="138" t="str"/>
      <x:c r="N254" s="196" t="str">
        <x:f>IF(OR(L254="",M254=""),"",M254-L254)</x:f>
      </x:c>
      <x:c r="O254" s="137" t="str"/>
      <x:c r="P254" s="137" t="str"/>
      <x:c r="Q254" s="137" t="str"/>
      <x:c r="R254" s="137" t="str"/>
      <x:c r="S254" s="137" t="str"/>
      <x:c r="T254" s="137" t="str"/>
      <x:c r="U254" s="137" t="str"/>
      <x:c r="V254" s="137" t="str"/>
    </x:row>
    <x:row r="255">
      <x:c r="A255" s="137" t="str"/>
      <x:c r="B255" s="199" t="str"/>
      <x:c r="C255" s="137" t="str"/>
      <x:c r="D255" s="137" t="str"/>
      <x:c r="E255" s="137" t="str"/>
      <x:c r="F255" s="137" t="str"/>
      <x:c r="G255" s="137" t="str"/>
      <x:c r="H255" s="137" t="str"/>
      <x:c r="I255" s="137" t="str"/>
      <x:c r="J255" s="137" t="str"/>
      <x:c r="K255" s="137" t="str"/>
      <x:c r="L255" s="138" t="str"/>
      <x:c r="M255" s="138" t="str"/>
      <x:c r="N255" s="196" t="str">
        <x:f>IF(OR(L255="",M255=""),"",M255-L255)</x:f>
      </x:c>
      <x:c r="O255" s="137" t="str"/>
      <x:c r="P255" s="137" t="str"/>
      <x:c r="Q255" s="137" t="str"/>
      <x:c r="R255" s="137" t="str"/>
      <x:c r="S255" s="137" t="str"/>
      <x:c r="T255" s="137" t="str"/>
      <x:c r="U255" s="137" t="str"/>
      <x:c r="V255" s="137" t="str"/>
    </x:row>
    <x:row r="256">
      <x:c r="A256" s="137" t="str"/>
      <x:c r="B256" s="199" t="str"/>
      <x:c r="C256" s="137" t="str"/>
      <x:c r="D256" s="137" t="str"/>
      <x:c r="E256" s="137" t="str"/>
      <x:c r="F256" s="137" t="str"/>
      <x:c r="G256" s="137" t="str"/>
      <x:c r="H256" s="137" t="str"/>
      <x:c r="I256" s="137" t="str"/>
      <x:c r="J256" s="137" t="str"/>
      <x:c r="K256" s="137" t="str"/>
      <x:c r="L256" s="138" t="str"/>
      <x:c r="M256" s="138" t="str"/>
      <x:c r="N256" s="196" t="str">
        <x:f>IF(OR(L256="",M256=""),"",M256-L256)</x:f>
      </x:c>
      <x:c r="O256" s="137" t="str"/>
      <x:c r="P256" s="137" t="str"/>
      <x:c r="Q256" s="137" t="str"/>
      <x:c r="R256" s="137" t="str"/>
      <x:c r="S256" s="137" t="str"/>
      <x:c r="T256" s="137" t="str"/>
      <x:c r="U256" s="137" t="str"/>
      <x:c r="V256" s="137" t="str"/>
    </x:row>
    <x:row r="257">
      <x:c r="A257" s="137" t="str"/>
      <x:c r="B257" s="199" t="str"/>
      <x:c r="C257" s="137" t="str"/>
      <x:c r="D257" s="137" t="str"/>
      <x:c r="E257" s="137" t="str"/>
      <x:c r="F257" s="137" t="str"/>
      <x:c r="G257" s="137" t="str"/>
      <x:c r="H257" s="137" t="str"/>
      <x:c r="I257" s="137" t="str"/>
      <x:c r="J257" s="137" t="str"/>
      <x:c r="K257" s="137" t="str"/>
      <x:c r="L257" s="138" t="str"/>
      <x:c r="M257" s="138" t="str"/>
      <x:c r="N257" s="196" t="str">
        <x:f>IF(OR(L257="",M257=""),"",M257-L257)</x:f>
      </x:c>
      <x:c r="O257" s="137" t="str"/>
      <x:c r="P257" s="137" t="str"/>
      <x:c r="Q257" s="137" t="str"/>
      <x:c r="R257" s="137" t="str"/>
      <x:c r="S257" s="137" t="str"/>
      <x:c r="T257" s="137" t="str"/>
      <x:c r="U257" s="137" t="str"/>
      <x:c r="V257" s="137" t="str"/>
    </x:row>
    <x:row r="258">
      <x:c r="A258" s="137" t="str"/>
      <x:c r="B258" s="199" t="str"/>
      <x:c r="C258" s="137" t="str"/>
      <x:c r="D258" s="137" t="str"/>
      <x:c r="E258" s="137" t="str"/>
      <x:c r="F258" s="137" t="str"/>
      <x:c r="G258" s="137" t="str"/>
      <x:c r="H258" s="137" t="str"/>
      <x:c r="I258" s="137" t="str"/>
      <x:c r="J258" s="137" t="str"/>
      <x:c r="K258" s="137" t="str"/>
      <x:c r="L258" s="138" t="str"/>
      <x:c r="M258" s="138" t="str"/>
      <x:c r="N258" s="196" t="str">
        <x:f>IF(OR(L258="",M258=""),"",M258-L258)</x:f>
      </x:c>
      <x:c r="O258" s="137" t="str"/>
      <x:c r="P258" s="137" t="str"/>
      <x:c r="Q258" s="137" t="str"/>
      <x:c r="R258" s="137" t="str"/>
      <x:c r="S258" s="137" t="str"/>
      <x:c r="T258" s="137" t="str"/>
      <x:c r="U258" s="137" t="str"/>
      <x:c r="V258" s="137" t="str"/>
    </x:row>
    <x:row r="259">
      <x:c r="A259" s="137" t="str"/>
      <x:c r="B259" s="199" t="str"/>
      <x:c r="C259" s="137" t="str"/>
      <x:c r="D259" s="137" t="str"/>
      <x:c r="E259" s="137" t="str"/>
      <x:c r="F259" s="137" t="str"/>
      <x:c r="G259" s="137" t="str"/>
      <x:c r="H259" s="137" t="str"/>
      <x:c r="I259" s="137" t="str"/>
      <x:c r="J259" s="137" t="str"/>
      <x:c r="K259" s="137" t="str"/>
      <x:c r="L259" s="138" t="str"/>
      <x:c r="M259" s="138" t="str"/>
      <x:c r="N259" s="196" t="str">
        <x:f>IF(OR(L259="",M259=""),"",M259-L259)</x:f>
      </x:c>
      <x:c r="O259" s="137" t="str"/>
      <x:c r="P259" s="137" t="str"/>
      <x:c r="Q259" s="137" t="str"/>
      <x:c r="R259" s="137" t="str"/>
      <x:c r="S259" s="137" t="str"/>
      <x:c r="T259" s="137" t="str"/>
      <x:c r="U259" s="137" t="str"/>
      <x:c r="V259" s="137" t="str"/>
    </x:row>
    <x:row r="260">
      <x:c r="A260" s="137" t="str"/>
      <x:c r="B260" s="199" t="str"/>
      <x:c r="C260" s="137" t="str"/>
      <x:c r="D260" s="137" t="str"/>
      <x:c r="E260" s="137" t="str"/>
      <x:c r="F260" s="137" t="str"/>
      <x:c r="G260" s="137" t="str"/>
      <x:c r="H260" s="137" t="str"/>
      <x:c r="I260" s="137" t="str"/>
      <x:c r="J260" s="137" t="str"/>
      <x:c r="K260" s="137" t="str"/>
      <x:c r="L260" s="138" t="str"/>
      <x:c r="M260" s="138" t="str"/>
      <x:c r="N260" s="196" t="str">
        <x:f>IF(OR(L260="",M260=""),"",M260-L260)</x:f>
      </x:c>
      <x:c r="O260" s="137" t="str"/>
      <x:c r="P260" s="137" t="str"/>
      <x:c r="Q260" s="137" t="str"/>
      <x:c r="R260" s="137" t="str"/>
      <x:c r="S260" s="137" t="str"/>
      <x:c r="T260" s="137" t="str"/>
      <x:c r="U260" s="137" t="str"/>
      <x:c r="V260" s="137" t="str"/>
    </x:row>
    <x:row r="261">
      <x:c r="A261" s="137" t="str"/>
      <x:c r="B261" s="199" t="str"/>
      <x:c r="C261" s="137" t="str"/>
      <x:c r="D261" s="137" t="str"/>
      <x:c r="E261" s="137" t="str"/>
      <x:c r="F261" s="137" t="str"/>
      <x:c r="G261" s="137" t="str"/>
      <x:c r="H261" s="137" t="str"/>
      <x:c r="I261" s="137" t="str"/>
      <x:c r="J261" s="137" t="str"/>
      <x:c r="K261" s="137" t="str"/>
      <x:c r="L261" s="138" t="str"/>
      <x:c r="M261" s="138" t="str"/>
      <x:c r="N261" s="196" t="str">
        <x:f>IF(OR(L261="",M261=""),"",M261-L261)</x:f>
      </x:c>
      <x:c r="O261" s="137" t="str"/>
      <x:c r="P261" s="137" t="str"/>
      <x:c r="Q261" s="137" t="str"/>
      <x:c r="R261" s="137" t="str"/>
      <x:c r="S261" s="137" t="str"/>
      <x:c r="T261" s="137" t="str"/>
      <x:c r="U261" s="137" t="str"/>
      <x:c r="V261" s="137" t="str"/>
    </x:row>
    <x:row r="262">
      <x:c r="A262" s="137" t="str"/>
      <x:c r="B262" s="199" t="str"/>
      <x:c r="C262" s="137" t="str"/>
      <x:c r="D262" s="137" t="str"/>
      <x:c r="E262" s="137" t="str"/>
      <x:c r="F262" s="137" t="str"/>
      <x:c r="G262" s="137" t="str"/>
      <x:c r="H262" s="137" t="str"/>
      <x:c r="I262" s="137" t="str"/>
      <x:c r="J262" s="137" t="str"/>
      <x:c r="K262" s="137" t="str"/>
      <x:c r="L262" s="138" t="str"/>
      <x:c r="M262" s="138" t="str"/>
      <x:c r="N262" s="196" t="str">
        <x:f>IF(OR(L262="",M262=""),"",M262-L262)</x:f>
      </x:c>
      <x:c r="O262" s="137" t="str"/>
      <x:c r="P262" s="137" t="str"/>
      <x:c r="Q262" s="137" t="str"/>
      <x:c r="R262" s="137" t="str"/>
      <x:c r="S262" s="137" t="str"/>
      <x:c r="T262" s="137" t="str"/>
      <x:c r="U262" s="137" t="str"/>
      <x:c r="V262" s="137" t="str"/>
    </x:row>
    <x:row r="263">
      <x:c r="A263" s="137" t="str"/>
      <x:c r="B263" s="199" t="str"/>
      <x:c r="C263" s="137" t="str"/>
      <x:c r="D263" s="137" t="str"/>
      <x:c r="E263" s="137" t="str"/>
      <x:c r="F263" s="137" t="str"/>
      <x:c r="G263" s="137" t="str"/>
      <x:c r="H263" s="137" t="str"/>
      <x:c r="I263" s="137" t="str"/>
      <x:c r="J263" s="137" t="str"/>
      <x:c r="K263" s="137" t="str"/>
      <x:c r="L263" s="138" t="str"/>
      <x:c r="M263" s="138" t="str"/>
      <x:c r="N263" s="196" t="str">
        <x:f>IF(OR(L263="",M263=""),"",M263-L263)</x:f>
      </x:c>
      <x:c r="O263" s="137" t="str"/>
      <x:c r="P263" s="137" t="str"/>
      <x:c r="Q263" s="137" t="str"/>
      <x:c r="R263" s="137" t="str"/>
      <x:c r="S263" s="137" t="str"/>
      <x:c r="T263" s="137" t="str"/>
      <x:c r="U263" s="137" t="str"/>
      <x:c r="V263" s="137" t="str"/>
    </x:row>
    <x:row r="264">
      <x:c r="A264" s="137" t="str"/>
      <x:c r="B264" s="199" t="str"/>
      <x:c r="C264" s="137" t="str"/>
      <x:c r="D264" s="137" t="str"/>
      <x:c r="E264" s="137" t="str"/>
      <x:c r="F264" s="137" t="str"/>
      <x:c r="G264" s="137" t="str"/>
      <x:c r="H264" s="137" t="str"/>
      <x:c r="I264" s="137" t="str"/>
      <x:c r="J264" s="137" t="str"/>
      <x:c r="K264" s="137" t="str"/>
      <x:c r="L264" s="138" t="str"/>
      <x:c r="M264" s="138" t="str"/>
      <x:c r="N264" s="196" t="str">
        <x:f>IF(OR(L264="",M264=""),"",M264-L264)</x:f>
      </x:c>
      <x:c r="O264" s="137" t="str"/>
      <x:c r="P264" s="137" t="str"/>
      <x:c r="Q264" s="137" t="str"/>
      <x:c r="R264" s="137" t="str"/>
      <x:c r="S264" s="137" t="str"/>
      <x:c r="T264" s="137" t="str"/>
      <x:c r="U264" s="137" t="str"/>
      <x:c r="V264" s="137" t="str"/>
    </x:row>
    <x:row r="265">
      <x:c r="A265" s="137" t="str"/>
      <x:c r="B265" s="199" t="str"/>
      <x:c r="C265" s="137" t="str"/>
      <x:c r="D265" s="137" t="str"/>
      <x:c r="E265" s="137" t="str"/>
      <x:c r="F265" s="137" t="str"/>
      <x:c r="G265" s="137" t="str"/>
      <x:c r="H265" s="137" t="str"/>
      <x:c r="I265" s="137" t="str"/>
      <x:c r="J265" s="137" t="str"/>
      <x:c r="K265" s="137" t="str"/>
      <x:c r="L265" s="138" t="str"/>
      <x:c r="M265" s="138" t="str"/>
      <x:c r="N265" s="196" t="str">
        <x:f>IF(OR(L265="",M265=""),"",M265-L265)</x:f>
      </x:c>
      <x:c r="O265" s="137" t="str"/>
      <x:c r="P265" s="137" t="str"/>
      <x:c r="Q265" s="137" t="str"/>
      <x:c r="R265" s="137" t="str"/>
      <x:c r="S265" s="137" t="str"/>
      <x:c r="T265" s="137" t="str"/>
      <x:c r="U265" s="137" t="str"/>
      <x:c r="V265" s="137" t="str"/>
    </x:row>
    <x:row r="266">
      <x:c r="A266" s="137" t="str"/>
      <x:c r="B266" s="199" t="str"/>
      <x:c r="C266" s="137" t="str"/>
      <x:c r="D266" s="137" t="str"/>
      <x:c r="E266" s="137" t="str"/>
      <x:c r="F266" s="137" t="str"/>
      <x:c r="G266" s="137" t="str"/>
      <x:c r="H266" s="137" t="str"/>
      <x:c r="I266" s="137" t="str"/>
      <x:c r="J266" s="137" t="str"/>
      <x:c r="K266" s="137" t="str"/>
      <x:c r="L266" s="138" t="str"/>
      <x:c r="M266" s="138" t="str"/>
      <x:c r="N266" s="196" t="str">
        <x:f>IF(OR(L266="",M266=""),"",M266-L266)</x:f>
      </x:c>
      <x:c r="O266" s="137" t="str"/>
      <x:c r="P266" s="137" t="str"/>
      <x:c r="Q266" s="137" t="str"/>
      <x:c r="R266" s="137" t="str"/>
      <x:c r="S266" s="137" t="str"/>
      <x:c r="T266" s="137" t="str"/>
      <x:c r="U266" s="137" t="str"/>
      <x:c r="V266" s="137" t="str"/>
    </x:row>
    <x:row r="267">
      <x:c r="A267" s="137" t="str"/>
      <x:c r="B267" s="199" t="str"/>
      <x:c r="C267" s="137" t="str"/>
      <x:c r="D267" s="137" t="str"/>
      <x:c r="E267" s="137" t="str"/>
      <x:c r="F267" s="137" t="str"/>
      <x:c r="G267" s="137" t="str"/>
      <x:c r="H267" s="137" t="str"/>
      <x:c r="I267" s="137" t="str"/>
      <x:c r="J267" s="137" t="str"/>
      <x:c r="K267" s="137" t="str"/>
      <x:c r="L267" s="138" t="str"/>
      <x:c r="M267" s="138" t="str"/>
      <x:c r="N267" s="196" t="str">
        <x:f>IF(OR(L267="",M267=""),"",M267-L267)</x:f>
      </x:c>
      <x:c r="O267" s="137" t="str"/>
      <x:c r="P267" s="137" t="str"/>
      <x:c r="Q267" s="137" t="str"/>
      <x:c r="R267" s="137" t="str"/>
      <x:c r="S267" s="137" t="str"/>
      <x:c r="T267" s="137" t="str"/>
      <x:c r="U267" s="137" t="str"/>
      <x:c r="V267" s="137" t="str"/>
    </x:row>
    <x:row r="268">
      <x:c r="A268" s="137" t="str"/>
      <x:c r="B268" s="199" t="str"/>
      <x:c r="C268" s="137" t="str"/>
      <x:c r="D268" s="137" t="str"/>
      <x:c r="E268" s="137" t="str"/>
      <x:c r="F268" s="137" t="str"/>
      <x:c r="G268" s="137" t="str"/>
      <x:c r="H268" s="137" t="str"/>
      <x:c r="I268" s="137" t="str"/>
      <x:c r="J268" s="137" t="str"/>
      <x:c r="K268" s="137" t="str"/>
      <x:c r="L268" s="138" t="str"/>
      <x:c r="M268" s="138" t="str"/>
      <x:c r="N268" s="196" t="str">
        <x:f>IF(OR(L268="",M268=""),"",M268-L268)</x:f>
      </x:c>
      <x:c r="O268" s="137" t="str"/>
      <x:c r="P268" s="137" t="str"/>
      <x:c r="Q268" s="137" t="str"/>
      <x:c r="R268" s="137" t="str"/>
      <x:c r="S268" s="137" t="str"/>
      <x:c r="T268" s="137" t="str"/>
      <x:c r="U268" s="137" t="str"/>
      <x:c r="V268" s="137" t="str"/>
    </x:row>
    <x:row r="269">
      <x:c r="A269" s="137" t="str"/>
      <x:c r="B269" s="199" t="str"/>
      <x:c r="C269" s="137" t="str"/>
      <x:c r="D269" s="137" t="str"/>
      <x:c r="E269" s="137" t="str"/>
      <x:c r="F269" s="137" t="str"/>
      <x:c r="G269" s="137" t="str"/>
      <x:c r="H269" s="137" t="str"/>
      <x:c r="I269" s="137" t="str"/>
      <x:c r="J269" s="137" t="str"/>
      <x:c r="K269" s="137" t="str"/>
      <x:c r="L269" s="138" t="str"/>
      <x:c r="M269" s="138" t="str"/>
      <x:c r="N269" s="196" t="str">
        <x:f>IF(OR(L269="",M269=""),"",M269-L269)</x:f>
      </x:c>
      <x:c r="O269" s="137" t="str"/>
      <x:c r="P269" s="137" t="str"/>
      <x:c r="Q269" s="137" t="str"/>
      <x:c r="R269" s="137" t="str"/>
      <x:c r="S269" s="137" t="str"/>
      <x:c r="T269" s="137" t="str"/>
      <x:c r="U269" s="137" t="str"/>
      <x:c r="V269" s="137" t="str"/>
    </x:row>
    <x:row r="270">
      <x:c r="A270" s="137" t="str"/>
      <x:c r="B270" s="199" t="str"/>
      <x:c r="C270" s="137" t="str"/>
      <x:c r="D270" s="137" t="str"/>
      <x:c r="E270" s="137" t="str"/>
      <x:c r="F270" s="137" t="str"/>
      <x:c r="G270" s="137" t="str"/>
      <x:c r="H270" s="137" t="str"/>
      <x:c r="I270" s="137" t="str"/>
      <x:c r="J270" s="137" t="str"/>
      <x:c r="K270" s="137" t="str"/>
      <x:c r="L270" s="138" t="str"/>
      <x:c r="M270" s="138" t="str"/>
      <x:c r="N270" s="196" t="str">
        <x:f>IF(OR(L270="",M270=""),"",M270-L270)</x:f>
      </x:c>
      <x:c r="O270" s="137" t="str"/>
      <x:c r="P270" s="137" t="str"/>
      <x:c r="Q270" s="137" t="str"/>
      <x:c r="R270" s="137" t="str"/>
      <x:c r="S270" s="137" t="str"/>
      <x:c r="T270" s="137" t="str"/>
      <x:c r="U270" s="137" t="str"/>
      <x:c r="V270" s="137" t="str"/>
    </x:row>
    <x:row r="271">
      <x:c r="A271" s="137" t="str"/>
      <x:c r="B271" s="199" t="str"/>
      <x:c r="C271" s="137" t="str"/>
      <x:c r="D271" s="137" t="str"/>
      <x:c r="E271" s="137" t="str"/>
      <x:c r="F271" s="137" t="str"/>
      <x:c r="G271" s="137" t="str"/>
      <x:c r="H271" s="137" t="str"/>
      <x:c r="I271" s="137" t="str"/>
      <x:c r="J271" s="137" t="str"/>
      <x:c r="K271" s="137" t="str"/>
      <x:c r="L271" s="138" t="str"/>
      <x:c r="M271" s="138" t="str"/>
      <x:c r="N271" s="196" t="str">
        <x:f>IF(OR(L271="",M271=""),"",M271-L271)</x:f>
      </x:c>
      <x:c r="O271" s="137" t="str"/>
      <x:c r="P271" s="137" t="str"/>
      <x:c r="Q271" s="137" t="str"/>
      <x:c r="R271" s="137" t="str"/>
      <x:c r="S271" s="137" t="str"/>
      <x:c r="T271" s="137" t="str"/>
      <x:c r="U271" s="137" t="str"/>
      <x:c r="V271" s="137" t="str"/>
    </x:row>
    <x:row r="272">
      <x:c r="A272" s="137" t="str"/>
      <x:c r="B272" s="199" t="str"/>
      <x:c r="C272" s="137" t="str"/>
      <x:c r="D272" s="137" t="str"/>
      <x:c r="E272" s="137" t="str"/>
      <x:c r="F272" s="137" t="str"/>
      <x:c r="G272" s="137" t="str"/>
      <x:c r="H272" s="137" t="str"/>
      <x:c r="I272" s="137" t="str"/>
      <x:c r="J272" s="137" t="str"/>
      <x:c r="K272" s="137" t="str"/>
      <x:c r="L272" s="138" t="str"/>
      <x:c r="M272" s="138" t="str"/>
      <x:c r="N272" s="196" t="str">
        <x:f>IF(OR(L272="",M272=""),"",M272-L272)</x:f>
      </x:c>
      <x:c r="O272" s="137" t="str"/>
      <x:c r="P272" s="137" t="str"/>
      <x:c r="Q272" s="137" t="str"/>
      <x:c r="R272" s="137" t="str"/>
      <x:c r="S272" s="137" t="str"/>
      <x:c r="T272" s="137" t="str"/>
      <x:c r="U272" s="137" t="str"/>
      <x:c r="V272" s="137" t="str"/>
    </x:row>
    <x:row r="273">
      <x:c r="A273" s="137" t="str"/>
      <x:c r="B273" s="199" t="str"/>
      <x:c r="C273" s="137" t="str"/>
      <x:c r="D273" s="137" t="str"/>
      <x:c r="E273" s="137" t="str"/>
      <x:c r="F273" s="137" t="str"/>
      <x:c r="G273" s="137" t="str"/>
      <x:c r="H273" s="137" t="str"/>
      <x:c r="I273" s="137" t="str"/>
      <x:c r="J273" s="137" t="str"/>
      <x:c r="K273" s="137" t="str"/>
      <x:c r="L273" s="138" t="str"/>
      <x:c r="M273" s="138" t="str"/>
      <x:c r="N273" s="196" t="str">
        <x:f>IF(OR(L273="",M273=""),"",M273-L273)</x:f>
      </x:c>
      <x:c r="O273" s="137" t="str"/>
      <x:c r="P273" s="137" t="str"/>
      <x:c r="Q273" s="137" t="str"/>
      <x:c r="R273" s="137" t="str"/>
      <x:c r="S273" s="137" t="str"/>
      <x:c r="T273" s="137" t="str"/>
      <x:c r="U273" s="137" t="str"/>
      <x:c r="V273" s="137" t="str"/>
    </x:row>
    <x:row r="274">
      <x:c r="A274" s="137" t="str"/>
      <x:c r="B274" s="199" t="str"/>
      <x:c r="C274" s="137" t="str"/>
      <x:c r="D274" s="137" t="str"/>
      <x:c r="E274" s="137" t="str"/>
      <x:c r="F274" s="137" t="str"/>
      <x:c r="G274" s="137" t="str"/>
      <x:c r="H274" s="137" t="str"/>
      <x:c r="I274" s="137" t="str"/>
      <x:c r="J274" s="137" t="str"/>
      <x:c r="K274" s="137" t="str"/>
      <x:c r="L274" s="138" t="str"/>
      <x:c r="M274" s="138" t="str"/>
      <x:c r="N274" s="196" t="str">
        <x:f>IF(OR(L274="",M274=""),"",M274-L274)</x:f>
      </x:c>
      <x:c r="O274" s="137" t="str"/>
      <x:c r="P274" s="137" t="str"/>
      <x:c r="Q274" s="137" t="str"/>
      <x:c r="R274" s="137" t="str"/>
      <x:c r="S274" s="137" t="str"/>
      <x:c r="T274" s="137" t="str"/>
      <x:c r="U274" s="137" t="str"/>
      <x:c r="V274" s="137" t="str"/>
    </x:row>
    <x:row r="275">
      <x:c r="A275" s="137" t="str"/>
      <x:c r="B275" s="199" t="str"/>
      <x:c r="C275" s="137" t="str"/>
      <x:c r="D275" s="137" t="str"/>
      <x:c r="E275" s="137" t="str"/>
      <x:c r="F275" s="137" t="str"/>
      <x:c r="G275" s="137" t="str"/>
      <x:c r="H275" s="137" t="str"/>
      <x:c r="I275" s="137" t="str"/>
      <x:c r="J275" s="137" t="str"/>
      <x:c r="K275" s="137" t="str"/>
      <x:c r="L275" s="138" t="str"/>
      <x:c r="M275" s="138" t="str"/>
      <x:c r="N275" s="196" t="str">
        <x:f>IF(OR(L275="",M275=""),"",M275-L275)</x:f>
      </x:c>
      <x:c r="O275" s="137" t="str"/>
      <x:c r="P275" s="137" t="str"/>
      <x:c r="Q275" s="137" t="str"/>
      <x:c r="R275" s="137" t="str"/>
      <x:c r="S275" s="137" t="str"/>
      <x:c r="T275" s="137" t="str"/>
      <x:c r="U275" s="137" t="str"/>
      <x:c r="V275" s="137" t="str"/>
    </x:row>
    <x:row r="276">
      <x:c r="A276" s="137" t="str"/>
      <x:c r="B276" s="199" t="str"/>
      <x:c r="C276" s="137" t="str"/>
      <x:c r="D276" s="137" t="str"/>
      <x:c r="E276" s="137" t="str"/>
      <x:c r="F276" s="137" t="str"/>
      <x:c r="G276" s="137" t="str"/>
      <x:c r="H276" s="137" t="str"/>
      <x:c r="I276" s="137" t="str"/>
      <x:c r="J276" s="137" t="str"/>
      <x:c r="K276" s="137" t="str"/>
      <x:c r="L276" s="138" t="str"/>
      <x:c r="M276" s="138" t="str"/>
      <x:c r="N276" s="196" t="str">
        <x:f>IF(OR(L276="",M276=""),"",M276-L276)</x:f>
      </x:c>
      <x:c r="O276" s="137" t="str"/>
      <x:c r="P276" s="137" t="str"/>
      <x:c r="Q276" s="137" t="str"/>
      <x:c r="R276" s="137" t="str"/>
      <x:c r="S276" s="137" t="str"/>
      <x:c r="T276" s="137" t="str"/>
      <x:c r="U276" s="137" t="str"/>
      <x:c r="V276" s="137" t="str"/>
    </x:row>
    <x:row r="277">
      <x:c r="A277" s="137" t="str"/>
      <x:c r="B277" s="199" t="str"/>
      <x:c r="C277" s="137" t="str"/>
      <x:c r="D277" s="137" t="str"/>
      <x:c r="E277" s="137" t="str"/>
      <x:c r="F277" s="137" t="str"/>
      <x:c r="G277" s="137" t="str"/>
      <x:c r="H277" s="137" t="str"/>
      <x:c r="I277" s="137" t="str"/>
      <x:c r="J277" s="137" t="str"/>
      <x:c r="K277" s="137" t="str"/>
      <x:c r="L277" s="138" t="str"/>
      <x:c r="M277" s="138" t="str"/>
      <x:c r="N277" s="196" t="str">
        <x:f>IF(OR(L277="",M277=""),"",M277-L277)</x:f>
      </x:c>
      <x:c r="O277" s="137" t="str"/>
      <x:c r="P277" s="137" t="str"/>
      <x:c r="Q277" s="137" t="str"/>
      <x:c r="R277" s="137" t="str"/>
      <x:c r="S277" s="137" t="str"/>
      <x:c r="T277" s="137" t="str"/>
      <x:c r="U277" s="137" t="str"/>
      <x:c r="V277" s="137" t="str"/>
    </x:row>
    <x:row r="278">
      <x:c r="A278" s="137" t="str"/>
      <x:c r="B278" s="199" t="str"/>
      <x:c r="C278" s="137" t="str"/>
      <x:c r="D278" s="137" t="str"/>
      <x:c r="E278" s="137" t="str"/>
      <x:c r="F278" s="137" t="str"/>
      <x:c r="G278" s="137" t="str"/>
      <x:c r="H278" s="137" t="str"/>
      <x:c r="I278" s="137" t="str"/>
      <x:c r="J278" s="137" t="str"/>
      <x:c r="K278" s="137" t="str"/>
      <x:c r="L278" s="138" t="str"/>
      <x:c r="M278" s="138" t="str"/>
      <x:c r="N278" s="196" t="str">
        <x:f>IF(OR(L278="",M278=""),"",M278-L278)</x:f>
      </x:c>
      <x:c r="O278" s="137" t="str"/>
      <x:c r="P278" s="137" t="str"/>
      <x:c r="Q278" s="137" t="str"/>
      <x:c r="R278" s="137" t="str"/>
      <x:c r="S278" s="137" t="str"/>
      <x:c r="T278" s="137" t="str"/>
      <x:c r="U278" s="137" t="str"/>
      <x:c r="V278" s="137" t="str"/>
    </x:row>
    <x:row r="279">
      <x:c r="A279" s="137" t="str"/>
      <x:c r="B279" s="199" t="str"/>
      <x:c r="C279" s="137" t="str"/>
      <x:c r="D279" s="137" t="str"/>
      <x:c r="E279" s="137" t="str"/>
      <x:c r="F279" s="137" t="str"/>
      <x:c r="G279" s="137" t="str"/>
      <x:c r="H279" s="137" t="str"/>
      <x:c r="I279" s="137" t="str"/>
      <x:c r="J279" s="137" t="str"/>
      <x:c r="K279" s="137" t="str"/>
      <x:c r="L279" s="138" t="str"/>
      <x:c r="M279" s="138" t="str"/>
      <x:c r="N279" s="196" t="str">
        <x:f>IF(OR(L279="",M279=""),"",M279-L279)</x:f>
      </x:c>
      <x:c r="O279" s="137" t="str"/>
      <x:c r="P279" s="137" t="str"/>
      <x:c r="Q279" s="137" t="str"/>
      <x:c r="R279" s="137" t="str"/>
      <x:c r="S279" s="137" t="str"/>
      <x:c r="T279" s="137" t="str"/>
      <x:c r="U279" s="137" t="str"/>
      <x:c r="V279" s="137" t="str"/>
    </x:row>
    <x:row r="280">
      <x:c r="A280" s="137" t="str"/>
      <x:c r="B280" s="199" t="str"/>
      <x:c r="C280" s="137" t="str"/>
      <x:c r="D280" s="137" t="str"/>
      <x:c r="E280" s="137" t="str"/>
      <x:c r="F280" s="137" t="str"/>
      <x:c r="G280" s="137" t="str"/>
      <x:c r="H280" s="137" t="str"/>
      <x:c r="I280" s="137" t="str"/>
      <x:c r="J280" s="137" t="str"/>
      <x:c r="K280" s="137" t="str"/>
      <x:c r="L280" s="138" t="str"/>
      <x:c r="M280" s="138" t="str"/>
      <x:c r="N280" s="196" t="str">
        <x:f>IF(OR(L280="",M280=""),"",M280-L280)</x:f>
      </x:c>
      <x:c r="O280" s="137" t="str"/>
      <x:c r="P280" s="137" t="str"/>
      <x:c r="Q280" s="137" t="str"/>
      <x:c r="R280" s="137" t="str"/>
      <x:c r="S280" s="137" t="str"/>
      <x:c r="T280" s="137" t="str"/>
      <x:c r="U280" s="137" t="str"/>
      <x:c r="V280" s="137" t="str"/>
    </x:row>
    <x:row r="281">
      <x:c r="A281" s="137" t="str"/>
      <x:c r="B281" s="199" t="str"/>
      <x:c r="C281" s="137" t="str"/>
      <x:c r="D281" s="137" t="str"/>
      <x:c r="E281" s="137" t="str"/>
      <x:c r="F281" s="137" t="str"/>
      <x:c r="G281" s="137" t="str"/>
      <x:c r="H281" s="137" t="str"/>
      <x:c r="I281" s="137" t="str"/>
      <x:c r="J281" s="137" t="str"/>
      <x:c r="K281" s="137" t="str"/>
      <x:c r="L281" s="138" t="str"/>
      <x:c r="M281" s="138" t="str"/>
      <x:c r="N281" s="196" t="str">
        <x:f>IF(OR(L281="",M281=""),"",M281-L281)</x:f>
      </x:c>
      <x:c r="O281" s="137" t="str"/>
      <x:c r="P281" s="137" t="str"/>
      <x:c r="Q281" s="137" t="str"/>
      <x:c r="R281" s="137" t="str"/>
      <x:c r="S281" s="137" t="str"/>
      <x:c r="T281" s="137" t="str"/>
      <x:c r="U281" s="137" t="str"/>
      <x:c r="V281" s="137" t="str"/>
    </x:row>
    <x:row r="282">
      <x:c r="A282" s="137" t="str"/>
      <x:c r="B282" s="199" t="str"/>
      <x:c r="C282" s="137" t="str"/>
      <x:c r="D282" s="137" t="str"/>
      <x:c r="E282" s="137" t="str"/>
      <x:c r="F282" s="137" t="str"/>
      <x:c r="G282" s="137" t="str"/>
      <x:c r="H282" s="137" t="str"/>
      <x:c r="I282" s="137" t="str"/>
      <x:c r="J282" s="137" t="str"/>
      <x:c r="K282" s="137" t="str"/>
      <x:c r="L282" s="138" t="str"/>
      <x:c r="M282" s="138" t="str"/>
      <x:c r="N282" s="196" t="str">
        <x:f>IF(OR(L282="",M282=""),"",M282-L282)</x:f>
      </x:c>
      <x:c r="O282" s="137" t="str"/>
      <x:c r="P282" s="137" t="str"/>
      <x:c r="Q282" s="137" t="str"/>
      <x:c r="R282" s="137" t="str"/>
      <x:c r="S282" s="137" t="str"/>
      <x:c r="T282" s="137" t="str"/>
      <x:c r="U282" s="137" t="str"/>
      <x:c r="V282" s="137" t="str"/>
    </x:row>
    <x:row r="283">
      <x:c r="A283" s="137" t="str"/>
      <x:c r="B283" s="199" t="str"/>
      <x:c r="C283" s="137" t="str"/>
      <x:c r="D283" s="137" t="str"/>
      <x:c r="E283" s="137" t="str"/>
      <x:c r="F283" s="137" t="str"/>
      <x:c r="G283" s="137" t="str"/>
      <x:c r="H283" s="137" t="str"/>
      <x:c r="I283" s="137" t="str"/>
      <x:c r="J283" s="137" t="str"/>
      <x:c r="K283" s="137" t="str"/>
      <x:c r="L283" s="138" t="str"/>
      <x:c r="M283" s="138" t="str"/>
      <x:c r="N283" s="196" t="str">
        <x:f>IF(OR(L283="",M283=""),"",M283-L283)</x:f>
      </x:c>
      <x:c r="O283" s="137" t="str"/>
      <x:c r="P283" s="137" t="str"/>
      <x:c r="Q283" s="137" t="str"/>
      <x:c r="R283" s="137" t="str"/>
      <x:c r="S283" s="137" t="str"/>
      <x:c r="T283" s="137" t="str"/>
      <x:c r="U283" s="137" t="str"/>
      <x:c r="V283" s="137" t="str"/>
    </x:row>
    <x:row r="284">
      <x:c r="A284" s="137" t="str"/>
      <x:c r="B284" s="199" t="str"/>
      <x:c r="C284" s="137" t="str"/>
      <x:c r="D284" s="137" t="str"/>
      <x:c r="E284" s="137" t="str"/>
      <x:c r="F284" s="137" t="str"/>
      <x:c r="G284" s="137" t="str"/>
      <x:c r="H284" s="137" t="str"/>
      <x:c r="I284" s="137" t="str"/>
      <x:c r="J284" s="137" t="str"/>
      <x:c r="K284" s="137" t="str"/>
      <x:c r="L284" s="138" t="str"/>
      <x:c r="M284" s="138" t="str"/>
      <x:c r="N284" s="196" t="str">
        <x:f>IF(OR(L284="",M284=""),"",M284-L284)</x:f>
      </x:c>
      <x:c r="O284" s="137" t="str"/>
      <x:c r="P284" s="137" t="str"/>
      <x:c r="Q284" s="137" t="str"/>
      <x:c r="R284" s="137" t="str"/>
      <x:c r="S284" s="137" t="str"/>
      <x:c r="T284" s="137" t="str"/>
      <x:c r="U284" s="137" t="str"/>
      <x:c r="V284" s="137" t="str"/>
    </x:row>
    <x:row r="285">
      <x:c r="A285" s="137" t="str"/>
      <x:c r="B285" s="199" t="str"/>
      <x:c r="C285" s="137" t="str"/>
      <x:c r="D285" s="137" t="str"/>
      <x:c r="E285" s="137" t="str"/>
      <x:c r="F285" s="137" t="str"/>
      <x:c r="G285" s="137" t="str"/>
      <x:c r="H285" s="137" t="str"/>
      <x:c r="I285" s="137" t="str"/>
      <x:c r="J285" s="137" t="str"/>
      <x:c r="K285" s="137" t="str"/>
      <x:c r="L285" s="138" t="str"/>
      <x:c r="M285" s="138" t="str"/>
      <x:c r="N285" s="196" t="str">
        <x:f>IF(OR(L285="",M285=""),"",M285-L285)</x:f>
      </x:c>
      <x:c r="O285" s="137" t="str"/>
      <x:c r="P285" s="137" t="str"/>
      <x:c r="Q285" s="137" t="str"/>
      <x:c r="R285" s="137" t="str"/>
      <x:c r="S285" s="137" t="str"/>
      <x:c r="T285" s="137" t="str"/>
      <x:c r="U285" s="137" t="str"/>
      <x:c r="V285" s="137" t="str"/>
    </x:row>
    <x:row r="286">
      <x:c r="A286" s="137" t="str"/>
      <x:c r="B286" s="199" t="str"/>
      <x:c r="C286" s="137" t="str"/>
      <x:c r="D286" s="137" t="str"/>
      <x:c r="E286" s="137" t="str"/>
      <x:c r="F286" s="137" t="str"/>
      <x:c r="G286" s="137" t="str"/>
      <x:c r="H286" s="137" t="str"/>
      <x:c r="I286" s="137" t="str"/>
      <x:c r="J286" s="137" t="str"/>
      <x:c r="K286" s="137" t="str"/>
      <x:c r="L286" s="138" t="str"/>
      <x:c r="M286" s="138" t="str"/>
      <x:c r="N286" s="196" t="str">
        <x:f>IF(OR(L286="",M286=""),"",M286-L286)</x:f>
      </x:c>
      <x:c r="O286" s="137" t="str"/>
      <x:c r="P286" s="137" t="str"/>
      <x:c r="Q286" s="137" t="str"/>
      <x:c r="R286" s="137" t="str"/>
      <x:c r="S286" s="137" t="str"/>
      <x:c r="T286" s="137" t="str"/>
      <x:c r="U286" s="137" t="str"/>
      <x:c r="V286" s="137" t="str"/>
    </x:row>
    <x:row r="287">
      <x:c r="A287" s="137" t="str"/>
      <x:c r="B287" s="199" t="str"/>
      <x:c r="C287" s="137" t="str"/>
      <x:c r="D287" s="137" t="str"/>
      <x:c r="E287" s="137" t="str"/>
      <x:c r="F287" s="137" t="str"/>
      <x:c r="G287" s="137" t="str"/>
      <x:c r="H287" s="137" t="str"/>
      <x:c r="I287" s="137" t="str"/>
      <x:c r="J287" s="137" t="str"/>
      <x:c r="K287" s="137" t="str"/>
      <x:c r="L287" s="138" t="str"/>
      <x:c r="M287" s="138" t="str"/>
      <x:c r="N287" s="196" t="str">
        <x:f>IF(OR(L287="",M287=""),"",M287-L287)</x:f>
      </x:c>
      <x:c r="O287" s="137" t="str"/>
      <x:c r="P287" s="137" t="str"/>
      <x:c r="Q287" s="137" t="str"/>
      <x:c r="R287" s="137" t="str"/>
      <x:c r="S287" s="137" t="str"/>
      <x:c r="T287" s="137" t="str"/>
      <x:c r="U287" s="137" t="str"/>
      <x:c r="V287" s="137" t="str"/>
    </x:row>
    <x:row r="288">
      <x:c r="A288" s="137" t="str"/>
      <x:c r="B288" s="199" t="str"/>
      <x:c r="C288" s="137" t="str"/>
      <x:c r="D288" s="137" t="str"/>
      <x:c r="E288" s="137" t="str"/>
      <x:c r="F288" s="137" t="str"/>
      <x:c r="G288" s="137" t="str"/>
      <x:c r="H288" s="137" t="str"/>
      <x:c r="I288" s="137" t="str"/>
      <x:c r="J288" s="137" t="str"/>
      <x:c r="K288" s="137" t="str"/>
      <x:c r="L288" s="138" t="str"/>
      <x:c r="M288" s="138" t="str"/>
      <x:c r="N288" s="196" t="str">
        <x:f>IF(OR(L288="",M288=""),"",M288-L288)</x:f>
      </x:c>
      <x:c r="O288" s="137" t="str"/>
      <x:c r="P288" s="137" t="str"/>
      <x:c r="Q288" s="137" t="str"/>
      <x:c r="R288" s="137" t="str"/>
      <x:c r="S288" s="137" t="str"/>
      <x:c r="T288" s="137" t="str"/>
      <x:c r="U288" s="137" t="str"/>
      <x:c r="V288" s="137" t="str"/>
    </x:row>
    <x:row r="289">
      <x:c r="A289" s="137" t="str"/>
      <x:c r="B289" s="199" t="str"/>
      <x:c r="C289" s="137" t="str"/>
      <x:c r="D289" s="137" t="str"/>
      <x:c r="E289" s="137" t="str"/>
      <x:c r="F289" s="137" t="str"/>
      <x:c r="G289" s="137" t="str"/>
      <x:c r="H289" s="137" t="str"/>
      <x:c r="I289" s="137" t="str"/>
      <x:c r="J289" s="137" t="str"/>
      <x:c r="K289" s="137" t="str"/>
      <x:c r="L289" s="138" t="str"/>
      <x:c r="M289" s="138" t="str"/>
      <x:c r="N289" s="196" t="str">
        <x:f>IF(OR(L289="",M289=""),"",M289-L289)</x:f>
      </x:c>
      <x:c r="O289" s="137" t="str"/>
      <x:c r="P289" s="137" t="str"/>
      <x:c r="Q289" s="137" t="str"/>
      <x:c r="R289" s="137" t="str"/>
      <x:c r="S289" s="137" t="str"/>
      <x:c r="T289" s="137" t="str"/>
      <x:c r="U289" s="137" t="str"/>
      <x:c r="V289" s="137" t="str"/>
    </x:row>
    <x:row r="290">
      <x:c r="A290" s="137" t="str"/>
      <x:c r="B290" s="199" t="str"/>
      <x:c r="C290" s="137" t="str"/>
      <x:c r="D290" s="137" t="str"/>
      <x:c r="E290" s="137" t="str"/>
      <x:c r="F290" s="137" t="str"/>
      <x:c r="G290" s="137" t="str"/>
      <x:c r="H290" s="137" t="str"/>
      <x:c r="I290" s="137" t="str"/>
      <x:c r="J290" s="137" t="str"/>
      <x:c r="K290" s="137" t="str"/>
      <x:c r="L290" s="138" t="str"/>
      <x:c r="M290" s="138" t="str"/>
      <x:c r="N290" s="196" t="str">
        <x:f>IF(OR(L290="",M290=""),"",M290-L290)</x:f>
      </x:c>
      <x:c r="O290" s="137" t="str"/>
      <x:c r="P290" s="137" t="str"/>
      <x:c r="Q290" s="137" t="str"/>
      <x:c r="R290" s="137" t="str"/>
      <x:c r="S290" s="137" t="str"/>
      <x:c r="T290" s="137" t="str"/>
      <x:c r="U290" s="137" t="str"/>
      <x:c r="V290" s="137" t="str"/>
    </x:row>
    <x:row r="291">
      <x:c r="A291" s="137" t="str"/>
      <x:c r="B291" s="199" t="str"/>
      <x:c r="C291" s="137" t="str"/>
      <x:c r="D291" s="137" t="str"/>
      <x:c r="E291" s="137" t="str"/>
      <x:c r="F291" s="137" t="str"/>
      <x:c r="G291" s="137" t="str"/>
      <x:c r="H291" s="137" t="str"/>
      <x:c r="I291" s="137" t="str"/>
      <x:c r="J291" s="137" t="str"/>
      <x:c r="K291" s="137" t="str"/>
      <x:c r="L291" s="138" t="str"/>
      <x:c r="M291" s="138" t="str"/>
      <x:c r="N291" s="196" t="str">
        <x:f>IF(OR(L291="",M291=""),"",M291-L291)</x:f>
      </x:c>
      <x:c r="O291" s="137" t="str"/>
      <x:c r="P291" s="137" t="str"/>
      <x:c r="Q291" s="137" t="str"/>
      <x:c r="R291" s="137" t="str"/>
      <x:c r="S291" s="137" t="str"/>
      <x:c r="T291" s="137" t="str"/>
      <x:c r="U291" s="137" t="str"/>
      <x:c r="V291" s="137" t="str"/>
    </x:row>
    <x:row r="292">
      <x:c r="A292" s="137" t="str"/>
      <x:c r="B292" s="199" t="str"/>
      <x:c r="C292" s="137" t="str"/>
      <x:c r="D292" s="137" t="str"/>
      <x:c r="E292" s="137" t="str"/>
      <x:c r="F292" s="137" t="str"/>
      <x:c r="G292" s="137" t="str"/>
      <x:c r="H292" s="137" t="str"/>
      <x:c r="I292" s="137" t="str"/>
      <x:c r="J292" s="137" t="str"/>
      <x:c r="K292" s="137" t="str"/>
      <x:c r="L292" s="138" t="str"/>
      <x:c r="M292" s="138" t="str"/>
      <x:c r="N292" s="196" t="str">
        <x:f>IF(OR(L292="",M292=""),"",M292-L292)</x:f>
      </x:c>
      <x:c r="O292" s="137" t="str"/>
      <x:c r="P292" s="137" t="str"/>
      <x:c r="Q292" s="137" t="str"/>
      <x:c r="R292" s="137" t="str"/>
      <x:c r="S292" s="137" t="str"/>
      <x:c r="T292" s="137" t="str"/>
      <x:c r="U292" s="137" t="str"/>
      <x:c r="V292" s="137" t="str"/>
    </x:row>
    <x:row r="293">
      <x:c r="A293" s="137" t="str"/>
      <x:c r="B293" s="199" t="str"/>
      <x:c r="C293" s="137" t="str"/>
      <x:c r="D293" s="137" t="str"/>
      <x:c r="E293" s="137" t="str"/>
      <x:c r="F293" s="137" t="str"/>
      <x:c r="G293" s="137" t="str"/>
      <x:c r="H293" s="137" t="str"/>
      <x:c r="I293" s="137" t="str"/>
      <x:c r="J293" s="137" t="str"/>
      <x:c r="K293" s="137" t="str"/>
      <x:c r="L293" s="138" t="str"/>
      <x:c r="M293" s="138" t="str"/>
      <x:c r="N293" s="196" t="str">
        <x:f>IF(OR(L293="",M293=""),"",M293-L293)</x:f>
      </x:c>
      <x:c r="O293" s="137" t="str"/>
      <x:c r="P293" s="137" t="str"/>
      <x:c r="Q293" s="137" t="str"/>
      <x:c r="R293" s="137" t="str"/>
      <x:c r="S293" s="137" t="str"/>
      <x:c r="T293" s="137" t="str"/>
      <x:c r="U293" s="137" t="str"/>
      <x:c r="V293" s="137" t="str"/>
    </x:row>
    <x:row r="294">
      <x:c r="A294" s="137" t="str"/>
      <x:c r="B294" s="199" t="str"/>
      <x:c r="C294" s="137" t="str"/>
      <x:c r="D294" s="137" t="str"/>
      <x:c r="E294" s="137" t="str"/>
      <x:c r="F294" s="137" t="str"/>
      <x:c r="G294" s="137" t="str"/>
      <x:c r="H294" s="137" t="str"/>
      <x:c r="I294" s="137" t="str"/>
      <x:c r="J294" s="137" t="str"/>
      <x:c r="K294" s="137" t="str"/>
      <x:c r="L294" s="138" t="str"/>
      <x:c r="M294" s="138" t="str"/>
      <x:c r="N294" s="196" t="str">
        <x:f>IF(OR(L294="",M294=""),"",M294-L294)</x:f>
      </x:c>
      <x:c r="O294" s="137" t="str"/>
      <x:c r="P294" s="137" t="str"/>
      <x:c r="Q294" s="137" t="str"/>
      <x:c r="R294" s="137" t="str"/>
      <x:c r="S294" s="137" t="str"/>
      <x:c r="T294" s="137" t="str"/>
      <x:c r="U294" s="137" t="str"/>
      <x:c r="V294" s="137" t="str"/>
    </x:row>
    <x:row r="295">
      <x:c r="A295" s="137" t="str"/>
      <x:c r="B295" s="199" t="str"/>
      <x:c r="C295" s="137" t="str"/>
      <x:c r="D295" s="137" t="str"/>
      <x:c r="E295" s="137" t="str"/>
      <x:c r="F295" s="137" t="str"/>
      <x:c r="G295" s="137" t="str"/>
      <x:c r="H295" s="137" t="str"/>
      <x:c r="I295" s="137" t="str"/>
      <x:c r="J295" s="137" t="str"/>
      <x:c r="K295" s="137" t="str"/>
      <x:c r="L295" s="138" t="str"/>
      <x:c r="M295" s="138" t="str"/>
      <x:c r="N295" s="196" t="str">
        <x:f>IF(OR(L295="",M295=""),"",M295-L295)</x:f>
      </x:c>
      <x:c r="O295" s="137" t="str"/>
      <x:c r="P295" s="137" t="str"/>
      <x:c r="Q295" s="137" t="str"/>
      <x:c r="R295" s="137" t="str"/>
      <x:c r="S295" s="137" t="str"/>
      <x:c r="T295" s="137" t="str"/>
      <x:c r="U295" s="137" t="str"/>
      <x:c r="V295" s="137" t="str"/>
    </x:row>
    <x:row r="296">
      <x:c r="A296" s="137" t="str"/>
      <x:c r="B296" s="199" t="str"/>
      <x:c r="C296" s="137" t="str"/>
      <x:c r="D296" s="137" t="str"/>
      <x:c r="E296" s="137" t="str"/>
      <x:c r="F296" s="137" t="str"/>
      <x:c r="G296" s="137" t="str"/>
      <x:c r="H296" s="137" t="str"/>
      <x:c r="I296" s="137" t="str"/>
      <x:c r="J296" s="137" t="str"/>
      <x:c r="K296" s="137" t="str"/>
      <x:c r="L296" s="138" t="str"/>
      <x:c r="M296" s="138" t="str"/>
      <x:c r="N296" s="196" t="str">
        <x:f>IF(OR(L296="",M296=""),"",M296-L296)</x:f>
      </x:c>
      <x:c r="O296" s="137" t="str"/>
      <x:c r="P296" s="137" t="str"/>
      <x:c r="Q296" s="137" t="str"/>
      <x:c r="R296" s="137" t="str"/>
      <x:c r="S296" s="137" t="str"/>
      <x:c r="T296" s="137" t="str"/>
      <x:c r="U296" s="137" t="str"/>
      <x:c r="V296" s="137" t="str"/>
    </x:row>
    <x:row r="297">
      <x:c r="A297" s="137" t="str"/>
      <x:c r="B297" s="199" t="str"/>
      <x:c r="C297" s="137" t="str"/>
      <x:c r="D297" s="137" t="str"/>
      <x:c r="E297" s="137" t="str"/>
      <x:c r="F297" s="137" t="str"/>
      <x:c r="G297" s="137" t="str"/>
      <x:c r="H297" s="137" t="str"/>
      <x:c r="I297" s="137" t="str"/>
      <x:c r="J297" s="137" t="str"/>
      <x:c r="K297" s="137" t="str"/>
      <x:c r="L297" s="138" t="str"/>
      <x:c r="M297" s="138" t="str"/>
      <x:c r="N297" s="196" t="str">
        <x:f>IF(OR(L297="",M297=""),"",M297-L297)</x:f>
      </x:c>
      <x:c r="O297" s="137" t="str"/>
      <x:c r="P297" s="137" t="str"/>
      <x:c r="Q297" s="137" t="str"/>
      <x:c r="R297" s="137" t="str"/>
      <x:c r="S297" s="137" t="str"/>
      <x:c r="T297" s="137" t="str"/>
      <x:c r="U297" s="137" t="str"/>
      <x:c r="V297" s="137" t="str"/>
    </x:row>
    <x:row r="298">
      <x:c r="A298" s="137" t="str"/>
      <x:c r="B298" s="199" t="str"/>
      <x:c r="C298" s="137" t="str"/>
      <x:c r="D298" s="137" t="str"/>
      <x:c r="E298" s="137" t="str"/>
      <x:c r="F298" s="137" t="str"/>
      <x:c r="G298" s="137" t="str"/>
      <x:c r="H298" s="137" t="str"/>
      <x:c r="I298" s="137" t="str"/>
      <x:c r="J298" s="137" t="str"/>
      <x:c r="K298" s="137" t="str"/>
      <x:c r="L298" s="138" t="str"/>
      <x:c r="M298" s="138" t="str"/>
      <x:c r="N298" s="196" t="str">
        <x:f>IF(OR(L298="",M298=""),"",M298-L298)</x:f>
      </x:c>
      <x:c r="O298" s="137" t="str"/>
      <x:c r="P298" s="137" t="str"/>
      <x:c r="Q298" s="137" t="str"/>
      <x:c r="R298" s="137" t="str"/>
      <x:c r="S298" s="137" t="str"/>
      <x:c r="T298" s="137" t="str"/>
      <x:c r="U298" s="137" t="str"/>
      <x:c r="V298" s="137" t="str"/>
    </x:row>
    <x:row r="299">
      <x:c r="A299" s="137" t="str"/>
      <x:c r="B299" s="199" t="str"/>
      <x:c r="C299" s="137" t="str"/>
      <x:c r="D299" s="137" t="str"/>
      <x:c r="E299" s="137" t="str"/>
      <x:c r="F299" s="137" t="str"/>
      <x:c r="G299" s="137" t="str"/>
      <x:c r="H299" s="137" t="str"/>
      <x:c r="I299" s="137" t="str"/>
      <x:c r="J299" s="137" t="str"/>
      <x:c r="K299" s="137" t="str"/>
      <x:c r="L299" s="138" t="str"/>
      <x:c r="M299" s="138" t="str"/>
      <x:c r="N299" s="196" t="str">
        <x:f>IF(OR(L299="",M299=""),"",M299-L299)</x:f>
      </x:c>
      <x:c r="O299" s="137" t="str"/>
      <x:c r="P299" s="137" t="str"/>
      <x:c r="Q299" s="137" t="str"/>
      <x:c r="R299" s="137" t="str"/>
      <x:c r="S299" s="137" t="str"/>
      <x:c r="T299" s="137" t="str"/>
      <x:c r="U299" s="137" t="str"/>
      <x:c r="V299" s="137" t="str"/>
    </x:row>
    <x:row r="300">
      <x:c r="A300" s="137" t="str"/>
      <x:c r="B300" s="199" t="str"/>
      <x:c r="C300" s="137" t="str"/>
      <x:c r="D300" s="137" t="str"/>
      <x:c r="E300" s="137" t="str"/>
      <x:c r="F300" s="137" t="str"/>
      <x:c r="G300" s="137" t="str"/>
      <x:c r="H300" s="137" t="str"/>
      <x:c r="I300" s="137" t="str"/>
      <x:c r="J300" s="137" t="str"/>
      <x:c r="K300" s="137" t="str"/>
      <x:c r="L300" s="138" t="str"/>
      <x:c r="M300" s="138" t="str"/>
      <x:c r="N300" s="196" t="str">
        <x:f>IF(OR(L300="",M300=""),"",M300-L300)</x:f>
      </x:c>
      <x:c r="O300" s="137" t="str"/>
      <x:c r="P300" s="137" t="str"/>
      <x:c r="Q300" s="137" t="str"/>
      <x:c r="R300" s="137" t="str"/>
      <x:c r="S300" s="137" t="str"/>
      <x:c r="T300" s="137" t="str"/>
      <x:c r="U300" s="137" t="str"/>
      <x:c r="V300" s="137" t="str"/>
    </x:row>
    <x:row r="301">
      <x:c r="A301" s="137" t="str"/>
      <x:c r="B301" s="199" t="str"/>
      <x:c r="C301" s="137" t="str"/>
      <x:c r="D301" s="137" t="str"/>
      <x:c r="E301" s="137" t="str"/>
      <x:c r="F301" s="137" t="str"/>
      <x:c r="G301" s="137" t="str"/>
      <x:c r="H301" s="137" t="str"/>
      <x:c r="I301" s="137" t="str"/>
      <x:c r="J301" s="137" t="str"/>
      <x:c r="K301" s="137" t="str"/>
      <x:c r="L301" s="138" t="str"/>
      <x:c r="M301" s="138" t="str"/>
      <x:c r="N301" s="196" t="str">
        <x:f>IF(OR(L301="",M301=""),"",M301-L301)</x:f>
      </x:c>
      <x:c r="O301" s="137" t="str"/>
      <x:c r="P301" s="137" t="str"/>
      <x:c r="Q301" s="137" t="str"/>
      <x:c r="R301" s="137" t="str"/>
      <x:c r="S301" s="137" t="str"/>
      <x:c r="T301" s="137" t="str"/>
      <x:c r="U301" s="137" t="str"/>
      <x:c r="V301" s="137" t="str"/>
    </x:row>
    <x:row r="302">
      <x:c r="A302" s="137" t="str"/>
      <x:c r="B302" s="199" t="str"/>
      <x:c r="C302" s="137" t="str"/>
      <x:c r="D302" s="137" t="str"/>
      <x:c r="E302" s="137" t="str"/>
      <x:c r="F302" s="137" t="str"/>
      <x:c r="G302" s="137" t="str"/>
      <x:c r="H302" s="137" t="str"/>
      <x:c r="I302" s="137" t="str"/>
      <x:c r="J302" s="137" t="str"/>
      <x:c r="K302" s="137" t="str"/>
      <x:c r="L302" s="138" t="str"/>
      <x:c r="M302" s="138" t="str"/>
      <x:c r="N302" s="196" t="str">
        <x:f>IF(OR(L302="",M302=""),"",M302-L302)</x:f>
      </x:c>
      <x:c r="O302" s="137" t="str"/>
      <x:c r="P302" s="137" t="str"/>
      <x:c r="Q302" s="137" t="str"/>
      <x:c r="R302" s="137" t="str"/>
      <x:c r="S302" s="137" t="str"/>
      <x:c r="T302" s="137" t="str"/>
      <x:c r="U302" s="137" t="str"/>
      <x:c r="V302" s="137" t="str"/>
    </x:row>
    <x:row r="303">
      <x:c r="A303" s="137" t="str"/>
      <x:c r="B303" s="199" t="str"/>
      <x:c r="C303" s="137" t="str"/>
      <x:c r="D303" s="137" t="str"/>
      <x:c r="E303" s="137" t="str"/>
      <x:c r="F303" s="137" t="str"/>
      <x:c r="G303" s="137" t="str"/>
      <x:c r="H303" s="137" t="str"/>
      <x:c r="I303" s="137" t="str"/>
      <x:c r="J303" s="137" t="str"/>
      <x:c r="K303" s="137" t="str"/>
      <x:c r="L303" s="138" t="str"/>
      <x:c r="M303" s="138" t="str"/>
      <x:c r="N303" s="196" t="str">
        <x:f>IF(OR(L303="",M303=""),"",M303-L303)</x:f>
      </x:c>
      <x:c r="O303" s="137" t="str"/>
      <x:c r="P303" s="137" t="str"/>
      <x:c r="Q303" s="137" t="str"/>
      <x:c r="R303" s="137" t="str"/>
      <x:c r="S303" s="137" t="str"/>
      <x:c r="T303" s="137" t="str"/>
      <x:c r="U303" s="137" t="str"/>
      <x:c r="V303" s="137" t="str"/>
    </x:row>
    <x:row r="304">
      <x:c r="A304" s="137" t="str"/>
      <x:c r="B304" s="199" t="str"/>
      <x:c r="C304" s="137" t="str"/>
      <x:c r="D304" s="137" t="str"/>
      <x:c r="E304" s="137" t="str"/>
      <x:c r="F304" s="137" t="str"/>
      <x:c r="G304" s="137" t="str"/>
      <x:c r="H304" s="137" t="str"/>
      <x:c r="I304" s="137" t="str"/>
      <x:c r="J304" s="137" t="str"/>
      <x:c r="K304" s="137" t="str"/>
      <x:c r="L304" s="138" t="str"/>
      <x:c r="M304" s="138" t="str"/>
      <x:c r="N304" s="196" t="str">
        <x:f>IF(OR(L304="",M304=""),"",M304-L304)</x:f>
      </x:c>
      <x:c r="O304" s="137" t="str"/>
      <x:c r="P304" s="137" t="str"/>
      <x:c r="Q304" s="137" t="str"/>
      <x:c r="R304" s="137" t="str"/>
      <x:c r="S304" s="137" t="str"/>
      <x:c r="T304" s="137" t="str"/>
      <x:c r="U304" s="137" t="str"/>
      <x:c r="V304" s="137" t="str"/>
    </x:row>
    <x:row r="305">
      <x:c r="A305" s="137" t="str"/>
      <x:c r="B305" s="199" t="str"/>
      <x:c r="C305" s="137" t="str"/>
      <x:c r="D305" s="137" t="str"/>
      <x:c r="E305" s="137" t="str"/>
      <x:c r="F305" s="137" t="str"/>
      <x:c r="G305" s="137" t="str"/>
      <x:c r="H305" s="137" t="str"/>
      <x:c r="I305" s="137" t="str"/>
      <x:c r="J305" s="137" t="str"/>
      <x:c r="K305" s="137" t="str"/>
      <x:c r="L305" s="138" t="str"/>
      <x:c r="M305" s="138" t="str"/>
      <x:c r="N305" s="196" t="str">
        <x:f>IF(OR(L305="",M305=""),"",M305-L305)</x:f>
      </x:c>
      <x:c r="O305" s="137" t="str"/>
      <x:c r="P305" s="137" t="str"/>
      <x:c r="Q305" s="137" t="str"/>
      <x:c r="R305" s="137" t="str"/>
      <x:c r="S305" s="137" t="str"/>
      <x:c r="T305" s="137" t="str"/>
      <x:c r="U305" s="137" t="str"/>
      <x:c r="V305" s="137" t="str"/>
    </x:row>
    <x:row r="306">
      <x:c r="A306" s="137" t="str"/>
      <x:c r="B306" s="199" t="str"/>
      <x:c r="C306" s="137" t="str"/>
      <x:c r="D306" s="137" t="str"/>
      <x:c r="E306" s="137" t="str"/>
      <x:c r="F306" s="137" t="str"/>
      <x:c r="G306" s="137" t="str"/>
      <x:c r="H306" s="137" t="str"/>
      <x:c r="I306" s="137" t="str"/>
      <x:c r="J306" s="137" t="str"/>
      <x:c r="K306" s="137" t="str"/>
      <x:c r="L306" s="138" t="str"/>
      <x:c r="M306" s="138" t="str"/>
      <x:c r="N306" s="196" t="str">
        <x:f>IF(OR(L306="",M306=""),"",M306-L306)</x:f>
      </x:c>
      <x:c r="O306" s="137" t="str"/>
      <x:c r="P306" s="137" t="str"/>
      <x:c r="Q306" s="137" t="str"/>
      <x:c r="R306" s="137" t="str"/>
      <x:c r="S306" s="137" t="str"/>
      <x:c r="T306" s="137" t="str"/>
      <x:c r="U306" s="137" t="str"/>
      <x:c r="V306" s="137" t="str"/>
    </x:row>
    <x:row r="307">
      <x:c r="A307" s="137" t="str"/>
      <x:c r="B307" s="199" t="str"/>
      <x:c r="C307" s="137" t="str"/>
      <x:c r="D307" s="137" t="str"/>
      <x:c r="E307" s="137" t="str"/>
      <x:c r="F307" s="137" t="str"/>
      <x:c r="G307" s="137" t="str"/>
      <x:c r="H307" s="137" t="str"/>
      <x:c r="I307" s="137" t="str"/>
      <x:c r="J307" s="137" t="str"/>
      <x:c r="K307" s="137" t="str"/>
      <x:c r="L307" s="138" t="str"/>
      <x:c r="M307" s="138" t="str"/>
      <x:c r="N307" s="196" t="str">
        <x:f>IF(OR(L307="",M307=""),"",M307-L307)</x:f>
      </x:c>
      <x:c r="O307" s="137" t="str"/>
      <x:c r="P307" s="137" t="str"/>
      <x:c r="Q307" s="137" t="str"/>
      <x:c r="R307" s="137" t="str"/>
      <x:c r="S307" s="137" t="str"/>
      <x:c r="T307" s="137" t="str"/>
      <x:c r="U307" s="137" t="str"/>
      <x:c r="V307" s="137" t="str"/>
    </x:row>
    <x:row r="308">
      <x:c r="A308" s="137" t="str"/>
      <x:c r="B308" s="199" t="str"/>
      <x:c r="C308" s="137" t="str"/>
      <x:c r="D308" s="137" t="str"/>
      <x:c r="E308" s="137" t="str"/>
      <x:c r="F308" s="137" t="str"/>
      <x:c r="G308" s="137" t="str"/>
      <x:c r="H308" s="137" t="str"/>
      <x:c r="I308" s="137" t="str"/>
      <x:c r="J308" s="137" t="str"/>
      <x:c r="K308" s="137" t="str"/>
      <x:c r="L308" s="138" t="str"/>
      <x:c r="M308" s="138" t="str"/>
      <x:c r="N308" s="196" t="str">
        <x:f>IF(OR(L308="",M308=""),"",M308-L308)</x:f>
      </x:c>
      <x:c r="O308" s="137" t="str"/>
      <x:c r="P308" s="137" t="str"/>
      <x:c r="Q308" s="137" t="str"/>
      <x:c r="R308" s="137" t="str"/>
      <x:c r="S308" s="137" t="str"/>
      <x:c r="T308" s="137" t="str"/>
      <x:c r="U308" s="137" t="str"/>
      <x:c r="V308" s="137" t="str"/>
    </x:row>
    <x:row r="309">
      <x:c r="A309" s="137" t="str"/>
      <x:c r="B309" s="199" t="str"/>
      <x:c r="C309" s="137" t="str"/>
      <x:c r="D309" s="137" t="str"/>
      <x:c r="E309" s="137" t="str"/>
      <x:c r="F309" s="137" t="str"/>
      <x:c r="G309" s="137" t="str"/>
      <x:c r="H309" s="137" t="str"/>
      <x:c r="I309" s="137" t="str"/>
      <x:c r="J309" s="137" t="str"/>
      <x:c r="K309" s="137" t="str"/>
      <x:c r="L309" s="138" t="str"/>
      <x:c r="M309" s="138" t="str"/>
      <x:c r="N309" s="196" t="str">
        <x:f>IF(OR(L309="",M309=""),"",M309-L309)</x:f>
      </x:c>
      <x:c r="O309" s="137" t="str"/>
      <x:c r="P309" s="137" t="str"/>
      <x:c r="Q309" s="137" t="str"/>
      <x:c r="R309" s="137" t="str"/>
      <x:c r="S309" s="137" t="str"/>
      <x:c r="T309" s="137" t="str"/>
      <x:c r="U309" s="137" t="str"/>
      <x:c r="V309" s="137" t="str"/>
    </x:row>
    <x:row r="310">
      <x:c r="A310" s="137" t="str"/>
      <x:c r="B310" s="199" t="str"/>
      <x:c r="C310" s="137" t="str"/>
      <x:c r="D310" s="137" t="str"/>
      <x:c r="E310" s="137" t="str"/>
      <x:c r="F310" s="137" t="str"/>
      <x:c r="G310" s="137" t="str"/>
      <x:c r="H310" s="137" t="str"/>
      <x:c r="I310" s="137" t="str"/>
      <x:c r="J310" s="137" t="str"/>
      <x:c r="K310" s="137" t="str"/>
      <x:c r="L310" s="138" t="str"/>
      <x:c r="M310" s="138" t="str"/>
      <x:c r="N310" s="196" t="str">
        <x:f>IF(OR(L310="",M310=""),"",M310-L310)</x:f>
      </x:c>
      <x:c r="O310" s="137" t="str"/>
      <x:c r="P310" s="137" t="str"/>
      <x:c r="Q310" s="137" t="str"/>
      <x:c r="R310" s="137" t="str"/>
      <x:c r="S310" s="137" t="str"/>
      <x:c r="T310" s="137" t="str"/>
      <x:c r="U310" s="137" t="str"/>
      <x:c r="V310" s="137" t="str"/>
    </x:row>
    <x:row r="311">
      <x:c r="A311" s="137" t="str"/>
      <x:c r="B311" s="199" t="str"/>
      <x:c r="C311" s="137" t="str"/>
      <x:c r="D311" s="137" t="str"/>
      <x:c r="E311" s="137" t="str"/>
      <x:c r="F311" s="137" t="str"/>
      <x:c r="G311" s="137" t="str"/>
      <x:c r="H311" s="137" t="str"/>
      <x:c r="I311" s="137" t="str"/>
      <x:c r="J311" s="137" t="str"/>
      <x:c r="K311" s="137" t="str"/>
      <x:c r="L311" s="138" t="str"/>
      <x:c r="M311" s="138" t="str"/>
      <x:c r="N311" s="196" t="str">
        <x:f>IF(OR(L311="",M311=""),"",M311-L311)</x:f>
      </x:c>
      <x:c r="O311" s="137" t="str"/>
      <x:c r="P311" s="137" t="str"/>
      <x:c r="Q311" s="137" t="str"/>
      <x:c r="R311" s="137" t="str"/>
      <x:c r="S311" s="137" t="str"/>
      <x:c r="T311" s="137" t="str"/>
      <x:c r="U311" s="137" t="str"/>
      <x:c r="V311" s="137" t="str"/>
    </x:row>
    <x:row r="312">
      <x:c r="A312" s="137" t="str"/>
      <x:c r="B312" s="199" t="str"/>
      <x:c r="C312" s="137" t="str"/>
      <x:c r="D312" s="137" t="str"/>
      <x:c r="E312" s="137" t="str"/>
      <x:c r="F312" s="137" t="str"/>
      <x:c r="G312" s="137" t="str"/>
      <x:c r="H312" s="137" t="str"/>
      <x:c r="I312" s="137" t="str"/>
      <x:c r="J312" s="137" t="str"/>
      <x:c r="K312" s="137" t="str"/>
      <x:c r="L312" s="138" t="str"/>
      <x:c r="M312" s="138" t="str"/>
      <x:c r="N312" s="196" t="str">
        <x:f>IF(OR(L312="",M312=""),"",M312-L312)</x:f>
      </x:c>
      <x:c r="O312" s="137" t="str"/>
      <x:c r="P312" s="137" t="str"/>
      <x:c r="Q312" s="137" t="str"/>
      <x:c r="R312" s="137" t="str"/>
      <x:c r="S312" s="137" t="str"/>
      <x:c r="T312" s="137" t="str"/>
      <x:c r="U312" s="137" t="str"/>
      <x:c r="V312" s="137" t="str"/>
    </x:row>
    <x:row r="313">
      <x:c r="A313" s="137" t="str"/>
      <x:c r="B313" s="199" t="str"/>
      <x:c r="C313" s="137" t="str"/>
      <x:c r="D313" s="137" t="str"/>
      <x:c r="E313" s="137" t="str"/>
      <x:c r="F313" s="137" t="str"/>
      <x:c r="G313" s="137" t="str"/>
      <x:c r="H313" s="137" t="str"/>
      <x:c r="I313" s="137" t="str"/>
      <x:c r="J313" s="137" t="str"/>
      <x:c r="K313" s="137" t="str"/>
      <x:c r="L313" s="138" t="str"/>
      <x:c r="M313" s="138" t="str"/>
      <x:c r="N313" s="196" t="str">
        <x:f>IF(OR(L313="",M313=""),"",M313-L313)</x:f>
      </x:c>
      <x:c r="O313" s="137" t="str"/>
      <x:c r="P313" s="137" t="str"/>
      <x:c r="Q313" s="137" t="str"/>
      <x:c r="R313" s="137" t="str"/>
      <x:c r="S313" s="137" t="str"/>
      <x:c r="T313" s="137" t="str"/>
      <x:c r="U313" s="137" t="str"/>
      <x:c r="V313" s="137" t="str"/>
    </x:row>
    <x:row r="314">
      <x:c r="A314" s="137" t="str"/>
      <x:c r="B314" s="199" t="str"/>
      <x:c r="C314" s="137" t="str"/>
      <x:c r="D314" s="137" t="str"/>
      <x:c r="E314" s="137" t="str"/>
      <x:c r="F314" s="137" t="str"/>
      <x:c r="G314" s="137" t="str"/>
      <x:c r="H314" s="137" t="str"/>
      <x:c r="I314" s="137" t="str"/>
      <x:c r="J314" s="137" t="str"/>
      <x:c r="K314" s="137" t="str"/>
      <x:c r="L314" s="138" t="str"/>
      <x:c r="M314" s="138" t="str"/>
      <x:c r="N314" s="196" t="str">
        <x:f>IF(OR(L314="",M314=""),"",M314-L314)</x:f>
      </x:c>
      <x:c r="O314" s="137" t="str"/>
      <x:c r="P314" s="137" t="str"/>
      <x:c r="Q314" s="137" t="str"/>
      <x:c r="R314" s="137" t="str"/>
      <x:c r="S314" s="137" t="str"/>
      <x:c r="T314" s="137" t="str"/>
      <x:c r="U314" s="137" t="str"/>
      <x:c r="V314" s="137" t="str"/>
    </x:row>
    <x:row r="315">
      <x:c r="A315" s="137" t="str"/>
      <x:c r="B315" s="199" t="str"/>
      <x:c r="C315" s="137" t="str"/>
      <x:c r="D315" s="137" t="str"/>
      <x:c r="E315" s="137" t="str"/>
      <x:c r="F315" s="137" t="str"/>
      <x:c r="G315" s="137" t="str"/>
      <x:c r="H315" s="137" t="str"/>
      <x:c r="I315" s="137" t="str"/>
      <x:c r="J315" s="137" t="str"/>
      <x:c r="K315" s="137" t="str"/>
      <x:c r="L315" s="138" t="str"/>
      <x:c r="M315" s="138" t="str"/>
      <x:c r="N315" s="196" t="str">
        <x:f>IF(OR(L315="",M315=""),"",M315-L315)</x:f>
      </x:c>
      <x:c r="O315" s="137" t="str"/>
      <x:c r="P315" s="137" t="str"/>
      <x:c r="Q315" s="137" t="str"/>
      <x:c r="R315" s="137" t="str"/>
      <x:c r="S315" s="137" t="str"/>
      <x:c r="T315" s="137" t="str"/>
      <x:c r="U315" s="137" t="str"/>
      <x:c r="V315" s="137" t="str"/>
    </x:row>
    <x:row r="316">
      <x:c r="A316" s="137" t="str"/>
      <x:c r="B316" s="199" t="str"/>
      <x:c r="C316" s="137" t="str"/>
      <x:c r="D316" s="137" t="str"/>
      <x:c r="E316" s="137" t="str"/>
      <x:c r="F316" s="137" t="str"/>
      <x:c r="G316" s="137" t="str"/>
      <x:c r="H316" s="137" t="str"/>
      <x:c r="I316" s="137" t="str"/>
      <x:c r="J316" s="137" t="str"/>
      <x:c r="K316" s="137" t="str"/>
      <x:c r="L316" s="138" t="str"/>
      <x:c r="M316" s="138" t="str"/>
      <x:c r="N316" s="196" t="str">
        <x:f>IF(OR(L316="",M316=""),"",M316-L316)</x:f>
      </x:c>
      <x:c r="O316" s="137" t="str"/>
      <x:c r="P316" s="137" t="str"/>
      <x:c r="Q316" s="137" t="str"/>
      <x:c r="R316" s="137" t="str"/>
      <x:c r="S316" s="137" t="str"/>
      <x:c r="T316" s="137" t="str"/>
      <x:c r="U316" s="137" t="str"/>
      <x:c r="V316" s="137" t="str"/>
    </x:row>
    <x:row r="317">
      <x:c r="A317" s="137" t="str"/>
      <x:c r="B317" s="199" t="str"/>
      <x:c r="C317" s="137" t="str"/>
      <x:c r="D317" s="137" t="str"/>
      <x:c r="E317" s="137" t="str"/>
      <x:c r="F317" s="137" t="str"/>
      <x:c r="G317" s="137" t="str"/>
      <x:c r="H317" s="137" t="str"/>
      <x:c r="I317" s="137" t="str"/>
      <x:c r="J317" s="137" t="str"/>
      <x:c r="K317" s="137" t="str"/>
      <x:c r="L317" s="138" t="str"/>
      <x:c r="M317" s="138" t="str"/>
      <x:c r="N317" s="196" t="str">
        <x:f>IF(OR(L317="",M317=""),"",M317-L317)</x:f>
      </x:c>
      <x:c r="O317" s="137" t="str"/>
      <x:c r="P317" s="137" t="str"/>
      <x:c r="Q317" s="137" t="str"/>
      <x:c r="R317" s="137" t="str"/>
      <x:c r="S317" s="137" t="str"/>
      <x:c r="T317" s="137" t="str"/>
      <x:c r="U317" s="137" t="str"/>
      <x:c r="V317" s="137" t="str"/>
    </x:row>
    <x:row r="318">
      <x:c r="A318" s="137" t="str"/>
      <x:c r="B318" s="199" t="str"/>
      <x:c r="C318" s="137" t="str"/>
      <x:c r="D318" s="137" t="str"/>
      <x:c r="E318" s="137" t="str"/>
      <x:c r="F318" s="137" t="str"/>
      <x:c r="G318" s="137" t="str"/>
      <x:c r="H318" s="137" t="str"/>
      <x:c r="I318" s="137" t="str"/>
      <x:c r="J318" s="137" t="str"/>
      <x:c r="K318" s="137" t="str"/>
      <x:c r="L318" s="138" t="str"/>
      <x:c r="M318" s="138" t="str"/>
      <x:c r="N318" s="196" t="str">
        <x:f>IF(OR(L318="",M318=""),"",M318-L318)</x:f>
      </x:c>
      <x:c r="O318" s="137" t="str"/>
      <x:c r="P318" s="137" t="str"/>
      <x:c r="Q318" s="137" t="str"/>
      <x:c r="R318" s="137" t="str"/>
      <x:c r="S318" s="137" t="str"/>
      <x:c r="T318" s="137" t="str"/>
      <x:c r="U318" s="137" t="str"/>
      <x:c r="V318" s="137" t="str"/>
    </x:row>
    <x:row r="319">
      <x:c r="A319" s="137" t="str"/>
      <x:c r="B319" s="199" t="str"/>
      <x:c r="C319" s="137" t="str"/>
      <x:c r="D319" s="137" t="str"/>
      <x:c r="E319" s="137" t="str"/>
      <x:c r="F319" s="137" t="str"/>
      <x:c r="G319" s="137" t="str"/>
      <x:c r="H319" s="137" t="str"/>
      <x:c r="I319" s="137" t="str"/>
      <x:c r="J319" s="137" t="str"/>
      <x:c r="K319" s="137" t="str"/>
      <x:c r="L319" s="138" t="str"/>
      <x:c r="M319" s="138" t="str"/>
      <x:c r="N319" s="196" t="str">
        <x:f>IF(OR(L319="",M319=""),"",M319-L319)</x:f>
      </x:c>
      <x:c r="O319" s="137" t="str"/>
      <x:c r="P319" s="137" t="str"/>
      <x:c r="Q319" s="137" t="str"/>
      <x:c r="R319" s="137" t="str"/>
      <x:c r="S319" s="137" t="str"/>
      <x:c r="T319" s="137" t="str"/>
      <x:c r="U319" s="137" t="str"/>
      <x:c r="V319" s="137" t="str"/>
    </x:row>
    <x:row r="320">
      <x:c r="A320" s="137" t="str"/>
      <x:c r="B320" s="199" t="str"/>
      <x:c r="C320" s="137" t="str"/>
      <x:c r="D320" s="137" t="str"/>
      <x:c r="E320" s="137" t="str"/>
      <x:c r="F320" s="137" t="str"/>
      <x:c r="G320" s="137" t="str"/>
      <x:c r="H320" s="137" t="str"/>
      <x:c r="I320" s="137" t="str"/>
      <x:c r="J320" s="137" t="str"/>
      <x:c r="K320" s="137" t="str"/>
      <x:c r="L320" s="138" t="str"/>
      <x:c r="M320" s="138" t="str"/>
      <x:c r="N320" s="196" t="str">
        <x:f>IF(OR(L320="",M320=""),"",M320-L320)</x:f>
      </x:c>
      <x:c r="O320" s="137" t="str"/>
      <x:c r="P320" s="137" t="str"/>
      <x:c r="Q320" s="137" t="str"/>
      <x:c r="R320" s="137" t="str"/>
      <x:c r="S320" s="137" t="str"/>
      <x:c r="T320" s="137" t="str"/>
      <x:c r="U320" s="137" t="str"/>
      <x:c r="V320" s="137" t="str"/>
    </x:row>
    <x:row r="321">
      <x:c r="A321" s="137" t="str"/>
      <x:c r="B321" s="199" t="str"/>
      <x:c r="C321" s="137" t="str"/>
      <x:c r="D321" s="137" t="str"/>
      <x:c r="E321" s="137" t="str"/>
      <x:c r="F321" s="137" t="str"/>
      <x:c r="G321" s="137" t="str"/>
      <x:c r="H321" s="137" t="str"/>
      <x:c r="I321" s="137" t="str"/>
      <x:c r="J321" s="137" t="str"/>
      <x:c r="K321" s="137" t="str"/>
      <x:c r="L321" s="138" t="str"/>
      <x:c r="M321" s="138" t="str"/>
      <x:c r="N321" s="196" t="str">
        <x:f>IF(OR(L321="",M321=""),"",M321-L321)</x:f>
      </x:c>
      <x:c r="O321" s="137" t="str"/>
      <x:c r="P321" s="137" t="str"/>
      <x:c r="Q321" s="137" t="str"/>
      <x:c r="R321" s="137" t="str"/>
      <x:c r="S321" s="137" t="str"/>
      <x:c r="T321" s="137" t="str"/>
      <x:c r="U321" s="137" t="str"/>
      <x:c r="V321" s="137" t="str"/>
    </x:row>
    <x:row r="322">
      <x:c r="A322" s="137" t="str"/>
      <x:c r="B322" s="199" t="str"/>
      <x:c r="C322" s="137" t="str"/>
      <x:c r="D322" s="137" t="str"/>
      <x:c r="E322" s="137" t="str"/>
      <x:c r="F322" s="137" t="str"/>
      <x:c r="G322" s="137" t="str"/>
      <x:c r="H322" s="137" t="str"/>
      <x:c r="I322" s="137" t="str"/>
      <x:c r="J322" s="137" t="str"/>
      <x:c r="K322" s="137" t="str"/>
      <x:c r="L322" s="138" t="str"/>
      <x:c r="M322" s="138" t="str"/>
      <x:c r="N322" s="196" t="str">
        <x:f>IF(OR(L322="",M322=""),"",M322-L322)</x:f>
      </x:c>
      <x:c r="O322" s="137" t="str"/>
      <x:c r="P322" s="137" t="str"/>
      <x:c r="Q322" s="137" t="str"/>
      <x:c r="R322" s="137" t="str"/>
      <x:c r="S322" s="137" t="str"/>
      <x:c r="T322" s="137" t="str"/>
      <x:c r="U322" s="137" t="str"/>
      <x:c r="V322" s="137" t="str"/>
    </x:row>
    <x:row r="323">
      <x:c r="A323" s="137" t="str"/>
      <x:c r="B323" s="199" t="str"/>
      <x:c r="C323" s="137" t="str"/>
      <x:c r="D323" s="137" t="str"/>
      <x:c r="E323" s="137" t="str"/>
      <x:c r="F323" s="137" t="str"/>
      <x:c r="G323" s="137" t="str"/>
      <x:c r="H323" s="137" t="str"/>
      <x:c r="I323" s="137" t="str"/>
      <x:c r="J323" s="137" t="str"/>
      <x:c r="K323" s="137" t="str"/>
      <x:c r="L323" s="138" t="str"/>
      <x:c r="M323" s="138" t="str"/>
      <x:c r="N323" s="196" t="str">
        <x:f>IF(OR(L323="",M323=""),"",M323-L323)</x:f>
      </x:c>
      <x:c r="O323" s="137" t="str"/>
      <x:c r="P323" s="137" t="str"/>
      <x:c r="Q323" s="137" t="str"/>
      <x:c r="R323" s="137" t="str"/>
      <x:c r="S323" s="137" t="str"/>
      <x:c r="T323" s="137" t="str"/>
      <x:c r="U323" s="137" t="str"/>
      <x:c r="V323" s="137" t="str"/>
    </x:row>
    <x:row r="324">
      <x:c r="A324" s="137" t="str"/>
      <x:c r="B324" s="199" t="str"/>
      <x:c r="C324" s="137" t="str"/>
      <x:c r="D324" s="137" t="str"/>
      <x:c r="E324" s="137" t="str"/>
      <x:c r="F324" s="137" t="str"/>
      <x:c r="G324" s="137" t="str"/>
      <x:c r="H324" s="137" t="str"/>
      <x:c r="I324" s="137" t="str"/>
      <x:c r="J324" s="137" t="str"/>
      <x:c r="K324" s="137" t="str"/>
      <x:c r="L324" s="138" t="str"/>
      <x:c r="M324" s="138" t="str"/>
      <x:c r="N324" s="196" t="str">
        <x:f>IF(OR(L324="",M324=""),"",M324-L324)</x:f>
      </x:c>
      <x:c r="O324" s="137" t="str"/>
      <x:c r="P324" s="137" t="str"/>
      <x:c r="Q324" s="137" t="str"/>
      <x:c r="R324" s="137" t="str"/>
      <x:c r="S324" s="137" t="str"/>
      <x:c r="T324" s="137" t="str"/>
      <x:c r="U324" s="137" t="str"/>
      <x:c r="V324" s="137" t="str"/>
    </x:row>
    <x:row r="325">
      <x:c r="A325" s="137" t="str"/>
      <x:c r="B325" s="199" t="str"/>
      <x:c r="C325" s="137" t="str"/>
      <x:c r="D325" s="137" t="str"/>
      <x:c r="E325" s="137" t="str"/>
      <x:c r="F325" s="137" t="str"/>
      <x:c r="G325" s="137" t="str"/>
      <x:c r="H325" s="137" t="str"/>
      <x:c r="I325" s="137" t="str"/>
      <x:c r="J325" s="137" t="str"/>
      <x:c r="K325" s="137" t="str"/>
      <x:c r="L325" s="138" t="str"/>
      <x:c r="M325" s="138" t="str"/>
      <x:c r="N325" s="196" t="str">
        <x:f>IF(OR(L325="",M325=""),"",M325-L325)</x:f>
      </x:c>
      <x:c r="O325" s="137" t="str"/>
      <x:c r="P325" s="137" t="str"/>
      <x:c r="Q325" s="137" t="str"/>
      <x:c r="R325" s="137" t="str"/>
      <x:c r="S325" s="137" t="str"/>
      <x:c r="T325" s="137" t="str"/>
      <x:c r="U325" s="137" t="str"/>
      <x:c r="V325" s="137" t="str"/>
    </x:row>
    <x:row r="326">
      <x:c r="A326" s="137" t="str"/>
      <x:c r="B326" s="199" t="str"/>
      <x:c r="C326" s="137" t="str"/>
      <x:c r="D326" s="137" t="str"/>
      <x:c r="E326" s="137" t="str"/>
      <x:c r="F326" s="137" t="str"/>
      <x:c r="G326" s="137" t="str"/>
      <x:c r="H326" s="137" t="str"/>
      <x:c r="I326" s="137" t="str"/>
      <x:c r="J326" s="137" t="str"/>
      <x:c r="K326" s="137" t="str"/>
      <x:c r="L326" s="138" t="str"/>
      <x:c r="M326" s="138" t="str"/>
      <x:c r="N326" s="196" t="str">
        <x:f>IF(OR(L326="",M326=""),"",M326-L326)</x:f>
      </x:c>
      <x:c r="O326" s="137" t="str"/>
      <x:c r="P326" s="137" t="str"/>
      <x:c r="Q326" s="137" t="str"/>
      <x:c r="R326" s="137" t="str"/>
      <x:c r="S326" s="137" t="str"/>
      <x:c r="T326" s="137" t="str"/>
      <x:c r="U326" s="137" t="str"/>
      <x:c r="V326" s="137" t="str"/>
    </x:row>
    <x:row r="327">
      <x:c r="A327" s="137" t="str"/>
      <x:c r="B327" s="199" t="str"/>
      <x:c r="C327" s="137" t="str"/>
      <x:c r="D327" s="137" t="str"/>
      <x:c r="E327" s="137" t="str"/>
      <x:c r="F327" s="137" t="str"/>
      <x:c r="G327" s="137" t="str"/>
      <x:c r="H327" s="137" t="str"/>
      <x:c r="I327" s="137" t="str"/>
      <x:c r="J327" s="137" t="str"/>
      <x:c r="K327" s="137" t="str"/>
      <x:c r="L327" s="138" t="str"/>
      <x:c r="M327" s="138" t="str"/>
      <x:c r="N327" s="196" t="str">
        <x:f>IF(OR(L327="",M327=""),"",M327-L327)</x:f>
      </x:c>
      <x:c r="O327" s="137" t="str"/>
      <x:c r="P327" s="137" t="str"/>
      <x:c r="Q327" s="137" t="str"/>
      <x:c r="R327" s="137" t="str"/>
      <x:c r="S327" s="137" t="str"/>
      <x:c r="T327" s="137" t="str"/>
      <x:c r="U327" s="137" t="str"/>
      <x:c r="V327" s="137" t="str"/>
    </x:row>
    <x:row r="328">
      <x:c r="A328" s="137" t="str"/>
      <x:c r="B328" s="199" t="str"/>
      <x:c r="C328" s="137" t="str"/>
      <x:c r="D328" s="137" t="str"/>
      <x:c r="E328" s="137" t="str"/>
      <x:c r="F328" s="137" t="str"/>
      <x:c r="G328" s="137" t="str"/>
      <x:c r="H328" s="137" t="str"/>
      <x:c r="I328" s="137" t="str"/>
      <x:c r="J328" s="137" t="str"/>
      <x:c r="K328" s="137" t="str"/>
      <x:c r="L328" s="138" t="str"/>
      <x:c r="M328" s="138" t="str"/>
      <x:c r="N328" s="196" t="str">
        <x:f>IF(OR(L328="",M328=""),"",M328-L328)</x:f>
      </x:c>
      <x:c r="O328" s="137" t="str"/>
      <x:c r="P328" s="137" t="str"/>
      <x:c r="Q328" s="137" t="str"/>
      <x:c r="R328" s="137" t="str"/>
      <x:c r="S328" s="137" t="str"/>
      <x:c r="T328" s="137" t="str"/>
      <x:c r="U328" s="137" t="str"/>
      <x:c r="V328" s="137" t="str"/>
    </x:row>
    <x:row r="329">
      <x:c r="A329" s="137" t="str"/>
      <x:c r="B329" s="199" t="str"/>
      <x:c r="C329" s="137" t="str"/>
      <x:c r="D329" s="137" t="str"/>
      <x:c r="E329" s="137" t="str"/>
      <x:c r="F329" s="137" t="str"/>
      <x:c r="G329" s="137" t="str"/>
      <x:c r="H329" s="137" t="str"/>
      <x:c r="I329" s="137" t="str"/>
      <x:c r="J329" s="137" t="str"/>
      <x:c r="K329" s="137" t="str"/>
      <x:c r="L329" s="138" t="str"/>
      <x:c r="M329" s="138" t="str"/>
      <x:c r="N329" s="196" t="str">
        <x:f>IF(OR(L329="",M329=""),"",M329-L329)</x:f>
      </x:c>
      <x:c r="O329" s="137" t="str"/>
      <x:c r="P329" s="137" t="str"/>
      <x:c r="Q329" s="137" t="str"/>
      <x:c r="R329" s="137" t="str"/>
      <x:c r="S329" s="137" t="str"/>
      <x:c r="T329" s="137" t="str"/>
      <x:c r="U329" s="137" t="str"/>
      <x:c r="V329" s="137" t="str"/>
    </x:row>
    <x:row r="330">
      <x:c r="A330" s="137" t="str"/>
      <x:c r="B330" s="199" t="str"/>
      <x:c r="C330" s="137" t="str"/>
      <x:c r="D330" s="137" t="str"/>
      <x:c r="E330" s="137" t="str"/>
      <x:c r="F330" s="137" t="str"/>
      <x:c r="G330" s="137" t="str"/>
      <x:c r="H330" s="137" t="str"/>
      <x:c r="I330" s="137" t="str"/>
      <x:c r="J330" s="137" t="str"/>
      <x:c r="K330" s="137" t="str"/>
      <x:c r="L330" s="138" t="str"/>
      <x:c r="M330" s="138" t="str"/>
      <x:c r="N330" s="196" t="str">
        <x:f>IF(OR(L330="",M330=""),"",M330-L330)</x:f>
      </x:c>
      <x:c r="O330" s="137" t="str"/>
      <x:c r="P330" s="137" t="str"/>
      <x:c r="Q330" s="137" t="str"/>
      <x:c r="R330" s="137" t="str"/>
      <x:c r="S330" s="137" t="str"/>
      <x:c r="T330" s="137" t="str"/>
      <x:c r="U330" s="137" t="str"/>
      <x:c r="V330" s="137" t="str"/>
    </x:row>
    <x:row r="331">
      <x:c r="A331" s="137" t="str"/>
      <x:c r="B331" s="199" t="str"/>
      <x:c r="C331" s="137" t="str"/>
      <x:c r="D331" s="137" t="str"/>
      <x:c r="E331" s="137" t="str"/>
      <x:c r="F331" s="137" t="str"/>
      <x:c r="G331" s="137" t="str"/>
      <x:c r="H331" s="137" t="str"/>
      <x:c r="I331" s="137" t="str"/>
      <x:c r="J331" s="137" t="str"/>
      <x:c r="K331" s="137" t="str"/>
      <x:c r="L331" s="138" t="str"/>
      <x:c r="M331" s="138" t="str"/>
      <x:c r="N331" s="196" t="str">
        <x:f>IF(OR(L331="",M331=""),"",M331-L331)</x:f>
      </x:c>
      <x:c r="O331" s="137" t="str"/>
      <x:c r="P331" s="137" t="str"/>
      <x:c r="Q331" s="137" t="str"/>
      <x:c r="R331" s="137" t="str"/>
      <x:c r="S331" s="137" t="str"/>
      <x:c r="T331" s="137" t="str"/>
      <x:c r="U331" s="137" t="str"/>
      <x:c r="V331" s="137" t="str"/>
    </x:row>
    <x:row r="332">
      <x:c r="A332" s="137" t="str"/>
      <x:c r="B332" s="199" t="str"/>
      <x:c r="C332" s="137" t="str"/>
      <x:c r="D332" s="137" t="str"/>
      <x:c r="E332" s="137" t="str"/>
      <x:c r="F332" s="137" t="str"/>
      <x:c r="G332" s="137" t="str"/>
      <x:c r="H332" s="137" t="str"/>
      <x:c r="I332" s="137" t="str"/>
      <x:c r="J332" s="137" t="str"/>
      <x:c r="K332" s="137" t="str"/>
      <x:c r="L332" s="138" t="str"/>
      <x:c r="M332" s="138" t="str"/>
      <x:c r="N332" s="196" t="str">
        <x:f>IF(OR(L332="",M332=""),"",M332-L332)</x:f>
      </x:c>
      <x:c r="O332" s="137" t="str"/>
      <x:c r="P332" s="137" t="str"/>
      <x:c r="Q332" s="137" t="str"/>
      <x:c r="R332" s="137" t="str"/>
      <x:c r="S332" s="137" t="str"/>
      <x:c r="T332" s="137" t="str"/>
      <x:c r="U332" s="137" t="str"/>
      <x:c r="V332" s="137" t="str"/>
    </x:row>
    <x:row r="333">
      <x:c r="A333" s="137" t="str"/>
      <x:c r="B333" s="199" t="str"/>
      <x:c r="C333" s="137" t="str"/>
      <x:c r="D333" s="137" t="str"/>
      <x:c r="E333" s="137" t="str"/>
      <x:c r="F333" s="137" t="str"/>
      <x:c r="G333" s="137" t="str"/>
      <x:c r="H333" s="137" t="str"/>
      <x:c r="I333" s="137" t="str"/>
      <x:c r="J333" s="137" t="str"/>
      <x:c r="K333" s="137" t="str"/>
      <x:c r="L333" s="138" t="str"/>
      <x:c r="M333" s="138" t="str"/>
      <x:c r="N333" s="196" t="str">
        <x:f>IF(OR(L333="",M333=""),"",M333-L333)</x:f>
      </x:c>
      <x:c r="O333" s="137" t="str"/>
      <x:c r="P333" s="137" t="str"/>
      <x:c r="Q333" s="137" t="str"/>
      <x:c r="R333" s="137" t="str"/>
      <x:c r="S333" s="137" t="str"/>
      <x:c r="T333" s="137" t="str"/>
      <x:c r="U333" s="137" t="str"/>
      <x:c r="V333" s="137" t="str"/>
    </x:row>
    <x:row r="334">
      <x:c r="A334" s="137" t="str"/>
      <x:c r="B334" s="199" t="str"/>
      <x:c r="C334" s="137" t="str"/>
      <x:c r="D334" s="137" t="str"/>
      <x:c r="E334" s="137" t="str"/>
      <x:c r="F334" s="137" t="str"/>
      <x:c r="G334" s="137" t="str"/>
      <x:c r="H334" s="137" t="str"/>
      <x:c r="I334" s="137" t="str"/>
      <x:c r="J334" s="137" t="str"/>
      <x:c r="K334" s="137" t="str"/>
      <x:c r="L334" s="138" t="str"/>
      <x:c r="M334" s="138" t="str"/>
      <x:c r="N334" s="196" t="str">
        <x:f>IF(OR(L334="",M334=""),"",M334-L334)</x:f>
      </x:c>
      <x:c r="O334" s="137" t="str"/>
      <x:c r="P334" s="137" t="str"/>
      <x:c r="Q334" s="137" t="str"/>
      <x:c r="R334" s="137" t="str"/>
      <x:c r="S334" s="137" t="str"/>
      <x:c r="T334" s="137" t="str"/>
      <x:c r="U334" s="137" t="str"/>
      <x:c r="V334" s="137" t="str"/>
    </x:row>
    <x:row r="335">
      <x:c r="A335" s="137" t="str"/>
      <x:c r="B335" s="199" t="str"/>
      <x:c r="C335" s="137" t="str"/>
      <x:c r="D335" s="137" t="str"/>
      <x:c r="E335" s="137" t="str"/>
      <x:c r="F335" s="137" t="str"/>
      <x:c r="G335" s="137" t="str"/>
      <x:c r="H335" s="137" t="str"/>
      <x:c r="I335" s="137" t="str"/>
      <x:c r="J335" s="137" t="str"/>
      <x:c r="K335" s="137" t="str"/>
      <x:c r="L335" s="138" t="str"/>
      <x:c r="M335" s="138" t="str"/>
      <x:c r="N335" s="196" t="str">
        <x:f>IF(OR(L335="",M335=""),"",M335-L335)</x:f>
      </x:c>
      <x:c r="O335" s="137" t="str"/>
      <x:c r="P335" s="137" t="str"/>
      <x:c r="Q335" s="137" t="str"/>
      <x:c r="R335" s="137" t="str"/>
      <x:c r="S335" s="137" t="str"/>
      <x:c r="T335" s="137" t="str"/>
      <x:c r="U335" s="137" t="str"/>
      <x:c r="V335" s="137" t="str"/>
    </x:row>
    <x:row r="336">
      <x:c r="A336" s="137" t="str"/>
      <x:c r="B336" s="199" t="str"/>
      <x:c r="C336" s="137" t="str"/>
      <x:c r="D336" s="137" t="str"/>
      <x:c r="E336" s="137" t="str"/>
      <x:c r="F336" s="137" t="str"/>
      <x:c r="G336" s="137" t="str"/>
      <x:c r="H336" s="137" t="str"/>
      <x:c r="I336" s="137" t="str"/>
      <x:c r="J336" s="137" t="str"/>
      <x:c r="K336" s="137" t="str"/>
      <x:c r="L336" s="138" t="str"/>
      <x:c r="M336" s="138" t="str"/>
      <x:c r="N336" s="196" t="str">
        <x:f>IF(OR(L336="",M336=""),"",M336-L336)</x:f>
      </x:c>
      <x:c r="O336" s="137" t="str"/>
      <x:c r="P336" s="137" t="str"/>
      <x:c r="Q336" s="137" t="str"/>
      <x:c r="R336" s="137" t="str"/>
      <x:c r="S336" s="137" t="str"/>
      <x:c r="T336" s="137" t="str"/>
      <x:c r="U336" s="137" t="str"/>
      <x:c r="V336" s="137" t="str"/>
    </x:row>
    <x:row r="337">
      <x:c r="A337" s="137" t="str"/>
      <x:c r="B337" s="199" t="str"/>
      <x:c r="C337" s="137" t="str"/>
      <x:c r="D337" s="137" t="str"/>
      <x:c r="E337" s="137" t="str"/>
      <x:c r="F337" s="137" t="str"/>
      <x:c r="G337" s="137" t="str"/>
      <x:c r="H337" s="137" t="str"/>
      <x:c r="I337" s="137" t="str"/>
      <x:c r="J337" s="137" t="str"/>
      <x:c r="K337" s="137" t="str"/>
      <x:c r="L337" s="138" t="str"/>
      <x:c r="M337" s="138" t="str"/>
      <x:c r="N337" s="196" t="str">
        <x:f>IF(OR(L337="",M337=""),"",M337-L337)</x:f>
      </x:c>
      <x:c r="O337" s="137" t="str"/>
      <x:c r="P337" s="137" t="str"/>
      <x:c r="Q337" s="137" t="str"/>
      <x:c r="R337" s="137" t="str"/>
      <x:c r="S337" s="137" t="str"/>
      <x:c r="T337" s="137" t="str"/>
      <x:c r="U337" s="137" t="str"/>
      <x:c r="V337" s="137" t="str"/>
    </x:row>
    <x:row r="338">
      <x:c r="A338" s="137" t="str"/>
      <x:c r="B338" s="199" t="str"/>
      <x:c r="C338" s="137" t="str"/>
      <x:c r="D338" s="137" t="str"/>
      <x:c r="E338" s="137" t="str"/>
      <x:c r="F338" s="137" t="str"/>
      <x:c r="G338" s="137" t="str"/>
      <x:c r="H338" s="137" t="str"/>
      <x:c r="I338" s="137" t="str"/>
      <x:c r="J338" s="137" t="str"/>
      <x:c r="K338" s="137" t="str"/>
      <x:c r="L338" s="138" t="str"/>
      <x:c r="M338" s="138" t="str"/>
      <x:c r="N338" s="196" t="str">
        <x:f>IF(OR(L338="",M338=""),"",M338-L338)</x:f>
      </x:c>
      <x:c r="O338" s="137" t="str"/>
      <x:c r="P338" s="137" t="str"/>
      <x:c r="Q338" s="137" t="str"/>
      <x:c r="R338" s="137" t="str"/>
      <x:c r="S338" s="137" t="str"/>
      <x:c r="T338" s="137" t="str"/>
      <x:c r="U338" s="137" t="str"/>
      <x:c r="V338" s="137" t="str"/>
    </x:row>
    <x:row r="339">
      <x:c r="A339" s="137" t="str"/>
      <x:c r="B339" s="199" t="str"/>
      <x:c r="C339" s="137" t="str"/>
      <x:c r="D339" s="137" t="str"/>
      <x:c r="E339" s="137" t="str"/>
      <x:c r="F339" s="137" t="str"/>
      <x:c r="G339" s="137" t="str"/>
      <x:c r="H339" s="137" t="str"/>
      <x:c r="I339" s="137" t="str"/>
      <x:c r="J339" s="137" t="str"/>
      <x:c r="K339" s="137" t="str"/>
      <x:c r="L339" s="138" t="str"/>
      <x:c r="M339" s="138" t="str"/>
      <x:c r="N339" s="196" t="str">
        <x:f>IF(OR(L339="",M339=""),"",M339-L339)</x:f>
      </x:c>
      <x:c r="O339" s="137" t="str"/>
      <x:c r="P339" s="137" t="str"/>
      <x:c r="Q339" s="137" t="str"/>
      <x:c r="R339" s="137" t="str"/>
      <x:c r="S339" s="137" t="str"/>
      <x:c r="T339" s="137" t="str"/>
      <x:c r="U339" s="137" t="str"/>
      <x:c r="V339" s="137" t="str"/>
    </x:row>
    <x:row r="340">
      <x:c r="A340" s="137" t="str"/>
      <x:c r="B340" s="199" t="str"/>
      <x:c r="C340" s="137" t="str"/>
      <x:c r="D340" s="137" t="str"/>
      <x:c r="E340" s="137" t="str"/>
      <x:c r="F340" s="137" t="str"/>
      <x:c r="G340" s="137" t="str"/>
      <x:c r="H340" s="137" t="str"/>
      <x:c r="I340" s="137" t="str"/>
      <x:c r="J340" s="137" t="str"/>
      <x:c r="K340" s="137" t="str"/>
      <x:c r="L340" s="138" t="str"/>
      <x:c r="M340" s="138" t="str"/>
      <x:c r="N340" s="196" t="str">
        <x:f>IF(OR(L340="",M340=""),"",M340-L340)</x:f>
      </x:c>
      <x:c r="O340" s="137" t="str"/>
      <x:c r="P340" s="137" t="str"/>
      <x:c r="Q340" s="137" t="str"/>
      <x:c r="R340" s="137" t="str"/>
      <x:c r="S340" s="137" t="str"/>
      <x:c r="T340" s="137" t="str"/>
      <x:c r="U340" s="137" t="str"/>
      <x:c r="V340" s="137" t="str"/>
    </x:row>
    <x:row r="341">
      <x:c r="A341" s="137" t="str"/>
      <x:c r="B341" s="199" t="str"/>
      <x:c r="C341" s="137" t="str"/>
      <x:c r="D341" s="137" t="str"/>
      <x:c r="E341" s="137" t="str"/>
      <x:c r="F341" s="137" t="str"/>
      <x:c r="G341" s="137" t="str"/>
      <x:c r="H341" s="137" t="str"/>
      <x:c r="I341" s="137" t="str"/>
      <x:c r="J341" s="137" t="str"/>
      <x:c r="K341" s="137" t="str"/>
      <x:c r="L341" s="138" t="str"/>
      <x:c r="M341" s="138" t="str"/>
      <x:c r="N341" s="196" t="str">
        <x:f>IF(OR(L341="",M341=""),"",M341-L341)</x:f>
      </x:c>
      <x:c r="O341" s="137" t="str"/>
      <x:c r="P341" s="137" t="str"/>
      <x:c r="Q341" s="137" t="str"/>
      <x:c r="R341" s="137" t="str"/>
      <x:c r="S341" s="137" t="str"/>
      <x:c r="T341" s="137" t="str"/>
      <x:c r="U341" s="137" t="str"/>
      <x:c r="V341" s="137" t="str"/>
    </x:row>
    <x:row r="342">
      <x:c r="A342" s="137" t="str"/>
      <x:c r="B342" s="199" t="str"/>
      <x:c r="C342" s="137" t="str"/>
      <x:c r="D342" s="137" t="str"/>
      <x:c r="E342" s="137" t="str"/>
      <x:c r="F342" s="137" t="str"/>
      <x:c r="G342" s="137" t="str"/>
      <x:c r="H342" s="137" t="str"/>
      <x:c r="I342" s="137" t="str"/>
      <x:c r="J342" s="137" t="str"/>
      <x:c r="K342" s="137" t="str"/>
      <x:c r="L342" s="138" t="str"/>
      <x:c r="M342" s="138" t="str"/>
      <x:c r="N342" s="196" t="str">
        <x:f>IF(OR(L342="",M342=""),"",M342-L342)</x:f>
      </x:c>
      <x:c r="O342" s="137" t="str"/>
      <x:c r="P342" s="137" t="str"/>
      <x:c r="Q342" s="137" t="str"/>
      <x:c r="R342" s="137" t="str"/>
      <x:c r="S342" s="137" t="str"/>
      <x:c r="T342" s="137" t="str"/>
      <x:c r="U342" s="137" t="str"/>
      <x:c r="V342" s="137" t="str"/>
    </x:row>
    <x:row r="343">
      <x:c r="A343" s="137" t="str"/>
      <x:c r="B343" s="199" t="str"/>
      <x:c r="C343" s="137" t="str"/>
      <x:c r="D343" s="137" t="str"/>
      <x:c r="E343" s="137" t="str"/>
      <x:c r="F343" s="137" t="str"/>
      <x:c r="G343" s="137" t="str"/>
      <x:c r="H343" s="137" t="str"/>
      <x:c r="I343" s="137" t="str"/>
      <x:c r="J343" s="137" t="str"/>
      <x:c r="K343" s="137" t="str"/>
      <x:c r="L343" s="138" t="str"/>
      <x:c r="M343" s="138" t="str"/>
      <x:c r="N343" s="196" t="str">
        <x:f>IF(OR(L343="",M343=""),"",M343-L343)</x:f>
      </x:c>
      <x:c r="O343" s="137" t="str"/>
      <x:c r="P343" s="137" t="str"/>
      <x:c r="Q343" s="137" t="str"/>
      <x:c r="R343" s="137" t="str"/>
      <x:c r="S343" s="137" t="str"/>
      <x:c r="T343" s="137" t="str"/>
      <x:c r="U343" s="137" t="str"/>
      <x:c r="V343" s="137" t="str"/>
    </x:row>
    <x:row r="344">
      <x:c r="A344" s="137" t="str"/>
      <x:c r="B344" s="199" t="str"/>
      <x:c r="C344" s="137" t="str"/>
      <x:c r="D344" s="137" t="str"/>
      <x:c r="E344" s="137" t="str"/>
      <x:c r="F344" s="137" t="str"/>
      <x:c r="G344" s="137" t="str"/>
      <x:c r="H344" s="137" t="str"/>
      <x:c r="I344" s="137" t="str"/>
      <x:c r="J344" s="137" t="str"/>
      <x:c r="K344" s="137" t="str"/>
      <x:c r="L344" s="138" t="str"/>
      <x:c r="M344" s="138" t="str"/>
      <x:c r="N344" s="196" t="str">
        <x:f>IF(OR(L344="",M344=""),"",M344-L344)</x:f>
      </x:c>
      <x:c r="O344" s="137" t="str"/>
      <x:c r="P344" s="137" t="str"/>
      <x:c r="Q344" s="137" t="str"/>
      <x:c r="R344" s="137" t="str"/>
      <x:c r="S344" s="137" t="str"/>
      <x:c r="T344" s="137" t="str"/>
      <x:c r="U344" s="137" t="str"/>
      <x:c r="V344" s="137" t="str"/>
    </x:row>
    <x:row r="345">
      <x:c r="A345" s="137" t="str"/>
      <x:c r="B345" s="199" t="str"/>
      <x:c r="C345" s="137" t="str"/>
      <x:c r="D345" s="137" t="str"/>
      <x:c r="E345" s="137" t="str"/>
      <x:c r="F345" s="137" t="str"/>
      <x:c r="G345" s="137" t="str"/>
      <x:c r="H345" s="137" t="str"/>
      <x:c r="I345" s="137" t="str"/>
      <x:c r="J345" s="137" t="str"/>
      <x:c r="K345" s="137" t="str"/>
      <x:c r="L345" s="138" t="str"/>
      <x:c r="M345" s="138" t="str"/>
      <x:c r="N345" s="196" t="str">
        <x:f>IF(OR(L345="",M345=""),"",M345-L345)</x:f>
      </x:c>
      <x:c r="O345" s="137" t="str"/>
      <x:c r="P345" s="137" t="str"/>
      <x:c r="Q345" s="137" t="str"/>
      <x:c r="R345" s="137" t="str"/>
      <x:c r="S345" s="137" t="str"/>
      <x:c r="T345" s="137" t="str"/>
      <x:c r="U345" s="137" t="str"/>
      <x:c r="V345" s="137" t="str"/>
    </x:row>
    <x:row r="346">
      <x:c r="A346" s="137" t="str"/>
      <x:c r="B346" s="199" t="str"/>
      <x:c r="C346" s="137" t="str"/>
      <x:c r="D346" s="137" t="str"/>
      <x:c r="E346" s="137" t="str"/>
      <x:c r="F346" s="137" t="str"/>
      <x:c r="G346" s="137" t="str"/>
      <x:c r="H346" s="137" t="str"/>
      <x:c r="I346" s="137" t="str"/>
      <x:c r="J346" s="137" t="str"/>
      <x:c r="K346" s="137" t="str"/>
      <x:c r="L346" s="138" t="str"/>
      <x:c r="M346" s="138" t="str"/>
      <x:c r="N346" s="196" t="str">
        <x:f>IF(OR(L346="",M346=""),"",M346-L346)</x:f>
      </x:c>
      <x:c r="O346" s="137" t="str"/>
      <x:c r="P346" s="137" t="str"/>
      <x:c r="Q346" s="137" t="str"/>
      <x:c r="R346" s="137" t="str"/>
      <x:c r="S346" s="137" t="str"/>
      <x:c r="T346" s="137" t="str"/>
      <x:c r="U346" s="137" t="str"/>
      <x:c r="V346" s="137" t="str"/>
    </x:row>
    <x:row r="347">
      <x:c r="A347" s="137" t="str"/>
      <x:c r="B347" s="199" t="str"/>
      <x:c r="C347" s="137" t="str"/>
      <x:c r="D347" s="137" t="str"/>
      <x:c r="E347" s="137" t="str"/>
      <x:c r="F347" s="137" t="str"/>
      <x:c r="G347" s="137" t="str"/>
      <x:c r="H347" s="137" t="str"/>
      <x:c r="I347" s="137" t="str"/>
      <x:c r="J347" s="137" t="str"/>
      <x:c r="K347" s="137" t="str"/>
      <x:c r="L347" s="138" t="str"/>
      <x:c r="M347" s="138" t="str"/>
      <x:c r="N347" s="196" t="str">
        <x:f>IF(OR(L347="",M347=""),"",M347-L347)</x:f>
      </x:c>
      <x:c r="O347" s="137" t="str"/>
      <x:c r="P347" s="137" t="str"/>
      <x:c r="Q347" s="137" t="str"/>
      <x:c r="R347" s="137" t="str"/>
      <x:c r="S347" s="137" t="str"/>
      <x:c r="T347" s="137" t="str"/>
      <x:c r="U347" s="137" t="str"/>
      <x:c r="V347" s="137" t="str"/>
    </x:row>
    <x:row r="348">
      <x:c r="A348" s="137" t="str"/>
      <x:c r="B348" s="199" t="str"/>
      <x:c r="C348" s="137" t="str"/>
      <x:c r="D348" s="137" t="str"/>
      <x:c r="E348" s="137" t="str"/>
      <x:c r="F348" s="137" t="str"/>
      <x:c r="G348" s="137" t="str"/>
      <x:c r="H348" s="137" t="str"/>
      <x:c r="I348" s="137" t="str"/>
      <x:c r="J348" s="137" t="str"/>
      <x:c r="K348" s="137" t="str"/>
      <x:c r="L348" s="138" t="str"/>
      <x:c r="M348" s="138" t="str"/>
      <x:c r="N348" s="196" t="str">
        <x:f>IF(OR(L348="",M348=""),"",M348-L348)</x:f>
      </x:c>
      <x:c r="O348" s="137" t="str"/>
      <x:c r="P348" s="137" t="str"/>
      <x:c r="Q348" s="137" t="str"/>
      <x:c r="R348" s="137" t="str"/>
      <x:c r="S348" s="137" t="str"/>
      <x:c r="T348" s="137" t="str"/>
      <x:c r="U348" s="137" t="str"/>
      <x:c r="V348" s="137" t="str"/>
    </x:row>
    <x:row r="349">
      <x:c r="A349" s="137" t="str"/>
      <x:c r="B349" s="199" t="str"/>
      <x:c r="C349" s="137" t="str"/>
      <x:c r="D349" s="137" t="str"/>
      <x:c r="E349" s="137" t="str"/>
      <x:c r="F349" s="137" t="str"/>
      <x:c r="G349" s="137" t="str"/>
      <x:c r="H349" s="137" t="str"/>
      <x:c r="I349" s="137" t="str"/>
      <x:c r="J349" s="137" t="str"/>
      <x:c r="K349" s="137" t="str"/>
      <x:c r="L349" s="138" t="str"/>
      <x:c r="M349" s="138" t="str"/>
      <x:c r="N349" s="196" t="str">
        <x:f>IF(OR(L349="",M349=""),"",M349-L349)</x:f>
      </x:c>
      <x:c r="O349" s="137" t="str"/>
      <x:c r="P349" s="137" t="str"/>
      <x:c r="Q349" s="137" t="str"/>
      <x:c r="R349" s="137" t="str"/>
      <x:c r="S349" s="137" t="str"/>
      <x:c r="T349" s="137" t="str"/>
      <x:c r="U349" s="137" t="str"/>
      <x:c r="V349" s="137" t="str"/>
    </x:row>
    <x:row r="350">
      <x:c r="A350" s="137" t="str"/>
      <x:c r="B350" s="199" t="str"/>
      <x:c r="C350" s="137" t="str"/>
      <x:c r="D350" s="137" t="str"/>
      <x:c r="E350" s="137" t="str"/>
      <x:c r="F350" s="137" t="str"/>
      <x:c r="G350" s="137" t="str"/>
      <x:c r="H350" s="137" t="str"/>
      <x:c r="I350" s="137" t="str"/>
      <x:c r="J350" s="137" t="str"/>
      <x:c r="K350" s="137" t="str"/>
      <x:c r="L350" s="138" t="str"/>
      <x:c r="M350" s="138" t="str"/>
      <x:c r="N350" s="196" t="str">
        <x:f>IF(OR(L350="",M350=""),"",M350-L350)</x:f>
      </x:c>
      <x:c r="O350" s="137" t="str"/>
      <x:c r="P350" s="137" t="str"/>
      <x:c r="Q350" s="137" t="str"/>
      <x:c r="R350" s="137" t="str"/>
      <x:c r="S350" s="137" t="str"/>
      <x:c r="T350" s="137" t="str"/>
      <x:c r="U350" s="137" t="str"/>
      <x:c r="V350" s="137" t="str"/>
    </x:row>
    <x:row r="351">
      <x:c r="A351" s="137" t="str"/>
      <x:c r="B351" s="199" t="str"/>
      <x:c r="C351" s="137" t="str"/>
      <x:c r="D351" s="137" t="str"/>
      <x:c r="E351" s="137" t="str"/>
      <x:c r="F351" s="137" t="str"/>
      <x:c r="G351" s="137" t="str"/>
      <x:c r="H351" s="137" t="str"/>
      <x:c r="I351" s="137" t="str"/>
      <x:c r="J351" s="137" t="str"/>
      <x:c r="K351" s="137" t="str"/>
      <x:c r="L351" s="138" t="str"/>
      <x:c r="M351" s="138" t="str"/>
      <x:c r="N351" s="196" t="str">
        <x:f>IF(OR(L351="",M351=""),"",M351-L351)</x:f>
      </x:c>
      <x:c r="O351" s="137" t="str"/>
      <x:c r="P351" s="137" t="str"/>
      <x:c r="Q351" s="137" t="str"/>
      <x:c r="R351" s="137" t="str"/>
      <x:c r="S351" s="137" t="str"/>
      <x:c r="T351" s="137" t="str"/>
      <x:c r="U351" s="137" t="str"/>
      <x:c r="V351" s="137" t="str"/>
    </x:row>
    <x:row r="352">
      <x:c r="A352" s="137" t="str"/>
      <x:c r="B352" s="199" t="str"/>
      <x:c r="C352" s="137" t="str"/>
      <x:c r="D352" s="137" t="str"/>
      <x:c r="E352" s="137" t="str"/>
      <x:c r="F352" s="137" t="str"/>
      <x:c r="G352" s="137" t="str"/>
      <x:c r="H352" s="137" t="str"/>
      <x:c r="I352" s="137" t="str"/>
      <x:c r="J352" s="137" t="str"/>
      <x:c r="K352" s="137" t="str"/>
      <x:c r="L352" s="138" t="str"/>
      <x:c r="M352" s="138" t="str"/>
      <x:c r="N352" s="196" t="str">
        <x:f>IF(OR(L352="",M352=""),"",M352-L352)</x:f>
      </x:c>
      <x:c r="O352" s="137" t="str"/>
      <x:c r="P352" s="137" t="str"/>
      <x:c r="Q352" s="137" t="str"/>
      <x:c r="R352" s="137" t="str"/>
      <x:c r="S352" s="137" t="str"/>
      <x:c r="T352" s="137" t="str"/>
      <x:c r="U352" s="137" t="str"/>
      <x:c r="V352" s="137" t="str"/>
    </x:row>
    <x:row r="353">
      <x:c r="A353" s="137" t="str"/>
      <x:c r="B353" s="199" t="str"/>
      <x:c r="C353" s="137" t="str"/>
      <x:c r="D353" s="137" t="str"/>
      <x:c r="E353" s="137" t="str"/>
      <x:c r="F353" s="137" t="str"/>
      <x:c r="G353" s="137" t="str"/>
      <x:c r="H353" s="137" t="str"/>
      <x:c r="I353" s="137" t="str"/>
      <x:c r="J353" s="137" t="str"/>
      <x:c r="K353" s="137" t="str"/>
      <x:c r="L353" s="138" t="str"/>
      <x:c r="M353" s="138" t="str"/>
      <x:c r="N353" s="196" t="str">
        <x:f>IF(OR(L353="",M353=""),"",M353-L353)</x:f>
      </x:c>
      <x:c r="O353" s="137" t="str"/>
      <x:c r="P353" s="137" t="str"/>
      <x:c r="Q353" s="137" t="str"/>
      <x:c r="R353" s="137" t="str"/>
      <x:c r="S353" s="137" t="str"/>
      <x:c r="T353" s="137" t="str"/>
      <x:c r="U353" s="137" t="str"/>
      <x:c r="V353" s="137" t="str"/>
    </x:row>
    <x:row r="354">
      <x:c r="A354" s="137" t="str"/>
      <x:c r="B354" s="199" t="str"/>
      <x:c r="C354" s="137" t="str"/>
      <x:c r="D354" s="137" t="str"/>
      <x:c r="E354" s="137" t="str"/>
      <x:c r="F354" s="137" t="str"/>
      <x:c r="G354" s="137" t="str"/>
      <x:c r="H354" s="137" t="str"/>
      <x:c r="I354" s="137" t="str"/>
      <x:c r="J354" s="137" t="str"/>
      <x:c r="K354" s="137" t="str"/>
      <x:c r="L354" s="138" t="str"/>
      <x:c r="M354" s="138" t="str"/>
      <x:c r="N354" s="196" t="str">
        <x:f>IF(OR(L354="",M354=""),"",M354-L354)</x:f>
      </x:c>
      <x:c r="O354" s="137" t="str"/>
      <x:c r="P354" s="137" t="str"/>
      <x:c r="Q354" s="137" t="str"/>
      <x:c r="R354" s="137" t="str"/>
      <x:c r="S354" s="137" t="str"/>
      <x:c r="T354" s="137" t="str"/>
      <x:c r="U354" s="137" t="str"/>
      <x:c r="V354" s="137" t="str"/>
    </x:row>
    <x:row r="355">
      <x:c r="A355" s="137" t="str"/>
      <x:c r="B355" s="199" t="str"/>
      <x:c r="C355" s="137" t="str"/>
      <x:c r="D355" s="137" t="str"/>
      <x:c r="E355" s="137" t="str"/>
      <x:c r="F355" s="137" t="str"/>
      <x:c r="G355" s="137" t="str"/>
      <x:c r="H355" s="137" t="str"/>
      <x:c r="I355" s="137" t="str"/>
      <x:c r="J355" s="137" t="str"/>
      <x:c r="K355" s="137" t="str"/>
      <x:c r="L355" s="138" t="str"/>
      <x:c r="M355" s="138" t="str"/>
      <x:c r="N355" s="196" t="str">
        <x:f>IF(OR(L355="",M355=""),"",M355-L355)</x:f>
      </x:c>
      <x:c r="O355" s="137" t="str"/>
      <x:c r="P355" s="137" t="str"/>
      <x:c r="Q355" s="137" t="str"/>
      <x:c r="R355" s="137" t="str"/>
      <x:c r="S355" s="137" t="str"/>
      <x:c r="T355" s="137" t="str"/>
      <x:c r="U355" s="137" t="str"/>
      <x:c r="V355" s="137" t="str"/>
    </x:row>
    <x:row r="356">
      <x:c r="A356" s="137" t="str"/>
      <x:c r="B356" s="199" t="str"/>
      <x:c r="C356" s="137" t="str"/>
      <x:c r="D356" s="137" t="str"/>
      <x:c r="E356" s="137" t="str"/>
      <x:c r="F356" s="137" t="str"/>
      <x:c r="G356" s="137" t="str"/>
      <x:c r="H356" s="137" t="str"/>
      <x:c r="I356" s="137" t="str"/>
      <x:c r="J356" s="137" t="str"/>
      <x:c r="K356" s="137" t="str"/>
      <x:c r="L356" s="138" t="str"/>
      <x:c r="M356" s="138" t="str"/>
      <x:c r="N356" s="196" t="str">
        <x:f>IF(OR(L356="",M356=""),"",M356-L356)</x:f>
      </x:c>
      <x:c r="O356" s="137" t="str"/>
      <x:c r="P356" s="137" t="str"/>
      <x:c r="Q356" s="137" t="str"/>
      <x:c r="R356" s="137" t="str"/>
      <x:c r="S356" s="137" t="str"/>
      <x:c r="T356" s="137" t="str"/>
      <x:c r="U356" s="137" t="str"/>
      <x:c r="V356" s="137" t="str"/>
    </x:row>
    <x:row r="357">
      <x:c r="A357" s="137" t="str"/>
      <x:c r="B357" s="199" t="str"/>
      <x:c r="C357" s="137" t="str"/>
      <x:c r="D357" s="137" t="str"/>
      <x:c r="E357" s="137" t="str"/>
      <x:c r="F357" s="137" t="str"/>
      <x:c r="G357" s="137" t="str"/>
      <x:c r="H357" s="137" t="str"/>
      <x:c r="I357" s="137" t="str"/>
      <x:c r="J357" s="137" t="str"/>
      <x:c r="K357" s="137" t="str"/>
      <x:c r="L357" s="138" t="str"/>
      <x:c r="M357" s="138" t="str"/>
      <x:c r="N357" s="196" t="str">
        <x:f>IF(OR(L357="",M357=""),"",M357-L357)</x:f>
      </x:c>
      <x:c r="O357" s="137" t="str"/>
      <x:c r="P357" s="137" t="str"/>
      <x:c r="Q357" s="137" t="str"/>
      <x:c r="R357" s="137" t="str"/>
      <x:c r="S357" s="137" t="str"/>
      <x:c r="T357" s="137" t="str"/>
      <x:c r="U357" s="137" t="str"/>
      <x:c r="V357" s="137" t="str"/>
    </x:row>
    <x:row r="358">
      <x:c r="A358" s="137" t="str"/>
      <x:c r="B358" s="199" t="str"/>
      <x:c r="C358" s="137" t="str"/>
      <x:c r="D358" s="137" t="str"/>
      <x:c r="E358" s="137" t="str"/>
      <x:c r="F358" s="137" t="str"/>
      <x:c r="G358" s="137" t="str"/>
      <x:c r="H358" s="137" t="str"/>
      <x:c r="I358" s="137" t="str"/>
      <x:c r="J358" s="137" t="str"/>
      <x:c r="K358" s="137" t="str"/>
      <x:c r="L358" s="138" t="str"/>
      <x:c r="M358" s="138" t="str"/>
      <x:c r="N358" s="196" t="str">
        <x:f>IF(OR(L358="",M358=""),"",M358-L358)</x:f>
      </x:c>
      <x:c r="O358" s="137" t="str"/>
      <x:c r="P358" s="137" t="str"/>
      <x:c r="Q358" s="137" t="str"/>
      <x:c r="R358" s="137" t="str"/>
      <x:c r="S358" s="137" t="str"/>
      <x:c r="T358" s="137" t="str"/>
      <x:c r="U358" s="137" t="str"/>
      <x:c r="V358" s="137" t="str"/>
    </x:row>
    <x:row r="359">
      <x:c r="A359" s="137" t="str"/>
      <x:c r="B359" s="199" t="str"/>
      <x:c r="C359" s="137" t="str"/>
      <x:c r="D359" s="137" t="str"/>
      <x:c r="E359" s="137" t="str"/>
      <x:c r="F359" s="137" t="str"/>
      <x:c r="G359" s="137" t="str"/>
      <x:c r="H359" s="137" t="str"/>
      <x:c r="I359" s="137" t="str"/>
      <x:c r="J359" s="137" t="str"/>
      <x:c r="K359" s="137" t="str"/>
      <x:c r="L359" s="138" t="str"/>
      <x:c r="M359" s="138" t="str"/>
      <x:c r="N359" s="196" t="str">
        <x:f>IF(OR(L359="",M359=""),"",M359-L359)</x:f>
      </x:c>
      <x:c r="O359" s="137" t="str"/>
      <x:c r="P359" s="137" t="str"/>
      <x:c r="Q359" s="137" t="str"/>
      <x:c r="R359" s="137" t="str"/>
      <x:c r="S359" s="137" t="str"/>
      <x:c r="T359" s="137" t="str"/>
      <x:c r="U359" s="137" t="str"/>
      <x:c r="V359" s="137" t="str"/>
    </x:row>
    <x:row r="360">
      <x:c r="A360" s="137" t="str"/>
      <x:c r="B360" s="199" t="str"/>
      <x:c r="C360" s="137" t="str"/>
      <x:c r="D360" s="137" t="str"/>
      <x:c r="E360" s="137" t="str"/>
      <x:c r="F360" s="137" t="str"/>
      <x:c r="G360" s="137" t="str"/>
      <x:c r="H360" s="137" t="str"/>
      <x:c r="I360" s="137" t="str"/>
      <x:c r="J360" s="137" t="str"/>
      <x:c r="K360" s="137" t="str"/>
      <x:c r="L360" s="138" t="str"/>
      <x:c r="M360" s="138" t="str"/>
      <x:c r="N360" s="196" t="str">
        <x:f>IF(OR(L360="",M360=""),"",M360-L360)</x:f>
      </x:c>
      <x:c r="O360" s="137" t="str"/>
      <x:c r="P360" s="137" t="str"/>
      <x:c r="Q360" s="137" t="str"/>
      <x:c r="R360" s="137" t="str"/>
      <x:c r="S360" s="137" t="str"/>
      <x:c r="T360" s="137" t="str"/>
      <x:c r="U360" s="137" t="str"/>
      <x:c r="V360" s="137" t="str"/>
    </x:row>
    <x:row r="361">
      <x:c r="A361" s="137" t="str"/>
      <x:c r="B361" s="199" t="str"/>
      <x:c r="C361" s="137" t="str"/>
      <x:c r="D361" s="137" t="str"/>
      <x:c r="E361" s="137" t="str"/>
      <x:c r="F361" s="137" t="str"/>
      <x:c r="G361" s="137" t="str"/>
      <x:c r="H361" s="137" t="str"/>
      <x:c r="I361" s="137" t="str"/>
      <x:c r="J361" s="137" t="str"/>
      <x:c r="K361" s="137" t="str"/>
      <x:c r="L361" s="138" t="str"/>
      <x:c r="M361" s="138" t="str"/>
      <x:c r="N361" s="196" t="str">
        <x:f>IF(OR(L361="",M361=""),"",M361-L361)</x:f>
      </x:c>
      <x:c r="O361" s="137" t="str"/>
      <x:c r="P361" s="137" t="str"/>
      <x:c r="Q361" s="137" t="str"/>
      <x:c r="R361" s="137" t="str"/>
      <x:c r="S361" s="137" t="str"/>
      <x:c r="T361" s="137" t="str"/>
      <x:c r="U361" s="137" t="str"/>
      <x:c r="V361" s="137" t="str"/>
    </x:row>
    <x:row r="362">
      <x:c r="A362" s="137" t="str"/>
      <x:c r="B362" s="199" t="str"/>
      <x:c r="C362" s="137" t="str"/>
      <x:c r="D362" s="137" t="str"/>
      <x:c r="E362" s="137" t="str"/>
      <x:c r="F362" s="137" t="str"/>
      <x:c r="G362" s="137" t="str"/>
      <x:c r="H362" s="137" t="str"/>
      <x:c r="I362" s="137" t="str"/>
      <x:c r="J362" s="137" t="str"/>
      <x:c r="K362" s="137" t="str"/>
      <x:c r="L362" s="138" t="str"/>
      <x:c r="M362" s="138" t="str"/>
      <x:c r="N362" s="196" t="str">
        <x:f>IF(OR(L362="",M362=""),"",M362-L362)</x:f>
      </x:c>
      <x:c r="O362" s="137" t="str"/>
      <x:c r="P362" s="137" t="str"/>
      <x:c r="Q362" s="137" t="str"/>
      <x:c r="R362" s="137" t="str"/>
      <x:c r="S362" s="137" t="str"/>
      <x:c r="T362" s="137" t="str"/>
      <x:c r="U362" s="137" t="str"/>
      <x:c r="V362" s="137" t="str"/>
    </x:row>
    <x:row r="363">
      <x:c r="A363" s="137" t="str"/>
      <x:c r="B363" s="199" t="str"/>
      <x:c r="C363" s="137" t="str"/>
      <x:c r="D363" s="137" t="str"/>
      <x:c r="E363" s="137" t="str"/>
      <x:c r="F363" s="137" t="str"/>
      <x:c r="G363" s="137" t="str"/>
      <x:c r="H363" s="137" t="str"/>
      <x:c r="I363" s="137" t="str"/>
      <x:c r="J363" s="137" t="str"/>
      <x:c r="K363" s="137" t="str"/>
      <x:c r="L363" s="138" t="str"/>
      <x:c r="M363" s="138" t="str"/>
      <x:c r="N363" s="196" t="str">
        <x:f>IF(OR(L363="",M363=""),"",M363-L363)</x:f>
      </x:c>
      <x:c r="O363" s="137" t="str"/>
      <x:c r="P363" s="137" t="str"/>
      <x:c r="Q363" s="137" t="str"/>
      <x:c r="R363" s="137" t="str"/>
      <x:c r="S363" s="137" t="str"/>
      <x:c r="T363" s="137" t="str"/>
      <x:c r="U363" s="137" t="str"/>
      <x:c r="V363" s="137" t="str"/>
    </x:row>
    <x:row r="364">
      <x:c r="A364" s="137" t="str"/>
      <x:c r="B364" s="199" t="str"/>
      <x:c r="C364" s="137" t="str"/>
      <x:c r="D364" s="137" t="str"/>
      <x:c r="E364" s="137" t="str"/>
      <x:c r="F364" s="137" t="str"/>
      <x:c r="G364" s="137" t="str"/>
      <x:c r="H364" s="137" t="str"/>
      <x:c r="I364" s="137" t="str"/>
      <x:c r="J364" s="137" t="str"/>
      <x:c r="K364" s="137" t="str"/>
      <x:c r="L364" s="138" t="str"/>
      <x:c r="M364" s="138" t="str"/>
      <x:c r="N364" s="196" t="str">
        <x:f>IF(OR(L364="",M364=""),"",M364-L364)</x:f>
      </x:c>
      <x:c r="O364" s="137" t="str"/>
      <x:c r="P364" s="137" t="str"/>
      <x:c r="Q364" s="137" t="str"/>
      <x:c r="R364" s="137" t="str"/>
      <x:c r="S364" s="137" t="str"/>
      <x:c r="T364" s="137" t="str"/>
      <x:c r="U364" s="137" t="str"/>
      <x:c r="V364" s="137" t="str"/>
    </x:row>
    <x:row r="365">
      <x:c r="A365" s="137" t="str"/>
      <x:c r="B365" s="199" t="str"/>
      <x:c r="C365" s="137" t="str"/>
      <x:c r="D365" s="137" t="str"/>
      <x:c r="E365" s="137" t="str"/>
      <x:c r="F365" s="137" t="str"/>
      <x:c r="G365" s="137" t="str"/>
      <x:c r="H365" s="137" t="str"/>
      <x:c r="I365" s="137" t="str"/>
      <x:c r="J365" s="137" t="str"/>
      <x:c r="K365" s="137" t="str"/>
      <x:c r="L365" s="138" t="str"/>
      <x:c r="M365" s="138" t="str"/>
      <x:c r="N365" s="196" t="str">
        <x:f>IF(OR(L365="",M365=""),"",M365-L365)</x:f>
      </x:c>
      <x:c r="O365" s="137" t="str"/>
      <x:c r="P365" s="137" t="str"/>
      <x:c r="Q365" s="137" t="str"/>
      <x:c r="R365" s="137" t="str"/>
      <x:c r="S365" s="137" t="str"/>
      <x:c r="T365" s="137" t="str"/>
      <x:c r="U365" s="137" t="str"/>
      <x:c r="V365" s="137" t="str"/>
    </x:row>
    <x:row r="366">
      <x:c r="A366" s="137" t="str"/>
      <x:c r="B366" s="199" t="str"/>
      <x:c r="C366" s="137" t="str"/>
      <x:c r="D366" s="137" t="str"/>
      <x:c r="E366" s="137" t="str"/>
      <x:c r="F366" s="137" t="str"/>
      <x:c r="G366" s="137" t="str"/>
      <x:c r="H366" s="137" t="str"/>
      <x:c r="I366" s="137" t="str"/>
      <x:c r="J366" s="137" t="str"/>
      <x:c r="K366" s="137" t="str"/>
      <x:c r="L366" s="138" t="str"/>
      <x:c r="M366" s="138" t="str"/>
      <x:c r="N366" s="196" t="str">
        <x:f>IF(OR(L366="",M366=""),"",M366-L366)</x:f>
      </x:c>
      <x:c r="O366" s="137" t="str"/>
      <x:c r="P366" s="137" t="str"/>
      <x:c r="Q366" s="137" t="str"/>
      <x:c r="R366" s="137" t="str"/>
      <x:c r="S366" s="137" t="str"/>
      <x:c r="T366" s="137" t="str"/>
      <x:c r="U366" s="137" t="str"/>
      <x:c r="V366" s="137" t="str"/>
    </x:row>
    <x:row r="367">
      <x:c r="A367" s="137" t="str"/>
      <x:c r="B367" s="199" t="str"/>
      <x:c r="C367" s="137" t="str"/>
      <x:c r="D367" s="137" t="str"/>
      <x:c r="E367" s="137" t="str"/>
      <x:c r="F367" s="137" t="str"/>
      <x:c r="G367" s="137" t="str"/>
      <x:c r="H367" s="137" t="str"/>
      <x:c r="I367" s="137" t="str"/>
      <x:c r="J367" s="137" t="str"/>
      <x:c r="K367" s="137" t="str"/>
      <x:c r="L367" s="138" t="str"/>
      <x:c r="M367" s="138" t="str"/>
      <x:c r="N367" s="196" t="str">
        <x:f>IF(OR(L367="",M367=""),"",M367-L367)</x:f>
      </x:c>
      <x:c r="O367" s="137" t="str"/>
      <x:c r="P367" s="137" t="str"/>
      <x:c r="Q367" s="137" t="str"/>
      <x:c r="R367" s="137" t="str"/>
      <x:c r="S367" s="137" t="str"/>
      <x:c r="T367" s="137" t="str"/>
      <x:c r="U367" s="137" t="str"/>
      <x:c r="V367" s="137" t="str"/>
    </x:row>
    <x:row r="368">
      <x:c r="A368" s="137" t="str"/>
      <x:c r="B368" s="199" t="str"/>
      <x:c r="C368" s="137" t="str"/>
      <x:c r="D368" s="137" t="str"/>
      <x:c r="E368" s="137" t="str"/>
      <x:c r="F368" s="137" t="str"/>
      <x:c r="G368" s="137" t="str"/>
      <x:c r="H368" s="137" t="str"/>
      <x:c r="I368" s="137" t="str"/>
      <x:c r="J368" s="137" t="str"/>
      <x:c r="K368" s="137" t="str"/>
      <x:c r="L368" s="138" t="str"/>
      <x:c r="M368" s="138" t="str"/>
      <x:c r="N368" s="196" t="str">
        <x:f>IF(OR(L368="",M368=""),"",M368-L368)</x:f>
      </x:c>
      <x:c r="O368" s="137" t="str"/>
      <x:c r="P368" s="137" t="str"/>
      <x:c r="Q368" s="137" t="str"/>
      <x:c r="R368" s="137" t="str"/>
      <x:c r="S368" s="137" t="str"/>
      <x:c r="T368" s="137" t="str"/>
      <x:c r="U368" s="137" t="str"/>
      <x:c r="V368" s="137" t="str"/>
    </x:row>
    <x:row r="369">
      <x:c r="A369" s="137" t="str"/>
      <x:c r="B369" s="199" t="str"/>
      <x:c r="C369" s="137" t="str"/>
      <x:c r="D369" s="137" t="str"/>
      <x:c r="E369" s="137" t="str"/>
      <x:c r="F369" s="137" t="str"/>
      <x:c r="G369" s="137" t="str"/>
      <x:c r="H369" s="137" t="str"/>
      <x:c r="I369" s="137" t="str"/>
      <x:c r="J369" s="137" t="str"/>
      <x:c r="K369" s="137" t="str"/>
      <x:c r="L369" s="138" t="str"/>
      <x:c r="M369" s="138" t="str"/>
      <x:c r="N369" s="196" t="str">
        <x:f>IF(OR(L369="",M369=""),"",M369-L369)</x:f>
      </x:c>
      <x:c r="O369" s="137" t="str"/>
      <x:c r="P369" s="137" t="str"/>
      <x:c r="Q369" s="137" t="str"/>
      <x:c r="R369" s="137" t="str"/>
      <x:c r="S369" s="137" t="str"/>
      <x:c r="T369" s="137" t="str"/>
      <x:c r="U369" s="137" t="str"/>
      <x:c r="V369" s="137" t="str"/>
    </x:row>
    <x:row r="370">
      <x:c r="A370" s="137" t="str"/>
      <x:c r="B370" s="199" t="str"/>
      <x:c r="C370" s="137" t="str"/>
      <x:c r="D370" s="137" t="str"/>
      <x:c r="E370" s="137" t="str"/>
      <x:c r="F370" s="137" t="str"/>
      <x:c r="G370" s="137" t="str"/>
      <x:c r="H370" s="137" t="str"/>
      <x:c r="I370" s="137" t="str"/>
      <x:c r="J370" s="137" t="str"/>
      <x:c r="K370" s="137" t="str"/>
      <x:c r="L370" s="138" t="str"/>
      <x:c r="M370" s="138" t="str"/>
      <x:c r="N370" s="196" t="str">
        <x:f>IF(OR(L370="",M370=""),"",M370-L370)</x:f>
      </x:c>
      <x:c r="O370" s="137" t="str"/>
      <x:c r="P370" s="137" t="str"/>
      <x:c r="Q370" s="137" t="str"/>
      <x:c r="R370" s="137" t="str"/>
      <x:c r="S370" s="137" t="str"/>
      <x:c r="T370" s="137" t="str"/>
      <x:c r="U370" s="137" t="str"/>
      <x:c r="V370" s="137" t="str"/>
    </x:row>
    <x:row r="371">
      <x:c r="A371" s="137" t="str"/>
      <x:c r="B371" s="199" t="str"/>
      <x:c r="C371" s="137" t="str"/>
      <x:c r="D371" s="137" t="str"/>
      <x:c r="E371" s="137" t="str"/>
      <x:c r="F371" s="137" t="str"/>
      <x:c r="G371" s="137" t="str"/>
      <x:c r="H371" s="137" t="str"/>
      <x:c r="I371" s="137" t="str"/>
      <x:c r="J371" s="137" t="str"/>
      <x:c r="K371" s="137" t="str"/>
      <x:c r="L371" s="138" t="str"/>
      <x:c r="M371" s="138" t="str"/>
      <x:c r="N371" s="196" t="str">
        <x:f>IF(OR(L371="",M371=""),"",M371-L371)</x:f>
      </x:c>
      <x:c r="O371" s="137" t="str"/>
      <x:c r="P371" s="137" t="str"/>
      <x:c r="Q371" s="137" t="str"/>
      <x:c r="R371" s="137" t="str"/>
      <x:c r="S371" s="137" t="str"/>
      <x:c r="T371" s="137" t="str"/>
      <x:c r="U371" s="137" t="str"/>
      <x:c r="V371" s="137" t="str"/>
    </x:row>
    <x:row r="372">
      <x:c r="A372" s="137" t="str"/>
      <x:c r="B372" s="199" t="str"/>
      <x:c r="C372" s="137" t="str"/>
      <x:c r="D372" s="137" t="str"/>
      <x:c r="E372" s="137" t="str"/>
      <x:c r="F372" s="137" t="str"/>
      <x:c r="G372" s="137" t="str"/>
      <x:c r="H372" s="137" t="str"/>
      <x:c r="I372" s="137" t="str"/>
      <x:c r="J372" s="137" t="str"/>
      <x:c r="K372" s="137" t="str"/>
      <x:c r="L372" s="138" t="str"/>
      <x:c r="M372" s="138" t="str"/>
      <x:c r="N372" s="196" t="str">
        <x:f>IF(OR(L372="",M372=""),"",M372-L372)</x:f>
      </x:c>
      <x:c r="O372" s="137" t="str"/>
      <x:c r="P372" s="137" t="str"/>
      <x:c r="Q372" s="137" t="str"/>
      <x:c r="R372" s="137" t="str"/>
      <x:c r="S372" s="137" t="str"/>
      <x:c r="T372" s="137" t="str"/>
      <x:c r="U372" s="137" t="str"/>
      <x:c r="V372" s="137" t="str"/>
    </x:row>
    <x:row r="373">
      <x:c r="A373" s="137" t="str"/>
      <x:c r="B373" s="199" t="str"/>
      <x:c r="C373" s="137" t="str"/>
      <x:c r="D373" s="137" t="str"/>
      <x:c r="E373" s="137" t="str"/>
      <x:c r="F373" s="137" t="str"/>
      <x:c r="G373" s="137" t="str"/>
      <x:c r="H373" s="137" t="str"/>
      <x:c r="I373" s="137" t="str"/>
      <x:c r="J373" s="137" t="str"/>
      <x:c r="K373" s="137" t="str"/>
      <x:c r="L373" s="138" t="str"/>
      <x:c r="M373" s="138" t="str"/>
      <x:c r="N373" s="196" t="str">
        <x:f>IF(OR(L373="",M373=""),"",M373-L373)</x:f>
      </x:c>
      <x:c r="O373" s="137" t="str"/>
      <x:c r="P373" s="137" t="str"/>
      <x:c r="Q373" s="137" t="str"/>
      <x:c r="R373" s="137" t="str"/>
      <x:c r="S373" s="137" t="str"/>
      <x:c r="T373" s="137" t="str"/>
      <x:c r="U373" s="137" t="str"/>
      <x:c r="V373" s="137" t="str"/>
    </x:row>
    <x:row r="374">
      <x:c r="A374" s="137" t="str"/>
      <x:c r="B374" s="199" t="str"/>
      <x:c r="C374" s="137" t="str"/>
      <x:c r="D374" s="137" t="str"/>
      <x:c r="E374" s="137" t="str"/>
      <x:c r="F374" s="137" t="str"/>
      <x:c r="G374" s="137" t="str"/>
      <x:c r="H374" s="137" t="str"/>
      <x:c r="I374" s="137" t="str"/>
      <x:c r="J374" s="137" t="str"/>
      <x:c r="K374" s="137" t="str"/>
      <x:c r="L374" s="138" t="str"/>
      <x:c r="M374" s="138" t="str"/>
      <x:c r="N374" s="196" t="str">
        <x:f>IF(OR(L374="",M374=""),"",M374-L374)</x:f>
      </x:c>
      <x:c r="O374" s="137" t="str"/>
      <x:c r="P374" s="137" t="str"/>
      <x:c r="Q374" s="137" t="str"/>
      <x:c r="R374" s="137" t="str"/>
      <x:c r="S374" s="137" t="str"/>
      <x:c r="T374" s="137" t="str"/>
      <x:c r="U374" s="137" t="str"/>
      <x:c r="V374" s="137" t="str"/>
    </x:row>
    <x:row r="375">
      <x:c r="A375" s="137" t="str"/>
      <x:c r="B375" s="199" t="str"/>
      <x:c r="C375" s="137" t="str"/>
      <x:c r="D375" s="137" t="str"/>
      <x:c r="E375" s="137" t="str"/>
      <x:c r="F375" s="137" t="str"/>
      <x:c r="G375" s="137" t="str"/>
      <x:c r="H375" s="137" t="str"/>
      <x:c r="I375" s="137" t="str"/>
      <x:c r="J375" s="137" t="str"/>
      <x:c r="K375" s="137" t="str"/>
      <x:c r="L375" s="138" t="str"/>
      <x:c r="M375" s="138" t="str"/>
      <x:c r="N375" s="196" t="str">
        <x:f>IF(OR(L375="",M375=""),"",M375-L375)</x:f>
      </x:c>
      <x:c r="O375" s="137" t="str"/>
      <x:c r="P375" s="137" t="str"/>
      <x:c r="Q375" s="137" t="str"/>
      <x:c r="R375" s="137" t="str"/>
      <x:c r="S375" s="137" t="str"/>
      <x:c r="T375" s="137" t="str"/>
      <x:c r="U375" s="137" t="str"/>
      <x:c r="V375" s="137" t="str"/>
    </x:row>
    <x:row r="376">
      <x:c r="A376" s="137" t="str"/>
      <x:c r="B376" s="199" t="str"/>
      <x:c r="C376" s="137" t="str"/>
      <x:c r="D376" s="137" t="str"/>
      <x:c r="E376" s="137" t="str"/>
      <x:c r="F376" s="137" t="str"/>
      <x:c r="G376" s="137" t="str"/>
      <x:c r="H376" s="137" t="str"/>
      <x:c r="I376" s="137" t="str"/>
      <x:c r="J376" s="137" t="str"/>
      <x:c r="K376" s="137" t="str"/>
      <x:c r="L376" s="138" t="str"/>
      <x:c r="M376" s="138" t="str"/>
      <x:c r="N376" s="196" t="str">
        <x:f>IF(OR(L376="",M376=""),"",M376-L376)</x:f>
      </x:c>
      <x:c r="O376" s="137" t="str"/>
      <x:c r="P376" s="137" t="str"/>
      <x:c r="Q376" s="137" t="str"/>
      <x:c r="R376" s="137" t="str"/>
      <x:c r="S376" s="137" t="str"/>
      <x:c r="T376" s="137" t="str"/>
      <x:c r="U376" s="137" t="str"/>
      <x:c r="V376" s="137" t="str"/>
    </x:row>
    <x:row r="377">
      <x:c r="A377" s="137" t="str"/>
      <x:c r="B377" s="199" t="str"/>
      <x:c r="C377" s="137" t="str"/>
      <x:c r="D377" s="137" t="str"/>
      <x:c r="E377" s="137" t="str"/>
      <x:c r="F377" s="137" t="str"/>
      <x:c r="G377" s="137" t="str"/>
      <x:c r="H377" s="137" t="str"/>
      <x:c r="I377" s="137" t="str"/>
      <x:c r="J377" s="137" t="str"/>
      <x:c r="K377" s="137" t="str"/>
      <x:c r="L377" s="138" t="str"/>
      <x:c r="M377" s="138" t="str"/>
      <x:c r="N377" s="196" t="str">
        <x:f>IF(OR(L377="",M377=""),"",M377-L377)</x:f>
      </x:c>
      <x:c r="O377" s="137" t="str"/>
      <x:c r="P377" s="137" t="str"/>
      <x:c r="Q377" s="137" t="str"/>
      <x:c r="R377" s="137" t="str"/>
      <x:c r="S377" s="137" t="str"/>
      <x:c r="T377" s="137" t="str"/>
      <x:c r="U377" s="137" t="str"/>
      <x:c r="V377" s="137" t="str"/>
    </x:row>
    <x:row r="378">
      <x:c r="A378" s="137" t="str"/>
      <x:c r="B378" s="199" t="str"/>
      <x:c r="C378" s="137" t="str"/>
      <x:c r="D378" s="137" t="str"/>
      <x:c r="E378" s="137" t="str"/>
      <x:c r="F378" s="137" t="str"/>
      <x:c r="G378" s="137" t="str"/>
      <x:c r="H378" s="137" t="str"/>
      <x:c r="I378" s="137" t="str"/>
      <x:c r="J378" s="137" t="str"/>
      <x:c r="K378" s="137" t="str"/>
      <x:c r="L378" s="138" t="str"/>
      <x:c r="M378" s="138" t="str"/>
      <x:c r="N378" s="196" t="str">
        <x:f>IF(OR(L378="",M378=""),"",M378-L378)</x:f>
      </x:c>
      <x:c r="O378" s="137" t="str"/>
      <x:c r="P378" s="137" t="str"/>
      <x:c r="Q378" s="137" t="str"/>
      <x:c r="R378" s="137" t="str"/>
      <x:c r="S378" s="137" t="str"/>
      <x:c r="T378" s="137" t="str"/>
      <x:c r="U378" s="137" t="str"/>
      <x:c r="V378" s="137" t="str"/>
    </x:row>
    <x:row r="379">
      <x:c r="A379" s="137" t="str"/>
      <x:c r="B379" s="199" t="str"/>
      <x:c r="C379" s="137" t="str"/>
      <x:c r="D379" s="137" t="str"/>
      <x:c r="E379" s="137" t="str"/>
      <x:c r="F379" s="137" t="str"/>
      <x:c r="G379" s="137" t="str"/>
      <x:c r="H379" s="137" t="str"/>
      <x:c r="I379" s="137" t="str"/>
      <x:c r="J379" s="137" t="str"/>
      <x:c r="K379" s="137" t="str"/>
      <x:c r="L379" s="138" t="str"/>
      <x:c r="M379" s="138" t="str"/>
      <x:c r="N379" s="196" t="str">
        <x:f>IF(OR(L379="",M379=""),"",M379-L379)</x:f>
      </x:c>
      <x:c r="O379" s="137" t="str"/>
      <x:c r="P379" s="137" t="str"/>
      <x:c r="Q379" s="137" t="str"/>
      <x:c r="R379" s="137" t="str"/>
      <x:c r="S379" s="137" t="str"/>
      <x:c r="T379" s="137" t="str"/>
      <x:c r="U379" s="137" t="str"/>
      <x:c r="V379" s="137" t="str"/>
    </x:row>
    <x:row r="380">
      <x:c r="A380" s="137" t="str"/>
      <x:c r="B380" s="199" t="str"/>
      <x:c r="C380" s="137" t="str"/>
      <x:c r="D380" s="137" t="str"/>
      <x:c r="E380" s="137" t="str"/>
      <x:c r="F380" s="137" t="str"/>
      <x:c r="G380" s="137" t="str"/>
      <x:c r="H380" s="137" t="str"/>
      <x:c r="I380" s="137" t="str"/>
      <x:c r="J380" s="137" t="str"/>
      <x:c r="K380" s="137" t="str"/>
      <x:c r="L380" s="138" t="str"/>
      <x:c r="M380" s="138" t="str"/>
      <x:c r="N380" s="196" t="str">
        <x:f>IF(OR(L380="",M380=""),"",M380-L380)</x:f>
      </x:c>
      <x:c r="O380" s="137" t="str"/>
      <x:c r="P380" s="137" t="str"/>
      <x:c r="Q380" s="137" t="str"/>
      <x:c r="R380" s="137" t="str"/>
      <x:c r="S380" s="137" t="str"/>
      <x:c r="T380" s="137" t="str"/>
      <x:c r="U380" s="137" t="str"/>
      <x:c r="V380" s="137" t="str"/>
    </x:row>
    <x:row r="381">
      <x:c r="A381" s="137" t="str"/>
      <x:c r="B381" s="199" t="str"/>
      <x:c r="C381" s="137" t="str"/>
      <x:c r="D381" s="137" t="str"/>
      <x:c r="E381" s="137" t="str"/>
      <x:c r="F381" s="137" t="str"/>
      <x:c r="G381" s="137" t="str"/>
      <x:c r="H381" s="137" t="str"/>
      <x:c r="I381" s="137" t="str"/>
      <x:c r="J381" s="137" t="str"/>
      <x:c r="K381" s="137" t="str"/>
      <x:c r="L381" s="138" t="str"/>
      <x:c r="M381" s="138" t="str"/>
      <x:c r="N381" s="196" t="str">
        <x:f>IF(OR(L381="",M381=""),"",M381-L381)</x:f>
      </x:c>
      <x:c r="O381" s="137" t="str"/>
      <x:c r="P381" s="137" t="str"/>
      <x:c r="Q381" s="137" t="str"/>
      <x:c r="R381" s="137" t="str"/>
      <x:c r="S381" s="137" t="str"/>
      <x:c r="T381" s="137" t="str"/>
      <x:c r="U381" s="137" t="str"/>
      <x:c r="V381" s="137" t="str"/>
    </x:row>
    <x:row r="382">
      <x:c r="A382" s="137" t="str"/>
      <x:c r="B382" s="199" t="str"/>
      <x:c r="C382" s="137" t="str"/>
      <x:c r="D382" s="137" t="str"/>
      <x:c r="E382" s="137" t="str"/>
      <x:c r="F382" s="137" t="str"/>
      <x:c r="G382" s="137" t="str"/>
      <x:c r="H382" s="137" t="str"/>
      <x:c r="I382" s="137" t="str"/>
      <x:c r="J382" s="137" t="str"/>
      <x:c r="K382" s="137" t="str"/>
      <x:c r="L382" s="138" t="str"/>
      <x:c r="M382" s="138" t="str"/>
      <x:c r="N382" s="196" t="str">
        <x:f>IF(OR(L382="",M382=""),"",M382-L382)</x:f>
      </x:c>
      <x:c r="O382" s="137" t="str"/>
      <x:c r="P382" s="137" t="str"/>
      <x:c r="Q382" s="137" t="str"/>
      <x:c r="R382" s="137" t="str"/>
      <x:c r="S382" s="137" t="str"/>
      <x:c r="T382" s="137" t="str"/>
      <x:c r="U382" s="137" t="str"/>
      <x:c r="V382" s="137" t="str"/>
    </x:row>
    <x:row r="383">
      <x:c r="A383" s="137" t="str"/>
      <x:c r="B383" s="199" t="str"/>
      <x:c r="C383" s="137" t="str"/>
      <x:c r="D383" s="137" t="str"/>
      <x:c r="E383" s="137" t="str"/>
      <x:c r="F383" s="137" t="str"/>
      <x:c r="G383" s="137" t="str"/>
      <x:c r="H383" s="137" t="str"/>
      <x:c r="I383" s="137" t="str"/>
      <x:c r="J383" s="137" t="str"/>
      <x:c r="K383" s="137" t="str"/>
      <x:c r="L383" s="138" t="str"/>
      <x:c r="M383" s="138" t="str"/>
      <x:c r="N383" s="196" t="str">
        <x:f>IF(OR(L383="",M383=""),"",M383-L383)</x:f>
      </x:c>
      <x:c r="O383" s="137" t="str"/>
      <x:c r="P383" s="137" t="str"/>
      <x:c r="Q383" s="137" t="str"/>
      <x:c r="R383" s="137" t="str"/>
      <x:c r="S383" s="137" t="str"/>
      <x:c r="T383" s="137" t="str"/>
      <x:c r="U383" s="137" t="str"/>
      <x:c r="V383" s="137" t="str"/>
    </x:row>
    <x:row r="384">
      <x:c r="A384" s="137" t="str"/>
      <x:c r="B384" s="199" t="str"/>
      <x:c r="C384" s="137" t="str"/>
      <x:c r="D384" s="137" t="str"/>
      <x:c r="E384" s="137" t="str"/>
      <x:c r="F384" s="137" t="str"/>
      <x:c r="G384" s="137" t="str"/>
      <x:c r="H384" s="137" t="str"/>
      <x:c r="I384" s="137" t="str"/>
      <x:c r="J384" s="137" t="str"/>
      <x:c r="K384" s="137" t="str"/>
      <x:c r="L384" s="138" t="str"/>
      <x:c r="M384" s="138" t="str"/>
      <x:c r="N384" s="196" t="str">
        <x:f>IF(OR(L384="",M384=""),"",M384-L384)</x:f>
      </x:c>
      <x:c r="O384" s="137" t="str"/>
      <x:c r="P384" s="137" t="str"/>
      <x:c r="Q384" s="137" t="str"/>
      <x:c r="R384" s="137" t="str"/>
      <x:c r="S384" s="137" t="str"/>
      <x:c r="T384" s="137" t="str"/>
      <x:c r="U384" s="137" t="str"/>
      <x:c r="V384" s="137" t="str"/>
    </x:row>
    <x:row r="385">
      <x:c r="A385" s="137" t="str"/>
      <x:c r="B385" s="199" t="str"/>
      <x:c r="C385" s="137" t="str"/>
      <x:c r="D385" s="137" t="str"/>
      <x:c r="E385" s="137" t="str"/>
      <x:c r="F385" s="137" t="str"/>
      <x:c r="G385" s="137" t="str"/>
      <x:c r="H385" s="137" t="str"/>
      <x:c r="I385" s="137" t="str"/>
      <x:c r="J385" s="137" t="str"/>
      <x:c r="K385" s="137" t="str"/>
      <x:c r="L385" s="138" t="str"/>
      <x:c r="M385" s="138" t="str"/>
      <x:c r="N385" s="196" t="str">
        <x:f>IF(OR(L385="",M385=""),"",M385-L385)</x:f>
      </x:c>
      <x:c r="O385" s="137" t="str"/>
      <x:c r="P385" s="137" t="str"/>
      <x:c r="Q385" s="137" t="str"/>
      <x:c r="R385" s="137" t="str"/>
      <x:c r="S385" s="137" t="str"/>
      <x:c r="T385" s="137" t="str"/>
      <x:c r="U385" s="137" t="str"/>
      <x:c r="V385" s="137" t="str"/>
    </x:row>
    <x:row r="386">
      <x:c r="A386" s="137" t="str"/>
      <x:c r="B386" s="199" t="str"/>
      <x:c r="C386" s="137" t="str"/>
      <x:c r="D386" s="137" t="str"/>
      <x:c r="E386" s="137" t="str"/>
      <x:c r="F386" s="137" t="str"/>
      <x:c r="G386" s="137" t="str"/>
      <x:c r="H386" s="137" t="str"/>
      <x:c r="I386" s="137" t="str"/>
      <x:c r="J386" s="137" t="str"/>
      <x:c r="K386" s="137" t="str"/>
      <x:c r="L386" s="138" t="str"/>
      <x:c r="M386" s="138" t="str"/>
      <x:c r="N386" s="196" t="str">
        <x:f>IF(OR(L386="",M386=""),"",M386-L386)</x:f>
      </x:c>
      <x:c r="O386" s="137" t="str"/>
      <x:c r="P386" s="137" t="str"/>
      <x:c r="Q386" s="137" t="str"/>
      <x:c r="R386" s="137" t="str"/>
      <x:c r="S386" s="137" t="str"/>
      <x:c r="T386" s="137" t="str"/>
      <x:c r="U386" s="137" t="str"/>
      <x:c r="V386" s="137" t="str"/>
    </x:row>
    <x:row r="387">
      <x:c r="A387" s="137" t="str"/>
      <x:c r="B387" s="199" t="str"/>
      <x:c r="C387" s="137" t="str"/>
      <x:c r="D387" s="137" t="str"/>
      <x:c r="E387" s="137" t="str"/>
      <x:c r="F387" s="137" t="str"/>
      <x:c r="G387" s="137" t="str"/>
      <x:c r="H387" s="137" t="str"/>
      <x:c r="I387" s="137" t="str"/>
      <x:c r="J387" s="137" t="str"/>
      <x:c r="K387" s="137" t="str"/>
      <x:c r="L387" s="138" t="str"/>
      <x:c r="M387" s="138" t="str"/>
      <x:c r="N387" s="196" t="str">
        <x:f>IF(OR(L387="",M387=""),"",M387-L387)</x:f>
      </x:c>
      <x:c r="O387" s="137" t="str"/>
      <x:c r="P387" s="137" t="str"/>
      <x:c r="Q387" s="137" t="str"/>
      <x:c r="R387" s="137" t="str"/>
      <x:c r="S387" s="137" t="str"/>
      <x:c r="T387" s="137" t="str"/>
      <x:c r="U387" s="137" t="str"/>
      <x:c r="V387" s="137" t="str"/>
    </x:row>
    <x:row r="388">
      <x:c r="A388" s="137" t="str"/>
      <x:c r="B388" s="199" t="str"/>
      <x:c r="C388" s="137" t="str"/>
      <x:c r="D388" s="137" t="str"/>
      <x:c r="E388" s="137" t="str"/>
      <x:c r="F388" s="137" t="str"/>
      <x:c r="G388" s="137" t="str"/>
      <x:c r="H388" s="137" t="str"/>
      <x:c r="I388" s="137" t="str"/>
      <x:c r="J388" s="137" t="str"/>
      <x:c r="K388" s="137" t="str"/>
      <x:c r="L388" s="138" t="str"/>
      <x:c r="M388" s="138" t="str"/>
      <x:c r="N388" s="196" t="str">
        <x:f>IF(OR(L388="",M388=""),"",M388-L388)</x:f>
      </x:c>
      <x:c r="O388" s="137" t="str"/>
      <x:c r="P388" s="137" t="str"/>
      <x:c r="Q388" s="137" t="str"/>
      <x:c r="R388" s="137" t="str"/>
      <x:c r="S388" s="137" t="str"/>
      <x:c r="T388" s="137" t="str"/>
      <x:c r="U388" s="137" t="str"/>
      <x:c r="V388" s="137" t="str"/>
    </x:row>
    <x:row r="389">
      <x:c r="A389" s="137" t="str"/>
      <x:c r="B389" s="199" t="str"/>
      <x:c r="C389" s="137" t="str"/>
      <x:c r="D389" s="137" t="str"/>
      <x:c r="E389" s="137" t="str"/>
      <x:c r="F389" s="137" t="str"/>
      <x:c r="G389" s="137" t="str"/>
      <x:c r="H389" s="137" t="str"/>
      <x:c r="I389" s="137" t="str"/>
      <x:c r="J389" s="137" t="str"/>
      <x:c r="K389" s="137" t="str"/>
      <x:c r="L389" s="138" t="str"/>
      <x:c r="M389" s="138" t="str"/>
      <x:c r="N389" s="196" t="str">
        <x:f>IF(OR(L389="",M389=""),"",M389-L389)</x:f>
      </x:c>
      <x:c r="O389" s="137" t="str"/>
      <x:c r="P389" s="137" t="str"/>
      <x:c r="Q389" s="137" t="str"/>
      <x:c r="R389" s="137" t="str"/>
      <x:c r="S389" s="137" t="str"/>
      <x:c r="T389" s="137" t="str"/>
      <x:c r="U389" s="137" t="str"/>
      <x:c r="V389" s="137" t="str"/>
    </x:row>
    <x:row r="390">
      <x:c r="A390" s="137" t="str"/>
      <x:c r="B390" s="199" t="str"/>
      <x:c r="C390" s="137" t="str"/>
      <x:c r="D390" s="137" t="str"/>
      <x:c r="E390" s="137" t="str"/>
      <x:c r="F390" s="137" t="str"/>
      <x:c r="G390" s="137" t="str"/>
      <x:c r="H390" s="137" t="str"/>
      <x:c r="I390" s="137" t="str"/>
      <x:c r="J390" s="137" t="str"/>
      <x:c r="K390" s="137" t="str"/>
      <x:c r="L390" s="138" t="str"/>
      <x:c r="M390" s="138" t="str"/>
      <x:c r="N390" s="196" t="str">
        <x:f>IF(OR(L390="",M390=""),"",M390-L390)</x:f>
      </x:c>
      <x:c r="O390" s="137" t="str"/>
      <x:c r="P390" s="137" t="str"/>
      <x:c r="Q390" s="137" t="str"/>
      <x:c r="R390" s="137" t="str"/>
      <x:c r="S390" s="137" t="str"/>
      <x:c r="T390" s="137" t="str"/>
      <x:c r="U390" s="137" t="str"/>
      <x:c r="V390" s="137" t="str"/>
    </x:row>
    <x:row r="391">
      <x:c r="A391" s="137" t="str"/>
      <x:c r="B391" s="199" t="str"/>
      <x:c r="C391" s="137" t="str"/>
      <x:c r="D391" s="137" t="str"/>
      <x:c r="E391" s="137" t="str"/>
      <x:c r="F391" s="137" t="str"/>
      <x:c r="G391" s="137" t="str"/>
      <x:c r="H391" s="137" t="str"/>
      <x:c r="I391" s="137" t="str"/>
      <x:c r="J391" s="137" t="str"/>
      <x:c r="K391" s="137" t="str"/>
      <x:c r="L391" s="138" t="str"/>
      <x:c r="M391" s="138" t="str"/>
      <x:c r="N391" s="196" t="str">
        <x:f>IF(OR(L391="",M391=""),"",M391-L391)</x:f>
      </x:c>
      <x:c r="O391" s="137" t="str"/>
      <x:c r="P391" s="137" t="str"/>
      <x:c r="Q391" s="137" t="str"/>
      <x:c r="R391" s="137" t="str"/>
      <x:c r="S391" s="137" t="str"/>
      <x:c r="T391" s="137" t="str"/>
      <x:c r="U391" s="137" t="str"/>
      <x:c r="V391" s="137" t="str"/>
    </x:row>
    <x:row r="392">
      <x:c r="A392" s="137" t="str"/>
      <x:c r="B392" s="199" t="str"/>
      <x:c r="C392" s="137" t="str"/>
      <x:c r="D392" s="137" t="str"/>
      <x:c r="E392" s="137" t="str"/>
      <x:c r="F392" s="137" t="str"/>
      <x:c r="G392" s="137" t="str"/>
      <x:c r="H392" s="137" t="str"/>
      <x:c r="I392" s="137" t="str"/>
      <x:c r="J392" s="137" t="str"/>
      <x:c r="K392" s="137" t="str"/>
      <x:c r="L392" s="138" t="str"/>
      <x:c r="M392" s="138" t="str"/>
      <x:c r="N392" s="196" t="str">
        <x:f>IF(OR(L392="",M392=""),"",M392-L392)</x:f>
      </x:c>
      <x:c r="O392" s="137" t="str"/>
      <x:c r="P392" s="137" t="str"/>
      <x:c r="Q392" s="137" t="str"/>
      <x:c r="R392" s="137" t="str"/>
      <x:c r="S392" s="137" t="str"/>
      <x:c r="T392" s="137" t="str"/>
      <x:c r="U392" s="137" t="str"/>
      <x:c r="V392" s="137" t="str"/>
    </x:row>
    <x:row r="393">
      <x:c r="A393" s="137" t="str"/>
      <x:c r="B393" s="199" t="str"/>
      <x:c r="C393" s="137" t="str"/>
      <x:c r="D393" s="137" t="str"/>
      <x:c r="E393" s="137" t="str"/>
      <x:c r="F393" s="137" t="str"/>
      <x:c r="G393" s="137" t="str"/>
      <x:c r="H393" s="137" t="str"/>
      <x:c r="I393" s="137" t="str"/>
      <x:c r="J393" s="137" t="str"/>
      <x:c r="K393" s="137" t="str"/>
      <x:c r="L393" s="138" t="str"/>
      <x:c r="M393" s="138" t="str"/>
      <x:c r="N393" s="196" t="str">
        <x:f>IF(OR(L393="",M393=""),"",M393-L393)</x:f>
      </x:c>
      <x:c r="O393" s="137" t="str"/>
      <x:c r="P393" s="137" t="str"/>
      <x:c r="Q393" s="137" t="str"/>
      <x:c r="R393" s="137" t="str"/>
      <x:c r="S393" s="137" t="str"/>
      <x:c r="T393" s="137" t="str"/>
      <x:c r="U393" s="137" t="str"/>
      <x:c r="V393" s="137" t="str"/>
    </x:row>
    <x:row r="394">
      <x:c r="A394" s="137" t="str"/>
      <x:c r="B394" s="199" t="str"/>
      <x:c r="C394" s="137" t="str"/>
      <x:c r="D394" s="137" t="str"/>
      <x:c r="E394" s="137" t="str"/>
      <x:c r="F394" s="137" t="str"/>
      <x:c r="G394" s="137" t="str"/>
      <x:c r="H394" s="137" t="str"/>
      <x:c r="I394" s="137" t="str"/>
      <x:c r="J394" s="137" t="str"/>
      <x:c r="K394" s="137" t="str"/>
      <x:c r="L394" s="138" t="str"/>
      <x:c r="M394" s="138" t="str"/>
      <x:c r="N394" s="196" t="str">
        <x:f>IF(OR(L394="",M394=""),"",M394-L394)</x:f>
      </x:c>
      <x:c r="O394" s="137" t="str"/>
      <x:c r="P394" s="137" t="str"/>
      <x:c r="Q394" s="137" t="str"/>
      <x:c r="R394" s="137" t="str"/>
      <x:c r="S394" s="137" t="str"/>
      <x:c r="T394" s="137" t="str"/>
      <x:c r="U394" s="137" t="str"/>
      <x:c r="V394" s="137" t="str"/>
    </x:row>
    <x:row r="395">
      <x:c r="A395" s="137" t="str"/>
      <x:c r="B395" s="199" t="str"/>
      <x:c r="C395" s="137" t="str"/>
      <x:c r="D395" s="137" t="str"/>
      <x:c r="E395" s="137" t="str"/>
      <x:c r="F395" s="137" t="str"/>
      <x:c r="G395" s="137" t="str"/>
      <x:c r="H395" s="137" t="str"/>
      <x:c r="I395" s="137" t="str"/>
      <x:c r="J395" s="137" t="str"/>
      <x:c r="K395" s="137" t="str"/>
      <x:c r="L395" s="138" t="str"/>
      <x:c r="M395" s="138" t="str"/>
      <x:c r="N395" s="196" t="str">
        <x:f>IF(OR(L395="",M395=""),"",M395-L395)</x:f>
      </x:c>
      <x:c r="O395" s="137" t="str"/>
      <x:c r="P395" s="137" t="str"/>
      <x:c r="Q395" s="137" t="str"/>
      <x:c r="R395" s="137" t="str"/>
      <x:c r="S395" s="137" t="str"/>
      <x:c r="T395" s="137" t="str"/>
      <x:c r="U395" s="137" t="str"/>
      <x:c r="V395" s="137" t="str"/>
    </x:row>
    <x:row r="396">
      <x:c r="A396" s="137" t="str"/>
      <x:c r="B396" s="199" t="str"/>
      <x:c r="C396" s="137" t="str"/>
      <x:c r="D396" s="137" t="str"/>
      <x:c r="E396" s="137" t="str"/>
      <x:c r="F396" s="137" t="str"/>
      <x:c r="G396" s="137" t="str"/>
      <x:c r="H396" s="137" t="str"/>
      <x:c r="I396" s="137" t="str"/>
      <x:c r="J396" s="137" t="str"/>
      <x:c r="K396" s="137" t="str"/>
      <x:c r="L396" s="138" t="str"/>
      <x:c r="M396" s="138" t="str"/>
      <x:c r="N396" s="196" t="str">
        <x:f>IF(OR(L396="",M396=""),"",M396-L396)</x:f>
      </x:c>
      <x:c r="O396" s="137" t="str"/>
      <x:c r="P396" s="137" t="str"/>
      <x:c r="Q396" s="137" t="str"/>
      <x:c r="R396" s="137" t="str"/>
      <x:c r="S396" s="137" t="str"/>
      <x:c r="T396" s="137" t="str"/>
      <x:c r="U396" s="137" t="str"/>
      <x:c r="V396" s="137" t="str"/>
    </x:row>
    <x:row r="397">
      <x:c r="A397" s="137" t="str"/>
      <x:c r="B397" s="199" t="str"/>
      <x:c r="C397" s="137" t="str"/>
      <x:c r="D397" s="137" t="str"/>
      <x:c r="E397" s="137" t="str"/>
      <x:c r="F397" s="137" t="str"/>
      <x:c r="G397" s="137" t="str"/>
      <x:c r="H397" s="137" t="str"/>
      <x:c r="I397" s="137" t="str"/>
      <x:c r="J397" s="137" t="str"/>
      <x:c r="K397" s="137" t="str"/>
      <x:c r="L397" s="138" t="str"/>
      <x:c r="M397" s="138" t="str"/>
      <x:c r="N397" s="196" t="str">
        <x:f>IF(OR(L397="",M397=""),"",M397-L397)</x:f>
      </x:c>
      <x:c r="O397" s="137" t="str"/>
      <x:c r="P397" s="137" t="str"/>
      <x:c r="Q397" s="137" t="str"/>
      <x:c r="R397" s="137" t="str"/>
      <x:c r="S397" s="137" t="str"/>
      <x:c r="T397" s="137" t="str"/>
      <x:c r="U397" s="137" t="str"/>
      <x:c r="V397" s="137" t="str"/>
    </x:row>
    <x:row r="398">
      <x:c r="A398" s="137" t="str"/>
      <x:c r="B398" s="199" t="str"/>
      <x:c r="C398" s="137" t="str"/>
      <x:c r="D398" s="137" t="str"/>
      <x:c r="E398" s="137" t="str"/>
      <x:c r="F398" s="137" t="str"/>
      <x:c r="G398" s="137" t="str"/>
      <x:c r="H398" s="137" t="str"/>
      <x:c r="I398" s="137" t="str"/>
      <x:c r="J398" s="137" t="str"/>
      <x:c r="K398" s="137" t="str"/>
      <x:c r="L398" s="138" t="str"/>
      <x:c r="M398" s="138" t="str"/>
      <x:c r="N398" s="196" t="str">
        <x:f>IF(OR(L398="",M398=""),"",M398-L398)</x:f>
      </x:c>
      <x:c r="O398" s="137" t="str"/>
      <x:c r="P398" s="137" t="str"/>
      <x:c r="Q398" s="137" t="str"/>
      <x:c r="R398" s="137" t="str"/>
      <x:c r="S398" s="137" t="str"/>
      <x:c r="T398" s="137" t="str"/>
      <x:c r="U398" s="137" t="str"/>
      <x:c r="V398" s="137" t="str"/>
    </x:row>
    <x:row r="399">
      <x:c r="A399" s="137" t="str"/>
      <x:c r="B399" s="199" t="str"/>
      <x:c r="C399" s="137" t="str"/>
      <x:c r="D399" s="137" t="str"/>
      <x:c r="E399" s="137" t="str"/>
      <x:c r="F399" s="137" t="str"/>
      <x:c r="G399" s="137" t="str"/>
      <x:c r="H399" s="137" t="str"/>
      <x:c r="I399" s="137" t="str"/>
      <x:c r="J399" s="137" t="str"/>
      <x:c r="K399" s="137" t="str"/>
      <x:c r="L399" s="138" t="str"/>
      <x:c r="M399" s="138" t="str"/>
      <x:c r="N399" s="196" t="str">
        <x:f>IF(OR(L399="",M399=""),"",M399-L399)</x:f>
      </x:c>
      <x:c r="O399" s="137" t="str"/>
      <x:c r="P399" s="137" t="str"/>
      <x:c r="Q399" s="137" t="str"/>
      <x:c r="R399" s="137" t="str"/>
      <x:c r="S399" s="137" t="str"/>
      <x:c r="T399" s="137" t="str"/>
      <x:c r="U399" s="137" t="str"/>
      <x:c r="V399" s="137" t="str"/>
    </x:row>
    <x:row r="400">
      <x:c r="A400" s="137" t="str"/>
      <x:c r="B400" s="199" t="str"/>
      <x:c r="C400" s="137" t="str"/>
      <x:c r="D400" s="137" t="str"/>
      <x:c r="E400" s="137" t="str"/>
      <x:c r="F400" s="137" t="str"/>
      <x:c r="G400" s="137" t="str"/>
      <x:c r="H400" s="137" t="str"/>
      <x:c r="I400" s="137" t="str"/>
      <x:c r="J400" s="137" t="str"/>
      <x:c r="K400" s="137" t="str"/>
      <x:c r="L400" s="138" t="str"/>
      <x:c r="M400" s="138" t="str"/>
      <x:c r="N400" s="196" t="str">
        <x:f>IF(OR(L400="",M400=""),"",M400-L400)</x:f>
      </x:c>
      <x:c r="O400" s="137" t="str"/>
      <x:c r="P400" s="137" t="str"/>
      <x:c r="Q400" s="137" t="str"/>
      <x:c r="R400" s="137" t="str"/>
      <x:c r="S400" s="137" t="str"/>
      <x:c r="T400" s="137" t="str"/>
      <x:c r="U400" s="137" t="str"/>
      <x:c r="V400" s="137" t="str"/>
    </x:row>
    <x:row r="401">
      <x:c r="A401" s="137" t="str"/>
      <x:c r="B401" s="199" t="str"/>
      <x:c r="C401" s="137" t="str"/>
      <x:c r="D401" s="137" t="str"/>
      <x:c r="E401" s="137" t="str"/>
      <x:c r="F401" s="137" t="str"/>
      <x:c r="G401" s="137" t="str"/>
      <x:c r="H401" s="137" t="str"/>
      <x:c r="I401" s="137" t="str"/>
      <x:c r="J401" s="137" t="str"/>
      <x:c r="K401" s="137" t="str"/>
      <x:c r="L401" s="138" t="str"/>
      <x:c r="M401" s="138" t="str"/>
      <x:c r="N401" s="196" t="str">
        <x:f>IF(OR(L401="",M401=""),"",M401-L401)</x:f>
      </x:c>
      <x:c r="O401" s="137" t="str"/>
      <x:c r="P401" s="137" t="str"/>
      <x:c r="Q401" s="137" t="str"/>
      <x:c r="R401" s="137" t="str"/>
      <x:c r="S401" s="137" t="str"/>
      <x:c r="T401" s="137" t="str"/>
      <x:c r="U401" s="137" t="str"/>
      <x:c r="V401" s="137" t="str"/>
    </x:row>
    <x:row r="402">
      <x:c r="A402" s="137" t="str"/>
      <x:c r="B402" s="199" t="str"/>
      <x:c r="C402" s="137" t="str"/>
      <x:c r="D402" s="137" t="str"/>
      <x:c r="E402" s="137" t="str"/>
      <x:c r="F402" s="137" t="str"/>
      <x:c r="G402" s="137" t="str"/>
      <x:c r="H402" s="137" t="str"/>
      <x:c r="I402" s="137" t="str"/>
      <x:c r="J402" s="137" t="str"/>
      <x:c r="K402" s="137" t="str"/>
      <x:c r="L402" s="138" t="str"/>
      <x:c r="M402" s="138" t="str"/>
      <x:c r="N402" s="196" t="str">
        <x:f>IF(OR(L402="",M402=""),"",M402-L402)</x:f>
      </x:c>
      <x:c r="O402" s="137" t="str"/>
      <x:c r="P402" s="137" t="str"/>
      <x:c r="Q402" s="137" t="str"/>
      <x:c r="R402" s="137" t="str"/>
      <x:c r="S402" s="137" t="str"/>
      <x:c r="T402" s="137" t="str"/>
      <x:c r="U402" s="137" t="str"/>
      <x:c r="V402" s="137" t="str"/>
    </x:row>
    <x:row r="403">
      <x:c r="A403" s="137" t="str"/>
      <x:c r="B403" s="199" t="str"/>
      <x:c r="C403" s="137" t="str"/>
      <x:c r="D403" s="137" t="str"/>
      <x:c r="E403" s="137" t="str"/>
      <x:c r="F403" s="137" t="str"/>
      <x:c r="G403" s="137" t="str"/>
      <x:c r="H403" s="137" t="str"/>
      <x:c r="I403" s="137" t="str"/>
      <x:c r="J403" s="137" t="str"/>
      <x:c r="K403" s="137" t="str"/>
      <x:c r="L403" s="138" t="str"/>
      <x:c r="M403" s="138" t="str"/>
      <x:c r="N403" s="196" t="str">
        <x:f>IF(OR(L403="",M403=""),"",M403-L403)</x:f>
      </x:c>
      <x:c r="O403" s="137" t="str"/>
      <x:c r="P403" s="137" t="str"/>
      <x:c r="Q403" s="137" t="str"/>
      <x:c r="R403" s="137" t="str"/>
      <x:c r="S403" s="137" t="str"/>
      <x:c r="T403" s="137" t="str"/>
      <x:c r="U403" s="137" t="str"/>
      <x:c r="V403" s="137" t="str"/>
    </x:row>
    <x:row r="404">
      <x:c r="A404" s="137" t="str"/>
      <x:c r="B404" s="199" t="str"/>
      <x:c r="C404" s="137" t="str"/>
      <x:c r="D404" s="137" t="str"/>
      <x:c r="E404" s="137" t="str"/>
      <x:c r="F404" s="137" t="str"/>
      <x:c r="G404" s="137" t="str"/>
      <x:c r="H404" s="137" t="str"/>
      <x:c r="I404" s="137" t="str"/>
      <x:c r="J404" s="137" t="str"/>
      <x:c r="K404" s="137" t="str"/>
      <x:c r="L404" s="138" t="str"/>
      <x:c r="M404" s="138" t="str"/>
      <x:c r="N404" s="196" t="str">
        <x:f>IF(OR(L404="",M404=""),"",M404-L404)</x:f>
      </x:c>
      <x:c r="O404" s="137" t="str"/>
      <x:c r="P404" s="137" t="str"/>
      <x:c r="Q404" s="137" t="str"/>
      <x:c r="R404" s="137" t="str"/>
      <x:c r="S404" s="137" t="str"/>
      <x:c r="T404" s="137" t="str"/>
      <x:c r="U404" s="137" t="str"/>
      <x:c r="V404" s="137" t="str"/>
    </x:row>
    <x:row r="405">
      <x:c r="A405" s="137" t="str"/>
      <x:c r="B405" s="199" t="str"/>
      <x:c r="C405" s="137" t="str"/>
      <x:c r="D405" s="137" t="str"/>
      <x:c r="E405" s="137" t="str"/>
      <x:c r="F405" s="137" t="str"/>
      <x:c r="G405" s="137" t="str"/>
      <x:c r="H405" s="137" t="str"/>
      <x:c r="I405" s="137" t="str"/>
      <x:c r="J405" s="137" t="str"/>
      <x:c r="K405" s="137" t="str"/>
      <x:c r="L405" s="138" t="str"/>
      <x:c r="M405" s="138" t="str"/>
      <x:c r="N405" s="196" t="str">
        <x:f>IF(OR(L405="",M405=""),"",M405-L405)</x:f>
      </x:c>
      <x:c r="O405" s="137" t="str"/>
      <x:c r="P405" s="137" t="str"/>
      <x:c r="Q405" s="137" t="str"/>
      <x:c r="R405" s="137" t="str"/>
      <x:c r="S405" s="137" t="str"/>
      <x:c r="T405" s="137" t="str"/>
      <x:c r="U405" s="137" t="str"/>
      <x:c r="V405" s="137" t="str"/>
    </x:row>
    <x:row r="406">
      <x:c r="A406" s="137" t="str"/>
      <x:c r="B406" s="199" t="str"/>
      <x:c r="C406" s="137" t="str"/>
      <x:c r="D406" s="137" t="str"/>
      <x:c r="E406" s="137" t="str"/>
      <x:c r="F406" s="137" t="str"/>
      <x:c r="G406" s="137" t="str"/>
      <x:c r="H406" s="137" t="str"/>
      <x:c r="I406" s="137" t="str"/>
      <x:c r="J406" s="137" t="str"/>
      <x:c r="K406" s="137" t="str"/>
      <x:c r="L406" s="138" t="str"/>
      <x:c r="M406" s="138" t="str"/>
      <x:c r="N406" s="196" t="str">
        <x:f>IF(OR(L406="",M406=""),"",M406-L406)</x:f>
      </x:c>
      <x:c r="O406" s="137" t="str"/>
      <x:c r="P406" s="137" t="str"/>
      <x:c r="Q406" s="137" t="str"/>
      <x:c r="R406" s="137" t="str"/>
      <x:c r="S406" s="137" t="str"/>
      <x:c r="T406" s="137" t="str"/>
      <x:c r="U406" s="137" t="str"/>
      <x:c r="V406" s="137" t="str"/>
    </x:row>
    <x:row r="407">
      <x:c r="A407" s="137" t="str"/>
      <x:c r="B407" s="199" t="str"/>
      <x:c r="C407" s="137" t="str"/>
      <x:c r="D407" s="137" t="str"/>
      <x:c r="E407" s="137" t="str"/>
      <x:c r="F407" s="137" t="str"/>
      <x:c r="G407" s="137" t="str"/>
      <x:c r="H407" s="137" t="str"/>
      <x:c r="I407" s="137" t="str"/>
      <x:c r="J407" s="137" t="str"/>
      <x:c r="K407" s="137" t="str"/>
      <x:c r="L407" s="138" t="str"/>
      <x:c r="M407" s="138" t="str"/>
      <x:c r="N407" s="196" t="str">
        <x:f>IF(OR(L407="",M407=""),"",M407-L407)</x:f>
      </x:c>
      <x:c r="O407" s="137" t="str"/>
      <x:c r="P407" s="137" t="str"/>
      <x:c r="Q407" s="137" t="str"/>
      <x:c r="R407" s="137" t="str"/>
      <x:c r="S407" s="137" t="str"/>
      <x:c r="T407" s="137" t="str"/>
      <x:c r="U407" s="137" t="str"/>
      <x:c r="V407" s="137" t="str"/>
    </x:row>
    <x:row r="408">
      <x:c r="A408" s="137" t="str"/>
      <x:c r="B408" s="199" t="str"/>
      <x:c r="C408" s="137" t="str"/>
      <x:c r="D408" s="137" t="str"/>
      <x:c r="E408" s="137" t="str"/>
      <x:c r="F408" s="137" t="str"/>
      <x:c r="G408" s="137" t="str"/>
      <x:c r="H408" s="137" t="str"/>
      <x:c r="I408" s="137" t="str"/>
      <x:c r="J408" s="137" t="str"/>
      <x:c r="K408" s="137" t="str"/>
      <x:c r="L408" s="138" t="str"/>
      <x:c r="M408" s="138" t="str"/>
      <x:c r="N408" s="196" t="str">
        <x:f>IF(OR(L408="",M408=""),"",M408-L408)</x:f>
      </x:c>
      <x:c r="O408" s="137" t="str"/>
      <x:c r="P408" s="137" t="str"/>
      <x:c r="Q408" s="137" t="str"/>
      <x:c r="R408" s="137" t="str"/>
      <x:c r="S408" s="137" t="str"/>
      <x:c r="T408" s="137" t="str"/>
      <x:c r="U408" s="137" t="str"/>
      <x:c r="V408" s="137" t="str"/>
    </x:row>
    <x:row r="409">
      <x:c r="A409" s="137" t="str"/>
      <x:c r="B409" s="199" t="str"/>
      <x:c r="C409" s="137" t="str"/>
      <x:c r="D409" s="137" t="str"/>
      <x:c r="E409" s="137" t="str"/>
      <x:c r="F409" s="137" t="str"/>
      <x:c r="G409" s="137" t="str"/>
      <x:c r="H409" s="137" t="str"/>
      <x:c r="I409" s="137" t="str"/>
      <x:c r="J409" s="137" t="str"/>
      <x:c r="K409" s="137" t="str"/>
      <x:c r="L409" s="138" t="str"/>
      <x:c r="M409" s="138" t="str"/>
      <x:c r="N409" s="196" t="str">
        <x:f>IF(OR(L409="",M409=""),"",M409-L409)</x:f>
      </x:c>
      <x:c r="O409" s="137" t="str"/>
      <x:c r="P409" s="137" t="str"/>
      <x:c r="Q409" s="137" t="str"/>
      <x:c r="R409" s="137" t="str"/>
      <x:c r="S409" s="137" t="str"/>
      <x:c r="T409" s="137" t="str"/>
      <x:c r="U409" s="137" t="str"/>
      <x:c r="V409" s="137" t="str"/>
    </x:row>
    <x:row r="410">
      <x:c r="A410" s="137" t="str"/>
      <x:c r="B410" s="199" t="str"/>
      <x:c r="C410" s="137" t="str"/>
      <x:c r="D410" s="137" t="str"/>
      <x:c r="E410" s="137" t="str"/>
      <x:c r="F410" s="137" t="str"/>
      <x:c r="G410" s="137" t="str"/>
      <x:c r="H410" s="137" t="str"/>
      <x:c r="I410" s="137" t="str"/>
      <x:c r="J410" s="137" t="str"/>
      <x:c r="K410" s="137" t="str"/>
      <x:c r="L410" s="138" t="str"/>
      <x:c r="M410" s="138" t="str"/>
      <x:c r="N410" s="196" t="str">
        <x:f>IF(OR(L410="",M410=""),"",M410-L410)</x:f>
      </x:c>
      <x:c r="O410" s="137" t="str"/>
      <x:c r="P410" s="137" t="str"/>
      <x:c r="Q410" s="137" t="str"/>
      <x:c r="R410" s="137" t="str"/>
      <x:c r="S410" s="137" t="str"/>
      <x:c r="T410" s="137" t="str"/>
      <x:c r="U410" s="137" t="str"/>
      <x:c r="V410" s="137" t="str"/>
    </x:row>
    <x:row r="411">
      <x:c r="A411" s="137" t="str"/>
      <x:c r="B411" s="199" t="str"/>
      <x:c r="C411" s="137" t="str"/>
      <x:c r="D411" s="137" t="str"/>
      <x:c r="E411" s="137" t="str"/>
      <x:c r="F411" s="137" t="str"/>
      <x:c r="G411" s="137" t="str"/>
      <x:c r="H411" s="137" t="str"/>
      <x:c r="I411" s="137" t="str"/>
      <x:c r="J411" s="137" t="str"/>
      <x:c r="K411" s="137" t="str"/>
      <x:c r="L411" s="138" t="str"/>
      <x:c r="M411" s="138" t="str"/>
      <x:c r="N411" s="196" t="str">
        <x:f>IF(OR(L411="",M411=""),"",M411-L411)</x:f>
      </x:c>
      <x:c r="O411" s="137" t="str"/>
      <x:c r="P411" s="137" t="str"/>
      <x:c r="Q411" s="137" t="str"/>
      <x:c r="R411" s="137" t="str"/>
      <x:c r="S411" s="137" t="str"/>
      <x:c r="T411" s="137" t="str"/>
      <x:c r="U411" s="137" t="str"/>
      <x:c r="V411" s="137" t="str"/>
    </x:row>
    <x:row r="412">
      <x:c r="A412" s="137" t="str"/>
      <x:c r="B412" s="199" t="str"/>
      <x:c r="C412" s="137" t="str"/>
      <x:c r="D412" s="137" t="str"/>
      <x:c r="E412" s="137" t="str"/>
      <x:c r="F412" s="137" t="str"/>
      <x:c r="G412" s="137" t="str"/>
      <x:c r="H412" s="137" t="str"/>
      <x:c r="I412" s="137" t="str"/>
      <x:c r="J412" s="137" t="str"/>
      <x:c r="K412" s="137" t="str"/>
      <x:c r="L412" s="138" t="str"/>
      <x:c r="M412" s="138" t="str"/>
      <x:c r="N412" s="196" t="str">
        <x:f>IF(OR(L412="",M412=""),"",M412-L412)</x:f>
      </x:c>
      <x:c r="O412" s="137" t="str"/>
      <x:c r="P412" s="137" t="str"/>
      <x:c r="Q412" s="137" t="str"/>
      <x:c r="R412" s="137" t="str"/>
      <x:c r="S412" s="137" t="str"/>
      <x:c r="T412" s="137" t="str"/>
      <x:c r="U412" s="137" t="str"/>
      <x:c r="V412" s="137" t="str"/>
    </x:row>
    <x:row r="413">
      <x:c r="A413" s="137" t="str"/>
      <x:c r="B413" s="199" t="str"/>
      <x:c r="C413" s="137" t="str"/>
      <x:c r="D413" s="137" t="str"/>
      <x:c r="E413" s="137" t="str"/>
      <x:c r="F413" s="137" t="str"/>
      <x:c r="G413" s="137" t="str"/>
      <x:c r="H413" s="137" t="str"/>
      <x:c r="I413" s="137" t="str"/>
      <x:c r="J413" s="137" t="str"/>
      <x:c r="K413" s="137" t="str"/>
      <x:c r="L413" s="138" t="str"/>
      <x:c r="M413" s="138" t="str"/>
      <x:c r="N413" s="196" t="str">
        <x:f>IF(OR(L413="",M413=""),"",M413-L413)</x:f>
      </x:c>
      <x:c r="O413" s="137" t="str"/>
      <x:c r="P413" s="137" t="str"/>
      <x:c r="Q413" s="137" t="str"/>
      <x:c r="R413" s="137" t="str"/>
      <x:c r="S413" s="137" t="str"/>
      <x:c r="T413" s="137" t="str"/>
      <x:c r="U413" s="137" t="str"/>
      <x:c r="V413" s="137" t="str"/>
    </x:row>
    <x:row r="414">
      <x:c r="A414" s="137" t="str"/>
      <x:c r="B414" s="199" t="str"/>
      <x:c r="C414" s="137" t="str"/>
      <x:c r="D414" s="137" t="str"/>
      <x:c r="E414" s="137" t="str"/>
      <x:c r="F414" s="137" t="str"/>
      <x:c r="G414" s="137" t="str"/>
      <x:c r="H414" s="137" t="str"/>
      <x:c r="I414" s="137" t="str"/>
      <x:c r="J414" s="137" t="str"/>
      <x:c r="K414" s="137" t="str"/>
      <x:c r="L414" s="138" t="str"/>
      <x:c r="M414" s="138" t="str"/>
      <x:c r="N414" s="196" t="str">
        <x:f>IF(OR(L414="",M414=""),"",M414-L414)</x:f>
      </x:c>
      <x:c r="O414" s="137" t="str"/>
      <x:c r="P414" s="137" t="str"/>
      <x:c r="Q414" s="137" t="str"/>
      <x:c r="R414" s="137" t="str"/>
      <x:c r="S414" s="137" t="str"/>
      <x:c r="T414" s="137" t="str"/>
      <x:c r="U414" s="137" t="str"/>
      <x:c r="V414" s="137" t="str"/>
    </x:row>
    <x:row r="415">
      <x:c r="A415" s="137" t="str"/>
      <x:c r="B415" s="199" t="str"/>
      <x:c r="C415" s="137" t="str"/>
      <x:c r="D415" s="137" t="str"/>
      <x:c r="E415" s="137" t="str"/>
      <x:c r="F415" s="137" t="str"/>
      <x:c r="G415" s="137" t="str"/>
      <x:c r="H415" s="137" t="str"/>
      <x:c r="I415" s="137" t="str"/>
      <x:c r="J415" s="137" t="str"/>
      <x:c r="K415" s="137" t="str"/>
      <x:c r="L415" s="138" t="str"/>
      <x:c r="M415" s="138" t="str"/>
      <x:c r="N415" s="196" t="str">
        <x:f>IF(OR(L415="",M415=""),"",M415-L415)</x:f>
      </x:c>
      <x:c r="O415" s="137" t="str"/>
      <x:c r="P415" s="137" t="str"/>
      <x:c r="Q415" s="137" t="str"/>
      <x:c r="R415" s="137" t="str"/>
      <x:c r="S415" s="137" t="str"/>
      <x:c r="T415" s="137" t="str"/>
      <x:c r="U415" s="137" t="str"/>
      <x:c r="V415" s="137" t="str"/>
    </x:row>
    <x:row r="416">
      <x:c r="A416" s="137" t="str"/>
      <x:c r="B416" s="199" t="str"/>
      <x:c r="C416" s="137" t="str"/>
      <x:c r="D416" s="137" t="str"/>
      <x:c r="E416" s="137" t="str"/>
      <x:c r="F416" s="137" t="str"/>
      <x:c r="G416" s="137" t="str"/>
      <x:c r="H416" s="137" t="str"/>
      <x:c r="I416" s="137" t="str"/>
      <x:c r="J416" s="137" t="str"/>
      <x:c r="K416" s="137" t="str"/>
      <x:c r="L416" s="138" t="str"/>
      <x:c r="M416" s="138" t="str"/>
      <x:c r="N416" s="196" t="str">
        <x:f>IF(OR(L416="",M416=""),"",M416-L416)</x:f>
      </x:c>
      <x:c r="O416" s="137" t="str"/>
      <x:c r="P416" s="137" t="str"/>
      <x:c r="Q416" s="137" t="str"/>
      <x:c r="R416" s="137" t="str"/>
      <x:c r="S416" s="137" t="str"/>
      <x:c r="T416" s="137" t="str"/>
      <x:c r="U416" s="137" t="str"/>
      <x:c r="V416" s="137" t="str"/>
    </x:row>
    <x:row r="417">
      <x:c r="A417" s="137" t="str"/>
      <x:c r="B417" s="199" t="str"/>
      <x:c r="C417" s="137" t="str"/>
      <x:c r="D417" s="137" t="str"/>
      <x:c r="E417" s="137" t="str"/>
      <x:c r="F417" s="137" t="str"/>
      <x:c r="G417" s="137" t="str"/>
      <x:c r="H417" s="137" t="str"/>
      <x:c r="I417" s="137" t="str"/>
      <x:c r="J417" s="137" t="str"/>
      <x:c r="K417" s="137" t="str"/>
      <x:c r="L417" s="138" t="str"/>
      <x:c r="M417" s="138" t="str"/>
      <x:c r="N417" s="196" t="str">
        <x:f>IF(OR(L417="",M417=""),"",M417-L417)</x:f>
      </x:c>
      <x:c r="O417" s="137" t="str"/>
      <x:c r="P417" s="137" t="str"/>
      <x:c r="Q417" s="137" t="str"/>
      <x:c r="R417" s="137" t="str"/>
      <x:c r="S417" s="137" t="str"/>
      <x:c r="T417" s="137" t="str"/>
      <x:c r="U417" s="137" t="str"/>
      <x:c r="V417" s="137" t="str"/>
    </x:row>
    <x:row r="418">
      <x:c r="A418" s="137" t="str"/>
      <x:c r="B418" s="199" t="str"/>
      <x:c r="C418" s="137" t="str"/>
      <x:c r="D418" s="137" t="str"/>
      <x:c r="E418" s="137" t="str"/>
      <x:c r="F418" s="137" t="str"/>
      <x:c r="G418" s="137" t="str"/>
      <x:c r="H418" s="137" t="str"/>
      <x:c r="I418" s="137" t="str"/>
      <x:c r="J418" s="137" t="str"/>
      <x:c r="K418" s="137" t="str"/>
      <x:c r="L418" s="138" t="str"/>
      <x:c r="M418" s="138" t="str"/>
      <x:c r="N418" s="196" t="str">
        <x:f>IF(OR(L418="",M418=""),"",M418-L418)</x:f>
      </x:c>
      <x:c r="O418" s="137" t="str"/>
      <x:c r="P418" s="137" t="str"/>
      <x:c r="Q418" s="137" t="str"/>
      <x:c r="R418" s="137" t="str"/>
      <x:c r="S418" s="137" t="str"/>
      <x:c r="T418" s="137" t="str"/>
      <x:c r="U418" s="137" t="str"/>
      <x:c r="V418" s="137" t="str"/>
    </x:row>
    <x:row r="419">
      <x:c r="A419" s="137" t="str"/>
      <x:c r="B419" s="199" t="str"/>
      <x:c r="C419" s="137" t="str"/>
      <x:c r="D419" s="137" t="str"/>
      <x:c r="E419" s="137" t="str"/>
      <x:c r="F419" s="137" t="str"/>
      <x:c r="G419" s="137" t="str"/>
      <x:c r="H419" s="137" t="str"/>
      <x:c r="I419" s="137" t="str"/>
      <x:c r="J419" s="137" t="str"/>
      <x:c r="K419" s="137" t="str"/>
      <x:c r="L419" s="138" t="str"/>
      <x:c r="M419" s="138" t="str"/>
      <x:c r="N419" s="196" t="str">
        <x:f>IF(OR(L419="",M419=""),"",M419-L419)</x:f>
      </x:c>
      <x:c r="O419" s="137" t="str"/>
      <x:c r="P419" s="137" t="str"/>
      <x:c r="Q419" s="137" t="str"/>
      <x:c r="R419" s="137" t="str"/>
      <x:c r="S419" s="137" t="str"/>
      <x:c r="T419" s="137" t="str"/>
      <x:c r="U419" s="137" t="str"/>
      <x:c r="V419" s="137" t="str"/>
    </x:row>
    <x:row r="420">
      <x:c r="A420" s="137" t="str"/>
      <x:c r="B420" s="199" t="str"/>
      <x:c r="C420" s="137" t="str"/>
      <x:c r="D420" s="137" t="str"/>
      <x:c r="E420" s="137" t="str"/>
      <x:c r="F420" s="137" t="str"/>
      <x:c r="G420" s="137" t="str"/>
      <x:c r="H420" s="137" t="str"/>
      <x:c r="I420" s="137" t="str"/>
      <x:c r="J420" s="137" t="str"/>
      <x:c r="K420" s="137" t="str"/>
      <x:c r="L420" s="138" t="str"/>
      <x:c r="M420" s="138" t="str"/>
      <x:c r="N420" s="196" t="str">
        <x:f>IF(OR(L420="",M420=""),"",M420-L420)</x:f>
      </x:c>
      <x:c r="O420" s="137" t="str"/>
      <x:c r="P420" s="137" t="str"/>
      <x:c r="Q420" s="137" t="str"/>
      <x:c r="R420" s="137" t="str"/>
      <x:c r="S420" s="137" t="str"/>
      <x:c r="T420" s="137" t="str"/>
      <x:c r="U420" s="137" t="str"/>
      <x:c r="V420" s="137" t="str"/>
    </x:row>
    <x:row r="421">
      <x:c r="A421" s="137" t="str"/>
      <x:c r="B421" s="199" t="str"/>
      <x:c r="C421" s="137" t="str"/>
      <x:c r="D421" s="137" t="str"/>
      <x:c r="E421" s="137" t="str"/>
      <x:c r="F421" s="137" t="str"/>
      <x:c r="G421" s="137" t="str"/>
      <x:c r="H421" s="137" t="str"/>
      <x:c r="I421" s="137" t="str"/>
      <x:c r="J421" s="137" t="str"/>
      <x:c r="K421" s="137" t="str"/>
      <x:c r="L421" s="138" t="str"/>
      <x:c r="M421" s="138" t="str"/>
      <x:c r="N421" s="196" t="str">
        <x:f>IF(OR(L421="",M421=""),"",M421-L421)</x:f>
      </x:c>
      <x:c r="O421" s="137" t="str"/>
      <x:c r="P421" s="137" t="str"/>
      <x:c r="Q421" s="137" t="str"/>
      <x:c r="R421" s="137" t="str"/>
      <x:c r="S421" s="137" t="str"/>
      <x:c r="T421" s="137" t="str"/>
      <x:c r="U421" s="137" t="str"/>
      <x:c r="V421" s="137" t="str"/>
    </x:row>
    <x:row r="422">
      <x:c r="A422" s="137" t="str"/>
      <x:c r="B422" s="199" t="str"/>
      <x:c r="C422" s="137" t="str"/>
      <x:c r="D422" s="137" t="str"/>
      <x:c r="E422" s="137" t="str"/>
      <x:c r="F422" s="137" t="str"/>
      <x:c r="G422" s="137" t="str"/>
      <x:c r="H422" s="137" t="str"/>
      <x:c r="I422" s="137" t="str"/>
      <x:c r="J422" s="137" t="str"/>
      <x:c r="K422" s="137" t="str"/>
      <x:c r="L422" s="138" t="str"/>
      <x:c r="M422" s="138" t="str"/>
      <x:c r="N422" s="196" t="str">
        <x:f>IF(OR(L422="",M422=""),"",M422-L422)</x:f>
      </x:c>
      <x:c r="O422" s="137" t="str"/>
      <x:c r="P422" s="137" t="str"/>
      <x:c r="Q422" s="137" t="str"/>
      <x:c r="R422" s="137" t="str"/>
      <x:c r="S422" s="137" t="str"/>
      <x:c r="T422" s="137" t="str"/>
      <x:c r="U422" s="137" t="str"/>
      <x:c r="V422" s="137" t="str"/>
    </x:row>
    <x:row r="423">
      <x:c r="A423" s="137" t="str"/>
      <x:c r="B423" s="199" t="str"/>
      <x:c r="C423" s="137" t="str"/>
      <x:c r="D423" s="137" t="str"/>
      <x:c r="E423" s="137" t="str"/>
      <x:c r="F423" s="137" t="str"/>
      <x:c r="G423" s="137" t="str"/>
      <x:c r="H423" s="137" t="str"/>
      <x:c r="I423" s="137" t="str"/>
      <x:c r="J423" s="137" t="str"/>
      <x:c r="K423" s="137" t="str"/>
      <x:c r="L423" s="138" t="str"/>
      <x:c r="M423" s="138" t="str"/>
      <x:c r="N423" s="196" t="str">
        <x:f>IF(OR(L423="",M423=""),"",M423-L423)</x:f>
      </x:c>
      <x:c r="O423" s="137" t="str"/>
      <x:c r="P423" s="137" t="str"/>
      <x:c r="Q423" s="137" t="str"/>
      <x:c r="R423" s="137" t="str"/>
      <x:c r="S423" s="137" t="str"/>
      <x:c r="T423" s="137" t="str"/>
      <x:c r="U423" s="137" t="str"/>
      <x:c r="V423" s="137" t="str"/>
    </x:row>
    <x:row r="424">
      <x:c r="A424" s="137" t="str"/>
      <x:c r="B424" s="199" t="str"/>
      <x:c r="C424" s="137" t="str"/>
      <x:c r="D424" s="137" t="str"/>
      <x:c r="E424" s="137" t="str"/>
      <x:c r="F424" s="137" t="str"/>
      <x:c r="G424" s="137" t="str"/>
      <x:c r="H424" s="137" t="str"/>
      <x:c r="I424" s="137" t="str"/>
      <x:c r="J424" s="137" t="str"/>
      <x:c r="K424" s="137" t="str"/>
      <x:c r="L424" s="138" t="str"/>
      <x:c r="M424" s="138" t="str"/>
      <x:c r="N424" s="196" t="str">
        <x:f>IF(OR(L424="",M424=""),"",M424-L424)</x:f>
      </x:c>
      <x:c r="O424" s="137" t="str"/>
      <x:c r="P424" s="137" t="str"/>
      <x:c r="Q424" s="137" t="str"/>
      <x:c r="R424" s="137" t="str"/>
      <x:c r="S424" s="137" t="str"/>
      <x:c r="T424" s="137" t="str"/>
      <x:c r="U424" s="137" t="str"/>
      <x:c r="V424" s="137" t="str"/>
    </x:row>
    <x:row r="425">
      <x:c r="A425" s="137" t="str"/>
      <x:c r="B425" s="199" t="str"/>
      <x:c r="C425" s="137" t="str"/>
      <x:c r="D425" s="137" t="str"/>
      <x:c r="E425" s="137" t="str"/>
      <x:c r="F425" s="137" t="str"/>
      <x:c r="G425" s="137" t="str"/>
      <x:c r="H425" s="137" t="str"/>
      <x:c r="I425" s="137" t="str"/>
      <x:c r="J425" s="137" t="str"/>
      <x:c r="K425" s="137" t="str"/>
      <x:c r="L425" s="138" t="str"/>
      <x:c r="M425" s="138" t="str"/>
      <x:c r="N425" s="196" t="str">
        <x:f>IF(OR(L425="",M425=""),"",M425-L425)</x:f>
      </x:c>
      <x:c r="O425" s="137" t="str"/>
      <x:c r="P425" s="137" t="str"/>
      <x:c r="Q425" s="137" t="str"/>
      <x:c r="R425" s="137" t="str"/>
      <x:c r="S425" s="137" t="str"/>
      <x:c r="T425" s="137" t="str"/>
      <x:c r="U425" s="137" t="str"/>
      <x:c r="V425" s="137" t="str"/>
    </x:row>
    <x:row r="426">
      <x:c r="A426" s="137" t="str"/>
      <x:c r="B426" s="199" t="str"/>
      <x:c r="C426" s="137" t="str"/>
      <x:c r="D426" s="137" t="str"/>
      <x:c r="E426" s="137" t="str"/>
      <x:c r="F426" s="137" t="str"/>
      <x:c r="G426" s="137" t="str"/>
      <x:c r="H426" s="137" t="str"/>
      <x:c r="I426" s="137" t="str"/>
      <x:c r="J426" s="137" t="str"/>
      <x:c r="K426" s="137" t="str"/>
      <x:c r="L426" s="138" t="str"/>
      <x:c r="M426" s="138" t="str"/>
      <x:c r="N426" s="196" t="str">
        <x:f>IF(OR(L426="",M426=""),"",M426-L426)</x:f>
      </x:c>
      <x:c r="O426" s="137" t="str"/>
      <x:c r="P426" s="137" t="str"/>
      <x:c r="Q426" s="137" t="str"/>
      <x:c r="R426" s="137" t="str"/>
      <x:c r="S426" s="137" t="str"/>
      <x:c r="T426" s="137" t="str"/>
      <x:c r="U426" s="137" t="str"/>
      <x:c r="V426" s="137" t="str"/>
    </x:row>
    <x:row r="427">
      <x:c r="A427" s="137" t="str"/>
      <x:c r="B427" s="199" t="str"/>
      <x:c r="C427" s="137" t="str"/>
      <x:c r="D427" s="137" t="str"/>
      <x:c r="E427" s="137" t="str"/>
      <x:c r="F427" s="137" t="str"/>
      <x:c r="G427" s="137" t="str"/>
      <x:c r="H427" s="137" t="str"/>
      <x:c r="I427" s="137" t="str"/>
      <x:c r="J427" s="137" t="str"/>
      <x:c r="K427" s="137" t="str"/>
      <x:c r="L427" s="138" t="str"/>
      <x:c r="M427" s="138" t="str"/>
      <x:c r="N427" s="196" t="str">
        <x:f>IF(OR(L427="",M427=""),"",M427-L427)</x:f>
      </x:c>
      <x:c r="O427" s="137" t="str"/>
      <x:c r="P427" s="137" t="str"/>
      <x:c r="Q427" s="137" t="str"/>
      <x:c r="R427" s="137" t="str"/>
      <x:c r="S427" s="137" t="str"/>
      <x:c r="T427" s="137" t="str"/>
      <x:c r="U427" s="137" t="str"/>
      <x:c r="V427" s="137" t="str"/>
    </x:row>
    <x:row r="428">
      <x:c r="A428" s="137" t="str"/>
      <x:c r="B428" s="199" t="str"/>
      <x:c r="C428" s="137" t="str"/>
      <x:c r="D428" s="137" t="str"/>
      <x:c r="E428" s="137" t="str"/>
      <x:c r="F428" s="137" t="str"/>
      <x:c r="G428" s="137" t="str"/>
      <x:c r="H428" s="137" t="str"/>
      <x:c r="I428" s="137" t="str"/>
      <x:c r="J428" s="137" t="str"/>
      <x:c r="K428" s="137" t="str"/>
      <x:c r="L428" s="138" t="str"/>
      <x:c r="M428" s="138" t="str"/>
      <x:c r="N428" s="196" t="str">
        <x:f>IF(OR(L428="",M428=""),"",M428-L428)</x:f>
      </x:c>
      <x:c r="O428" s="137" t="str"/>
      <x:c r="P428" s="137" t="str"/>
      <x:c r="Q428" s="137" t="str"/>
      <x:c r="R428" s="137" t="str"/>
      <x:c r="S428" s="137" t="str"/>
      <x:c r="T428" s="137" t="str"/>
      <x:c r="U428" s="137" t="str"/>
      <x:c r="V428" s="137" t="str"/>
    </x:row>
    <x:row r="429">
      <x:c r="A429" s="137" t="str"/>
      <x:c r="B429" s="199" t="str"/>
      <x:c r="C429" s="137" t="str"/>
      <x:c r="D429" s="137" t="str"/>
      <x:c r="E429" s="137" t="str"/>
      <x:c r="F429" s="137" t="str"/>
      <x:c r="G429" s="137" t="str"/>
      <x:c r="H429" s="137" t="str"/>
      <x:c r="I429" s="137" t="str"/>
      <x:c r="J429" s="137" t="str"/>
      <x:c r="K429" s="137" t="str"/>
      <x:c r="L429" s="138" t="str"/>
      <x:c r="M429" s="138" t="str"/>
      <x:c r="N429" s="196" t="str">
        <x:f>IF(OR(L429="",M429=""),"",M429-L429)</x:f>
      </x:c>
      <x:c r="O429" s="137" t="str"/>
      <x:c r="P429" s="137" t="str"/>
      <x:c r="Q429" s="137" t="str"/>
      <x:c r="R429" s="137" t="str"/>
      <x:c r="S429" s="137" t="str"/>
      <x:c r="T429" s="137" t="str"/>
      <x:c r="U429" s="137" t="str"/>
      <x:c r="V429" s="137" t="str"/>
    </x:row>
    <x:row r="430">
      <x:c r="A430" s="137" t="str"/>
      <x:c r="B430" s="199" t="str"/>
      <x:c r="C430" s="137" t="str"/>
      <x:c r="D430" s="137" t="str"/>
      <x:c r="E430" s="137" t="str"/>
      <x:c r="F430" s="137" t="str"/>
      <x:c r="G430" s="137" t="str"/>
      <x:c r="H430" s="137" t="str"/>
      <x:c r="I430" s="137" t="str"/>
      <x:c r="J430" s="137" t="str"/>
      <x:c r="K430" s="137" t="str"/>
      <x:c r="L430" s="138" t="str"/>
      <x:c r="M430" s="138" t="str"/>
      <x:c r="N430" s="196" t="str">
        <x:f>IF(OR(L430="",M430=""),"",M430-L430)</x:f>
      </x:c>
      <x:c r="O430" s="137" t="str"/>
      <x:c r="P430" s="137" t="str"/>
      <x:c r="Q430" s="137" t="str"/>
      <x:c r="R430" s="137" t="str"/>
      <x:c r="S430" s="137" t="str"/>
      <x:c r="T430" s="137" t="str"/>
      <x:c r="U430" s="137" t="str"/>
      <x:c r="V430" s="137" t="str"/>
    </x:row>
    <x:row r="431">
      <x:c r="A431" s="137" t="str"/>
      <x:c r="B431" s="199" t="str"/>
      <x:c r="C431" s="137" t="str"/>
      <x:c r="D431" s="137" t="str"/>
      <x:c r="E431" s="137" t="str"/>
      <x:c r="F431" s="137" t="str"/>
      <x:c r="G431" s="137" t="str"/>
      <x:c r="H431" s="137" t="str"/>
      <x:c r="I431" s="137" t="str"/>
      <x:c r="J431" s="137" t="str"/>
      <x:c r="K431" s="137" t="str"/>
      <x:c r="L431" s="138" t="str"/>
      <x:c r="M431" s="138" t="str"/>
      <x:c r="N431" s="196" t="str">
        <x:f>IF(OR(L431="",M431=""),"",M431-L431)</x:f>
      </x:c>
      <x:c r="O431" s="137" t="str"/>
      <x:c r="P431" s="137" t="str"/>
      <x:c r="Q431" s="137" t="str"/>
      <x:c r="R431" s="137" t="str"/>
      <x:c r="S431" s="137" t="str"/>
      <x:c r="T431" s="137" t="str"/>
      <x:c r="U431" s="137" t="str"/>
      <x:c r="V431" s="137" t="str"/>
    </x:row>
    <x:row r="432">
      <x:c r="A432" s="137" t="str"/>
      <x:c r="B432" s="199" t="str"/>
      <x:c r="C432" s="137" t="str"/>
      <x:c r="D432" s="137" t="str"/>
      <x:c r="E432" s="137" t="str"/>
      <x:c r="F432" s="137" t="str"/>
      <x:c r="G432" s="137" t="str"/>
      <x:c r="H432" s="137" t="str"/>
      <x:c r="I432" s="137" t="str"/>
      <x:c r="J432" s="137" t="str"/>
      <x:c r="K432" s="137" t="str"/>
      <x:c r="L432" s="138" t="str"/>
      <x:c r="M432" s="138" t="str"/>
      <x:c r="N432" s="196" t="str">
        <x:f>IF(OR(L432="",M432=""),"",M432-L432)</x:f>
      </x:c>
      <x:c r="O432" s="137" t="str"/>
      <x:c r="P432" s="137" t="str"/>
      <x:c r="Q432" s="137" t="str"/>
      <x:c r="R432" s="137" t="str"/>
      <x:c r="S432" s="137" t="str"/>
      <x:c r="T432" s="137" t="str"/>
      <x:c r="U432" s="137" t="str"/>
      <x:c r="V432" s="137" t="str"/>
    </x:row>
    <x:row r="433">
      <x:c r="A433" s="137" t="str"/>
      <x:c r="B433" s="199" t="str"/>
      <x:c r="C433" s="137" t="str"/>
      <x:c r="D433" s="137" t="str"/>
      <x:c r="E433" s="137" t="str"/>
      <x:c r="F433" s="137" t="str"/>
      <x:c r="G433" s="137" t="str"/>
      <x:c r="H433" s="137" t="str"/>
      <x:c r="I433" s="137" t="str"/>
      <x:c r="J433" s="137" t="str"/>
      <x:c r="K433" s="137" t="str"/>
      <x:c r="L433" s="138" t="str"/>
      <x:c r="M433" s="138" t="str"/>
      <x:c r="N433" s="196" t="str">
        <x:f>IF(OR(L433="",M433=""),"",M433-L433)</x:f>
      </x:c>
      <x:c r="O433" s="137" t="str"/>
      <x:c r="P433" s="137" t="str"/>
      <x:c r="Q433" s="137" t="str"/>
      <x:c r="R433" s="137" t="str"/>
      <x:c r="S433" s="137" t="str"/>
      <x:c r="T433" s="137" t="str"/>
      <x:c r="U433" s="137" t="str"/>
      <x:c r="V433" s="137" t="str"/>
    </x:row>
    <x:row r="434">
      <x:c r="A434" s="137" t="str"/>
      <x:c r="B434" s="199" t="str"/>
      <x:c r="C434" s="137" t="str"/>
      <x:c r="D434" s="137" t="str"/>
      <x:c r="E434" s="137" t="str"/>
      <x:c r="F434" s="137" t="str"/>
      <x:c r="G434" s="137" t="str"/>
      <x:c r="H434" s="137" t="str"/>
      <x:c r="I434" s="137" t="str"/>
      <x:c r="J434" s="137" t="str"/>
      <x:c r="K434" s="137" t="str"/>
      <x:c r="L434" s="138" t="str"/>
      <x:c r="M434" s="138" t="str"/>
      <x:c r="N434" s="196" t="str">
        <x:f>IF(OR(L434="",M434=""),"",M434-L434)</x:f>
      </x:c>
      <x:c r="O434" s="137" t="str"/>
      <x:c r="P434" s="137" t="str"/>
      <x:c r="Q434" s="137" t="str"/>
      <x:c r="R434" s="137" t="str"/>
      <x:c r="S434" s="137" t="str"/>
      <x:c r="T434" s="137" t="str"/>
      <x:c r="U434" s="137" t="str"/>
      <x:c r="V434" s="137" t="str"/>
    </x:row>
    <x:row r="435">
      <x:c r="A435" s="137" t="str"/>
      <x:c r="B435" s="199" t="str"/>
      <x:c r="C435" s="137" t="str"/>
      <x:c r="D435" s="137" t="str"/>
      <x:c r="E435" s="137" t="str"/>
      <x:c r="F435" s="137" t="str"/>
      <x:c r="G435" s="137" t="str"/>
      <x:c r="H435" s="137" t="str"/>
      <x:c r="I435" s="137" t="str"/>
      <x:c r="J435" s="137" t="str"/>
      <x:c r="K435" s="137" t="str"/>
      <x:c r="L435" s="138" t="str"/>
      <x:c r="M435" s="138" t="str"/>
      <x:c r="N435" s="196" t="str">
        <x:f>IF(OR(L435="",M435=""),"",M435-L435)</x:f>
      </x:c>
      <x:c r="O435" s="137" t="str"/>
      <x:c r="P435" s="137" t="str"/>
      <x:c r="Q435" s="137" t="str"/>
      <x:c r="R435" s="137" t="str"/>
      <x:c r="S435" s="137" t="str"/>
      <x:c r="T435" s="137" t="str"/>
      <x:c r="U435" s="137" t="str"/>
      <x:c r="V435" s="137" t="str"/>
    </x:row>
    <x:row r="436">
      <x:c r="A436" s="137" t="str"/>
      <x:c r="B436" s="199" t="str"/>
      <x:c r="C436" s="137" t="str"/>
      <x:c r="D436" s="137" t="str"/>
      <x:c r="E436" s="137" t="str"/>
      <x:c r="F436" s="137" t="str"/>
      <x:c r="G436" s="137" t="str"/>
      <x:c r="H436" s="137" t="str"/>
      <x:c r="I436" s="137" t="str"/>
      <x:c r="J436" s="137" t="str"/>
      <x:c r="K436" s="137" t="str"/>
      <x:c r="L436" s="138" t="str"/>
      <x:c r="M436" s="138" t="str"/>
      <x:c r="N436" s="196" t="str">
        <x:f>IF(OR(L436="",M436=""),"",M436-L436)</x:f>
      </x:c>
      <x:c r="O436" s="137" t="str"/>
      <x:c r="P436" s="137" t="str"/>
      <x:c r="Q436" s="137" t="str"/>
      <x:c r="R436" s="137" t="str"/>
      <x:c r="S436" s="137" t="str"/>
      <x:c r="T436" s="137" t="str"/>
      <x:c r="U436" s="137" t="str"/>
      <x:c r="V436" s="137" t="str"/>
    </x:row>
    <x:row r="437">
      <x:c r="A437" s="137" t="str"/>
      <x:c r="B437" s="199" t="str"/>
      <x:c r="C437" s="137" t="str"/>
      <x:c r="D437" s="137" t="str"/>
      <x:c r="E437" s="137" t="str"/>
      <x:c r="F437" s="137" t="str"/>
      <x:c r="G437" s="137" t="str"/>
      <x:c r="H437" s="137" t="str"/>
      <x:c r="I437" s="137" t="str"/>
      <x:c r="J437" s="137" t="str"/>
      <x:c r="K437" s="137" t="str"/>
      <x:c r="L437" s="138" t="str"/>
      <x:c r="M437" s="138" t="str"/>
      <x:c r="N437" s="196" t="str">
        <x:f>IF(OR(L437="",M437=""),"",M437-L437)</x:f>
      </x:c>
      <x:c r="O437" s="137" t="str"/>
      <x:c r="P437" s="137" t="str"/>
      <x:c r="Q437" s="137" t="str"/>
      <x:c r="R437" s="137" t="str"/>
      <x:c r="S437" s="137" t="str"/>
      <x:c r="T437" s="137" t="str"/>
      <x:c r="U437" s="137" t="str"/>
      <x:c r="V437" s="137" t="str"/>
    </x:row>
    <x:row r="438">
      <x:c r="A438" s="137" t="str"/>
      <x:c r="B438" s="199" t="str"/>
      <x:c r="C438" s="137" t="str"/>
      <x:c r="D438" s="137" t="str"/>
      <x:c r="E438" s="137" t="str"/>
      <x:c r="F438" s="137" t="str"/>
      <x:c r="G438" s="137" t="str"/>
      <x:c r="H438" s="137" t="str"/>
      <x:c r="I438" s="137" t="str"/>
      <x:c r="J438" s="137" t="str"/>
      <x:c r="K438" s="137" t="str"/>
      <x:c r="L438" s="138" t="str"/>
      <x:c r="M438" s="138" t="str"/>
      <x:c r="N438" s="196" t="str">
        <x:f>IF(OR(L438="",M438=""),"",M438-L438)</x:f>
      </x:c>
      <x:c r="O438" s="137" t="str"/>
      <x:c r="P438" s="137" t="str"/>
      <x:c r="Q438" s="137" t="str"/>
      <x:c r="R438" s="137" t="str"/>
      <x:c r="S438" s="137" t="str"/>
      <x:c r="T438" s="137" t="str"/>
      <x:c r="U438" s="137" t="str"/>
      <x:c r="V438" s="137" t="str"/>
    </x:row>
    <x:row r="439">
      <x:c r="A439" s="137" t="str"/>
      <x:c r="B439" s="199" t="str"/>
      <x:c r="C439" s="137" t="str"/>
      <x:c r="D439" s="137" t="str"/>
      <x:c r="E439" s="137" t="str"/>
      <x:c r="F439" s="137" t="str"/>
      <x:c r="G439" s="137" t="str"/>
      <x:c r="H439" s="137" t="str"/>
      <x:c r="I439" s="137" t="str"/>
      <x:c r="J439" s="137" t="str"/>
      <x:c r="K439" s="137" t="str"/>
      <x:c r="L439" s="138" t="str"/>
      <x:c r="M439" s="138" t="str"/>
      <x:c r="N439" s="196" t="str">
        <x:f>IF(OR(L439="",M439=""),"",M439-L439)</x:f>
      </x:c>
      <x:c r="O439" s="137" t="str"/>
      <x:c r="P439" s="137" t="str"/>
      <x:c r="Q439" s="137" t="str"/>
      <x:c r="R439" s="137" t="str"/>
      <x:c r="S439" s="137" t="str"/>
      <x:c r="T439" s="137" t="str"/>
      <x:c r="U439" s="137" t="str"/>
      <x:c r="V439" s="137" t="str"/>
    </x:row>
    <x:row r="440">
      <x:c r="A440" s="137" t="str"/>
      <x:c r="B440" s="199" t="str"/>
      <x:c r="C440" s="137" t="str"/>
      <x:c r="D440" s="137" t="str"/>
      <x:c r="E440" s="137" t="str"/>
      <x:c r="F440" s="137" t="str"/>
      <x:c r="G440" s="137" t="str"/>
      <x:c r="H440" s="137" t="str"/>
      <x:c r="I440" s="137" t="str"/>
      <x:c r="J440" s="137" t="str"/>
      <x:c r="K440" s="137" t="str"/>
      <x:c r="L440" s="138" t="str"/>
      <x:c r="M440" s="138" t="str"/>
      <x:c r="N440" s="196" t="str">
        <x:f>IF(OR(L440="",M440=""),"",M440-L440)</x:f>
      </x:c>
      <x:c r="O440" s="137" t="str"/>
      <x:c r="P440" s="137" t="str"/>
      <x:c r="Q440" s="137" t="str"/>
      <x:c r="R440" s="137" t="str"/>
      <x:c r="S440" s="137" t="str"/>
      <x:c r="T440" s="137" t="str"/>
      <x:c r="U440" s="137" t="str"/>
      <x:c r="V440" s="137" t="str"/>
    </x:row>
    <x:row r="441">
      <x:c r="A441" s="137" t="str"/>
      <x:c r="B441" s="199" t="str"/>
      <x:c r="C441" s="137" t="str"/>
      <x:c r="D441" s="137" t="str"/>
      <x:c r="E441" s="137" t="str"/>
      <x:c r="F441" s="137" t="str"/>
      <x:c r="G441" s="137" t="str"/>
      <x:c r="H441" s="137" t="str"/>
      <x:c r="I441" s="137" t="str"/>
      <x:c r="J441" s="137" t="str"/>
      <x:c r="K441" s="137" t="str"/>
      <x:c r="L441" s="138" t="str"/>
      <x:c r="M441" s="138" t="str"/>
      <x:c r="N441" s="196" t="str">
        <x:f>IF(OR(L441="",M441=""),"",M441-L441)</x:f>
      </x:c>
      <x:c r="O441" s="137" t="str"/>
      <x:c r="P441" s="137" t="str"/>
      <x:c r="Q441" s="137" t="str"/>
      <x:c r="R441" s="137" t="str"/>
      <x:c r="S441" s="137" t="str"/>
      <x:c r="T441" s="137" t="str"/>
      <x:c r="U441" s="137" t="str"/>
      <x:c r="V441" s="137" t="str"/>
    </x:row>
    <x:row r="442">
      <x:c r="A442" s="137" t="str"/>
      <x:c r="B442" s="199" t="str"/>
      <x:c r="C442" s="137" t="str"/>
      <x:c r="D442" s="137" t="str"/>
      <x:c r="E442" s="137" t="str"/>
      <x:c r="F442" s="137" t="str"/>
      <x:c r="G442" s="137" t="str"/>
      <x:c r="H442" s="137" t="str"/>
      <x:c r="I442" s="137" t="str"/>
      <x:c r="J442" s="137" t="str"/>
      <x:c r="K442" s="137" t="str"/>
      <x:c r="L442" s="138" t="str"/>
      <x:c r="M442" s="138" t="str"/>
      <x:c r="N442" s="196" t="str">
        <x:f>IF(OR(L442="",M442=""),"",M442-L442)</x:f>
      </x:c>
      <x:c r="O442" s="137" t="str"/>
      <x:c r="P442" s="137" t="str"/>
      <x:c r="Q442" s="137" t="str"/>
      <x:c r="R442" s="137" t="str"/>
      <x:c r="S442" s="137" t="str"/>
      <x:c r="T442" s="137" t="str"/>
      <x:c r="U442" s="137" t="str"/>
      <x:c r="V442" s="137" t="str"/>
    </x:row>
    <x:row r="443">
      <x:c r="A443" s="137" t="str"/>
      <x:c r="B443" s="199" t="str"/>
      <x:c r="C443" s="137" t="str"/>
      <x:c r="D443" s="137" t="str"/>
      <x:c r="E443" s="137" t="str"/>
      <x:c r="F443" s="137" t="str"/>
      <x:c r="G443" s="137" t="str"/>
      <x:c r="H443" s="137" t="str"/>
      <x:c r="I443" s="137" t="str"/>
      <x:c r="J443" s="137" t="str"/>
      <x:c r="K443" s="137" t="str"/>
      <x:c r="L443" s="138" t="str"/>
      <x:c r="M443" s="138" t="str"/>
      <x:c r="N443" s="196" t="str">
        <x:f>IF(OR(L443="",M443=""),"",M443-L443)</x:f>
      </x:c>
      <x:c r="O443" s="137" t="str"/>
      <x:c r="P443" s="137" t="str"/>
      <x:c r="Q443" s="137" t="str"/>
      <x:c r="R443" s="137" t="str"/>
      <x:c r="S443" s="137" t="str"/>
      <x:c r="T443" s="137" t="str"/>
      <x:c r="U443" s="137" t="str"/>
      <x:c r="V443" s="137" t="str"/>
    </x:row>
    <x:row r="444">
      <x:c r="A444" s="137" t="str"/>
      <x:c r="B444" s="199" t="str"/>
      <x:c r="C444" s="137" t="str"/>
      <x:c r="D444" s="137" t="str"/>
      <x:c r="E444" s="137" t="str"/>
      <x:c r="F444" s="137" t="str"/>
      <x:c r="G444" s="137" t="str"/>
      <x:c r="H444" s="137" t="str"/>
      <x:c r="I444" s="137" t="str"/>
      <x:c r="J444" s="137" t="str"/>
      <x:c r="K444" s="137" t="str"/>
      <x:c r="L444" s="138" t="str"/>
      <x:c r="M444" s="138" t="str"/>
      <x:c r="N444" s="196" t="str">
        <x:f>IF(OR(L444="",M444=""),"",M444-L444)</x:f>
      </x:c>
      <x:c r="O444" s="137" t="str"/>
      <x:c r="P444" s="137" t="str"/>
      <x:c r="Q444" s="137" t="str"/>
      <x:c r="R444" s="137" t="str"/>
      <x:c r="S444" s="137" t="str"/>
      <x:c r="T444" s="137" t="str"/>
      <x:c r="U444" s="137" t="str"/>
      <x:c r="V444" s="137" t="str"/>
    </x:row>
    <x:row r="445">
      <x:c r="A445" s="137" t="str"/>
      <x:c r="B445" s="199" t="str"/>
      <x:c r="C445" s="137" t="str"/>
      <x:c r="D445" s="137" t="str"/>
      <x:c r="E445" s="137" t="str"/>
      <x:c r="F445" s="137" t="str"/>
      <x:c r="G445" s="137" t="str"/>
      <x:c r="H445" s="137" t="str"/>
      <x:c r="I445" s="137" t="str"/>
      <x:c r="J445" s="137" t="str"/>
      <x:c r="K445" s="137" t="str"/>
      <x:c r="L445" s="138" t="str"/>
      <x:c r="M445" s="138" t="str"/>
      <x:c r="N445" s="196" t="str">
        <x:f>IF(OR(L445="",M445=""),"",M445-L445)</x:f>
      </x:c>
      <x:c r="O445" s="137" t="str"/>
      <x:c r="P445" s="137" t="str"/>
      <x:c r="Q445" s="137" t="str"/>
      <x:c r="R445" s="137" t="str"/>
      <x:c r="S445" s="137" t="str"/>
      <x:c r="T445" s="137" t="str"/>
      <x:c r="U445" s="137" t="str"/>
      <x:c r="V445" s="137" t="str"/>
    </x:row>
    <x:row r="446">
      <x:c r="A446" s="137" t="str"/>
      <x:c r="B446" s="199" t="str"/>
      <x:c r="C446" s="137" t="str"/>
      <x:c r="D446" s="137" t="str"/>
      <x:c r="E446" s="137" t="str"/>
      <x:c r="F446" s="137" t="str"/>
      <x:c r="G446" s="137" t="str"/>
      <x:c r="H446" s="137" t="str"/>
      <x:c r="I446" s="137" t="str"/>
      <x:c r="J446" s="137" t="str"/>
      <x:c r="K446" s="137" t="str"/>
      <x:c r="L446" s="138" t="str"/>
      <x:c r="M446" s="138" t="str"/>
      <x:c r="N446" s="196" t="str">
        <x:f>IF(OR(L446="",M446=""),"",M446-L446)</x:f>
      </x:c>
      <x:c r="O446" s="137" t="str"/>
      <x:c r="P446" s="137" t="str"/>
      <x:c r="Q446" s="137" t="str"/>
      <x:c r="R446" s="137" t="str"/>
      <x:c r="S446" s="137" t="str"/>
      <x:c r="T446" s="137" t="str"/>
      <x:c r="U446" s="137" t="str"/>
      <x:c r="V446" s="137" t="str"/>
    </x:row>
    <x:row r="447">
      <x:c r="A447" s="137" t="str"/>
      <x:c r="B447" s="199" t="str"/>
      <x:c r="C447" s="137" t="str"/>
      <x:c r="D447" s="137" t="str"/>
      <x:c r="E447" s="137" t="str"/>
      <x:c r="F447" s="137" t="str"/>
      <x:c r="G447" s="137" t="str"/>
      <x:c r="H447" s="137" t="str"/>
      <x:c r="I447" s="137" t="str"/>
      <x:c r="J447" s="137" t="str"/>
      <x:c r="K447" s="137" t="str"/>
      <x:c r="L447" s="138" t="str"/>
      <x:c r="M447" s="138" t="str"/>
      <x:c r="N447" s="196" t="str">
        <x:f>IF(OR(L447="",M447=""),"",M447-L447)</x:f>
      </x:c>
      <x:c r="O447" s="137" t="str"/>
      <x:c r="P447" s="137" t="str"/>
      <x:c r="Q447" s="137" t="str"/>
      <x:c r="R447" s="137" t="str"/>
      <x:c r="S447" s="137" t="str"/>
      <x:c r="T447" s="137" t="str"/>
      <x:c r="U447" s="137" t="str"/>
      <x:c r="V447" s="137" t="str"/>
    </x:row>
    <x:row r="448">
      <x:c r="A448" s="137" t="str"/>
      <x:c r="B448" s="199" t="str"/>
      <x:c r="C448" s="137" t="str"/>
      <x:c r="D448" s="137" t="str"/>
      <x:c r="E448" s="137" t="str"/>
      <x:c r="F448" s="137" t="str"/>
      <x:c r="G448" s="137" t="str"/>
      <x:c r="H448" s="137" t="str"/>
      <x:c r="I448" s="137" t="str"/>
      <x:c r="J448" s="137" t="str"/>
      <x:c r="K448" s="137" t="str"/>
      <x:c r="L448" s="138" t="str"/>
      <x:c r="M448" s="138" t="str"/>
      <x:c r="N448" s="196" t="str">
        <x:f>IF(OR(L448="",M448=""),"",M448-L448)</x:f>
      </x:c>
      <x:c r="O448" s="137" t="str"/>
      <x:c r="P448" s="137" t="str"/>
      <x:c r="Q448" s="137" t="str"/>
      <x:c r="R448" s="137" t="str"/>
      <x:c r="S448" s="137" t="str"/>
      <x:c r="T448" s="137" t="str"/>
      <x:c r="U448" s="137" t="str"/>
      <x:c r="V448" s="137" t="str"/>
    </x:row>
    <x:row r="449">
      <x:c r="A449" s="137" t="str"/>
      <x:c r="B449" s="199" t="str"/>
      <x:c r="C449" s="137" t="str"/>
      <x:c r="D449" s="137" t="str"/>
      <x:c r="E449" s="137" t="str"/>
      <x:c r="F449" s="137" t="str"/>
      <x:c r="G449" s="137" t="str"/>
      <x:c r="H449" s="137" t="str"/>
      <x:c r="I449" s="137" t="str"/>
      <x:c r="J449" s="137" t="str"/>
      <x:c r="K449" s="137" t="str"/>
      <x:c r="L449" s="138" t="str"/>
      <x:c r="M449" s="138" t="str"/>
      <x:c r="N449" s="196" t="str">
        <x:f>IF(OR(L449="",M449=""),"",M449-L449)</x:f>
      </x:c>
      <x:c r="O449" s="137" t="str"/>
      <x:c r="P449" s="137" t="str"/>
      <x:c r="Q449" s="137" t="str"/>
      <x:c r="R449" s="137" t="str"/>
      <x:c r="S449" s="137" t="str"/>
      <x:c r="T449" s="137" t="str"/>
      <x:c r="U449" s="137" t="str"/>
      <x:c r="V449" s="137" t="str"/>
    </x:row>
    <x:row r="450">
      <x:c r="A450" s="137" t="str"/>
      <x:c r="B450" s="199" t="str"/>
      <x:c r="C450" s="137" t="str"/>
      <x:c r="D450" s="137" t="str"/>
      <x:c r="E450" s="137" t="str"/>
      <x:c r="F450" s="137" t="str"/>
      <x:c r="G450" s="137" t="str"/>
      <x:c r="H450" s="137" t="str"/>
      <x:c r="I450" s="137" t="str"/>
      <x:c r="J450" s="137" t="str"/>
      <x:c r="K450" s="137" t="str"/>
      <x:c r="L450" s="138" t="str"/>
      <x:c r="M450" s="138" t="str"/>
      <x:c r="N450" s="196" t="str">
        <x:f>IF(OR(L450="",M450=""),"",M450-L450)</x:f>
      </x:c>
      <x:c r="O450" s="137" t="str"/>
      <x:c r="P450" s="137" t="str"/>
      <x:c r="Q450" s="137" t="str"/>
      <x:c r="R450" s="137" t="str"/>
      <x:c r="S450" s="137" t="str"/>
      <x:c r="T450" s="137" t="str"/>
      <x:c r="U450" s="137" t="str"/>
      <x:c r="V450" s="137" t="str"/>
    </x:row>
    <x:row r="451">
      <x:c r="A451" s="137" t="str"/>
      <x:c r="B451" s="199" t="str"/>
      <x:c r="C451" s="137" t="str"/>
      <x:c r="D451" s="137" t="str"/>
      <x:c r="E451" s="137" t="str"/>
      <x:c r="F451" s="137" t="str"/>
      <x:c r="G451" s="137" t="str"/>
      <x:c r="H451" s="137" t="str"/>
      <x:c r="I451" s="137" t="str"/>
      <x:c r="J451" s="137" t="str"/>
      <x:c r="K451" s="137" t="str"/>
      <x:c r="L451" s="138" t="str"/>
      <x:c r="M451" s="138" t="str"/>
      <x:c r="N451" s="196" t="str">
        <x:f>IF(OR(L451="",M451=""),"",M451-L451)</x:f>
      </x:c>
      <x:c r="O451" s="137" t="str"/>
      <x:c r="P451" s="137" t="str"/>
      <x:c r="Q451" s="137" t="str"/>
      <x:c r="R451" s="137" t="str"/>
      <x:c r="S451" s="137" t="str"/>
      <x:c r="T451" s="137" t="str"/>
      <x:c r="U451" s="137" t="str"/>
      <x:c r="V451" s="137" t="str"/>
    </x:row>
    <x:row r="452">
      <x:c r="A452" s="137" t="str"/>
      <x:c r="B452" s="199" t="str"/>
      <x:c r="C452" s="137" t="str"/>
      <x:c r="D452" s="137" t="str"/>
      <x:c r="E452" s="137" t="str"/>
      <x:c r="F452" s="137" t="str"/>
      <x:c r="G452" s="137" t="str"/>
      <x:c r="H452" s="137" t="str"/>
      <x:c r="I452" s="137" t="str"/>
      <x:c r="J452" s="137" t="str"/>
      <x:c r="K452" s="137" t="str"/>
      <x:c r="L452" s="138" t="str"/>
      <x:c r="M452" s="138" t="str"/>
      <x:c r="N452" s="196" t="str">
        <x:f>IF(OR(L452="",M452=""),"",M452-L452)</x:f>
      </x:c>
      <x:c r="O452" s="137" t="str"/>
      <x:c r="P452" s="137" t="str"/>
      <x:c r="Q452" s="137" t="str"/>
      <x:c r="R452" s="137" t="str"/>
      <x:c r="S452" s="137" t="str"/>
      <x:c r="T452" s="137" t="str"/>
      <x:c r="U452" s="137" t="str"/>
      <x:c r="V452" s="137" t="str"/>
    </x:row>
    <x:row r="453">
      <x:c r="A453" s="137" t="str"/>
      <x:c r="B453" s="199" t="str"/>
      <x:c r="C453" s="137" t="str"/>
      <x:c r="D453" s="137" t="str"/>
      <x:c r="E453" s="137" t="str"/>
      <x:c r="F453" s="137" t="str"/>
      <x:c r="G453" s="137" t="str"/>
      <x:c r="H453" s="137" t="str"/>
      <x:c r="I453" s="137" t="str"/>
      <x:c r="J453" s="137" t="str"/>
      <x:c r="K453" s="137" t="str"/>
      <x:c r="L453" s="138" t="str"/>
      <x:c r="M453" s="138" t="str"/>
      <x:c r="N453" s="196" t="str">
        <x:f>IF(OR(L453="",M453=""),"",M453-L453)</x:f>
      </x:c>
      <x:c r="O453" s="137" t="str"/>
      <x:c r="P453" s="137" t="str"/>
      <x:c r="Q453" s="137" t="str"/>
      <x:c r="R453" s="137" t="str"/>
      <x:c r="S453" s="137" t="str"/>
      <x:c r="T453" s="137" t="str"/>
      <x:c r="U453" s="137" t="str"/>
      <x:c r="V453" s="137" t="str"/>
    </x:row>
    <x:row r="454">
      <x:c r="A454" s="137" t="str"/>
      <x:c r="B454" s="199" t="str"/>
      <x:c r="C454" s="137" t="str"/>
      <x:c r="D454" s="137" t="str"/>
      <x:c r="E454" s="137" t="str"/>
      <x:c r="F454" s="137" t="str"/>
      <x:c r="G454" s="137" t="str"/>
      <x:c r="H454" s="137" t="str"/>
      <x:c r="I454" s="137" t="str"/>
      <x:c r="J454" s="137" t="str"/>
      <x:c r="K454" s="137" t="str"/>
      <x:c r="L454" s="138" t="str"/>
      <x:c r="M454" s="138" t="str"/>
      <x:c r="N454" s="196" t="str">
        <x:f>IF(OR(L454="",M454=""),"",M454-L454)</x:f>
      </x:c>
      <x:c r="O454" s="137" t="str"/>
      <x:c r="P454" s="137" t="str"/>
      <x:c r="Q454" s="137" t="str"/>
      <x:c r="R454" s="137" t="str"/>
      <x:c r="S454" s="137" t="str"/>
      <x:c r="T454" s="137" t="str"/>
      <x:c r="U454" s="137" t="str"/>
      <x:c r="V454" s="137" t="str"/>
    </x:row>
    <x:row r="455">
      <x:c r="A455" s="137" t="str"/>
      <x:c r="B455" s="199" t="str"/>
      <x:c r="C455" s="137" t="str"/>
      <x:c r="D455" s="137" t="str"/>
      <x:c r="E455" s="137" t="str"/>
      <x:c r="F455" s="137" t="str"/>
      <x:c r="G455" s="137" t="str"/>
      <x:c r="H455" s="137" t="str"/>
      <x:c r="I455" s="137" t="str"/>
      <x:c r="J455" s="137" t="str"/>
      <x:c r="K455" s="137" t="str"/>
      <x:c r="L455" s="138" t="str"/>
      <x:c r="M455" s="138" t="str"/>
      <x:c r="N455" s="196" t="str">
        <x:f>IF(OR(L455="",M455=""),"",M455-L455)</x:f>
      </x:c>
      <x:c r="O455" s="137" t="str"/>
      <x:c r="P455" s="137" t="str"/>
      <x:c r="Q455" s="137" t="str"/>
      <x:c r="R455" s="137" t="str"/>
      <x:c r="S455" s="137" t="str"/>
      <x:c r="T455" s="137" t="str"/>
      <x:c r="U455" s="137" t="str"/>
      <x:c r="V455" s="137" t="str"/>
    </x:row>
    <x:row r="456">
      <x:c r="A456" s="137" t="str"/>
      <x:c r="B456" s="199" t="str"/>
      <x:c r="C456" s="137" t="str"/>
      <x:c r="D456" s="137" t="str"/>
      <x:c r="E456" s="137" t="str"/>
      <x:c r="F456" s="137" t="str"/>
      <x:c r="G456" s="137" t="str"/>
      <x:c r="H456" s="137" t="str"/>
      <x:c r="I456" s="137" t="str"/>
      <x:c r="J456" s="137" t="str"/>
      <x:c r="K456" s="137" t="str"/>
      <x:c r="L456" s="138" t="str"/>
      <x:c r="M456" s="138" t="str"/>
      <x:c r="N456" s="196" t="str">
        <x:f>IF(OR(L456="",M456=""),"",M456-L456)</x:f>
      </x:c>
      <x:c r="O456" s="137" t="str"/>
      <x:c r="P456" s="137" t="str"/>
      <x:c r="Q456" s="137" t="str"/>
      <x:c r="R456" s="137" t="str"/>
      <x:c r="S456" s="137" t="str"/>
      <x:c r="T456" s="137" t="str"/>
      <x:c r="U456" s="137" t="str"/>
      <x:c r="V456" s="137" t="str"/>
    </x:row>
    <x:row r="457">
      <x:c r="A457" s="137" t="str"/>
      <x:c r="B457" s="199" t="str"/>
      <x:c r="C457" s="137" t="str"/>
      <x:c r="D457" s="137" t="str"/>
      <x:c r="E457" s="137" t="str"/>
      <x:c r="F457" s="137" t="str"/>
      <x:c r="G457" s="137" t="str"/>
      <x:c r="H457" s="137" t="str"/>
      <x:c r="I457" s="137" t="str"/>
      <x:c r="J457" s="137" t="str"/>
      <x:c r="K457" s="137" t="str"/>
      <x:c r="L457" s="138" t="str"/>
      <x:c r="M457" s="138" t="str"/>
      <x:c r="N457" s="196" t="str">
        <x:f>IF(OR(L457="",M457=""),"",M457-L457)</x:f>
      </x:c>
      <x:c r="O457" s="137" t="str"/>
      <x:c r="P457" s="137" t="str"/>
      <x:c r="Q457" s="137" t="str"/>
      <x:c r="R457" s="137" t="str"/>
      <x:c r="S457" s="137" t="str"/>
      <x:c r="T457" s="137" t="str"/>
      <x:c r="U457" s="137" t="str"/>
      <x:c r="V457" s="137" t="str"/>
    </x:row>
    <x:row r="458">
      <x:c r="A458" s="137" t="str"/>
      <x:c r="B458" s="199" t="str"/>
      <x:c r="C458" s="137" t="str"/>
      <x:c r="D458" s="137" t="str"/>
      <x:c r="E458" s="137" t="str"/>
      <x:c r="F458" s="137" t="str"/>
      <x:c r="G458" s="137" t="str"/>
      <x:c r="H458" s="137" t="str"/>
      <x:c r="I458" s="137" t="str"/>
      <x:c r="J458" s="137" t="str"/>
      <x:c r="K458" s="137" t="str"/>
      <x:c r="L458" s="138" t="str"/>
      <x:c r="M458" s="138" t="str"/>
      <x:c r="N458" s="196" t="str">
        <x:f>IF(OR(L458="",M458=""),"",M458-L458)</x:f>
      </x:c>
      <x:c r="O458" s="137" t="str"/>
      <x:c r="P458" s="137" t="str"/>
      <x:c r="Q458" s="137" t="str"/>
      <x:c r="R458" s="137" t="str"/>
      <x:c r="S458" s="137" t="str"/>
      <x:c r="T458" s="137" t="str"/>
      <x:c r="U458" s="137" t="str"/>
      <x:c r="V458" s="137" t="str"/>
    </x:row>
    <x:row r="459">
      <x:c r="A459" s="137" t="str"/>
      <x:c r="B459" s="199" t="str"/>
      <x:c r="C459" s="137" t="str"/>
      <x:c r="D459" s="137" t="str"/>
      <x:c r="E459" s="137" t="str"/>
      <x:c r="F459" s="137" t="str"/>
      <x:c r="G459" s="137" t="str"/>
      <x:c r="H459" s="137" t="str"/>
      <x:c r="I459" s="137" t="str"/>
      <x:c r="J459" s="137" t="str"/>
      <x:c r="K459" s="137" t="str"/>
      <x:c r="L459" s="138" t="str"/>
      <x:c r="M459" s="138" t="str"/>
      <x:c r="N459" s="196" t="str">
        <x:f>IF(OR(L459="",M459=""),"",M459-L459)</x:f>
      </x:c>
      <x:c r="O459" s="137" t="str"/>
      <x:c r="P459" s="137" t="str"/>
      <x:c r="Q459" s="137" t="str"/>
      <x:c r="R459" s="137" t="str"/>
      <x:c r="S459" s="137" t="str"/>
      <x:c r="T459" s="137" t="str"/>
      <x:c r="U459" s="137" t="str"/>
      <x:c r="V459" s="137" t="str"/>
    </x:row>
    <x:row r="460">
      <x:c r="A460" s="137" t="str"/>
      <x:c r="B460" s="199" t="str"/>
      <x:c r="C460" s="137" t="str"/>
      <x:c r="D460" s="137" t="str"/>
      <x:c r="E460" s="137" t="str"/>
      <x:c r="F460" s="137" t="str"/>
      <x:c r="G460" s="137" t="str"/>
      <x:c r="H460" s="137" t="str"/>
      <x:c r="I460" s="137" t="str"/>
      <x:c r="J460" s="137" t="str"/>
      <x:c r="K460" s="137" t="str"/>
      <x:c r="L460" s="138" t="str"/>
      <x:c r="M460" s="138" t="str"/>
      <x:c r="N460" s="196" t="str">
        <x:f>IF(OR(L460="",M460=""),"",M460-L460)</x:f>
      </x:c>
      <x:c r="O460" s="137" t="str"/>
      <x:c r="P460" s="137" t="str"/>
      <x:c r="Q460" s="137" t="str"/>
      <x:c r="R460" s="137" t="str"/>
      <x:c r="S460" s="137" t="str"/>
      <x:c r="T460" s="137" t="str"/>
      <x:c r="U460" s="137" t="str"/>
      <x:c r="V460" s="137" t="str"/>
    </x:row>
    <x:row r="461">
      <x:c r="A461" s="137" t="str"/>
      <x:c r="B461" s="199" t="str"/>
      <x:c r="C461" s="137" t="str"/>
      <x:c r="D461" s="137" t="str"/>
      <x:c r="E461" s="137" t="str"/>
      <x:c r="F461" s="137" t="str"/>
      <x:c r="G461" s="137" t="str"/>
      <x:c r="H461" s="137" t="str"/>
      <x:c r="I461" s="137" t="str"/>
      <x:c r="J461" s="137" t="str"/>
      <x:c r="K461" s="137" t="str"/>
      <x:c r="L461" s="138" t="str"/>
      <x:c r="M461" s="138" t="str"/>
      <x:c r="N461" s="196" t="str">
        <x:f>IF(OR(L461="",M461=""),"",M461-L461)</x:f>
      </x:c>
      <x:c r="O461" s="137" t="str"/>
      <x:c r="P461" s="137" t="str"/>
      <x:c r="Q461" s="137" t="str"/>
      <x:c r="R461" s="137" t="str"/>
      <x:c r="S461" s="137" t="str"/>
      <x:c r="T461" s="137" t="str"/>
      <x:c r="U461" s="137" t="str"/>
      <x:c r="V461" s="137" t="str"/>
    </x:row>
    <x:row r="462">
      <x:c r="A462" s="137" t="str"/>
      <x:c r="B462" s="199" t="str"/>
      <x:c r="C462" s="137" t="str"/>
      <x:c r="D462" s="137" t="str"/>
      <x:c r="E462" s="137" t="str"/>
      <x:c r="F462" s="137" t="str"/>
      <x:c r="G462" s="137" t="str"/>
      <x:c r="H462" s="137" t="str"/>
      <x:c r="I462" s="137" t="str"/>
      <x:c r="J462" s="137" t="str"/>
      <x:c r="K462" s="137" t="str"/>
      <x:c r="L462" s="138" t="str"/>
      <x:c r="M462" s="138" t="str"/>
      <x:c r="N462" s="196" t="str">
        <x:f>IF(OR(L462="",M462=""),"",M462-L462)</x:f>
      </x:c>
      <x:c r="O462" s="137" t="str"/>
      <x:c r="P462" s="137" t="str"/>
      <x:c r="Q462" s="137" t="str"/>
      <x:c r="R462" s="137" t="str"/>
      <x:c r="S462" s="137" t="str"/>
      <x:c r="T462" s="137" t="str"/>
      <x:c r="U462" s="137" t="str"/>
      <x:c r="V462" s="137" t="str"/>
    </x:row>
    <x:row r="463">
      <x:c r="A463" s="137" t="str"/>
      <x:c r="B463" s="199" t="str"/>
      <x:c r="C463" s="137" t="str"/>
      <x:c r="D463" s="137" t="str"/>
      <x:c r="E463" s="137" t="str"/>
      <x:c r="F463" s="137" t="str"/>
      <x:c r="G463" s="137" t="str"/>
      <x:c r="H463" s="137" t="str"/>
      <x:c r="I463" s="137" t="str"/>
      <x:c r="J463" s="137" t="str"/>
      <x:c r="K463" s="137" t="str"/>
      <x:c r="L463" s="138" t="str"/>
      <x:c r="M463" s="138" t="str"/>
      <x:c r="N463" s="196" t="str">
        <x:f>IF(OR(L463="",M463=""),"",M463-L463)</x:f>
      </x:c>
      <x:c r="O463" s="137" t="str"/>
      <x:c r="P463" s="137" t="str"/>
      <x:c r="Q463" s="137" t="str"/>
      <x:c r="R463" s="137" t="str"/>
      <x:c r="S463" s="137" t="str"/>
      <x:c r="T463" s="137" t="str"/>
      <x:c r="U463" s="137" t="str"/>
      <x:c r="V463" s="137" t="str"/>
    </x:row>
    <x:row r="464">
      <x:c r="A464" s="137" t="str"/>
      <x:c r="B464" s="199" t="str"/>
      <x:c r="C464" s="137" t="str"/>
      <x:c r="D464" s="137" t="str"/>
      <x:c r="E464" s="137" t="str"/>
      <x:c r="F464" s="137" t="str"/>
      <x:c r="G464" s="137" t="str"/>
      <x:c r="H464" s="137" t="str"/>
      <x:c r="I464" s="137" t="str"/>
      <x:c r="J464" s="137" t="str"/>
      <x:c r="K464" s="137" t="str"/>
      <x:c r="L464" s="138" t="str"/>
      <x:c r="M464" s="138" t="str"/>
      <x:c r="N464" s="196" t="str">
        <x:f>IF(OR(L464="",M464=""),"",M464-L464)</x:f>
      </x:c>
      <x:c r="O464" s="137" t="str"/>
      <x:c r="P464" s="137" t="str"/>
      <x:c r="Q464" s="137" t="str"/>
      <x:c r="R464" s="137" t="str"/>
      <x:c r="S464" s="137" t="str"/>
      <x:c r="T464" s="137" t="str"/>
      <x:c r="U464" s="137" t="str"/>
      <x:c r="V464" s="137" t="str"/>
    </x:row>
    <x:row r="465">
      <x:c r="A465" s="137" t="str"/>
      <x:c r="B465" s="199" t="str"/>
      <x:c r="C465" s="137" t="str"/>
      <x:c r="D465" s="137" t="str"/>
      <x:c r="E465" s="137" t="str"/>
      <x:c r="F465" s="137" t="str"/>
      <x:c r="G465" s="137" t="str"/>
      <x:c r="H465" s="137" t="str"/>
      <x:c r="I465" s="137" t="str"/>
      <x:c r="J465" s="137" t="str"/>
      <x:c r="K465" s="137" t="str"/>
      <x:c r="L465" s="138" t="str"/>
      <x:c r="M465" s="138" t="str"/>
      <x:c r="N465" s="196" t="str">
        <x:f>IF(OR(L465="",M465=""),"",M465-L465)</x:f>
      </x:c>
      <x:c r="O465" s="137" t="str"/>
      <x:c r="P465" s="137" t="str"/>
      <x:c r="Q465" s="137" t="str"/>
      <x:c r="R465" s="137" t="str"/>
      <x:c r="S465" s="137" t="str"/>
      <x:c r="T465" s="137" t="str"/>
      <x:c r="U465" s="137" t="str"/>
      <x:c r="V465" s="137" t="str"/>
    </x:row>
    <x:row r="466">
      <x:c r="A466" s="137" t="str"/>
      <x:c r="B466" s="199" t="str"/>
      <x:c r="C466" s="137" t="str"/>
      <x:c r="D466" s="137" t="str"/>
      <x:c r="E466" s="137" t="str"/>
      <x:c r="F466" s="137" t="str"/>
      <x:c r="G466" s="137" t="str"/>
      <x:c r="H466" s="137" t="str"/>
      <x:c r="I466" s="137" t="str"/>
      <x:c r="J466" s="137" t="str"/>
      <x:c r="K466" s="137" t="str"/>
      <x:c r="L466" s="138" t="str"/>
      <x:c r="M466" s="138" t="str"/>
      <x:c r="N466" s="196" t="str">
        <x:f>IF(OR(L466="",M466=""),"",M466-L466)</x:f>
      </x:c>
      <x:c r="O466" s="137" t="str"/>
      <x:c r="P466" s="137" t="str"/>
      <x:c r="Q466" s="137" t="str"/>
      <x:c r="R466" s="137" t="str"/>
      <x:c r="S466" s="137" t="str"/>
      <x:c r="T466" s="137" t="str"/>
      <x:c r="U466" s="137" t="str"/>
      <x:c r="V466" s="137" t="str"/>
    </x:row>
    <x:row r="467">
      <x:c r="A467" s="137" t="str"/>
      <x:c r="B467" s="199" t="str"/>
      <x:c r="C467" s="137" t="str"/>
      <x:c r="D467" s="137" t="str"/>
      <x:c r="E467" s="137" t="str"/>
      <x:c r="F467" s="137" t="str"/>
      <x:c r="G467" s="137" t="str"/>
      <x:c r="H467" s="137" t="str"/>
      <x:c r="I467" s="137" t="str"/>
      <x:c r="J467" s="137" t="str"/>
      <x:c r="K467" s="137" t="str"/>
      <x:c r="L467" s="138" t="str"/>
      <x:c r="M467" s="138" t="str"/>
      <x:c r="N467" s="196" t="str">
        <x:f>IF(OR(L467="",M467=""),"",M467-L467)</x:f>
      </x:c>
      <x:c r="O467" s="137" t="str"/>
      <x:c r="P467" s="137" t="str"/>
      <x:c r="Q467" s="137" t="str"/>
      <x:c r="R467" s="137" t="str"/>
      <x:c r="S467" s="137" t="str"/>
      <x:c r="T467" s="137" t="str"/>
      <x:c r="U467" s="137" t="str"/>
      <x:c r="V467" s="137" t="str"/>
    </x:row>
    <x:row r="468">
      <x:c r="A468" s="137" t="str"/>
      <x:c r="B468" s="199" t="str"/>
      <x:c r="C468" s="137" t="str"/>
      <x:c r="D468" s="137" t="str"/>
      <x:c r="E468" s="137" t="str"/>
      <x:c r="F468" s="137" t="str"/>
      <x:c r="G468" s="137" t="str"/>
      <x:c r="H468" s="137" t="str"/>
      <x:c r="I468" s="137" t="str"/>
      <x:c r="J468" s="137" t="str"/>
      <x:c r="K468" s="137" t="str"/>
      <x:c r="L468" s="138" t="str"/>
      <x:c r="M468" s="138" t="str"/>
      <x:c r="N468" s="196" t="str">
        <x:f>IF(OR(L468="",M468=""),"",M468-L468)</x:f>
      </x:c>
      <x:c r="O468" s="137" t="str"/>
      <x:c r="P468" s="137" t="str"/>
      <x:c r="Q468" s="137" t="str"/>
      <x:c r="R468" s="137" t="str"/>
      <x:c r="S468" s="137" t="str"/>
      <x:c r="T468" s="137" t="str"/>
      <x:c r="U468" s="137" t="str"/>
      <x:c r="V468" s="137" t="str"/>
    </x:row>
    <x:row r="469">
      <x:c r="A469" s="137" t="str"/>
      <x:c r="B469" s="199" t="str"/>
      <x:c r="C469" s="137" t="str"/>
      <x:c r="D469" s="137" t="str"/>
      <x:c r="E469" s="137" t="str"/>
      <x:c r="F469" s="137" t="str"/>
      <x:c r="G469" s="137" t="str"/>
      <x:c r="H469" s="137" t="str"/>
      <x:c r="I469" s="137" t="str"/>
      <x:c r="J469" s="137" t="str"/>
      <x:c r="K469" s="137" t="str"/>
      <x:c r="L469" s="138" t="str"/>
      <x:c r="M469" s="138" t="str"/>
      <x:c r="N469" s="196" t="str">
        <x:f>IF(OR(L469="",M469=""),"",M469-L469)</x:f>
      </x:c>
      <x:c r="O469" s="137" t="str"/>
      <x:c r="P469" s="137" t="str"/>
      <x:c r="Q469" s="137" t="str"/>
      <x:c r="R469" s="137" t="str"/>
      <x:c r="S469" s="137" t="str"/>
      <x:c r="T469" s="137" t="str"/>
      <x:c r="U469" s="137" t="str"/>
      <x:c r="V469" s="137" t="str"/>
    </x:row>
    <x:row r="470">
      <x:c r="A470" s="137" t="str"/>
      <x:c r="B470" s="199" t="str"/>
      <x:c r="C470" s="137" t="str"/>
      <x:c r="D470" s="137" t="str"/>
      <x:c r="E470" s="137" t="str"/>
      <x:c r="F470" s="137" t="str"/>
      <x:c r="G470" s="137" t="str"/>
      <x:c r="H470" s="137" t="str"/>
      <x:c r="I470" s="137" t="str"/>
      <x:c r="J470" s="137" t="str"/>
      <x:c r="K470" s="137" t="str"/>
      <x:c r="L470" s="138" t="str"/>
      <x:c r="M470" s="138" t="str"/>
      <x:c r="N470" s="196" t="str">
        <x:f>IF(OR(L470="",M470=""),"",M470-L470)</x:f>
      </x:c>
      <x:c r="O470" s="137" t="str"/>
      <x:c r="P470" s="137" t="str"/>
      <x:c r="Q470" s="137" t="str"/>
      <x:c r="R470" s="137" t="str"/>
      <x:c r="S470" s="137" t="str"/>
      <x:c r="T470" s="137" t="str"/>
      <x:c r="U470" s="137" t="str"/>
      <x:c r="V470" s="137" t="str"/>
    </x:row>
    <x:row r="471">
      <x:c r="A471" s="137" t="str"/>
      <x:c r="B471" s="199" t="str"/>
      <x:c r="C471" s="137" t="str"/>
      <x:c r="D471" s="137" t="str"/>
      <x:c r="E471" s="137" t="str"/>
      <x:c r="F471" s="137" t="str"/>
      <x:c r="G471" s="137" t="str"/>
      <x:c r="H471" s="137" t="str"/>
      <x:c r="I471" s="137" t="str"/>
      <x:c r="J471" s="137" t="str"/>
      <x:c r="K471" s="137" t="str"/>
      <x:c r="L471" s="138" t="str"/>
      <x:c r="M471" s="138" t="str"/>
      <x:c r="N471" s="196" t="str">
        <x:f>IF(OR(L471="",M471=""),"",M471-L471)</x:f>
      </x:c>
      <x:c r="O471" s="137" t="str"/>
      <x:c r="P471" s="137" t="str"/>
      <x:c r="Q471" s="137" t="str"/>
      <x:c r="R471" s="137" t="str"/>
      <x:c r="S471" s="137" t="str"/>
      <x:c r="T471" s="137" t="str"/>
      <x:c r="U471" s="137" t="str"/>
      <x:c r="V471" s="137" t="str"/>
    </x:row>
    <x:row r="472">
      <x:c r="A472" s="137" t="str"/>
      <x:c r="B472" s="199" t="str"/>
      <x:c r="C472" s="137" t="str"/>
      <x:c r="D472" s="137" t="str"/>
      <x:c r="E472" s="137" t="str"/>
      <x:c r="F472" s="137" t="str"/>
      <x:c r="G472" s="137" t="str"/>
      <x:c r="H472" s="137" t="str"/>
      <x:c r="I472" s="137" t="str"/>
      <x:c r="J472" s="137" t="str"/>
      <x:c r="K472" s="137" t="str"/>
      <x:c r="L472" s="138" t="str"/>
      <x:c r="M472" s="138" t="str"/>
      <x:c r="N472" s="196" t="str">
        <x:f>IF(OR(L472="",M472=""),"",M472-L472)</x:f>
      </x:c>
      <x:c r="O472" s="137" t="str"/>
      <x:c r="P472" s="137" t="str"/>
      <x:c r="Q472" s="137" t="str"/>
      <x:c r="R472" s="137" t="str"/>
      <x:c r="S472" s="137" t="str"/>
      <x:c r="T472" s="137" t="str"/>
      <x:c r="U472" s="137" t="str"/>
      <x:c r="V472" s="137" t="str"/>
    </x:row>
    <x:row r="473">
      <x:c r="A473" s="137" t="str"/>
      <x:c r="B473" s="199" t="str"/>
      <x:c r="C473" s="137" t="str"/>
      <x:c r="D473" s="137" t="str"/>
      <x:c r="E473" s="137" t="str"/>
      <x:c r="F473" s="137" t="str"/>
      <x:c r="G473" s="137" t="str"/>
      <x:c r="H473" s="137" t="str"/>
      <x:c r="I473" s="137" t="str"/>
      <x:c r="J473" s="137" t="str"/>
      <x:c r="K473" s="137" t="str"/>
      <x:c r="L473" s="138" t="str"/>
      <x:c r="M473" s="138" t="str"/>
      <x:c r="N473" s="196" t="str">
        <x:f>IF(OR(L473="",M473=""),"",M473-L473)</x:f>
      </x:c>
      <x:c r="O473" s="137" t="str"/>
      <x:c r="P473" s="137" t="str"/>
      <x:c r="Q473" s="137" t="str"/>
      <x:c r="R473" s="137" t="str"/>
      <x:c r="S473" s="137" t="str"/>
      <x:c r="T473" s="137" t="str"/>
      <x:c r="U473" s="137" t="str"/>
      <x:c r="V473" s="137" t="str"/>
    </x:row>
    <x:row r="474">
      <x:c r="A474" s="137" t="str"/>
      <x:c r="B474" s="199" t="str"/>
      <x:c r="C474" s="137" t="str"/>
      <x:c r="D474" s="137" t="str"/>
      <x:c r="E474" s="137" t="str"/>
      <x:c r="F474" s="137" t="str"/>
      <x:c r="G474" s="137" t="str"/>
      <x:c r="H474" s="137" t="str"/>
      <x:c r="I474" s="137" t="str"/>
      <x:c r="J474" s="137" t="str"/>
      <x:c r="K474" s="137" t="str"/>
      <x:c r="L474" s="138" t="str"/>
      <x:c r="M474" s="138" t="str"/>
      <x:c r="N474" s="196" t="str">
        <x:f>IF(OR(L474="",M474=""),"",M474-L474)</x:f>
      </x:c>
      <x:c r="O474" s="137" t="str"/>
      <x:c r="P474" s="137" t="str"/>
      <x:c r="Q474" s="137" t="str"/>
      <x:c r="R474" s="137" t="str"/>
      <x:c r="S474" s="137" t="str"/>
      <x:c r="T474" s="137" t="str"/>
      <x:c r="U474" s="137" t="str"/>
      <x:c r="V474" s="137" t="str"/>
    </x:row>
    <x:row r="475">
      <x:c r="A475" s="137" t="str"/>
      <x:c r="B475" s="199" t="str"/>
      <x:c r="C475" s="137" t="str"/>
      <x:c r="D475" s="137" t="str"/>
      <x:c r="E475" s="137" t="str"/>
      <x:c r="F475" s="137" t="str"/>
      <x:c r="G475" s="137" t="str"/>
      <x:c r="H475" s="137" t="str"/>
      <x:c r="I475" s="137" t="str"/>
      <x:c r="J475" s="137" t="str"/>
      <x:c r="K475" s="137" t="str"/>
      <x:c r="L475" s="138" t="str"/>
      <x:c r="M475" s="138" t="str"/>
      <x:c r="N475" s="196" t="str">
        <x:f>IF(OR(L475="",M475=""),"",M475-L475)</x:f>
      </x:c>
      <x:c r="O475" s="137" t="str"/>
      <x:c r="P475" s="137" t="str"/>
      <x:c r="Q475" s="137" t="str"/>
      <x:c r="R475" s="137" t="str"/>
      <x:c r="S475" s="137" t="str"/>
      <x:c r="T475" s="137" t="str"/>
      <x:c r="U475" s="137" t="str"/>
      <x:c r="V475" s="137" t="str"/>
    </x:row>
    <x:row r="476">
      <x:c r="A476" s="137" t="str"/>
      <x:c r="B476" s="199" t="str"/>
      <x:c r="C476" s="137" t="str"/>
      <x:c r="D476" s="137" t="str"/>
      <x:c r="E476" s="137" t="str"/>
      <x:c r="F476" s="137" t="str"/>
      <x:c r="G476" s="137" t="str"/>
      <x:c r="H476" s="137" t="str"/>
      <x:c r="I476" s="137" t="str"/>
      <x:c r="J476" s="137" t="str"/>
      <x:c r="K476" s="137" t="str"/>
      <x:c r="L476" s="138" t="str"/>
      <x:c r="M476" s="138" t="str"/>
      <x:c r="N476" s="196" t="str">
        <x:f>IF(OR(L476="",M476=""),"",M476-L476)</x:f>
      </x:c>
      <x:c r="O476" s="137" t="str"/>
      <x:c r="P476" s="137" t="str"/>
      <x:c r="Q476" s="137" t="str"/>
      <x:c r="R476" s="137" t="str"/>
      <x:c r="S476" s="137" t="str"/>
      <x:c r="T476" s="137" t="str"/>
      <x:c r="U476" s="137" t="str"/>
      <x:c r="V476" s="137" t="str"/>
    </x:row>
    <x:row r="477">
      <x:c r="A477" s="137" t="str"/>
      <x:c r="B477" s="199" t="str"/>
      <x:c r="C477" s="137" t="str"/>
      <x:c r="D477" s="137" t="str"/>
      <x:c r="E477" s="137" t="str"/>
      <x:c r="F477" s="137" t="str"/>
      <x:c r="G477" s="137" t="str"/>
      <x:c r="H477" s="137" t="str"/>
      <x:c r="I477" s="137" t="str"/>
      <x:c r="J477" s="137" t="str"/>
      <x:c r="K477" s="137" t="str"/>
      <x:c r="L477" s="138" t="str"/>
      <x:c r="M477" s="138" t="str"/>
      <x:c r="N477" s="196" t="str">
        <x:f>IF(OR(L477="",M477=""),"",M477-L477)</x:f>
      </x:c>
      <x:c r="O477" s="137" t="str"/>
      <x:c r="P477" s="137" t="str"/>
      <x:c r="Q477" s="137" t="str"/>
      <x:c r="R477" s="137" t="str"/>
      <x:c r="S477" s="137" t="str"/>
      <x:c r="T477" s="137" t="str"/>
      <x:c r="U477" s="137" t="str"/>
      <x:c r="V477" s="137" t="str"/>
    </x:row>
    <x:row r="478">
      <x:c r="A478" s="137" t="str"/>
      <x:c r="B478" s="199" t="str"/>
      <x:c r="C478" s="137" t="str"/>
      <x:c r="D478" s="137" t="str"/>
      <x:c r="E478" s="137" t="str"/>
      <x:c r="F478" s="137" t="str"/>
      <x:c r="G478" s="137" t="str"/>
      <x:c r="H478" s="137" t="str"/>
      <x:c r="I478" s="137" t="str"/>
      <x:c r="J478" s="137" t="str"/>
      <x:c r="K478" s="137" t="str"/>
      <x:c r="L478" s="138" t="str"/>
      <x:c r="M478" s="138" t="str"/>
      <x:c r="N478" s="196" t="str">
        <x:f>IF(OR(L478="",M478=""),"",M478-L478)</x:f>
      </x:c>
      <x:c r="O478" s="137" t="str"/>
      <x:c r="P478" s="137" t="str"/>
      <x:c r="Q478" s="137" t="str"/>
      <x:c r="R478" s="137" t="str"/>
      <x:c r="S478" s="137" t="str"/>
      <x:c r="T478" s="137" t="str"/>
      <x:c r="U478" s="137" t="str"/>
      <x:c r="V478" s="137" t="str"/>
    </x:row>
    <x:row r="479">
      <x:c r="A479" s="137" t="str"/>
      <x:c r="B479" s="199" t="str"/>
      <x:c r="C479" s="137" t="str"/>
      <x:c r="D479" s="137" t="str"/>
      <x:c r="E479" s="137" t="str"/>
      <x:c r="F479" s="137" t="str"/>
      <x:c r="G479" s="137" t="str"/>
      <x:c r="H479" s="137" t="str"/>
      <x:c r="I479" s="137" t="str"/>
      <x:c r="J479" s="137" t="str"/>
      <x:c r="K479" s="137" t="str"/>
      <x:c r="L479" s="138" t="str"/>
      <x:c r="M479" s="138" t="str"/>
      <x:c r="N479" s="196" t="str">
        <x:f>IF(OR(L479="",M479=""),"",M479-L479)</x:f>
      </x:c>
      <x:c r="O479" s="137" t="str"/>
      <x:c r="P479" s="137" t="str"/>
      <x:c r="Q479" s="137" t="str"/>
      <x:c r="R479" s="137" t="str"/>
      <x:c r="S479" s="137" t="str"/>
      <x:c r="T479" s="137" t="str"/>
      <x:c r="U479" s="137" t="str"/>
      <x:c r="V479" s="137" t="str"/>
    </x:row>
    <x:row r="480">
      <x:c r="A480" s="137" t="str"/>
      <x:c r="B480" s="199" t="str"/>
      <x:c r="C480" s="137" t="str"/>
      <x:c r="D480" s="137" t="str"/>
      <x:c r="E480" s="137" t="str"/>
      <x:c r="F480" s="137" t="str"/>
      <x:c r="G480" s="137" t="str"/>
      <x:c r="H480" s="137" t="str"/>
      <x:c r="I480" s="137" t="str"/>
      <x:c r="J480" s="137" t="str"/>
      <x:c r="K480" s="137" t="str"/>
      <x:c r="L480" s="138" t="str"/>
      <x:c r="M480" s="138" t="str"/>
      <x:c r="N480" s="196" t="str">
        <x:f>IF(OR(L480="",M480=""),"",M480-L480)</x:f>
      </x:c>
      <x:c r="O480" s="137" t="str"/>
      <x:c r="P480" s="137" t="str"/>
      <x:c r="Q480" s="137" t="str"/>
      <x:c r="R480" s="137" t="str"/>
      <x:c r="S480" s="137" t="str"/>
      <x:c r="T480" s="137" t="str"/>
      <x:c r="U480" s="137" t="str"/>
      <x:c r="V480" s="137" t="str"/>
    </x:row>
    <x:row r="481">
      <x:c r="A481" s="137" t="str"/>
      <x:c r="B481" s="199" t="str"/>
      <x:c r="C481" s="137" t="str"/>
      <x:c r="D481" s="137" t="str"/>
      <x:c r="E481" s="137" t="str"/>
      <x:c r="F481" s="137" t="str"/>
      <x:c r="G481" s="137" t="str"/>
      <x:c r="H481" s="137" t="str"/>
      <x:c r="I481" s="137" t="str"/>
      <x:c r="J481" s="137" t="str"/>
      <x:c r="K481" s="137" t="str"/>
      <x:c r="L481" s="138" t="str"/>
      <x:c r="M481" s="138" t="str"/>
      <x:c r="N481" s="196" t="str">
        <x:f>IF(OR(L481="",M481=""),"",M481-L481)</x:f>
      </x:c>
      <x:c r="O481" s="137" t="str"/>
      <x:c r="P481" s="137" t="str"/>
      <x:c r="Q481" s="137" t="str"/>
      <x:c r="R481" s="137" t="str"/>
      <x:c r="S481" s="137" t="str"/>
      <x:c r="T481" s="137" t="str"/>
      <x:c r="U481" s="137" t="str"/>
      <x:c r="V481" s="137" t="str"/>
    </x:row>
    <x:row r="482">
      <x:c r="A482" s="137" t="str"/>
      <x:c r="B482" s="199" t="str"/>
      <x:c r="C482" s="137" t="str"/>
      <x:c r="D482" s="137" t="str"/>
      <x:c r="E482" s="137" t="str"/>
      <x:c r="F482" s="137" t="str"/>
      <x:c r="G482" s="137" t="str"/>
      <x:c r="H482" s="137" t="str"/>
      <x:c r="I482" s="137" t="str"/>
      <x:c r="J482" s="137" t="str"/>
      <x:c r="K482" s="137" t="str"/>
      <x:c r="L482" s="138" t="str"/>
      <x:c r="M482" s="138" t="str"/>
      <x:c r="N482" s="196" t="str">
        <x:f>IF(OR(L482="",M482=""),"",M482-L482)</x:f>
      </x:c>
      <x:c r="O482" s="137" t="str"/>
      <x:c r="P482" s="137" t="str"/>
      <x:c r="Q482" s="137" t="str"/>
      <x:c r="R482" s="137" t="str"/>
      <x:c r="S482" s="137" t="str"/>
      <x:c r="T482" s="137" t="str"/>
      <x:c r="U482" s="137" t="str"/>
      <x:c r="V482" s="137" t="str"/>
    </x:row>
    <x:row r="483">
      <x:c r="A483" s="137" t="str"/>
      <x:c r="B483" s="199" t="str"/>
      <x:c r="C483" s="137" t="str"/>
      <x:c r="D483" s="137" t="str"/>
      <x:c r="E483" s="137" t="str"/>
      <x:c r="F483" s="137" t="str"/>
      <x:c r="G483" s="137" t="str"/>
      <x:c r="H483" s="137" t="str"/>
      <x:c r="I483" s="137" t="str"/>
      <x:c r="J483" s="137" t="str"/>
      <x:c r="K483" s="137" t="str"/>
      <x:c r="L483" s="138" t="str"/>
      <x:c r="M483" s="138" t="str"/>
      <x:c r="N483" s="196" t="str">
        <x:f>IF(OR(L483="",M483=""),"",M483-L483)</x:f>
      </x:c>
      <x:c r="O483" s="137" t="str"/>
      <x:c r="P483" s="137" t="str"/>
      <x:c r="Q483" s="137" t="str"/>
      <x:c r="R483" s="137" t="str"/>
      <x:c r="S483" s="137" t="str"/>
      <x:c r="T483" s="137" t="str"/>
      <x:c r="U483" s="137" t="str"/>
      <x:c r="V483" s="137" t="str"/>
    </x:row>
    <x:row r="484">
      <x:c r="A484" s="137" t="str"/>
      <x:c r="B484" s="199" t="str"/>
      <x:c r="C484" s="137" t="str"/>
      <x:c r="D484" s="137" t="str"/>
      <x:c r="E484" s="137" t="str"/>
      <x:c r="F484" s="137" t="str"/>
      <x:c r="G484" s="137" t="str"/>
      <x:c r="H484" s="137" t="str"/>
      <x:c r="I484" s="137" t="str"/>
      <x:c r="J484" s="137" t="str"/>
      <x:c r="K484" s="137" t="str"/>
      <x:c r="L484" s="138" t="str"/>
      <x:c r="M484" s="138" t="str"/>
      <x:c r="N484" s="196" t="str">
        <x:f>IF(OR(L484="",M484=""),"",M484-L484)</x:f>
      </x:c>
      <x:c r="O484" s="137" t="str"/>
      <x:c r="P484" s="137" t="str"/>
      <x:c r="Q484" s="137" t="str"/>
      <x:c r="R484" s="137" t="str"/>
      <x:c r="S484" s="137" t="str"/>
      <x:c r="T484" s="137" t="str"/>
      <x:c r="U484" s="137" t="str"/>
      <x:c r="V484" s="137" t="str"/>
    </x:row>
    <x:row r="485">
      <x:c r="A485" s="137" t="str"/>
      <x:c r="B485" s="199" t="str"/>
      <x:c r="C485" s="137" t="str"/>
      <x:c r="D485" s="137" t="str"/>
      <x:c r="E485" s="137" t="str"/>
      <x:c r="F485" s="137" t="str"/>
      <x:c r="G485" s="137" t="str"/>
      <x:c r="H485" s="137" t="str"/>
      <x:c r="I485" s="137" t="str"/>
      <x:c r="J485" s="137" t="str"/>
      <x:c r="K485" s="137" t="str"/>
      <x:c r="L485" s="138" t="str"/>
      <x:c r="M485" s="138" t="str"/>
      <x:c r="N485" s="196" t="str">
        <x:f>IF(OR(L485="",M485=""),"",M485-L485)</x:f>
      </x:c>
      <x:c r="O485" s="137" t="str"/>
      <x:c r="P485" s="137" t="str"/>
      <x:c r="Q485" s="137" t="str"/>
      <x:c r="R485" s="137" t="str"/>
      <x:c r="S485" s="137" t="str"/>
      <x:c r="T485" s="137" t="str"/>
      <x:c r="U485" s="137" t="str"/>
      <x:c r="V485" s="137" t="str"/>
    </x:row>
    <x:row r="486">
      <x:c r="A486" s="137" t="str"/>
      <x:c r="B486" s="199" t="str"/>
      <x:c r="C486" s="137" t="str"/>
      <x:c r="D486" s="137" t="str"/>
      <x:c r="E486" s="137" t="str"/>
      <x:c r="F486" s="137" t="str"/>
      <x:c r="G486" s="137" t="str"/>
      <x:c r="H486" s="137" t="str"/>
      <x:c r="I486" s="137" t="str"/>
      <x:c r="J486" s="137" t="str"/>
      <x:c r="K486" s="137" t="str"/>
      <x:c r="L486" s="138" t="str"/>
      <x:c r="M486" s="138" t="str"/>
      <x:c r="N486" s="196" t="str">
        <x:f>IF(OR(L486="",M486=""),"",M486-L486)</x:f>
      </x:c>
      <x:c r="O486" s="137" t="str"/>
      <x:c r="P486" s="137" t="str"/>
      <x:c r="Q486" s="137" t="str"/>
      <x:c r="R486" s="137" t="str"/>
      <x:c r="S486" s="137" t="str"/>
      <x:c r="T486" s="137" t="str"/>
      <x:c r="U486" s="137" t="str"/>
      <x:c r="V486" s="137" t="str"/>
    </x:row>
    <x:row r="487">
      <x:c r="A487" s="137" t="str"/>
      <x:c r="B487" s="199" t="str"/>
      <x:c r="C487" s="137" t="str"/>
      <x:c r="D487" s="137" t="str"/>
      <x:c r="E487" s="137" t="str"/>
      <x:c r="F487" s="137" t="str"/>
      <x:c r="G487" s="137" t="str"/>
      <x:c r="H487" s="137" t="str"/>
      <x:c r="I487" s="137" t="str"/>
      <x:c r="J487" s="137" t="str"/>
      <x:c r="K487" s="137" t="str"/>
      <x:c r="L487" s="138" t="str"/>
      <x:c r="M487" s="138" t="str"/>
      <x:c r="N487" s="196" t="str">
        <x:f>IF(OR(L487="",M487=""),"",M487-L487)</x:f>
      </x:c>
      <x:c r="O487" s="137" t="str"/>
      <x:c r="P487" s="137" t="str"/>
      <x:c r="Q487" s="137" t="str"/>
      <x:c r="R487" s="137" t="str"/>
      <x:c r="S487" s="137" t="str"/>
      <x:c r="T487" s="137" t="str"/>
      <x:c r="U487" s="137" t="str"/>
      <x:c r="V487" s="137" t="str"/>
    </x:row>
    <x:row r="488">
      <x:c r="A488" s="137" t="str"/>
      <x:c r="B488" s="199" t="str"/>
      <x:c r="C488" s="137" t="str"/>
      <x:c r="D488" s="137" t="str"/>
      <x:c r="E488" s="137" t="str"/>
      <x:c r="F488" s="137" t="str"/>
      <x:c r="G488" s="137" t="str"/>
      <x:c r="H488" s="137" t="str"/>
      <x:c r="I488" s="137" t="str"/>
      <x:c r="J488" s="137" t="str"/>
      <x:c r="K488" s="137" t="str"/>
      <x:c r="L488" s="138" t="str"/>
      <x:c r="M488" s="138" t="str"/>
      <x:c r="N488" s="196" t="str">
        <x:f>IF(OR(L488="",M488=""),"",M488-L488)</x:f>
      </x:c>
      <x:c r="O488" s="137" t="str"/>
      <x:c r="P488" s="137" t="str"/>
      <x:c r="Q488" s="137" t="str"/>
      <x:c r="R488" s="137" t="str"/>
      <x:c r="S488" s="137" t="str"/>
      <x:c r="T488" s="137" t="str"/>
      <x:c r="U488" s="137" t="str"/>
      <x:c r="V488" s="137" t="str"/>
    </x:row>
    <x:row r="489">
      <x:c r="A489" s="137" t="str"/>
      <x:c r="B489" s="199" t="str"/>
      <x:c r="C489" s="137" t="str"/>
      <x:c r="D489" s="137" t="str"/>
      <x:c r="E489" s="137" t="str"/>
      <x:c r="F489" s="137" t="str"/>
      <x:c r="G489" s="137" t="str"/>
      <x:c r="H489" s="137" t="str"/>
      <x:c r="I489" s="137" t="str"/>
      <x:c r="J489" s="137" t="str"/>
      <x:c r="K489" s="137" t="str"/>
      <x:c r="L489" s="138" t="str"/>
      <x:c r="M489" s="138" t="str"/>
      <x:c r="N489" s="196" t="str">
        <x:f>IF(OR(L489="",M489=""),"",M489-L489)</x:f>
      </x:c>
      <x:c r="O489" s="137" t="str"/>
      <x:c r="P489" s="137" t="str"/>
      <x:c r="Q489" s="137" t="str"/>
      <x:c r="R489" s="137" t="str"/>
      <x:c r="S489" s="137" t="str"/>
      <x:c r="T489" s="137" t="str"/>
      <x:c r="U489" s="137" t="str"/>
      <x:c r="V489" s="137" t="str"/>
    </x:row>
    <x:row r="490">
      <x:c r="A490" s="137" t="str"/>
      <x:c r="B490" s="199" t="str"/>
      <x:c r="C490" s="137" t="str"/>
      <x:c r="D490" s="137" t="str"/>
      <x:c r="E490" s="137" t="str"/>
      <x:c r="F490" s="137" t="str"/>
      <x:c r="G490" s="137" t="str"/>
      <x:c r="H490" s="137" t="str"/>
      <x:c r="I490" s="137" t="str"/>
      <x:c r="J490" s="137" t="str"/>
      <x:c r="K490" s="137" t="str"/>
      <x:c r="L490" s="138" t="str"/>
      <x:c r="M490" s="138" t="str"/>
      <x:c r="N490" s="196" t="str">
        <x:f>IF(OR(L490="",M490=""),"",M490-L490)</x:f>
      </x:c>
      <x:c r="O490" s="137" t="str"/>
      <x:c r="P490" s="137" t="str"/>
      <x:c r="Q490" s="137" t="str"/>
      <x:c r="R490" s="137" t="str"/>
      <x:c r="S490" s="137" t="str"/>
      <x:c r="T490" s="137" t="str"/>
      <x:c r="U490" s="137" t="str"/>
      <x:c r="V490" s="137" t="str"/>
    </x:row>
    <x:row r="491">
      <x:c r="A491" s="137" t="str"/>
      <x:c r="B491" s="199" t="str"/>
      <x:c r="C491" s="137" t="str"/>
      <x:c r="D491" s="137" t="str"/>
      <x:c r="E491" s="137" t="str"/>
      <x:c r="F491" s="137" t="str"/>
      <x:c r="G491" s="137" t="str"/>
      <x:c r="H491" s="137" t="str"/>
      <x:c r="I491" s="137" t="str"/>
      <x:c r="J491" s="137" t="str"/>
      <x:c r="K491" s="137" t="str"/>
      <x:c r="L491" s="138" t="str"/>
      <x:c r="M491" s="138" t="str"/>
      <x:c r="N491" s="196" t="str">
        <x:f>IF(OR(L491="",M491=""),"",M491-L491)</x:f>
      </x:c>
      <x:c r="O491" s="137" t="str"/>
      <x:c r="P491" s="137" t="str"/>
      <x:c r="Q491" s="137" t="str"/>
      <x:c r="R491" s="137" t="str"/>
      <x:c r="S491" s="137" t="str"/>
      <x:c r="T491" s="137" t="str"/>
      <x:c r="U491" s="137" t="str"/>
      <x:c r="V491" s="137" t="str"/>
    </x:row>
    <x:row r="492">
      <x:c r="A492" s="137" t="str"/>
      <x:c r="B492" s="199" t="str"/>
      <x:c r="C492" s="137" t="str"/>
      <x:c r="D492" s="137" t="str"/>
      <x:c r="E492" s="137" t="str"/>
      <x:c r="F492" s="137" t="str"/>
      <x:c r="G492" s="137" t="str"/>
      <x:c r="H492" s="137" t="str"/>
      <x:c r="I492" s="137" t="str"/>
      <x:c r="J492" s="137" t="str"/>
      <x:c r="K492" s="137" t="str"/>
      <x:c r="L492" s="138" t="str"/>
      <x:c r="M492" s="138" t="str"/>
      <x:c r="N492" s="196" t="str">
        <x:f>IF(OR(L492="",M492=""),"",M492-L492)</x:f>
      </x:c>
      <x:c r="O492" s="137" t="str"/>
      <x:c r="P492" s="137" t="str"/>
      <x:c r="Q492" s="137" t="str"/>
      <x:c r="R492" s="137" t="str"/>
      <x:c r="S492" s="137" t="str"/>
      <x:c r="T492" s="137" t="str"/>
      <x:c r="U492" s="137" t="str"/>
      <x:c r="V492" s="137" t="str"/>
    </x:row>
    <x:row r="493">
      <x:c r="A493" s="137" t="str"/>
      <x:c r="B493" s="199" t="str"/>
      <x:c r="C493" s="137" t="str"/>
      <x:c r="D493" s="137" t="str"/>
      <x:c r="E493" s="137" t="str"/>
      <x:c r="F493" s="137" t="str"/>
      <x:c r="G493" s="137" t="str"/>
      <x:c r="H493" s="137" t="str"/>
      <x:c r="I493" s="137" t="str"/>
      <x:c r="J493" s="137" t="str"/>
      <x:c r="K493" s="137" t="str"/>
      <x:c r="L493" s="138" t="str"/>
      <x:c r="M493" s="138" t="str"/>
      <x:c r="N493" s="196" t="str">
        <x:f>IF(OR(L493="",M493=""),"",M493-L493)</x:f>
      </x:c>
      <x:c r="O493" s="137" t="str"/>
      <x:c r="P493" s="137" t="str"/>
      <x:c r="Q493" s="137" t="str"/>
      <x:c r="R493" s="137" t="str"/>
      <x:c r="S493" s="137" t="str"/>
      <x:c r="T493" s="137" t="str"/>
      <x:c r="U493" s="137" t="str"/>
      <x:c r="V493" s="137" t="str"/>
    </x:row>
    <x:row r="494">
      <x:c r="A494" s="137" t="str"/>
      <x:c r="B494" s="199" t="str"/>
      <x:c r="C494" s="137" t="str"/>
      <x:c r="D494" s="137" t="str"/>
      <x:c r="E494" s="137" t="str"/>
      <x:c r="F494" s="137" t="str"/>
      <x:c r="G494" s="137" t="str"/>
      <x:c r="H494" s="137" t="str"/>
      <x:c r="I494" s="137" t="str"/>
      <x:c r="J494" s="137" t="str"/>
      <x:c r="K494" s="137" t="str"/>
      <x:c r="L494" s="138" t="str"/>
      <x:c r="M494" s="138" t="str"/>
      <x:c r="N494" s="196" t="str">
        <x:f>IF(OR(L494="",M494=""),"",M494-L494)</x:f>
      </x:c>
      <x:c r="O494" s="137" t="str"/>
      <x:c r="P494" s="137" t="str"/>
      <x:c r="Q494" s="137" t="str"/>
      <x:c r="R494" s="137" t="str"/>
      <x:c r="S494" s="137" t="str"/>
      <x:c r="T494" s="137" t="str"/>
      <x:c r="U494" s="137" t="str"/>
      <x:c r="V494" s="137" t="str"/>
    </x:row>
    <x:row r="495">
      <x:c r="A495" s="137" t="str"/>
      <x:c r="B495" s="199" t="str"/>
      <x:c r="C495" s="137" t="str"/>
      <x:c r="D495" s="137" t="str"/>
      <x:c r="E495" s="137" t="str"/>
      <x:c r="F495" s="137" t="str"/>
      <x:c r="G495" s="137" t="str"/>
      <x:c r="H495" s="137" t="str"/>
      <x:c r="I495" s="137" t="str"/>
      <x:c r="J495" s="137" t="str"/>
      <x:c r="K495" s="137" t="str"/>
      <x:c r="L495" s="138" t="str"/>
      <x:c r="M495" s="138" t="str"/>
      <x:c r="N495" s="196" t="str">
        <x:f>IF(OR(L495="",M495=""),"",M495-L495)</x:f>
      </x:c>
      <x:c r="O495" s="137" t="str"/>
      <x:c r="P495" s="137" t="str"/>
      <x:c r="Q495" s="137" t="str"/>
      <x:c r="R495" s="137" t="str"/>
      <x:c r="S495" s="137" t="str"/>
      <x:c r="T495" s="137" t="str"/>
      <x:c r="U495" s="137" t="str"/>
      <x:c r="V495" s="137" t="str"/>
    </x:row>
    <x:row r="496">
      <x:c r="A496" s="137" t="str"/>
      <x:c r="B496" s="199" t="str"/>
      <x:c r="C496" s="137" t="str"/>
      <x:c r="D496" s="137" t="str"/>
      <x:c r="E496" s="137" t="str"/>
      <x:c r="F496" s="137" t="str"/>
      <x:c r="G496" s="137" t="str"/>
      <x:c r="H496" s="137" t="str"/>
      <x:c r="I496" s="137" t="str"/>
      <x:c r="J496" s="137" t="str"/>
      <x:c r="K496" s="137" t="str"/>
      <x:c r="L496" s="138" t="str"/>
      <x:c r="M496" s="138" t="str"/>
      <x:c r="N496" s="196" t="str">
        <x:f>IF(OR(L496="",M496=""),"",M496-L496)</x:f>
      </x:c>
      <x:c r="O496" s="137" t="str"/>
      <x:c r="P496" s="137" t="str"/>
      <x:c r="Q496" s="137" t="str"/>
      <x:c r="R496" s="137" t="str"/>
      <x:c r="S496" s="137" t="str"/>
      <x:c r="T496" s="137" t="str"/>
      <x:c r="U496" s="137" t="str"/>
      <x:c r="V496" s="137" t="str"/>
    </x:row>
    <x:row r="497">
      <x:c r="A497" s="137" t="str"/>
      <x:c r="B497" s="199" t="str"/>
      <x:c r="C497" s="137" t="str"/>
      <x:c r="D497" s="137" t="str"/>
      <x:c r="E497" s="137" t="str"/>
      <x:c r="F497" s="137" t="str"/>
      <x:c r="G497" s="137" t="str"/>
      <x:c r="H497" s="137" t="str"/>
      <x:c r="I497" s="137" t="str"/>
      <x:c r="J497" s="137" t="str"/>
      <x:c r="K497" s="137" t="str"/>
      <x:c r="L497" s="138" t="str"/>
      <x:c r="M497" s="138" t="str"/>
      <x:c r="N497" s="196" t="str">
        <x:f>IF(OR(L497="",M497=""),"",M497-L497)</x:f>
      </x:c>
      <x:c r="O497" s="137" t="str"/>
      <x:c r="P497" s="137" t="str"/>
      <x:c r="Q497" s="137" t="str"/>
      <x:c r="R497" s="137" t="str"/>
      <x:c r="S497" s="137" t="str"/>
      <x:c r="T497" s="137" t="str"/>
      <x:c r="U497" s="137" t="str"/>
      <x:c r="V497" s="137" t="str"/>
    </x:row>
    <x:row r="498">
      <x:c r="A498" s="137" t="str"/>
      <x:c r="B498" s="199" t="str"/>
      <x:c r="C498" s="137" t="str"/>
      <x:c r="D498" s="137" t="str"/>
      <x:c r="E498" s="137" t="str"/>
      <x:c r="F498" s="137" t="str"/>
      <x:c r="G498" s="137" t="str"/>
      <x:c r="H498" s="137" t="str"/>
      <x:c r="I498" s="137" t="str"/>
      <x:c r="J498" s="137" t="str"/>
      <x:c r="K498" s="137" t="str"/>
      <x:c r="L498" s="138" t="str"/>
      <x:c r="M498" s="138" t="str"/>
      <x:c r="N498" s="196" t="str">
        <x:f>IF(OR(L498="",M498=""),"",M498-L498)</x:f>
      </x:c>
      <x:c r="O498" s="137" t="str"/>
      <x:c r="P498" s="137" t="str"/>
      <x:c r="Q498" s="137" t="str"/>
      <x:c r="R498" s="137" t="str"/>
      <x:c r="S498" s="137" t="str"/>
      <x:c r="T498" s="137" t="str"/>
      <x:c r="U498" s="137" t="str"/>
      <x:c r="V498" s="137" t="str"/>
    </x:row>
    <x:row r="499">
      <x:c r="A499" s="137" t="str"/>
      <x:c r="B499" s="199" t="str"/>
      <x:c r="C499" s="137" t="str"/>
      <x:c r="D499" s="137" t="str"/>
      <x:c r="E499" s="137" t="str"/>
      <x:c r="F499" s="137" t="str"/>
      <x:c r="G499" s="137" t="str"/>
      <x:c r="H499" s="137" t="str"/>
      <x:c r="I499" s="137" t="str"/>
      <x:c r="J499" s="137" t="str"/>
      <x:c r="K499" s="137" t="str"/>
      <x:c r="L499" s="138" t="str"/>
      <x:c r="M499" s="138" t="str"/>
      <x:c r="N499" s="196" t="str">
        <x:f>IF(OR(L499="",M499=""),"",M499-L499)</x:f>
      </x:c>
      <x:c r="O499" s="137" t="str"/>
      <x:c r="P499" s="137" t="str"/>
      <x:c r="Q499" s="137" t="str"/>
      <x:c r="R499" s="137" t="str"/>
      <x:c r="S499" s="137" t="str"/>
      <x:c r="T499" s="137" t="str"/>
      <x:c r="U499" s="137" t="str"/>
      <x:c r="V499" s="137" t="str"/>
    </x:row>
    <x:row r="500">
      <x:c r="A500" s="137" t="str"/>
      <x:c r="B500" s="199" t="str"/>
      <x:c r="C500" s="137" t="str"/>
      <x:c r="D500" s="137" t="str"/>
      <x:c r="E500" s="137" t="str"/>
      <x:c r="F500" s="137" t="str"/>
      <x:c r="G500" s="137" t="str"/>
      <x:c r="H500" s="137" t="str"/>
      <x:c r="I500" s="137" t="str"/>
      <x:c r="J500" s="137" t="str"/>
      <x:c r="K500" s="137" t="str"/>
      <x:c r="L500" s="138" t="str"/>
      <x:c r="M500" s="138" t="str"/>
      <x:c r="N500" s="196" t="str">
        <x:f>IF(OR(L500="",M500=""),"",M500-L500)</x:f>
      </x:c>
      <x:c r="O500" s="137" t="str"/>
      <x:c r="P500" s="137" t="str"/>
      <x:c r="Q500" s="137" t="str"/>
      <x:c r="R500" s="137" t="str"/>
      <x:c r="S500" s="137" t="str"/>
      <x:c r="T500" s="137" t="str"/>
      <x:c r="U500" s="137" t="str"/>
      <x:c r="V500" s="137" t="str"/>
    </x:row>
    <x:row r="501">
      <x:c r="A501" s="137" t="str"/>
      <x:c r="B501" s="199" t="str"/>
      <x:c r="C501" s="137" t="str"/>
      <x:c r="D501" s="137" t="str"/>
      <x:c r="E501" s="137" t="str"/>
      <x:c r="F501" s="137" t="str"/>
      <x:c r="G501" s="137" t="str"/>
      <x:c r="H501" s="137" t="str"/>
      <x:c r="I501" s="137" t="str"/>
      <x:c r="J501" s="137" t="str"/>
      <x:c r="K501" s="137" t="str"/>
      <x:c r="L501" s="138" t="str"/>
      <x:c r="M501" s="138" t="str"/>
      <x:c r="N501" s="196" t="str">
        <x:f>IF(OR(L501="",M501=""),"",M501-L501)</x:f>
      </x:c>
      <x:c r="O501" s="137" t="str"/>
      <x:c r="P501" s="137" t="str"/>
      <x:c r="Q501" s="137" t="str"/>
      <x:c r="R501" s="137" t="str"/>
      <x:c r="S501" s="137" t="str"/>
      <x:c r="T501" s="137" t="str"/>
      <x:c r="U501" s="137" t="str"/>
      <x:c r="V501" s="137" t="str"/>
    </x:row>
    <x:row r="502">
      <x:c r="A502" s="137" t="str"/>
      <x:c r="B502" s="199" t="str"/>
      <x:c r="C502" s="137" t="str"/>
      <x:c r="D502" s="137" t="str"/>
      <x:c r="E502" s="137" t="str"/>
      <x:c r="F502" s="137" t="str"/>
      <x:c r="G502" s="137" t="str"/>
      <x:c r="H502" s="137" t="str"/>
      <x:c r="I502" s="137" t="str"/>
      <x:c r="J502" s="137" t="str"/>
      <x:c r="K502" s="137" t="str"/>
      <x:c r="L502" s="138" t="str"/>
      <x:c r="M502" s="138" t="str"/>
      <x:c r="N502" s="196" t="str">
        <x:f>IF(OR(L502="",M502=""),"",M502-L502)</x:f>
      </x:c>
      <x:c r="O502" s="137" t="str"/>
      <x:c r="P502" s="137" t="str"/>
      <x:c r="Q502" s="137" t="str"/>
      <x:c r="R502" s="137" t="str"/>
      <x:c r="S502" s="137" t="str"/>
      <x:c r="T502" s="137" t="str"/>
      <x:c r="U502" s="137" t="str"/>
      <x:c r="V502" s="137" t="str"/>
    </x:row>
    <x:row r="503">
      <x:c r="A503" s="137" t="str"/>
      <x:c r="B503" s="199" t="str"/>
      <x:c r="C503" s="137" t="str"/>
      <x:c r="D503" s="137" t="str"/>
      <x:c r="E503" s="137" t="str"/>
      <x:c r="F503" s="137" t="str"/>
      <x:c r="G503" s="137" t="str"/>
      <x:c r="H503" s="137" t="str"/>
      <x:c r="I503" s="137" t="str"/>
      <x:c r="J503" s="137" t="str"/>
      <x:c r="K503" s="137" t="str"/>
      <x:c r="L503" s="138" t="str"/>
      <x:c r="M503" s="138" t="str"/>
      <x:c r="N503" s="196" t="str">
        <x:f>IF(OR(L503="",M503=""),"",M503-L503)</x:f>
      </x:c>
      <x:c r="O503" s="137" t="str"/>
      <x:c r="P503" s="137" t="str"/>
      <x:c r="Q503" s="137" t="str"/>
      <x:c r="R503" s="137" t="str"/>
      <x:c r="S503" s="137" t="str"/>
      <x:c r="T503" s="137" t="str"/>
      <x:c r="U503" s="137" t="str"/>
      <x:c r="V503" s="137" t="str"/>
    </x:row>
    <x:row r="504">
      <x:c r="A504" s="139" t="str"/>
      <x:c r="B504" s="200" t="str"/>
      <x:c r="C504" s="139" t="str"/>
      <x:c r="D504" s="139" t="str"/>
      <x:c r="E504" s="139" t="str"/>
      <x:c r="F504" s="139" t="str"/>
      <x:c r="G504" s="139" t="str"/>
      <x:c r="H504" s="139" t="str"/>
      <x:c r="I504" s="139" t="str"/>
      <x:c r="J504" s="139" t="str"/>
      <x:c r="K504" s="139" t="str"/>
      <x:c r="L504" s="145" t="str"/>
      <x:c r="M504" s="145" t="str"/>
      <x:c r="N504" s="197" t="str">
        <x:f>IF(OR(L504="",M504=""),"",M504-L504)</x:f>
      </x:c>
      <x:c r="O504" s="139" t="str"/>
      <x:c r="P504" s="139" t="str"/>
      <x:c r="Q504" s="139" t="str"/>
      <x:c r="R504" s="139" t="str"/>
      <x:c r="S504" s="139" t="str"/>
      <x:c r="T504" s="139" t="str"/>
      <x:c r="U504" s="139" t="str"/>
      <x:c r="V504" s="139" t="str"/>
    </x:row>
  </x:sheetData>
  <x:mergeCells>
    <x:mergeCell ref="A1:V1"/>
    <x:mergeCell ref="A2:V2"/>
    <x:mergeCell ref="A3:V3"/>
  </x:mergeCells>
  <x:conditionalFormatting sqref="N5:N504">
    <x:cfRule type="cellIs" dxfId="64" priority="1" operator="greaterThan">
      <x:formula>0</x:formula>
    </x:cfRule>
  </x:conditionalFormatting>
  <x:dataValidations count="6">
    <x:dataValidation type="list" sqref="E5:E504">
      <x:formula1>'Lists - Do Not Edit'!$S$2:$S$17</x:formula1>
    </x:dataValidation>
    <x:dataValidation type="list" sqref="G5:H504">
      <x:formula1>'Lists - Do Not Edit'!$B$2:$B$12</x:formula1>
    </x:dataValidation>
    <x:dataValidation type="list" sqref="I5:I504">
      <x:formula1>"Stage Started,Stage Completed,Moved Forward,Moved Back,Hold,Release Hold,Quantity Revised,Priority Revised,Dispatch Date Revised"</x:formula1>
    </x:dataValidation>
    <x:dataValidation type="list" sqref="O5:O504">
      <x:formula1>"Yes,No"</x:formula1>
    </x:dataValidation>
    <x:dataValidation type="list" sqref="R5:R504">
      <x:formula1>"Yes,No"</x:formula1>
    </x:dataValidation>
    <x:dataValidation type="list" sqref="U5:U504">
      <x:formula1>"Open,Resolved,Rejected"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b25594cdce4d41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18" hidden="0" customWidth="1"/>
    <x:col min="5" max="5" width="22" hidden="0" customWidth="1"/>
    <x:col min="6" max="6" width="18" hidden="0" customWidth="1"/>
    <x:col min="7" max="7" width="22" hidden="0" customWidth="1"/>
    <x:col min="8" max="8" width="44" hidden="0" customWidth="1"/>
    <x:col min="9" max="9" width="44" hidden="0" customWidth="1"/>
    <x:col min="10" max="10" width="14" hidden="0" customWidth="1"/>
    <x:col min="11" max="11" width="34" hidden="0" customWidth="1"/>
    <x:col min="12" max="12" width="34" hidden="0" customWidth="1"/>
    <x:col min="13" max="13" width="34" hidden="0" customWidth="1"/>
    <x:col min="14" max="14" width="20" hidden="0" customWidth="1"/>
    <x:col min="15" max="15" width="20" hidden="0" customWidth="1"/>
    <x:col min="16" max="16" width="16" hidden="0" customWidth="1"/>
    <x:col min="17" max="17" width="20" hidden="0" customWidth="1"/>
    <x:col min="18" max="18" width="34" hidden="0" customWidth="1"/>
    <x:col min="19" max="19" width="20" hidden="0" customWidth="1"/>
    <x:col min="20" max="20" width="16" hidden="0" customWidth="1"/>
    <x:col min="21" max="21" width="18" hidden="0" customWidth="1"/>
    <x:col min="22" max="22" width="36" hidden="0" customWidth="1"/>
  </x:cols>
  <x:sheetData>
    <x:row r="1" ht="30" customHeight="1">
      <x:c r="A1" s="140" t="str">
        <x:v>Client Feedback &amp; Model Change Log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  <x:c r="U1" s="122"/>
      <x:c r="V1" s="122"/>
    </x:row>
    <x:row r="2" ht="34" customHeight="1">
      <x:c r="A2" s="123" t="str">
        <x:v>A request is not complete until the product decision is recorded, the change is tested, and the client accepts the retest result.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  <x:c r="T3" s="124"/>
      <x:c r="U3" s="124"/>
      <x:c r="V3" s="124"/>
    </x:row>
    <x:row r="4" ht="34" customHeight="1">
      <x:c r="A4" s="141" t="str">
        <x:v>Feedback ID</x:v>
      </x:c>
      <x:c r="B4" s="142" t="str">
        <x:v>Raised Date</x:v>
      </x:c>
      <x:c r="C4" s="142" t="str">
        <x:v>Raised By</x:v>
      </x:c>
      <x:c r="D4" s="142" t="str">
        <x:v>Source Role</x:v>
      </x:c>
      <x:c r="E4" s="142" t="str">
        <x:v>Module / Tab</x:v>
      </x:c>
      <x:c r="F4" s="142" t="str">
        <x:v>Feedback Type</x:v>
      </x:c>
      <x:c r="G4" s="142" t="str">
        <x:v>Related PI / Order</x:v>
      </x:c>
      <x:c r="H4" s="142" t="str">
        <x:v>Problem / Request</x:v>
      </x:c>
      <x:c r="I4" s="142" t="str">
        <x:v>Expected Behaviour</x:v>
      </x:c>
      <x:c r="J4" s="142" t="str">
        <x:v>Severity</x:v>
      </x:c>
      <x:c r="K4" s="142" t="str">
        <x:v>Business Impact</x:v>
      </x:c>
      <x:c r="L4" s="142" t="str">
        <x:v>Evidence / Attachment Link</x:v>
      </x:c>
      <x:c r="M4" s="142" t="str">
        <x:v>Product Decision</x:v>
      </x:c>
      <x:c r="N4" s="142" t="str">
        <x:v>Owner</x:v>
      </x:c>
      <x:c r="O4" s="142" t="str">
        <x:v>Status</x:v>
      </x:c>
      <x:c r="P4" s="142" t="str">
        <x:v>Target Date</x:v>
      </x:c>
      <x:c r="Q4" s="142" t="str">
        <x:v>Implemented Release</x:v>
      </x:c>
      <x:c r="R4" s="142" t="str">
        <x:v>Test Evidence</x:v>
      </x:c>
      <x:c r="S4" s="142" t="str">
        <x:v>Retested By</x:v>
      </x:c>
      <x:c r="T4" s="142" t="str">
        <x:v>Retest Date</x:v>
      </x:c>
      <x:c r="U4" s="142" t="str">
        <x:v>Client Accepted?</x:v>
      </x:c>
      <x:c r="V4" s="143" t="str">
        <x:v>Closure Note</x:v>
      </x:c>
    </x:row>
    <x:row r="5">
      <x:c r="A5" s="136" t="str"/>
      <x:c r="B5" s="144" t="str"/>
      <x:c r="C5" s="136" t="str"/>
      <x:c r="D5" s="136" t="str"/>
      <x:c r="E5" s="136" t="str"/>
      <x:c r="F5" s="136" t="str"/>
      <x:c r="G5" s="136" t="str"/>
      <x:c r="H5" s="136" t="str"/>
      <x:c r="I5" s="136" t="str"/>
      <x:c r="J5" s="136" t="str"/>
      <x:c r="K5" s="136" t="str"/>
      <x:c r="L5" s="136" t="str"/>
      <x:c r="M5" s="136" t="str"/>
      <x:c r="N5" s="136" t="str"/>
      <x:c r="O5" s="136" t="str"/>
      <x:c r="P5" s="144" t="str"/>
      <x:c r="Q5" s="136" t="str"/>
      <x:c r="R5" s="136" t="str"/>
      <x:c r="S5" s="136" t="str"/>
      <x:c r="T5" s="144" t="str"/>
      <x:c r="U5" s="136" t="str"/>
      <x:c r="V5" s="136" t="str"/>
    </x:row>
    <x:row r="6">
      <x:c r="A6" s="137" t="str"/>
      <x:c r="B6" s="138" t="str"/>
      <x:c r="C6" s="137" t="str"/>
      <x:c r="D6" s="137" t="str"/>
      <x:c r="E6" s="137" t="str"/>
      <x:c r="F6" s="137" t="str"/>
      <x:c r="G6" s="137" t="str"/>
      <x:c r="H6" s="137" t="str"/>
      <x:c r="I6" s="137" t="str"/>
      <x:c r="J6" s="137" t="str"/>
      <x:c r="K6" s="137" t="str"/>
      <x:c r="L6" s="137" t="str"/>
      <x:c r="M6" s="137" t="str"/>
      <x:c r="N6" s="137" t="str"/>
      <x:c r="O6" s="137" t="str"/>
      <x:c r="P6" s="138" t="str"/>
      <x:c r="Q6" s="137" t="str"/>
      <x:c r="R6" s="137" t="str"/>
      <x:c r="S6" s="137" t="str"/>
      <x:c r="T6" s="138" t="str"/>
      <x:c r="U6" s="137" t="str"/>
      <x:c r="V6" s="137" t="str"/>
    </x:row>
    <x:row r="7">
      <x:c r="A7" s="137" t="str"/>
      <x:c r="B7" s="138" t="str"/>
      <x:c r="C7" s="137" t="str"/>
      <x:c r="D7" s="137" t="str"/>
      <x:c r="E7" s="137" t="str"/>
      <x:c r="F7" s="137" t="str"/>
      <x:c r="G7" s="137" t="str"/>
      <x:c r="H7" s="137" t="str"/>
      <x:c r="I7" s="137" t="str"/>
      <x:c r="J7" s="137" t="str"/>
      <x:c r="K7" s="137" t="str"/>
      <x:c r="L7" s="137" t="str"/>
      <x:c r="M7" s="137" t="str"/>
      <x:c r="N7" s="137" t="str"/>
      <x:c r="O7" s="137" t="str"/>
      <x:c r="P7" s="138" t="str"/>
      <x:c r="Q7" s="137" t="str"/>
      <x:c r="R7" s="137" t="str"/>
      <x:c r="S7" s="137" t="str"/>
      <x:c r="T7" s="138" t="str"/>
      <x:c r="U7" s="137" t="str"/>
      <x:c r="V7" s="137" t="str"/>
    </x:row>
    <x:row r="8">
      <x:c r="A8" s="137" t="str"/>
      <x:c r="B8" s="138" t="str"/>
      <x:c r="C8" s="137" t="str"/>
      <x:c r="D8" s="137" t="str"/>
      <x:c r="E8" s="137" t="str"/>
      <x:c r="F8" s="137" t="str"/>
      <x:c r="G8" s="137" t="str"/>
      <x:c r="H8" s="137" t="str"/>
      <x:c r="I8" s="137" t="str"/>
      <x:c r="J8" s="137" t="str"/>
      <x:c r="K8" s="137" t="str"/>
      <x:c r="L8" s="137" t="str"/>
      <x:c r="M8" s="137" t="str"/>
      <x:c r="N8" s="137" t="str"/>
      <x:c r="O8" s="137" t="str"/>
      <x:c r="P8" s="138" t="str"/>
      <x:c r="Q8" s="137" t="str"/>
      <x:c r="R8" s="137" t="str"/>
      <x:c r="S8" s="137" t="str"/>
      <x:c r="T8" s="138" t="str"/>
      <x:c r="U8" s="137" t="str"/>
      <x:c r="V8" s="137" t="str"/>
    </x:row>
    <x:row r="9">
      <x:c r="A9" s="137" t="str"/>
      <x:c r="B9" s="138" t="str"/>
      <x:c r="C9" s="137" t="str"/>
      <x:c r="D9" s="137" t="str"/>
      <x:c r="E9" s="137" t="str"/>
      <x:c r="F9" s="137" t="str"/>
      <x:c r="G9" s="137" t="str"/>
      <x:c r="H9" s="137" t="str"/>
      <x:c r="I9" s="137" t="str"/>
      <x:c r="J9" s="137" t="str"/>
      <x:c r="K9" s="137" t="str"/>
      <x:c r="L9" s="137" t="str"/>
      <x:c r="M9" s="137" t="str"/>
      <x:c r="N9" s="137" t="str"/>
      <x:c r="O9" s="137" t="str"/>
      <x:c r="P9" s="138" t="str"/>
      <x:c r="Q9" s="137" t="str"/>
      <x:c r="R9" s="137" t="str"/>
      <x:c r="S9" s="137" t="str"/>
      <x:c r="T9" s="138" t="str"/>
      <x:c r="U9" s="137" t="str"/>
      <x:c r="V9" s="137" t="str"/>
    </x:row>
    <x:row r="10">
      <x:c r="A10" s="137" t="str"/>
      <x:c r="B10" s="138" t="str"/>
      <x:c r="C10" s="137" t="str"/>
      <x:c r="D10" s="137" t="str"/>
      <x:c r="E10" s="137" t="str"/>
      <x:c r="F10" s="137" t="str"/>
      <x:c r="G10" s="137" t="str"/>
      <x:c r="H10" s="137" t="str"/>
      <x:c r="I10" s="137" t="str"/>
      <x:c r="J10" s="137" t="str"/>
      <x:c r="K10" s="137" t="str"/>
      <x:c r="L10" s="137" t="str"/>
      <x:c r="M10" s="137" t="str"/>
      <x:c r="N10" s="137" t="str"/>
      <x:c r="O10" s="137" t="str"/>
      <x:c r="P10" s="138" t="str"/>
      <x:c r="Q10" s="137" t="str"/>
      <x:c r="R10" s="137" t="str"/>
      <x:c r="S10" s="137" t="str"/>
      <x:c r="T10" s="138" t="str"/>
      <x:c r="U10" s="137" t="str"/>
      <x:c r="V10" s="137" t="str"/>
    </x:row>
    <x:row r="11">
      <x:c r="A11" s="137" t="str"/>
      <x:c r="B11" s="138" t="str"/>
      <x:c r="C11" s="137" t="str"/>
      <x:c r="D11" s="137" t="str"/>
      <x:c r="E11" s="137" t="str"/>
      <x:c r="F11" s="137" t="str"/>
      <x:c r="G11" s="137" t="str"/>
      <x:c r="H11" s="137" t="str"/>
      <x:c r="I11" s="137" t="str"/>
      <x:c r="J11" s="137" t="str"/>
      <x:c r="K11" s="137" t="str"/>
      <x:c r="L11" s="137" t="str"/>
      <x:c r="M11" s="137" t="str"/>
      <x:c r="N11" s="137" t="str"/>
      <x:c r="O11" s="137" t="str"/>
      <x:c r="P11" s="138" t="str"/>
      <x:c r="Q11" s="137" t="str"/>
      <x:c r="R11" s="137" t="str"/>
      <x:c r="S11" s="137" t="str"/>
      <x:c r="T11" s="138" t="str"/>
      <x:c r="U11" s="137" t="str"/>
      <x:c r="V11" s="137" t="str"/>
    </x:row>
    <x:row r="12">
      <x:c r="A12" s="137" t="str"/>
      <x:c r="B12" s="138" t="str"/>
      <x:c r="C12" s="137" t="str"/>
      <x:c r="D12" s="137" t="str"/>
      <x:c r="E12" s="137" t="str"/>
      <x:c r="F12" s="137" t="str"/>
      <x:c r="G12" s="137" t="str"/>
      <x:c r="H12" s="137" t="str"/>
      <x:c r="I12" s="137" t="str"/>
      <x:c r="J12" s="137" t="str"/>
      <x:c r="K12" s="137" t="str"/>
      <x:c r="L12" s="137" t="str"/>
      <x:c r="M12" s="137" t="str"/>
      <x:c r="N12" s="137" t="str"/>
      <x:c r="O12" s="137" t="str"/>
      <x:c r="P12" s="138" t="str"/>
      <x:c r="Q12" s="137" t="str"/>
      <x:c r="R12" s="137" t="str"/>
      <x:c r="S12" s="137" t="str"/>
      <x:c r="T12" s="138" t="str"/>
      <x:c r="U12" s="137" t="str"/>
      <x:c r="V12" s="137" t="str"/>
    </x:row>
    <x:row r="13">
      <x:c r="A13" s="137" t="str"/>
      <x:c r="B13" s="138" t="str"/>
      <x:c r="C13" s="137" t="str"/>
      <x:c r="D13" s="137" t="str"/>
      <x:c r="E13" s="137" t="str"/>
      <x:c r="F13" s="137" t="str"/>
      <x:c r="G13" s="137" t="str"/>
      <x:c r="H13" s="137" t="str"/>
      <x:c r="I13" s="137" t="str"/>
      <x:c r="J13" s="137" t="str"/>
      <x:c r="K13" s="137" t="str"/>
      <x:c r="L13" s="137" t="str"/>
      <x:c r="M13" s="137" t="str"/>
      <x:c r="N13" s="137" t="str"/>
      <x:c r="O13" s="137" t="str"/>
      <x:c r="P13" s="138" t="str"/>
      <x:c r="Q13" s="137" t="str"/>
      <x:c r="R13" s="137" t="str"/>
      <x:c r="S13" s="137" t="str"/>
      <x:c r="T13" s="138" t="str"/>
      <x:c r="U13" s="137" t="str"/>
      <x:c r="V13" s="137" t="str"/>
    </x:row>
    <x:row r="14">
      <x:c r="A14" s="137" t="str"/>
      <x:c r="B14" s="138" t="str"/>
      <x:c r="C14" s="137" t="str"/>
      <x:c r="D14" s="137" t="str"/>
      <x:c r="E14" s="137" t="str"/>
      <x:c r="F14" s="137" t="str"/>
      <x:c r="G14" s="137" t="str"/>
      <x:c r="H14" s="137" t="str"/>
      <x:c r="I14" s="137" t="str"/>
      <x:c r="J14" s="137" t="str"/>
      <x:c r="K14" s="137" t="str"/>
      <x:c r="L14" s="137" t="str"/>
      <x:c r="M14" s="137" t="str"/>
      <x:c r="N14" s="137" t="str"/>
      <x:c r="O14" s="137" t="str"/>
      <x:c r="P14" s="138" t="str"/>
      <x:c r="Q14" s="137" t="str"/>
      <x:c r="R14" s="137" t="str"/>
      <x:c r="S14" s="137" t="str"/>
      <x:c r="T14" s="138" t="str"/>
      <x:c r="U14" s="137" t="str"/>
      <x:c r="V14" s="137" t="str"/>
    </x:row>
    <x:row r="15">
      <x:c r="A15" s="137" t="str"/>
      <x:c r="B15" s="138" t="str"/>
      <x:c r="C15" s="137" t="str"/>
      <x:c r="D15" s="137" t="str"/>
      <x:c r="E15" s="137" t="str"/>
      <x:c r="F15" s="137" t="str"/>
      <x:c r="G15" s="137" t="str"/>
      <x:c r="H15" s="137" t="str"/>
      <x:c r="I15" s="137" t="str"/>
      <x:c r="J15" s="137" t="str"/>
      <x:c r="K15" s="137" t="str"/>
      <x:c r="L15" s="137" t="str"/>
      <x:c r="M15" s="137" t="str"/>
      <x:c r="N15" s="137" t="str"/>
      <x:c r="O15" s="137" t="str"/>
      <x:c r="P15" s="138" t="str"/>
      <x:c r="Q15" s="137" t="str"/>
      <x:c r="R15" s="137" t="str"/>
      <x:c r="S15" s="137" t="str"/>
      <x:c r="T15" s="138" t="str"/>
      <x:c r="U15" s="137" t="str"/>
      <x:c r="V15" s="137" t="str"/>
    </x:row>
    <x:row r="16">
      <x:c r="A16" s="137" t="str"/>
      <x:c r="B16" s="138" t="str"/>
      <x:c r="C16" s="137" t="str"/>
      <x:c r="D16" s="137" t="str"/>
      <x:c r="E16" s="137" t="str"/>
      <x:c r="F16" s="137" t="str"/>
      <x:c r="G16" s="137" t="str"/>
      <x:c r="H16" s="137" t="str"/>
      <x:c r="I16" s="137" t="str"/>
      <x:c r="J16" s="137" t="str"/>
      <x:c r="K16" s="137" t="str"/>
      <x:c r="L16" s="137" t="str"/>
      <x:c r="M16" s="137" t="str"/>
      <x:c r="N16" s="137" t="str"/>
      <x:c r="O16" s="137" t="str"/>
      <x:c r="P16" s="138" t="str"/>
      <x:c r="Q16" s="137" t="str"/>
      <x:c r="R16" s="137" t="str"/>
      <x:c r="S16" s="137" t="str"/>
      <x:c r="T16" s="138" t="str"/>
      <x:c r="U16" s="137" t="str"/>
      <x:c r="V16" s="137" t="str"/>
    </x:row>
    <x:row r="17">
      <x:c r="A17" s="137" t="str"/>
      <x:c r="B17" s="138" t="str"/>
      <x:c r="C17" s="137" t="str"/>
      <x:c r="D17" s="137" t="str"/>
      <x:c r="E17" s="137" t="str"/>
      <x:c r="F17" s="137" t="str"/>
      <x:c r="G17" s="137" t="str"/>
      <x:c r="H17" s="137" t="str"/>
      <x:c r="I17" s="137" t="str"/>
      <x:c r="J17" s="137" t="str"/>
      <x:c r="K17" s="137" t="str"/>
      <x:c r="L17" s="137" t="str"/>
      <x:c r="M17" s="137" t="str"/>
      <x:c r="N17" s="137" t="str"/>
      <x:c r="O17" s="137" t="str"/>
      <x:c r="P17" s="138" t="str"/>
      <x:c r="Q17" s="137" t="str"/>
      <x:c r="R17" s="137" t="str"/>
      <x:c r="S17" s="137" t="str"/>
      <x:c r="T17" s="138" t="str"/>
      <x:c r="U17" s="137" t="str"/>
      <x:c r="V17" s="137" t="str"/>
    </x:row>
    <x:row r="18">
      <x:c r="A18" s="137" t="str"/>
      <x:c r="B18" s="138" t="str"/>
      <x:c r="C18" s="137" t="str"/>
      <x:c r="D18" s="137" t="str"/>
      <x:c r="E18" s="137" t="str"/>
      <x:c r="F18" s="137" t="str"/>
      <x:c r="G18" s="137" t="str"/>
      <x:c r="H18" s="137" t="str"/>
      <x:c r="I18" s="137" t="str"/>
      <x:c r="J18" s="137" t="str"/>
      <x:c r="K18" s="137" t="str"/>
      <x:c r="L18" s="137" t="str"/>
      <x:c r="M18" s="137" t="str"/>
      <x:c r="N18" s="137" t="str"/>
      <x:c r="O18" s="137" t="str"/>
      <x:c r="P18" s="138" t="str"/>
      <x:c r="Q18" s="137" t="str"/>
      <x:c r="R18" s="137" t="str"/>
      <x:c r="S18" s="137" t="str"/>
      <x:c r="T18" s="138" t="str"/>
      <x:c r="U18" s="137" t="str"/>
      <x:c r="V18" s="137" t="str"/>
    </x:row>
    <x:row r="19">
      <x:c r="A19" s="137" t="str"/>
      <x:c r="B19" s="138" t="str"/>
      <x:c r="C19" s="137" t="str"/>
      <x:c r="D19" s="137" t="str"/>
      <x:c r="E19" s="137" t="str"/>
      <x:c r="F19" s="137" t="str"/>
      <x:c r="G19" s="137" t="str"/>
      <x:c r="H19" s="137" t="str"/>
      <x:c r="I19" s="137" t="str"/>
      <x:c r="J19" s="137" t="str"/>
      <x:c r="K19" s="137" t="str"/>
      <x:c r="L19" s="137" t="str"/>
      <x:c r="M19" s="137" t="str"/>
      <x:c r="N19" s="137" t="str"/>
      <x:c r="O19" s="137" t="str"/>
      <x:c r="P19" s="138" t="str"/>
      <x:c r="Q19" s="137" t="str"/>
      <x:c r="R19" s="137" t="str"/>
      <x:c r="S19" s="137" t="str"/>
      <x:c r="T19" s="138" t="str"/>
      <x:c r="U19" s="137" t="str"/>
      <x:c r="V19" s="137" t="str"/>
    </x:row>
    <x:row r="20">
      <x:c r="A20" s="137" t="str"/>
      <x:c r="B20" s="138" t="str"/>
      <x:c r="C20" s="137" t="str"/>
      <x:c r="D20" s="137" t="str"/>
      <x:c r="E20" s="137" t="str"/>
      <x:c r="F20" s="137" t="str"/>
      <x:c r="G20" s="137" t="str"/>
      <x:c r="H20" s="137" t="str"/>
      <x:c r="I20" s="137" t="str"/>
      <x:c r="J20" s="137" t="str"/>
      <x:c r="K20" s="137" t="str"/>
      <x:c r="L20" s="137" t="str"/>
      <x:c r="M20" s="137" t="str"/>
      <x:c r="N20" s="137" t="str"/>
      <x:c r="O20" s="137" t="str"/>
      <x:c r="P20" s="138" t="str"/>
      <x:c r="Q20" s="137" t="str"/>
      <x:c r="R20" s="137" t="str"/>
      <x:c r="S20" s="137" t="str"/>
      <x:c r="T20" s="138" t="str"/>
      <x:c r="U20" s="137" t="str"/>
      <x:c r="V20" s="137" t="str"/>
    </x:row>
    <x:row r="21">
      <x:c r="A21" s="137" t="str"/>
      <x:c r="B21" s="138" t="str"/>
      <x:c r="C21" s="137" t="str"/>
      <x:c r="D21" s="137" t="str"/>
      <x:c r="E21" s="137" t="str"/>
      <x:c r="F21" s="137" t="str"/>
      <x:c r="G21" s="137" t="str"/>
      <x:c r="H21" s="137" t="str"/>
      <x:c r="I21" s="137" t="str"/>
      <x:c r="J21" s="137" t="str"/>
      <x:c r="K21" s="137" t="str"/>
      <x:c r="L21" s="137" t="str"/>
      <x:c r="M21" s="137" t="str"/>
      <x:c r="N21" s="137" t="str"/>
      <x:c r="O21" s="137" t="str"/>
      <x:c r="P21" s="138" t="str"/>
      <x:c r="Q21" s="137" t="str"/>
      <x:c r="R21" s="137" t="str"/>
      <x:c r="S21" s="137" t="str"/>
      <x:c r="T21" s="138" t="str"/>
      <x:c r="U21" s="137" t="str"/>
      <x:c r="V21" s="137" t="str"/>
    </x:row>
    <x:row r="22">
      <x:c r="A22" s="137" t="str"/>
      <x:c r="B22" s="138" t="str"/>
      <x:c r="C22" s="137" t="str"/>
      <x:c r="D22" s="137" t="str"/>
      <x:c r="E22" s="137" t="str"/>
      <x:c r="F22" s="137" t="str"/>
      <x:c r="G22" s="137" t="str"/>
      <x:c r="H22" s="137" t="str"/>
      <x:c r="I22" s="137" t="str"/>
      <x:c r="J22" s="137" t="str"/>
      <x:c r="K22" s="137" t="str"/>
      <x:c r="L22" s="137" t="str"/>
      <x:c r="M22" s="137" t="str"/>
      <x:c r="N22" s="137" t="str"/>
      <x:c r="O22" s="137" t="str"/>
      <x:c r="P22" s="138" t="str"/>
      <x:c r="Q22" s="137" t="str"/>
      <x:c r="R22" s="137" t="str"/>
      <x:c r="S22" s="137" t="str"/>
      <x:c r="T22" s="138" t="str"/>
      <x:c r="U22" s="137" t="str"/>
      <x:c r="V22" s="137" t="str"/>
    </x:row>
    <x:row r="23">
      <x:c r="A23" s="137" t="str"/>
      <x:c r="B23" s="138" t="str"/>
      <x:c r="C23" s="137" t="str"/>
      <x:c r="D23" s="137" t="str"/>
      <x:c r="E23" s="137" t="str"/>
      <x:c r="F23" s="137" t="str"/>
      <x:c r="G23" s="137" t="str"/>
      <x:c r="H23" s="137" t="str"/>
      <x:c r="I23" s="137" t="str"/>
      <x:c r="J23" s="137" t="str"/>
      <x:c r="K23" s="137" t="str"/>
      <x:c r="L23" s="137" t="str"/>
      <x:c r="M23" s="137" t="str"/>
      <x:c r="N23" s="137" t="str"/>
      <x:c r="O23" s="137" t="str"/>
      <x:c r="P23" s="138" t="str"/>
      <x:c r="Q23" s="137" t="str"/>
      <x:c r="R23" s="137" t="str"/>
      <x:c r="S23" s="137" t="str"/>
      <x:c r="T23" s="138" t="str"/>
      <x:c r="U23" s="137" t="str"/>
      <x:c r="V23" s="137" t="str"/>
    </x:row>
    <x:row r="24">
      <x:c r="A24" s="137" t="str"/>
      <x:c r="B24" s="138" t="str"/>
      <x:c r="C24" s="137" t="str"/>
      <x:c r="D24" s="137" t="str"/>
      <x:c r="E24" s="137" t="str"/>
      <x:c r="F24" s="137" t="str"/>
      <x:c r="G24" s="137" t="str"/>
      <x:c r="H24" s="137" t="str"/>
      <x:c r="I24" s="137" t="str"/>
      <x:c r="J24" s="137" t="str"/>
      <x:c r="K24" s="137" t="str"/>
      <x:c r="L24" s="137" t="str"/>
      <x:c r="M24" s="137" t="str"/>
      <x:c r="N24" s="137" t="str"/>
      <x:c r="O24" s="137" t="str"/>
      <x:c r="P24" s="138" t="str"/>
      <x:c r="Q24" s="137" t="str"/>
      <x:c r="R24" s="137" t="str"/>
      <x:c r="S24" s="137" t="str"/>
      <x:c r="T24" s="138" t="str"/>
      <x:c r="U24" s="137" t="str"/>
      <x:c r="V24" s="137" t="str"/>
    </x:row>
    <x:row r="25">
      <x:c r="A25" s="137" t="str"/>
      <x:c r="B25" s="138" t="str"/>
      <x:c r="C25" s="137" t="str"/>
      <x:c r="D25" s="137" t="str"/>
      <x:c r="E25" s="137" t="str"/>
      <x:c r="F25" s="137" t="str"/>
      <x:c r="G25" s="137" t="str"/>
      <x:c r="H25" s="137" t="str"/>
      <x:c r="I25" s="137" t="str"/>
      <x:c r="J25" s="137" t="str"/>
      <x:c r="K25" s="137" t="str"/>
      <x:c r="L25" s="137" t="str"/>
      <x:c r="M25" s="137" t="str"/>
      <x:c r="N25" s="137" t="str"/>
      <x:c r="O25" s="137" t="str"/>
      <x:c r="P25" s="138" t="str"/>
      <x:c r="Q25" s="137" t="str"/>
      <x:c r="R25" s="137" t="str"/>
      <x:c r="S25" s="137" t="str"/>
      <x:c r="T25" s="138" t="str"/>
      <x:c r="U25" s="137" t="str"/>
      <x:c r="V25" s="137" t="str"/>
    </x:row>
    <x:row r="26">
      <x:c r="A26" s="137" t="str"/>
      <x:c r="B26" s="138" t="str"/>
      <x:c r="C26" s="137" t="str"/>
      <x:c r="D26" s="137" t="str"/>
      <x:c r="E26" s="137" t="str"/>
      <x:c r="F26" s="137" t="str"/>
      <x:c r="G26" s="137" t="str"/>
      <x:c r="H26" s="137" t="str"/>
      <x:c r="I26" s="137" t="str"/>
      <x:c r="J26" s="137" t="str"/>
      <x:c r="K26" s="137" t="str"/>
      <x:c r="L26" s="137" t="str"/>
      <x:c r="M26" s="137" t="str"/>
      <x:c r="N26" s="137" t="str"/>
      <x:c r="O26" s="137" t="str"/>
      <x:c r="P26" s="138" t="str"/>
      <x:c r="Q26" s="137" t="str"/>
      <x:c r="R26" s="137" t="str"/>
      <x:c r="S26" s="137" t="str"/>
      <x:c r="T26" s="138" t="str"/>
      <x:c r="U26" s="137" t="str"/>
      <x:c r="V26" s="137" t="str"/>
    </x:row>
    <x:row r="27">
      <x:c r="A27" s="137" t="str"/>
      <x:c r="B27" s="138" t="str"/>
      <x:c r="C27" s="137" t="str"/>
      <x:c r="D27" s="137" t="str"/>
      <x:c r="E27" s="137" t="str"/>
      <x:c r="F27" s="137" t="str"/>
      <x:c r="G27" s="137" t="str"/>
      <x:c r="H27" s="137" t="str"/>
      <x:c r="I27" s="137" t="str"/>
      <x:c r="J27" s="137" t="str"/>
      <x:c r="K27" s="137" t="str"/>
      <x:c r="L27" s="137" t="str"/>
      <x:c r="M27" s="137" t="str"/>
      <x:c r="N27" s="137" t="str"/>
      <x:c r="O27" s="137" t="str"/>
      <x:c r="P27" s="138" t="str"/>
      <x:c r="Q27" s="137" t="str"/>
      <x:c r="R27" s="137" t="str"/>
      <x:c r="S27" s="137" t="str"/>
      <x:c r="T27" s="138" t="str"/>
      <x:c r="U27" s="137" t="str"/>
      <x:c r="V27" s="137" t="str"/>
    </x:row>
    <x:row r="28">
      <x:c r="A28" s="137" t="str"/>
      <x:c r="B28" s="138" t="str"/>
      <x:c r="C28" s="137" t="str"/>
      <x:c r="D28" s="137" t="str"/>
      <x:c r="E28" s="137" t="str"/>
      <x:c r="F28" s="137" t="str"/>
      <x:c r="G28" s="137" t="str"/>
      <x:c r="H28" s="137" t="str"/>
      <x:c r="I28" s="137" t="str"/>
      <x:c r="J28" s="137" t="str"/>
      <x:c r="K28" s="137" t="str"/>
      <x:c r="L28" s="137" t="str"/>
      <x:c r="M28" s="137" t="str"/>
      <x:c r="N28" s="137" t="str"/>
      <x:c r="O28" s="137" t="str"/>
      <x:c r="P28" s="138" t="str"/>
      <x:c r="Q28" s="137" t="str"/>
      <x:c r="R28" s="137" t="str"/>
      <x:c r="S28" s="137" t="str"/>
      <x:c r="T28" s="138" t="str"/>
      <x:c r="U28" s="137" t="str"/>
      <x:c r="V28" s="137" t="str"/>
    </x:row>
    <x:row r="29">
      <x:c r="A29" s="137" t="str"/>
      <x:c r="B29" s="138" t="str"/>
      <x:c r="C29" s="137" t="str"/>
      <x:c r="D29" s="137" t="str"/>
      <x:c r="E29" s="137" t="str"/>
      <x:c r="F29" s="137" t="str"/>
      <x:c r="G29" s="137" t="str"/>
      <x:c r="H29" s="137" t="str"/>
      <x:c r="I29" s="137" t="str"/>
      <x:c r="J29" s="137" t="str"/>
      <x:c r="K29" s="137" t="str"/>
      <x:c r="L29" s="137" t="str"/>
      <x:c r="M29" s="137" t="str"/>
      <x:c r="N29" s="137" t="str"/>
      <x:c r="O29" s="137" t="str"/>
      <x:c r="P29" s="138" t="str"/>
      <x:c r="Q29" s="137" t="str"/>
      <x:c r="R29" s="137" t="str"/>
      <x:c r="S29" s="137" t="str"/>
      <x:c r="T29" s="138" t="str"/>
      <x:c r="U29" s="137" t="str"/>
      <x:c r="V29" s="137" t="str"/>
    </x:row>
    <x:row r="30">
      <x:c r="A30" s="137" t="str"/>
      <x:c r="B30" s="138" t="str"/>
      <x:c r="C30" s="137" t="str"/>
      <x:c r="D30" s="137" t="str"/>
      <x:c r="E30" s="137" t="str"/>
      <x:c r="F30" s="137" t="str"/>
      <x:c r="G30" s="137" t="str"/>
      <x:c r="H30" s="137" t="str"/>
      <x:c r="I30" s="137" t="str"/>
      <x:c r="J30" s="137" t="str"/>
      <x:c r="K30" s="137" t="str"/>
      <x:c r="L30" s="137" t="str"/>
      <x:c r="M30" s="137" t="str"/>
      <x:c r="N30" s="137" t="str"/>
      <x:c r="O30" s="137" t="str"/>
      <x:c r="P30" s="138" t="str"/>
      <x:c r="Q30" s="137" t="str"/>
      <x:c r="R30" s="137" t="str"/>
      <x:c r="S30" s="137" t="str"/>
      <x:c r="T30" s="138" t="str"/>
      <x:c r="U30" s="137" t="str"/>
      <x:c r="V30" s="137" t="str"/>
    </x:row>
    <x:row r="31">
      <x:c r="A31" s="137" t="str"/>
      <x:c r="B31" s="138" t="str"/>
      <x:c r="C31" s="137" t="str"/>
      <x:c r="D31" s="137" t="str"/>
      <x:c r="E31" s="137" t="str"/>
      <x:c r="F31" s="137" t="str"/>
      <x:c r="G31" s="137" t="str"/>
      <x:c r="H31" s="137" t="str"/>
      <x:c r="I31" s="137" t="str"/>
      <x:c r="J31" s="137" t="str"/>
      <x:c r="K31" s="137" t="str"/>
      <x:c r="L31" s="137" t="str"/>
      <x:c r="M31" s="137" t="str"/>
      <x:c r="N31" s="137" t="str"/>
      <x:c r="O31" s="137" t="str"/>
      <x:c r="P31" s="138" t="str"/>
      <x:c r="Q31" s="137" t="str"/>
      <x:c r="R31" s="137" t="str"/>
      <x:c r="S31" s="137" t="str"/>
      <x:c r="T31" s="138" t="str"/>
      <x:c r="U31" s="137" t="str"/>
      <x:c r="V31" s="137" t="str"/>
    </x:row>
    <x:row r="32">
      <x:c r="A32" s="137" t="str"/>
      <x:c r="B32" s="138" t="str"/>
      <x:c r="C32" s="137" t="str"/>
      <x:c r="D32" s="137" t="str"/>
      <x:c r="E32" s="137" t="str"/>
      <x:c r="F32" s="137" t="str"/>
      <x:c r="G32" s="137" t="str"/>
      <x:c r="H32" s="137" t="str"/>
      <x:c r="I32" s="137" t="str"/>
      <x:c r="J32" s="137" t="str"/>
      <x:c r="K32" s="137" t="str"/>
      <x:c r="L32" s="137" t="str"/>
      <x:c r="M32" s="137" t="str"/>
      <x:c r="N32" s="137" t="str"/>
      <x:c r="O32" s="137" t="str"/>
      <x:c r="P32" s="138" t="str"/>
      <x:c r="Q32" s="137" t="str"/>
      <x:c r="R32" s="137" t="str"/>
      <x:c r="S32" s="137" t="str"/>
      <x:c r="T32" s="138" t="str"/>
      <x:c r="U32" s="137" t="str"/>
      <x:c r="V32" s="137" t="str"/>
    </x:row>
    <x:row r="33">
      <x:c r="A33" s="137" t="str"/>
      <x:c r="B33" s="138" t="str"/>
      <x:c r="C33" s="137" t="str"/>
      <x:c r="D33" s="137" t="str"/>
      <x:c r="E33" s="137" t="str"/>
      <x:c r="F33" s="137" t="str"/>
      <x:c r="G33" s="137" t="str"/>
      <x:c r="H33" s="137" t="str"/>
      <x:c r="I33" s="137" t="str"/>
      <x:c r="J33" s="137" t="str"/>
      <x:c r="K33" s="137" t="str"/>
      <x:c r="L33" s="137" t="str"/>
      <x:c r="M33" s="137" t="str"/>
      <x:c r="N33" s="137" t="str"/>
      <x:c r="O33" s="137" t="str"/>
      <x:c r="P33" s="138" t="str"/>
      <x:c r="Q33" s="137" t="str"/>
      <x:c r="R33" s="137" t="str"/>
      <x:c r="S33" s="137" t="str"/>
      <x:c r="T33" s="138" t="str"/>
      <x:c r="U33" s="137" t="str"/>
      <x:c r="V33" s="137" t="str"/>
    </x:row>
    <x:row r="34">
      <x:c r="A34" s="137" t="str"/>
      <x:c r="B34" s="138" t="str"/>
      <x:c r="C34" s="137" t="str"/>
      <x:c r="D34" s="137" t="str"/>
      <x:c r="E34" s="137" t="str"/>
      <x:c r="F34" s="137" t="str"/>
      <x:c r="G34" s="137" t="str"/>
      <x:c r="H34" s="137" t="str"/>
      <x:c r="I34" s="137" t="str"/>
      <x:c r="J34" s="137" t="str"/>
      <x:c r="K34" s="137" t="str"/>
      <x:c r="L34" s="137" t="str"/>
      <x:c r="M34" s="137" t="str"/>
      <x:c r="N34" s="137" t="str"/>
      <x:c r="O34" s="137" t="str"/>
      <x:c r="P34" s="138" t="str"/>
      <x:c r="Q34" s="137" t="str"/>
      <x:c r="R34" s="137" t="str"/>
      <x:c r="S34" s="137" t="str"/>
      <x:c r="T34" s="138" t="str"/>
      <x:c r="U34" s="137" t="str"/>
      <x:c r="V34" s="137" t="str"/>
    </x:row>
    <x:row r="35">
      <x:c r="A35" s="137" t="str"/>
      <x:c r="B35" s="138" t="str"/>
      <x:c r="C35" s="137" t="str"/>
      <x:c r="D35" s="137" t="str"/>
      <x:c r="E35" s="137" t="str"/>
      <x:c r="F35" s="137" t="str"/>
      <x:c r="G35" s="137" t="str"/>
      <x:c r="H35" s="137" t="str"/>
      <x:c r="I35" s="137" t="str"/>
      <x:c r="J35" s="137" t="str"/>
      <x:c r="K35" s="137" t="str"/>
      <x:c r="L35" s="137" t="str"/>
      <x:c r="M35" s="137" t="str"/>
      <x:c r="N35" s="137" t="str"/>
      <x:c r="O35" s="137" t="str"/>
      <x:c r="P35" s="138" t="str"/>
      <x:c r="Q35" s="137" t="str"/>
      <x:c r="R35" s="137" t="str"/>
      <x:c r="S35" s="137" t="str"/>
      <x:c r="T35" s="138" t="str"/>
      <x:c r="U35" s="137" t="str"/>
      <x:c r="V35" s="137" t="str"/>
    </x:row>
    <x:row r="36">
      <x:c r="A36" s="137" t="str"/>
      <x:c r="B36" s="138" t="str"/>
      <x:c r="C36" s="137" t="str"/>
      <x:c r="D36" s="137" t="str"/>
      <x:c r="E36" s="137" t="str"/>
      <x:c r="F36" s="137" t="str"/>
      <x:c r="G36" s="137" t="str"/>
      <x:c r="H36" s="137" t="str"/>
      <x:c r="I36" s="137" t="str"/>
      <x:c r="J36" s="137" t="str"/>
      <x:c r="K36" s="137" t="str"/>
      <x:c r="L36" s="137" t="str"/>
      <x:c r="M36" s="137" t="str"/>
      <x:c r="N36" s="137" t="str"/>
      <x:c r="O36" s="137" t="str"/>
      <x:c r="P36" s="138" t="str"/>
      <x:c r="Q36" s="137" t="str"/>
      <x:c r="R36" s="137" t="str"/>
      <x:c r="S36" s="137" t="str"/>
      <x:c r="T36" s="138" t="str"/>
      <x:c r="U36" s="137" t="str"/>
      <x:c r="V36" s="137" t="str"/>
    </x:row>
    <x:row r="37">
      <x:c r="A37" s="137" t="str"/>
      <x:c r="B37" s="138" t="str"/>
      <x:c r="C37" s="137" t="str"/>
      <x:c r="D37" s="137" t="str"/>
      <x:c r="E37" s="137" t="str"/>
      <x:c r="F37" s="137" t="str"/>
      <x:c r="G37" s="137" t="str"/>
      <x:c r="H37" s="137" t="str"/>
      <x:c r="I37" s="137" t="str"/>
      <x:c r="J37" s="137" t="str"/>
      <x:c r="K37" s="137" t="str"/>
      <x:c r="L37" s="137" t="str"/>
      <x:c r="M37" s="137" t="str"/>
      <x:c r="N37" s="137" t="str"/>
      <x:c r="O37" s="137" t="str"/>
      <x:c r="P37" s="138" t="str"/>
      <x:c r="Q37" s="137" t="str"/>
      <x:c r="R37" s="137" t="str"/>
      <x:c r="S37" s="137" t="str"/>
      <x:c r="T37" s="138" t="str"/>
      <x:c r="U37" s="137" t="str"/>
      <x:c r="V37" s="137" t="str"/>
    </x:row>
    <x:row r="38">
      <x:c r="A38" s="137" t="str"/>
      <x:c r="B38" s="138" t="str"/>
      <x:c r="C38" s="137" t="str"/>
      <x:c r="D38" s="137" t="str"/>
      <x:c r="E38" s="137" t="str"/>
      <x:c r="F38" s="137" t="str"/>
      <x:c r="G38" s="137" t="str"/>
      <x:c r="H38" s="137" t="str"/>
      <x:c r="I38" s="137" t="str"/>
      <x:c r="J38" s="137" t="str"/>
      <x:c r="K38" s="137" t="str"/>
      <x:c r="L38" s="137" t="str"/>
      <x:c r="M38" s="137" t="str"/>
      <x:c r="N38" s="137" t="str"/>
      <x:c r="O38" s="137" t="str"/>
      <x:c r="P38" s="138" t="str"/>
      <x:c r="Q38" s="137" t="str"/>
      <x:c r="R38" s="137" t="str"/>
      <x:c r="S38" s="137" t="str"/>
      <x:c r="T38" s="138" t="str"/>
      <x:c r="U38" s="137" t="str"/>
      <x:c r="V38" s="137" t="str"/>
    </x:row>
    <x:row r="39">
      <x:c r="A39" s="137" t="str"/>
      <x:c r="B39" s="138" t="str"/>
      <x:c r="C39" s="137" t="str"/>
      <x:c r="D39" s="137" t="str"/>
      <x:c r="E39" s="137" t="str"/>
      <x:c r="F39" s="137" t="str"/>
      <x:c r="G39" s="137" t="str"/>
      <x:c r="H39" s="137" t="str"/>
      <x:c r="I39" s="137" t="str"/>
      <x:c r="J39" s="137" t="str"/>
      <x:c r="K39" s="137" t="str"/>
      <x:c r="L39" s="137" t="str"/>
      <x:c r="M39" s="137" t="str"/>
      <x:c r="N39" s="137" t="str"/>
      <x:c r="O39" s="137" t="str"/>
      <x:c r="P39" s="138" t="str"/>
      <x:c r="Q39" s="137" t="str"/>
      <x:c r="R39" s="137" t="str"/>
      <x:c r="S39" s="137" t="str"/>
      <x:c r="T39" s="138" t="str"/>
      <x:c r="U39" s="137" t="str"/>
      <x:c r="V39" s="137" t="str"/>
    </x:row>
    <x:row r="40">
      <x:c r="A40" s="137" t="str"/>
      <x:c r="B40" s="138" t="str"/>
      <x:c r="C40" s="137" t="str"/>
      <x:c r="D40" s="137" t="str"/>
      <x:c r="E40" s="137" t="str"/>
      <x:c r="F40" s="137" t="str"/>
      <x:c r="G40" s="137" t="str"/>
      <x:c r="H40" s="137" t="str"/>
      <x:c r="I40" s="137" t="str"/>
      <x:c r="J40" s="137" t="str"/>
      <x:c r="K40" s="137" t="str"/>
      <x:c r="L40" s="137" t="str"/>
      <x:c r="M40" s="137" t="str"/>
      <x:c r="N40" s="137" t="str"/>
      <x:c r="O40" s="137" t="str"/>
      <x:c r="P40" s="138" t="str"/>
      <x:c r="Q40" s="137" t="str"/>
      <x:c r="R40" s="137" t="str"/>
      <x:c r="S40" s="137" t="str"/>
      <x:c r="T40" s="138" t="str"/>
      <x:c r="U40" s="137" t="str"/>
      <x:c r="V40" s="137" t="str"/>
    </x:row>
    <x:row r="41">
      <x:c r="A41" s="137" t="str"/>
      <x:c r="B41" s="138" t="str"/>
      <x:c r="C41" s="137" t="str"/>
      <x:c r="D41" s="137" t="str"/>
      <x:c r="E41" s="137" t="str"/>
      <x:c r="F41" s="137" t="str"/>
      <x:c r="G41" s="137" t="str"/>
      <x:c r="H41" s="137" t="str"/>
      <x:c r="I41" s="137" t="str"/>
      <x:c r="J41" s="137" t="str"/>
      <x:c r="K41" s="137" t="str"/>
      <x:c r="L41" s="137" t="str"/>
      <x:c r="M41" s="137" t="str"/>
      <x:c r="N41" s="137" t="str"/>
      <x:c r="O41" s="137" t="str"/>
      <x:c r="P41" s="138" t="str"/>
      <x:c r="Q41" s="137" t="str"/>
      <x:c r="R41" s="137" t="str"/>
      <x:c r="S41" s="137" t="str"/>
      <x:c r="T41" s="138" t="str"/>
      <x:c r="U41" s="137" t="str"/>
      <x:c r="V41" s="137" t="str"/>
    </x:row>
    <x:row r="42">
      <x:c r="A42" s="137" t="str"/>
      <x:c r="B42" s="138" t="str"/>
      <x:c r="C42" s="137" t="str"/>
      <x:c r="D42" s="137" t="str"/>
      <x:c r="E42" s="137" t="str"/>
      <x:c r="F42" s="137" t="str"/>
      <x:c r="G42" s="137" t="str"/>
      <x:c r="H42" s="137" t="str"/>
      <x:c r="I42" s="137" t="str"/>
      <x:c r="J42" s="137" t="str"/>
      <x:c r="K42" s="137" t="str"/>
      <x:c r="L42" s="137" t="str"/>
      <x:c r="M42" s="137" t="str"/>
      <x:c r="N42" s="137" t="str"/>
      <x:c r="O42" s="137" t="str"/>
      <x:c r="P42" s="138" t="str"/>
      <x:c r="Q42" s="137" t="str"/>
      <x:c r="R42" s="137" t="str"/>
      <x:c r="S42" s="137" t="str"/>
      <x:c r="T42" s="138" t="str"/>
      <x:c r="U42" s="137" t="str"/>
      <x:c r="V42" s="137" t="str"/>
    </x:row>
    <x:row r="43">
      <x:c r="A43" s="137" t="str"/>
      <x:c r="B43" s="138" t="str"/>
      <x:c r="C43" s="137" t="str"/>
      <x:c r="D43" s="137" t="str"/>
      <x:c r="E43" s="137" t="str"/>
      <x:c r="F43" s="137" t="str"/>
      <x:c r="G43" s="137" t="str"/>
      <x:c r="H43" s="137" t="str"/>
      <x:c r="I43" s="137" t="str"/>
      <x:c r="J43" s="137" t="str"/>
      <x:c r="K43" s="137" t="str"/>
      <x:c r="L43" s="137" t="str"/>
      <x:c r="M43" s="137" t="str"/>
      <x:c r="N43" s="137" t="str"/>
      <x:c r="O43" s="137" t="str"/>
      <x:c r="P43" s="138" t="str"/>
      <x:c r="Q43" s="137" t="str"/>
      <x:c r="R43" s="137" t="str"/>
      <x:c r="S43" s="137" t="str"/>
      <x:c r="T43" s="138" t="str"/>
      <x:c r="U43" s="137" t="str"/>
      <x:c r="V43" s="137" t="str"/>
    </x:row>
    <x:row r="44">
      <x:c r="A44" s="137" t="str"/>
      <x:c r="B44" s="138" t="str"/>
      <x:c r="C44" s="137" t="str"/>
      <x:c r="D44" s="137" t="str"/>
      <x:c r="E44" s="137" t="str"/>
      <x:c r="F44" s="137" t="str"/>
      <x:c r="G44" s="137" t="str"/>
      <x:c r="H44" s="137" t="str"/>
      <x:c r="I44" s="137" t="str"/>
      <x:c r="J44" s="137" t="str"/>
      <x:c r="K44" s="137" t="str"/>
      <x:c r="L44" s="137" t="str"/>
      <x:c r="M44" s="137" t="str"/>
      <x:c r="N44" s="137" t="str"/>
      <x:c r="O44" s="137" t="str"/>
      <x:c r="P44" s="138" t="str"/>
      <x:c r="Q44" s="137" t="str"/>
      <x:c r="R44" s="137" t="str"/>
      <x:c r="S44" s="137" t="str"/>
      <x:c r="T44" s="138" t="str"/>
      <x:c r="U44" s="137" t="str"/>
      <x:c r="V44" s="137" t="str"/>
    </x:row>
    <x:row r="45">
      <x:c r="A45" s="137" t="str"/>
      <x:c r="B45" s="138" t="str"/>
      <x:c r="C45" s="137" t="str"/>
      <x:c r="D45" s="137" t="str"/>
      <x:c r="E45" s="137" t="str"/>
      <x:c r="F45" s="137" t="str"/>
      <x:c r="G45" s="137" t="str"/>
      <x:c r="H45" s="137" t="str"/>
      <x:c r="I45" s="137" t="str"/>
      <x:c r="J45" s="137" t="str"/>
      <x:c r="K45" s="137" t="str"/>
      <x:c r="L45" s="137" t="str"/>
      <x:c r="M45" s="137" t="str"/>
      <x:c r="N45" s="137" t="str"/>
      <x:c r="O45" s="137" t="str"/>
      <x:c r="P45" s="138" t="str"/>
      <x:c r="Q45" s="137" t="str"/>
      <x:c r="R45" s="137" t="str"/>
      <x:c r="S45" s="137" t="str"/>
      <x:c r="T45" s="138" t="str"/>
      <x:c r="U45" s="137" t="str"/>
      <x:c r="V45" s="137" t="str"/>
    </x:row>
    <x:row r="46">
      <x:c r="A46" s="137" t="str"/>
      <x:c r="B46" s="138" t="str"/>
      <x:c r="C46" s="137" t="str"/>
      <x:c r="D46" s="137" t="str"/>
      <x:c r="E46" s="137" t="str"/>
      <x:c r="F46" s="137" t="str"/>
      <x:c r="G46" s="137" t="str"/>
      <x:c r="H46" s="137" t="str"/>
      <x:c r="I46" s="137" t="str"/>
      <x:c r="J46" s="137" t="str"/>
      <x:c r="K46" s="137" t="str"/>
      <x:c r="L46" s="137" t="str"/>
      <x:c r="M46" s="137" t="str"/>
      <x:c r="N46" s="137" t="str"/>
      <x:c r="O46" s="137" t="str"/>
      <x:c r="P46" s="138" t="str"/>
      <x:c r="Q46" s="137" t="str"/>
      <x:c r="R46" s="137" t="str"/>
      <x:c r="S46" s="137" t="str"/>
      <x:c r="T46" s="138" t="str"/>
      <x:c r="U46" s="137" t="str"/>
      <x:c r="V46" s="137" t="str"/>
    </x:row>
    <x:row r="47">
      <x:c r="A47" s="137" t="str"/>
      <x:c r="B47" s="138" t="str"/>
      <x:c r="C47" s="137" t="str"/>
      <x:c r="D47" s="137" t="str"/>
      <x:c r="E47" s="137" t="str"/>
      <x:c r="F47" s="137" t="str"/>
      <x:c r="G47" s="137" t="str"/>
      <x:c r="H47" s="137" t="str"/>
      <x:c r="I47" s="137" t="str"/>
      <x:c r="J47" s="137" t="str"/>
      <x:c r="K47" s="137" t="str"/>
      <x:c r="L47" s="137" t="str"/>
      <x:c r="M47" s="137" t="str"/>
      <x:c r="N47" s="137" t="str"/>
      <x:c r="O47" s="137" t="str"/>
      <x:c r="P47" s="138" t="str"/>
      <x:c r="Q47" s="137" t="str"/>
      <x:c r="R47" s="137" t="str"/>
      <x:c r="S47" s="137" t="str"/>
      <x:c r="T47" s="138" t="str"/>
      <x:c r="U47" s="137" t="str"/>
      <x:c r="V47" s="137" t="str"/>
    </x:row>
    <x:row r="48">
      <x:c r="A48" s="137" t="str"/>
      <x:c r="B48" s="138" t="str"/>
      <x:c r="C48" s="137" t="str"/>
      <x:c r="D48" s="137" t="str"/>
      <x:c r="E48" s="137" t="str"/>
      <x:c r="F48" s="137" t="str"/>
      <x:c r="G48" s="137" t="str"/>
      <x:c r="H48" s="137" t="str"/>
      <x:c r="I48" s="137" t="str"/>
      <x:c r="J48" s="137" t="str"/>
      <x:c r="K48" s="137" t="str"/>
      <x:c r="L48" s="137" t="str"/>
      <x:c r="M48" s="137" t="str"/>
      <x:c r="N48" s="137" t="str"/>
      <x:c r="O48" s="137" t="str"/>
      <x:c r="P48" s="138" t="str"/>
      <x:c r="Q48" s="137" t="str"/>
      <x:c r="R48" s="137" t="str"/>
      <x:c r="S48" s="137" t="str"/>
      <x:c r="T48" s="138" t="str"/>
      <x:c r="U48" s="137" t="str"/>
      <x:c r="V48" s="137" t="str"/>
    </x:row>
    <x:row r="49">
      <x:c r="A49" s="137" t="str"/>
      <x:c r="B49" s="138" t="str"/>
      <x:c r="C49" s="137" t="str"/>
      <x:c r="D49" s="137" t="str"/>
      <x:c r="E49" s="137" t="str"/>
      <x:c r="F49" s="137" t="str"/>
      <x:c r="G49" s="137" t="str"/>
      <x:c r="H49" s="137" t="str"/>
      <x:c r="I49" s="137" t="str"/>
      <x:c r="J49" s="137" t="str"/>
      <x:c r="K49" s="137" t="str"/>
      <x:c r="L49" s="137" t="str"/>
      <x:c r="M49" s="137" t="str"/>
      <x:c r="N49" s="137" t="str"/>
      <x:c r="O49" s="137" t="str"/>
      <x:c r="P49" s="138" t="str"/>
      <x:c r="Q49" s="137" t="str"/>
      <x:c r="R49" s="137" t="str"/>
      <x:c r="S49" s="137" t="str"/>
      <x:c r="T49" s="138" t="str"/>
      <x:c r="U49" s="137" t="str"/>
      <x:c r="V49" s="137" t="str"/>
    </x:row>
    <x:row r="50">
      <x:c r="A50" s="137" t="str"/>
      <x:c r="B50" s="138" t="str"/>
      <x:c r="C50" s="137" t="str"/>
      <x:c r="D50" s="137" t="str"/>
      <x:c r="E50" s="137" t="str"/>
      <x:c r="F50" s="137" t="str"/>
      <x:c r="G50" s="137" t="str"/>
      <x:c r="H50" s="137" t="str"/>
      <x:c r="I50" s="137" t="str"/>
      <x:c r="J50" s="137" t="str"/>
      <x:c r="K50" s="137" t="str"/>
      <x:c r="L50" s="137" t="str"/>
      <x:c r="M50" s="137" t="str"/>
      <x:c r="N50" s="137" t="str"/>
      <x:c r="O50" s="137" t="str"/>
      <x:c r="P50" s="138" t="str"/>
      <x:c r="Q50" s="137" t="str"/>
      <x:c r="R50" s="137" t="str"/>
      <x:c r="S50" s="137" t="str"/>
      <x:c r="T50" s="138" t="str"/>
      <x:c r="U50" s="137" t="str"/>
      <x:c r="V50" s="137" t="str"/>
    </x:row>
    <x:row r="51">
      <x:c r="A51" s="137" t="str"/>
      <x:c r="B51" s="138" t="str"/>
      <x:c r="C51" s="137" t="str"/>
      <x:c r="D51" s="137" t="str"/>
      <x:c r="E51" s="137" t="str"/>
      <x:c r="F51" s="137" t="str"/>
      <x:c r="G51" s="137" t="str"/>
      <x:c r="H51" s="137" t="str"/>
      <x:c r="I51" s="137" t="str"/>
      <x:c r="J51" s="137" t="str"/>
      <x:c r="K51" s="137" t="str"/>
      <x:c r="L51" s="137" t="str"/>
      <x:c r="M51" s="137" t="str"/>
      <x:c r="N51" s="137" t="str"/>
      <x:c r="O51" s="137" t="str"/>
      <x:c r="P51" s="138" t="str"/>
      <x:c r="Q51" s="137" t="str"/>
      <x:c r="R51" s="137" t="str"/>
      <x:c r="S51" s="137" t="str"/>
      <x:c r="T51" s="138" t="str"/>
      <x:c r="U51" s="137" t="str"/>
      <x:c r="V51" s="137" t="str"/>
    </x:row>
    <x:row r="52">
      <x:c r="A52" s="137" t="str"/>
      <x:c r="B52" s="138" t="str"/>
      <x:c r="C52" s="137" t="str"/>
      <x:c r="D52" s="137" t="str"/>
      <x:c r="E52" s="137" t="str"/>
      <x:c r="F52" s="137" t="str"/>
      <x:c r="G52" s="137" t="str"/>
      <x:c r="H52" s="137" t="str"/>
      <x:c r="I52" s="137" t="str"/>
      <x:c r="J52" s="137" t="str"/>
      <x:c r="K52" s="137" t="str"/>
      <x:c r="L52" s="137" t="str"/>
      <x:c r="M52" s="137" t="str"/>
      <x:c r="N52" s="137" t="str"/>
      <x:c r="O52" s="137" t="str"/>
      <x:c r="P52" s="138" t="str"/>
      <x:c r="Q52" s="137" t="str"/>
      <x:c r="R52" s="137" t="str"/>
      <x:c r="S52" s="137" t="str"/>
      <x:c r="T52" s="138" t="str"/>
      <x:c r="U52" s="137" t="str"/>
      <x:c r="V52" s="137" t="str"/>
    </x:row>
    <x:row r="53">
      <x:c r="A53" s="137" t="str"/>
      <x:c r="B53" s="138" t="str"/>
      <x:c r="C53" s="137" t="str"/>
      <x:c r="D53" s="137" t="str"/>
      <x:c r="E53" s="137" t="str"/>
      <x:c r="F53" s="137" t="str"/>
      <x:c r="G53" s="137" t="str"/>
      <x:c r="H53" s="137" t="str"/>
      <x:c r="I53" s="137" t="str"/>
      <x:c r="J53" s="137" t="str"/>
      <x:c r="K53" s="137" t="str"/>
      <x:c r="L53" s="137" t="str"/>
      <x:c r="M53" s="137" t="str"/>
      <x:c r="N53" s="137" t="str"/>
      <x:c r="O53" s="137" t="str"/>
      <x:c r="P53" s="138" t="str"/>
      <x:c r="Q53" s="137" t="str"/>
      <x:c r="R53" s="137" t="str"/>
      <x:c r="S53" s="137" t="str"/>
      <x:c r="T53" s="138" t="str"/>
      <x:c r="U53" s="137" t="str"/>
      <x:c r="V53" s="137" t="str"/>
    </x:row>
    <x:row r="54">
      <x:c r="A54" s="137" t="str"/>
      <x:c r="B54" s="138" t="str"/>
      <x:c r="C54" s="137" t="str"/>
      <x:c r="D54" s="137" t="str"/>
      <x:c r="E54" s="137" t="str"/>
      <x:c r="F54" s="137" t="str"/>
      <x:c r="G54" s="137" t="str"/>
      <x:c r="H54" s="137" t="str"/>
      <x:c r="I54" s="137" t="str"/>
      <x:c r="J54" s="137" t="str"/>
      <x:c r="K54" s="137" t="str"/>
      <x:c r="L54" s="137" t="str"/>
      <x:c r="M54" s="137" t="str"/>
      <x:c r="N54" s="137" t="str"/>
      <x:c r="O54" s="137" t="str"/>
      <x:c r="P54" s="138" t="str"/>
      <x:c r="Q54" s="137" t="str"/>
      <x:c r="R54" s="137" t="str"/>
      <x:c r="S54" s="137" t="str"/>
      <x:c r="T54" s="138" t="str"/>
      <x:c r="U54" s="137" t="str"/>
      <x:c r="V54" s="137" t="str"/>
    </x:row>
    <x:row r="55">
      <x:c r="A55" s="137" t="str"/>
      <x:c r="B55" s="138" t="str"/>
      <x:c r="C55" s="137" t="str"/>
      <x:c r="D55" s="137" t="str"/>
      <x:c r="E55" s="137" t="str"/>
      <x:c r="F55" s="137" t="str"/>
      <x:c r="G55" s="137" t="str"/>
      <x:c r="H55" s="137" t="str"/>
      <x:c r="I55" s="137" t="str"/>
      <x:c r="J55" s="137" t="str"/>
      <x:c r="K55" s="137" t="str"/>
      <x:c r="L55" s="137" t="str"/>
      <x:c r="M55" s="137" t="str"/>
      <x:c r="N55" s="137" t="str"/>
      <x:c r="O55" s="137" t="str"/>
      <x:c r="P55" s="138" t="str"/>
      <x:c r="Q55" s="137" t="str"/>
      <x:c r="R55" s="137" t="str"/>
      <x:c r="S55" s="137" t="str"/>
      <x:c r="T55" s="138" t="str"/>
      <x:c r="U55" s="137" t="str"/>
      <x:c r="V55" s="137" t="str"/>
    </x:row>
    <x:row r="56">
      <x:c r="A56" s="137" t="str"/>
      <x:c r="B56" s="138" t="str"/>
      <x:c r="C56" s="137" t="str"/>
      <x:c r="D56" s="137" t="str"/>
      <x:c r="E56" s="137" t="str"/>
      <x:c r="F56" s="137" t="str"/>
      <x:c r="G56" s="137" t="str"/>
      <x:c r="H56" s="137" t="str"/>
      <x:c r="I56" s="137" t="str"/>
      <x:c r="J56" s="137" t="str"/>
      <x:c r="K56" s="137" t="str"/>
      <x:c r="L56" s="137" t="str"/>
      <x:c r="M56" s="137" t="str"/>
      <x:c r="N56" s="137" t="str"/>
      <x:c r="O56" s="137" t="str"/>
      <x:c r="P56" s="138" t="str"/>
      <x:c r="Q56" s="137" t="str"/>
      <x:c r="R56" s="137" t="str"/>
      <x:c r="S56" s="137" t="str"/>
      <x:c r="T56" s="138" t="str"/>
      <x:c r="U56" s="137" t="str"/>
      <x:c r="V56" s="137" t="str"/>
    </x:row>
    <x:row r="57">
      <x:c r="A57" s="137" t="str"/>
      <x:c r="B57" s="138" t="str"/>
      <x:c r="C57" s="137" t="str"/>
      <x:c r="D57" s="137" t="str"/>
      <x:c r="E57" s="137" t="str"/>
      <x:c r="F57" s="137" t="str"/>
      <x:c r="G57" s="137" t="str"/>
      <x:c r="H57" s="137" t="str"/>
      <x:c r="I57" s="137" t="str"/>
      <x:c r="J57" s="137" t="str"/>
      <x:c r="K57" s="137" t="str"/>
      <x:c r="L57" s="137" t="str"/>
      <x:c r="M57" s="137" t="str"/>
      <x:c r="N57" s="137" t="str"/>
      <x:c r="O57" s="137" t="str"/>
      <x:c r="P57" s="138" t="str"/>
      <x:c r="Q57" s="137" t="str"/>
      <x:c r="R57" s="137" t="str"/>
      <x:c r="S57" s="137" t="str"/>
      <x:c r="T57" s="138" t="str"/>
      <x:c r="U57" s="137" t="str"/>
      <x:c r="V57" s="137" t="str"/>
    </x:row>
    <x:row r="58">
      <x:c r="A58" s="137" t="str"/>
      <x:c r="B58" s="138" t="str"/>
      <x:c r="C58" s="137" t="str"/>
      <x:c r="D58" s="137" t="str"/>
      <x:c r="E58" s="137" t="str"/>
      <x:c r="F58" s="137" t="str"/>
      <x:c r="G58" s="137" t="str"/>
      <x:c r="H58" s="137" t="str"/>
      <x:c r="I58" s="137" t="str"/>
      <x:c r="J58" s="137" t="str"/>
      <x:c r="K58" s="137" t="str"/>
      <x:c r="L58" s="137" t="str"/>
      <x:c r="M58" s="137" t="str"/>
      <x:c r="N58" s="137" t="str"/>
      <x:c r="O58" s="137" t="str"/>
      <x:c r="P58" s="138" t="str"/>
      <x:c r="Q58" s="137" t="str"/>
      <x:c r="R58" s="137" t="str"/>
      <x:c r="S58" s="137" t="str"/>
      <x:c r="T58" s="138" t="str"/>
      <x:c r="U58" s="137" t="str"/>
      <x:c r="V58" s="137" t="str"/>
    </x:row>
    <x:row r="59">
      <x:c r="A59" s="137" t="str"/>
      <x:c r="B59" s="138" t="str"/>
      <x:c r="C59" s="137" t="str"/>
      <x:c r="D59" s="137" t="str"/>
      <x:c r="E59" s="137" t="str"/>
      <x:c r="F59" s="137" t="str"/>
      <x:c r="G59" s="137" t="str"/>
      <x:c r="H59" s="137" t="str"/>
      <x:c r="I59" s="137" t="str"/>
      <x:c r="J59" s="137" t="str"/>
      <x:c r="K59" s="137" t="str"/>
      <x:c r="L59" s="137" t="str"/>
      <x:c r="M59" s="137" t="str"/>
      <x:c r="N59" s="137" t="str"/>
      <x:c r="O59" s="137" t="str"/>
      <x:c r="P59" s="138" t="str"/>
      <x:c r="Q59" s="137" t="str"/>
      <x:c r="R59" s="137" t="str"/>
      <x:c r="S59" s="137" t="str"/>
      <x:c r="T59" s="138" t="str"/>
      <x:c r="U59" s="137" t="str"/>
      <x:c r="V59" s="137" t="str"/>
    </x:row>
    <x:row r="60">
      <x:c r="A60" s="137" t="str"/>
      <x:c r="B60" s="138" t="str"/>
      <x:c r="C60" s="137" t="str"/>
      <x:c r="D60" s="137" t="str"/>
      <x:c r="E60" s="137" t="str"/>
      <x:c r="F60" s="137" t="str"/>
      <x:c r="G60" s="137" t="str"/>
      <x:c r="H60" s="137" t="str"/>
      <x:c r="I60" s="137" t="str"/>
      <x:c r="J60" s="137" t="str"/>
      <x:c r="K60" s="137" t="str"/>
      <x:c r="L60" s="137" t="str"/>
      <x:c r="M60" s="137" t="str"/>
      <x:c r="N60" s="137" t="str"/>
      <x:c r="O60" s="137" t="str"/>
      <x:c r="P60" s="138" t="str"/>
      <x:c r="Q60" s="137" t="str"/>
      <x:c r="R60" s="137" t="str"/>
      <x:c r="S60" s="137" t="str"/>
      <x:c r="T60" s="138" t="str"/>
      <x:c r="U60" s="137" t="str"/>
      <x:c r="V60" s="137" t="str"/>
    </x:row>
    <x:row r="61">
      <x:c r="A61" s="137" t="str"/>
      <x:c r="B61" s="138" t="str"/>
      <x:c r="C61" s="137" t="str"/>
      <x:c r="D61" s="137" t="str"/>
      <x:c r="E61" s="137" t="str"/>
      <x:c r="F61" s="137" t="str"/>
      <x:c r="G61" s="137" t="str"/>
      <x:c r="H61" s="137" t="str"/>
      <x:c r="I61" s="137" t="str"/>
      <x:c r="J61" s="137" t="str"/>
      <x:c r="K61" s="137" t="str"/>
      <x:c r="L61" s="137" t="str"/>
      <x:c r="M61" s="137" t="str"/>
      <x:c r="N61" s="137" t="str"/>
      <x:c r="O61" s="137" t="str"/>
      <x:c r="P61" s="138" t="str"/>
      <x:c r="Q61" s="137" t="str"/>
      <x:c r="R61" s="137" t="str"/>
      <x:c r="S61" s="137" t="str"/>
      <x:c r="T61" s="138" t="str"/>
      <x:c r="U61" s="137" t="str"/>
      <x:c r="V61" s="137" t="str"/>
    </x:row>
    <x:row r="62">
      <x:c r="A62" s="137" t="str"/>
      <x:c r="B62" s="138" t="str"/>
      <x:c r="C62" s="137" t="str"/>
      <x:c r="D62" s="137" t="str"/>
      <x:c r="E62" s="137" t="str"/>
      <x:c r="F62" s="137" t="str"/>
      <x:c r="G62" s="137" t="str"/>
      <x:c r="H62" s="137" t="str"/>
      <x:c r="I62" s="137" t="str"/>
      <x:c r="J62" s="137" t="str"/>
      <x:c r="K62" s="137" t="str"/>
      <x:c r="L62" s="137" t="str"/>
      <x:c r="M62" s="137" t="str"/>
      <x:c r="N62" s="137" t="str"/>
      <x:c r="O62" s="137" t="str"/>
      <x:c r="P62" s="138" t="str"/>
      <x:c r="Q62" s="137" t="str"/>
      <x:c r="R62" s="137" t="str"/>
      <x:c r="S62" s="137" t="str"/>
      <x:c r="T62" s="138" t="str"/>
      <x:c r="U62" s="137" t="str"/>
      <x:c r="V62" s="137" t="str"/>
    </x:row>
    <x:row r="63">
      <x:c r="A63" s="137" t="str"/>
      <x:c r="B63" s="138" t="str"/>
      <x:c r="C63" s="137" t="str"/>
      <x:c r="D63" s="137" t="str"/>
      <x:c r="E63" s="137" t="str"/>
      <x:c r="F63" s="137" t="str"/>
      <x:c r="G63" s="137" t="str"/>
      <x:c r="H63" s="137" t="str"/>
      <x:c r="I63" s="137" t="str"/>
      <x:c r="J63" s="137" t="str"/>
      <x:c r="K63" s="137" t="str"/>
      <x:c r="L63" s="137" t="str"/>
      <x:c r="M63" s="137" t="str"/>
      <x:c r="N63" s="137" t="str"/>
      <x:c r="O63" s="137" t="str"/>
      <x:c r="P63" s="138" t="str"/>
      <x:c r="Q63" s="137" t="str"/>
      <x:c r="R63" s="137" t="str"/>
      <x:c r="S63" s="137" t="str"/>
      <x:c r="T63" s="138" t="str"/>
      <x:c r="U63" s="137" t="str"/>
      <x:c r="V63" s="137" t="str"/>
    </x:row>
    <x:row r="64">
      <x:c r="A64" s="137" t="str"/>
      <x:c r="B64" s="138" t="str"/>
      <x:c r="C64" s="137" t="str"/>
      <x:c r="D64" s="137" t="str"/>
      <x:c r="E64" s="137" t="str"/>
      <x:c r="F64" s="137" t="str"/>
      <x:c r="G64" s="137" t="str"/>
      <x:c r="H64" s="137" t="str"/>
      <x:c r="I64" s="137" t="str"/>
      <x:c r="J64" s="137" t="str"/>
      <x:c r="K64" s="137" t="str"/>
      <x:c r="L64" s="137" t="str"/>
      <x:c r="M64" s="137" t="str"/>
      <x:c r="N64" s="137" t="str"/>
      <x:c r="O64" s="137" t="str"/>
      <x:c r="P64" s="138" t="str"/>
      <x:c r="Q64" s="137" t="str"/>
      <x:c r="R64" s="137" t="str"/>
      <x:c r="S64" s="137" t="str"/>
      <x:c r="T64" s="138" t="str"/>
      <x:c r="U64" s="137" t="str"/>
      <x:c r="V64" s="137" t="str"/>
    </x:row>
    <x:row r="65">
      <x:c r="A65" s="137" t="str"/>
      <x:c r="B65" s="138" t="str"/>
      <x:c r="C65" s="137" t="str"/>
      <x:c r="D65" s="137" t="str"/>
      <x:c r="E65" s="137" t="str"/>
      <x:c r="F65" s="137" t="str"/>
      <x:c r="G65" s="137" t="str"/>
      <x:c r="H65" s="137" t="str"/>
      <x:c r="I65" s="137" t="str"/>
      <x:c r="J65" s="137" t="str"/>
      <x:c r="K65" s="137" t="str"/>
      <x:c r="L65" s="137" t="str"/>
      <x:c r="M65" s="137" t="str"/>
      <x:c r="N65" s="137" t="str"/>
      <x:c r="O65" s="137" t="str"/>
      <x:c r="P65" s="138" t="str"/>
      <x:c r="Q65" s="137" t="str"/>
      <x:c r="R65" s="137" t="str"/>
      <x:c r="S65" s="137" t="str"/>
      <x:c r="T65" s="138" t="str"/>
      <x:c r="U65" s="137" t="str"/>
      <x:c r="V65" s="137" t="str"/>
    </x:row>
    <x:row r="66">
      <x:c r="A66" s="137" t="str"/>
      <x:c r="B66" s="138" t="str"/>
      <x:c r="C66" s="137" t="str"/>
      <x:c r="D66" s="137" t="str"/>
      <x:c r="E66" s="137" t="str"/>
      <x:c r="F66" s="137" t="str"/>
      <x:c r="G66" s="137" t="str"/>
      <x:c r="H66" s="137" t="str"/>
      <x:c r="I66" s="137" t="str"/>
      <x:c r="J66" s="137" t="str"/>
      <x:c r="K66" s="137" t="str"/>
      <x:c r="L66" s="137" t="str"/>
      <x:c r="M66" s="137" t="str"/>
      <x:c r="N66" s="137" t="str"/>
      <x:c r="O66" s="137" t="str"/>
      <x:c r="P66" s="138" t="str"/>
      <x:c r="Q66" s="137" t="str"/>
      <x:c r="R66" s="137" t="str"/>
      <x:c r="S66" s="137" t="str"/>
      <x:c r="T66" s="138" t="str"/>
      <x:c r="U66" s="137" t="str"/>
      <x:c r="V66" s="137" t="str"/>
    </x:row>
    <x:row r="67">
      <x:c r="A67" s="137" t="str"/>
      <x:c r="B67" s="138" t="str"/>
      <x:c r="C67" s="137" t="str"/>
      <x:c r="D67" s="137" t="str"/>
      <x:c r="E67" s="137" t="str"/>
      <x:c r="F67" s="137" t="str"/>
      <x:c r="G67" s="137" t="str"/>
      <x:c r="H67" s="137" t="str"/>
      <x:c r="I67" s="137" t="str"/>
      <x:c r="J67" s="137" t="str"/>
      <x:c r="K67" s="137" t="str"/>
      <x:c r="L67" s="137" t="str"/>
      <x:c r="M67" s="137" t="str"/>
      <x:c r="N67" s="137" t="str"/>
      <x:c r="O67" s="137" t="str"/>
      <x:c r="P67" s="138" t="str"/>
      <x:c r="Q67" s="137" t="str"/>
      <x:c r="R67" s="137" t="str"/>
      <x:c r="S67" s="137" t="str"/>
      <x:c r="T67" s="138" t="str"/>
      <x:c r="U67" s="137" t="str"/>
      <x:c r="V67" s="137" t="str"/>
    </x:row>
    <x:row r="68">
      <x:c r="A68" s="137" t="str"/>
      <x:c r="B68" s="138" t="str"/>
      <x:c r="C68" s="137" t="str"/>
      <x:c r="D68" s="137" t="str"/>
      <x:c r="E68" s="137" t="str"/>
      <x:c r="F68" s="137" t="str"/>
      <x:c r="G68" s="137" t="str"/>
      <x:c r="H68" s="137" t="str"/>
      <x:c r="I68" s="137" t="str"/>
      <x:c r="J68" s="137" t="str"/>
      <x:c r="K68" s="137" t="str"/>
      <x:c r="L68" s="137" t="str"/>
      <x:c r="M68" s="137" t="str"/>
      <x:c r="N68" s="137" t="str"/>
      <x:c r="O68" s="137" t="str"/>
      <x:c r="P68" s="138" t="str"/>
      <x:c r="Q68" s="137" t="str"/>
      <x:c r="R68" s="137" t="str"/>
      <x:c r="S68" s="137" t="str"/>
      <x:c r="T68" s="138" t="str"/>
      <x:c r="U68" s="137" t="str"/>
      <x:c r="V68" s="137" t="str"/>
    </x:row>
    <x:row r="69">
      <x:c r="A69" s="137" t="str"/>
      <x:c r="B69" s="138" t="str"/>
      <x:c r="C69" s="137" t="str"/>
      <x:c r="D69" s="137" t="str"/>
      <x:c r="E69" s="137" t="str"/>
      <x:c r="F69" s="137" t="str"/>
      <x:c r="G69" s="137" t="str"/>
      <x:c r="H69" s="137" t="str"/>
      <x:c r="I69" s="137" t="str"/>
      <x:c r="J69" s="137" t="str"/>
      <x:c r="K69" s="137" t="str"/>
      <x:c r="L69" s="137" t="str"/>
      <x:c r="M69" s="137" t="str"/>
      <x:c r="N69" s="137" t="str"/>
      <x:c r="O69" s="137" t="str"/>
      <x:c r="P69" s="138" t="str"/>
      <x:c r="Q69" s="137" t="str"/>
      <x:c r="R69" s="137" t="str"/>
      <x:c r="S69" s="137" t="str"/>
      <x:c r="T69" s="138" t="str"/>
      <x:c r="U69" s="137" t="str"/>
      <x:c r="V69" s="137" t="str"/>
    </x:row>
    <x:row r="70">
      <x:c r="A70" s="137" t="str"/>
      <x:c r="B70" s="138" t="str"/>
      <x:c r="C70" s="137" t="str"/>
      <x:c r="D70" s="137" t="str"/>
      <x:c r="E70" s="137" t="str"/>
      <x:c r="F70" s="137" t="str"/>
      <x:c r="G70" s="137" t="str"/>
      <x:c r="H70" s="137" t="str"/>
      <x:c r="I70" s="137" t="str"/>
      <x:c r="J70" s="137" t="str"/>
      <x:c r="K70" s="137" t="str"/>
      <x:c r="L70" s="137" t="str"/>
      <x:c r="M70" s="137" t="str"/>
      <x:c r="N70" s="137" t="str"/>
      <x:c r="O70" s="137" t="str"/>
      <x:c r="P70" s="138" t="str"/>
      <x:c r="Q70" s="137" t="str"/>
      <x:c r="R70" s="137" t="str"/>
      <x:c r="S70" s="137" t="str"/>
      <x:c r="T70" s="138" t="str"/>
      <x:c r="U70" s="137" t="str"/>
      <x:c r="V70" s="137" t="str"/>
    </x:row>
    <x:row r="71">
      <x:c r="A71" s="137" t="str"/>
      <x:c r="B71" s="138" t="str"/>
      <x:c r="C71" s="137" t="str"/>
      <x:c r="D71" s="137" t="str"/>
      <x:c r="E71" s="137" t="str"/>
      <x:c r="F71" s="137" t="str"/>
      <x:c r="G71" s="137" t="str"/>
      <x:c r="H71" s="137" t="str"/>
      <x:c r="I71" s="137" t="str"/>
      <x:c r="J71" s="137" t="str"/>
      <x:c r="K71" s="137" t="str"/>
      <x:c r="L71" s="137" t="str"/>
      <x:c r="M71" s="137" t="str"/>
      <x:c r="N71" s="137" t="str"/>
      <x:c r="O71" s="137" t="str"/>
      <x:c r="P71" s="138" t="str"/>
      <x:c r="Q71" s="137" t="str"/>
      <x:c r="R71" s="137" t="str"/>
      <x:c r="S71" s="137" t="str"/>
      <x:c r="T71" s="138" t="str"/>
      <x:c r="U71" s="137" t="str"/>
      <x:c r="V71" s="137" t="str"/>
    </x:row>
    <x:row r="72">
      <x:c r="A72" s="137" t="str"/>
      <x:c r="B72" s="138" t="str"/>
      <x:c r="C72" s="137" t="str"/>
      <x:c r="D72" s="137" t="str"/>
      <x:c r="E72" s="137" t="str"/>
      <x:c r="F72" s="137" t="str"/>
      <x:c r="G72" s="137" t="str"/>
      <x:c r="H72" s="137" t="str"/>
      <x:c r="I72" s="137" t="str"/>
      <x:c r="J72" s="137" t="str"/>
      <x:c r="K72" s="137" t="str"/>
      <x:c r="L72" s="137" t="str"/>
      <x:c r="M72" s="137" t="str"/>
      <x:c r="N72" s="137" t="str"/>
      <x:c r="O72" s="137" t="str"/>
      <x:c r="P72" s="138" t="str"/>
      <x:c r="Q72" s="137" t="str"/>
      <x:c r="R72" s="137" t="str"/>
      <x:c r="S72" s="137" t="str"/>
      <x:c r="T72" s="138" t="str"/>
      <x:c r="U72" s="137" t="str"/>
      <x:c r="V72" s="137" t="str"/>
    </x:row>
    <x:row r="73">
      <x:c r="A73" s="137" t="str"/>
      <x:c r="B73" s="138" t="str"/>
      <x:c r="C73" s="137" t="str"/>
      <x:c r="D73" s="137" t="str"/>
      <x:c r="E73" s="137" t="str"/>
      <x:c r="F73" s="137" t="str"/>
      <x:c r="G73" s="137" t="str"/>
      <x:c r="H73" s="137" t="str"/>
      <x:c r="I73" s="137" t="str"/>
      <x:c r="J73" s="137" t="str"/>
      <x:c r="K73" s="137" t="str"/>
      <x:c r="L73" s="137" t="str"/>
      <x:c r="M73" s="137" t="str"/>
      <x:c r="N73" s="137" t="str"/>
      <x:c r="O73" s="137" t="str"/>
      <x:c r="P73" s="138" t="str"/>
      <x:c r="Q73" s="137" t="str"/>
      <x:c r="R73" s="137" t="str"/>
      <x:c r="S73" s="137" t="str"/>
      <x:c r="T73" s="138" t="str"/>
      <x:c r="U73" s="137" t="str"/>
      <x:c r="V73" s="137" t="str"/>
    </x:row>
    <x:row r="74">
      <x:c r="A74" s="137" t="str"/>
      <x:c r="B74" s="138" t="str"/>
      <x:c r="C74" s="137" t="str"/>
      <x:c r="D74" s="137" t="str"/>
      <x:c r="E74" s="137" t="str"/>
      <x:c r="F74" s="137" t="str"/>
      <x:c r="G74" s="137" t="str"/>
      <x:c r="H74" s="137" t="str"/>
      <x:c r="I74" s="137" t="str"/>
      <x:c r="J74" s="137" t="str"/>
      <x:c r="K74" s="137" t="str"/>
      <x:c r="L74" s="137" t="str"/>
      <x:c r="M74" s="137" t="str"/>
      <x:c r="N74" s="137" t="str"/>
      <x:c r="O74" s="137" t="str"/>
      <x:c r="P74" s="138" t="str"/>
      <x:c r="Q74" s="137" t="str"/>
      <x:c r="R74" s="137" t="str"/>
      <x:c r="S74" s="137" t="str"/>
      <x:c r="T74" s="138" t="str"/>
      <x:c r="U74" s="137" t="str"/>
      <x:c r="V74" s="137" t="str"/>
    </x:row>
    <x:row r="75">
      <x:c r="A75" s="137" t="str"/>
      <x:c r="B75" s="138" t="str"/>
      <x:c r="C75" s="137" t="str"/>
      <x:c r="D75" s="137" t="str"/>
      <x:c r="E75" s="137" t="str"/>
      <x:c r="F75" s="137" t="str"/>
      <x:c r="G75" s="137" t="str"/>
      <x:c r="H75" s="137" t="str"/>
      <x:c r="I75" s="137" t="str"/>
      <x:c r="J75" s="137" t="str"/>
      <x:c r="K75" s="137" t="str"/>
      <x:c r="L75" s="137" t="str"/>
      <x:c r="M75" s="137" t="str"/>
      <x:c r="N75" s="137" t="str"/>
      <x:c r="O75" s="137" t="str"/>
      <x:c r="P75" s="138" t="str"/>
      <x:c r="Q75" s="137" t="str"/>
      <x:c r="R75" s="137" t="str"/>
      <x:c r="S75" s="137" t="str"/>
      <x:c r="T75" s="138" t="str"/>
      <x:c r="U75" s="137" t="str"/>
      <x:c r="V75" s="137" t="str"/>
    </x:row>
    <x:row r="76">
      <x:c r="A76" s="137" t="str"/>
      <x:c r="B76" s="138" t="str"/>
      <x:c r="C76" s="137" t="str"/>
      <x:c r="D76" s="137" t="str"/>
      <x:c r="E76" s="137" t="str"/>
      <x:c r="F76" s="137" t="str"/>
      <x:c r="G76" s="137" t="str"/>
      <x:c r="H76" s="137" t="str"/>
      <x:c r="I76" s="137" t="str"/>
      <x:c r="J76" s="137" t="str"/>
      <x:c r="K76" s="137" t="str"/>
      <x:c r="L76" s="137" t="str"/>
      <x:c r="M76" s="137" t="str"/>
      <x:c r="N76" s="137" t="str"/>
      <x:c r="O76" s="137" t="str"/>
      <x:c r="P76" s="138" t="str"/>
      <x:c r="Q76" s="137" t="str"/>
      <x:c r="R76" s="137" t="str"/>
      <x:c r="S76" s="137" t="str"/>
      <x:c r="T76" s="138" t="str"/>
      <x:c r="U76" s="137" t="str"/>
      <x:c r="V76" s="137" t="str"/>
    </x:row>
    <x:row r="77">
      <x:c r="A77" s="137" t="str"/>
      <x:c r="B77" s="138" t="str"/>
      <x:c r="C77" s="137" t="str"/>
      <x:c r="D77" s="137" t="str"/>
      <x:c r="E77" s="137" t="str"/>
      <x:c r="F77" s="137" t="str"/>
      <x:c r="G77" s="137" t="str"/>
      <x:c r="H77" s="137" t="str"/>
      <x:c r="I77" s="137" t="str"/>
      <x:c r="J77" s="137" t="str"/>
      <x:c r="K77" s="137" t="str"/>
      <x:c r="L77" s="137" t="str"/>
      <x:c r="M77" s="137" t="str"/>
      <x:c r="N77" s="137" t="str"/>
      <x:c r="O77" s="137" t="str"/>
      <x:c r="P77" s="138" t="str"/>
      <x:c r="Q77" s="137" t="str"/>
      <x:c r="R77" s="137" t="str"/>
      <x:c r="S77" s="137" t="str"/>
      <x:c r="T77" s="138" t="str"/>
      <x:c r="U77" s="137" t="str"/>
      <x:c r="V77" s="137" t="str"/>
    </x:row>
    <x:row r="78">
      <x:c r="A78" s="137" t="str"/>
      <x:c r="B78" s="138" t="str"/>
      <x:c r="C78" s="137" t="str"/>
      <x:c r="D78" s="137" t="str"/>
      <x:c r="E78" s="137" t="str"/>
      <x:c r="F78" s="137" t="str"/>
      <x:c r="G78" s="137" t="str"/>
      <x:c r="H78" s="137" t="str"/>
      <x:c r="I78" s="137" t="str"/>
      <x:c r="J78" s="137" t="str"/>
      <x:c r="K78" s="137" t="str"/>
      <x:c r="L78" s="137" t="str"/>
      <x:c r="M78" s="137" t="str"/>
      <x:c r="N78" s="137" t="str"/>
      <x:c r="O78" s="137" t="str"/>
      <x:c r="P78" s="138" t="str"/>
      <x:c r="Q78" s="137" t="str"/>
      <x:c r="R78" s="137" t="str"/>
      <x:c r="S78" s="137" t="str"/>
      <x:c r="T78" s="138" t="str"/>
      <x:c r="U78" s="137" t="str"/>
      <x:c r="V78" s="137" t="str"/>
    </x:row>
    <x:row r="79">
      <x:c r="A79" s="137" t="str"/>
      <x:c r="B79" s="138" t="str"/>
      <x:c r="C79" s="137" t="str"/>
      <x:c r="D79" s="137" t="str"/>
      <x:c r="E79" s="137" t="str"/>
      <x:c r="F79" s="137" t="str"/>
      <x:c r="G79" s="137" t="str"/>
      <x:c r="H79" s="137" t="str"/>
      <x:c r="I79" s="137" t="str"/>
      <x:c r="J79" s="137" t="str"/>
      <x:c r="K79" s="137" t="str"/>
      <x:c r="L79" s="137" t="str"/>
      <x:c r="M79" s="137" t="str"/>
      <x:c r="N79" s="137" t="str"/>
      <x:c r="O79" s="137" t="str"/>
      <x:c r="P79" s="138" t="str"/>
      <x:c r="Q79" s="137" t="str"/>
      <x:c r="R79" s="137" t="str"/>
      <x:c r="S79" s="137" t="str"/>
      <x:c r="T79" s="138" t="str"/>
      <x:c r="U79" s="137" t="str"/>
      <x:c r="V79" s="137" t="str"/>
    </x:row>
    <x:row r="80">
      <x:c r="A80" s="137" t="str"/>
      <x:c r="B80" s="138" t="str"/>
      <x:c r="C80" s="137" t="str"/>
      <x:c r="D80" s="137" t="str"/>
      <x:c r="E80" s="137" t="str"/>
      <x:c r="F80" s="137" t="str"/>
      <x:c r="G80" s="137" t="str"/>
      <x:c r="H80" s="137" t="str"/>
      <x:c r="I80" s="137" t="str"/>
      <x:c r="J80" s="137" t="str"/>
      <x:c r="K80" s="137" t="str"/>
      <x:c r="L80" s="137" t="str"/>
      <x:c r="M80" s="137" t="str"/>
      <x:c r="N80" s="137" t="str"/>
      <x:c r="O80" s="137" t="str"/>
      <x:c r="P80" s="138" t="str"/>
      <x:c r="Q80" s="137" t="str"/>
      <x:c r="R80" s="137" t="str"/>
      <x:c r="S80" s="137" t="str"/>
      <x:c r="T80" s="138" t="str"/>
      <x:c r="U80" s="137" t="str"/>
      <x:c r="V80" s="137" t="str"/>
    </x:row>
    <x:row r="81">
      <x:c r="A81" s="137" t="str"/>
      <x:c r="B81" s="138" t="str"/>
      <x:c r="C81" s="137" t="str"/>
      <x:c r="D81" s="137" t="str"/>
      <x:c r="E81" s="137" t="str"/>
      <x:c r="F81" s="137" t="str"/>
      <x:c r="G81" s="137" t="str"/>
      <x:c r="H81" s="137" t="str"/>
      <x:c r="I81" s="137" t="str"/>
      <x:c r="J81" s="137" t="str"/>
      <x:c r="K81" s="137" t="str"/>
      <x:c r="L81" s="137" t="str"/>
      <x:c r="M81" s="137" t="str"/>
      <x:c r="N81" s="137" t="str"/>
      <x:c r="O81" s="137" t="str"/>
      <x:c r="P81" s="138" t="str"/>
      <x:c r="Q81" s="137" t="str"/>
      <x:c r="R81" s="137" t="str"/>
      <x:c r="S81" s="137" t="str"/>
      <x:c r="T81" s="138" t="str"/>
      <x:c r="U81" s="137" t="str"/>
      <x:c r="V81" s="137" t="str"/>
    </x:row>
    <x:row r="82">
      <x:c r="A82" s="137" t="str"/>
      <x:c r="B82" s="138" t="str"/>
      <x:c r="C82" s="137" t="str"/>
      <x:c r="D82" s="137" t="str"/>
      <x:c r="E82" s="137" t="str"/>
      <x:c r="F82" s="137" t="str"/>
      <x:c r="G82" s="137" t="str"/>
      <x:c r="H82" s="137" t="str"/>
      <x:c r="I82" s="137" t="str"/>
      <x:c r="J82" s="137" t="str"/>
      <x:c r="K82" s="137" t="str"/>
      <x:c r="L82" s="137" t="str"/>
      <x:c r="M82" s="137" t="str"/>
      <x:c r="N82" s="137" t="str"/>
      <x:c r="O82" s="137" t="str"/>
      <x:c r="P82" s="138" t="str"/>
      <x:c r="Q82" s="137" t="str"/>
      <x:c r="R82" s="137" t="str"/>
      <x:c r="S82" s="137" t="str"/>
      <x:c r="T82" s="138" t="str"/>
      <x:c r="U82" s="137" t="str"/>
      <x:c r="V82" s="137" t="str"/>
    </x:row>
    <x:row r="83">
      <x:c r="A83" s="137" t="str"/>
      <x:c r="B83" s="138" t="str"/>
      <x:c r="C83" s="137" t="str"/>
      <x:c r="D83" s="137" t="str"/>
      <x:c r="E83" s="137" t="str"/>
      <x:c r="F83" s="137" t="str"/>
      <x:c r="G83" s="137" t="str"/>
      <x:c r="H83" s="137" t="str"/>
      <x:c r="I83" s="137" t="str"/>
      <x:c r="J83" s="137" t="str"/>
      <x:c r="K83" s="137" t="str"/>
      <x:c r="L83" s="137" t="str"/>
      <x:c r="M83" s="137" t="str"/>
      <x:c r="N83" s="137" t="str"/>
      <x:c r="O83" s="137" t="str"/>
      <x:c r="P83" s="138" t="str"/>
      <x:c r="Q83" s="137" t="str"/>
      <x:c r="R83" s="137" t="str"/>
      <x:c r="S83" s="137" t="str"/>
      <x:c r="T83" s="138" t="str"/>
      <x:c r="U83" s="137" t="str"/>
      <x:c r="V83" s="137" t="str"/>
    </x:row>
    <x:row r="84">
      <x:c r="A84" s="137" t="str"/>
      <x:c r="B84" s="138" t="str"/>
      <x:c r="C84" s="137" t="str"/>
      <x:c r="D84" s="137" t="str"/>
      <x:c r="E84" s="137" t="str"/>
      <x:c r="F84" s="137" t="str"/>
      <x:c r="G84" s="137" t="str"/>
      <x:c r="H84" s="137" t="str"/>
      <x:c r="I84" s="137" t="str"/>
      <x:c r="J84" s="137" t="str"/>
      <x:c r="K84" s="137" t="str"/>
      <x:c r="L84" s="137" t="str"/>
      <x:c r="M84" s="137" t="str"/>
      <x:c r="N84" s="137" t="str"/>
      <x:c r="O84" s="137" t="str"/>
      <x:c r="P84" s="138" t="str"/>
      <x:c r="Q84" s="137" t="str"/>
      <x:c r="R84" s="137" t="str"/>
      <x:c r="S84" s="137" t="str"/>
      <x:c r="T84" s="138" t="str"/>
      <x:c r="U84" s="137" t="str"/>
      <x:c r="V84" s="137" t="str"/>
    </x:row>
    <x:row r="85">
      <x:c r="A85" s="137" t="str"/>
      <x:c r="B85" s="138" t="str"/>
      <x:c r="C85" s="137" t="str"/>
      <x:c r="D85" s="137" t="str"/>
      <x:c r="E85" s="137" t="str"/>
      <x:c r="F85" s="137" t="str"/>
      <x:c r="G85" s="137" t="str"/>
      <x:c r="H85" s="137" t="str"/>
      <x:c r="I85" s="137" t="str"/>
      <x:c r="J85" s="137" t="str"/>
      <x:c r="K85" s="137" t="str"/>
      <x:c r="L85" s="137" t="str"/>
      <x:c r="M85" s="137" t="str"/>
      <x:c r="N85" s="137" t="str"/>
      <x:c r="O85" s="137" t="str"/>
      <x:c r="P85" s="138" t="str"/>
      <x:c r="Q85" s="137" t="str"/>
      <x:c r="R85" s="137" t="str"/>
      <x:c r="S85" s="137" t="str"/>
      <x:c r="T85" s="138" t="str"/>
      <x:c r="U85" s="137" t="str"/>
      <x:c r="V85" s="137" t="str"/>
    </x:row>
    <x:row r="86">
      <x:c r="A86" s="137" t="str"/>
      <x:c r="B86" s="138" t="str"/>
      <x:c r="C86" s="137" t="str"/>
      <x:c r="D86" s="137" t="str"/>
      <x:c r="E86" s="137" t="str"/>
      <x:c r="F86" s="137" t="str"/>
      <x:c r="G86" s="137" t="str"/>
      <x:c r="H86" s="137" t="str"/>
      <x:c r="I86" s="137" t="str"/>
      <x:c r="J86" s="137" t="str"/>
      <x:c r="K86" s="137" t="str"/>
      <x:c r="L86" s="137" t="str"/>
      <x:c r="M86" s="137" t="str"/>
      <x:c r="N86" s="137" t="str"/>
      <x:c r="O86" s="137" t="str"/>
      <x:c r="P86" s="138" t="str"/>
      <x:c r="Q86" s="137" t="str"/>
      <x:c r="R86" s="137" t="str"/>
      <x:c r="S86" s="137" t="str"/>
      <x:c r="T86" s="138" t="str"/>
      <x:c r="U86" s="137" t="str"/>
      <x:c r="V86" s="137" t="str"/>
    </x:row>
    <x:row r="87">
      <x:c r="A87" s="137" t="str"/>
      <x:c r="B87" s="138" t="str"/>
      <x:c r="C87" s="137" t="str"/>
      <x:c r="D87" s="137" t="str"/>
      <x:c r="E87" s="137" t="str"/>
      <x:c r="F87" s="137" t="str"/>
      <x:c r="G87" s="137" t="str"/>
      <x:c r="H87" s="137" t="str"/>
      <x:c r="I87" s="137" t="str"/>
      <x:c r="J87" s="137" t="str"/>
      <x:c r="K87" s="137" t="str"/>
      <x:c r="L87" s="137" t="str"/>
      <x:c r="M87" s="137" t="str"/>
      <x:c r="N87" s="137" t="str"/>
      <x:c r="O87" s="137" t="str"/>
      <x:c r="P87" s="138" t="str"/>
      <x:c r="Q87" s="137" t="str"/>
      <x:c r="R87" s="137" t="str"/>
      <x:c r="S87" s="137" t="str"/>
      <x:c r="T87" s="138" t="str"/>
      <x:c r="U87" s="137" t="str"/>
      <x:c r="V87" s="137" t="str"/>
    </x:row>
    <x:row r="88">
      <x:c r="A88" s="137" t="str"/>
      <x:c r="B88" s="138" t="str"/>
      <x:c r="C88" s="137" t="str"/>
      <x:c r="D88" s="137" t="str"/>
      <x:c r="E88" s="137" t="str"/>
      <x:c r="F88" s="137" t="str"/>
      <x:c r="G88" s="137" t="str"/>
      <x:c r="H88" s="137" t="str"/>
      <x:c r="I88" s="137" t="str"/>
      <x:c r="J88" s="137" t="str"/>
      <x:c r="K88" s="137" t="str"/>
      <x:c r="L88" s="137" t="str"/>
      <x:c r="M88" s="137" t="str"/>
      <x:c r="N88" s="137" t="str"/>
      <x:c r="O88" s="137" t="str"/>
      <x:c r="P88" s="138" t="str"/>
      <x:c r="Q88" s="137" t="str"/>
      <x:c r="R88" s="137" t="str"/>
      <x:c r="S88" s="137" t="str"/>
      <x:c r="T88" s="138" t="str"/>
      <x:c r="U88" s="137" t="str"/>
      <x:c r="V88" s="137" t="str"/>
    </x:row>
    <x:row r="89">
      <x:c r="A89" s="137" t="str"/>
      <x:c r="B89" s="138" t="str"/>
      <x:c r="C89" s="137" t="str"/>
      <x:c r="D89" s="137" t="str"/>
      <x:c r="E89" s="137" t="str"/>
      <x:c r="F89" s="137" t="str"/>
      <x:c r="G89" s="137" t="str"/>
      <x:c r="H89" s="137" t="str"/>
      <x:c r="I89" s="137" t="str"/>
      <x:c r="J89" s="137" t="str"/>
      <x:c r="K89" s="137" t="str"/>
      <x:c r="L89" s="137" t="str"/>
      <x:c r="M89" s="137" t="str"/>
      <x:c r="N89" s="137" t="str"/>
      <x:c r="O89" s="137" t="str"/>
      <x:c r="P89" s="138" t="str"/>
      <x:c r="Q89" s="137" t="str"/>
      <x:c r="R89" s="137" t="str"/>
      <x:c r="S89" s="137" t="str"/>
      <x:c r="T89" s="138" t="str"/>
      <x:c r="U89" s="137" t="str"/>
      <x:c r="V89" s="137" t="str"/>
    </x:row>
    <x:row r="90">
      <x:c r="A90" s="137" t="str"/>
      <x:c r="B90" s="138" t="str"/>
      <x:c r="C90" s="137" t="str"/>
      <x:c r="D90" s="137" t="str"/>
      <x:c r="E90" s="137" t="str"/>
      <x:c r="F90" s="137" t="str"/>
      <x:c r="G90" s="137" t="str"/>
      <x:c r="H90" s="137" t="str"/>
      <x:c r="I90" s="137" t="str"/>
      <x:c r="J90" s="137" t="str"/>
      <x:c r="K90" s="137" t="str"/>
      <x:c r="L90" s="137" t="str"/>
      <x:c r="M90" s="137" t="str"/>
      <x:c r="N90" s="137" t="str"/>
      <x:c r="O90" s="137" t="str"/>
      <x:c r="P90" s="138" t="str"/>
      <x:c r="Q90" s="137" t="str"/>
      <x:c r="R90" s="137" t="str"/>
      <x:c r="S90" s="137" t="str"/>
      <x:c r="T90" s="138" t="str"/>
      <x:c r="U90" s="137" t="str"/>
      <x:c r="V90" s="137" t="str"/>
    </x:row>
    <x:row r="91">
      <x:c r="A91" s="137" t="str"/>
      <x:c r="B91" s="138" t="str"/>
      <x:c r="C91" s="137" t="str"/>
      <x:c r="D91" s="137" t="str"/>
      <x:c r="E91" s="137" t="str"/>
      <x:c r="F91" s="137" t="str"/>
      <x:c r="G91" s="137" t="str"/>
      <x:c r="H91" s="137" t="str"/>
      <x:c r="I91" s="137" t="str"/>
      <x:c r="J91" s="137" t="str"/>
      <x:c r="K91" s="137" t="str"/>
      <x:c r="L91" s="137" t="str"/>
      <x:c r="M91" s="137" t="str"/>
      <x:c r="N91" s="137" t="str"/>
      <x:c r="O91" s="137" t="str"/>
      <x:c r="P91" s="138" t="str"/>
      <x:c r="Q91" s="137" t="str"/>
      <x:c r="R91" s="137" t="str"/>
      <x:c r="S91" s="137" t="str"/>
      <x:c r="T91" s="138" t="str"/>
      <x:c r="U91" s="137" t="str"/>
      <x:c r="V91" s="137" t="str"/>
    </x:row>
    <x:row r="92">
      <x:c r="A92" s="137" t="str"/>
      <x:c r="B92" s="138" t="str"/>
      <x:c r="C92" s="137" t="str"/>
      <x:c r="D92" s="137" t="str"/>
      <x:c r="E92" s="137" t="str"/>
      <x:c r="F92" s="137" t="str"/>
      <x:c r="G92" s="137" t="str"/>
      <x:c r="H92" s="137" t="str"/>
      <x:c r="I92" s="137" t="str"/>
      <x:c r="J92" s="137" t="str"/>
      <x:c r="K92" s="137" t="str"/>
      <x:c r="L92" s="137" t="str"/>
      <x:c r="M92" s="137" t="str"/>
      <x:c r="N92" s="137" t="str"/>
      <x:c r="O92" s="137" t="str"/>
      <x:c r="P92" s="138" t="str"/>
      <x:c r="Q92" s="137" t="str"/>
      <x:c r="R92" s="137" t="str"/>
      <x:c r="S92" s="137" t="str"/>
      <x:c r="T92" s="138" t="str"/>
      <x:c r="U92" s="137" t="str"/>
      <x:c r="V92" s="137" t="str"/>
    </x:row>
    <x:row r="93">
      <x:c r="A93" s="137" t="str"/>
      <x:c r="B93" s="138" t="str"/>
      <x:c r="C93" s="137" t="str"/>
      <x:c r="D93" s="137" t="str"/>
      <x:c r="E93" s="137" t="str"/>
      <x:c r="F93" s="137" t="str"/>
      <x:c r="G93" s="137" t="str"/>
      <x:c r="H93" s="137" t="str"/>
      <x:c r="I93" s="137" t="str"/>
      <x:c r="J93" s="137" t="str"/>
      <x:c r="K93" s="137" t="str"/>
      <x:c r="L93" s="137" t="str"/>
      <x:c r="M93" s="137" t="str"/>
      <x:c r="N93" s="137" t="str"/>
      <x:c r="O93" s="137" t="str"/>
      <x:c r="P93" s="138" t="str"/>
      <x:c r="Q93" s="137" t="str"/>
      <x:c r="R93" s="137" t="str"/>
      <x:c r="S93" s="137" t="str"/>
      <x:c r="T93" s="138" t="str"/>
      <x:c r="U93" s="137" t="str"/>
      <x:c r="V93" s="137" t="str"/>
    </x:row>
    <x:row r="94">
      <x:c r="A94" s="137" t="str"/>
      <x:c r="B94" s="138" t="str"/>
      <x:c r="C94" s="137" t="str"/>
      <x:c r="D94" s="137" t="str"/>
      <x:c r="E94" s="137" t="str"/>
      <x:c r="F94" s="137" t="str"/>
      <x:c r="G94" s="137" t="str"/>
      <x:c r="H94" s="137" t="str"/>
      <x:c r="I94" s="137" t="str"/>
      <x:c r="J94" s="137" t="str"/>
      <x:c r="K94" s="137" t="str"/>
      <x:c r="L94" s="137" t="str"/>
      <x:c r="M94" s="137" t="str"/>
      <x:c r="N94" s="137" t="str"/>
      <x:c r="O94" s="137" t="str"/>
      <x:c r="P94" s="138" t="str"/>
      <x:c r="Q94" s="137" t="str"/>
      <x:c r="R94" s="137" t="str"/>
      <x:c r="S94" s="137" t="str"/>
      <x:c r="T94" s="138" t="str"/>
      <x:c r="U94" s="137" t="str"/>
      <x:c r="V94" s="137" t="str"/>
    </x:row>
    <x:row r="95">
      <x:c r="A95" s="137" t="str"/>
      <x:c r="B95" s="138" t="str"/>
      <x:c r="C95" s="137" t="str"/>
      <x:c r="D95" s="137" t="str"/>
      <x:c r="E95" s="137" t="str"/>
      <x:c r="F95" s="137" t="str"/>
      <x:c r="G95" s="137" t="str"/>
      <x:c r="H95" s="137" t="str"/>
      <x:c r="I95" s="137" t="str"/>
      <x:c r="J95" s="137" t="str"/>
      <x:c r="K95" s="137" t="str"/>
      <x:c r="L95" s="137" t="str"/>
      <x:c r="M95" s="137" t="str"/>
      <x:c r="N95" s="137" t="str"/>
      <x:c r="O95" s="137" t="str"/>
      <x:c r="P95" s="138" t="str"/>
      <x:c r="Q95" s="137" t="str"/>
      <x:c r="R95" s="137" t="str"/>
      <x:c r="S95" s="137" t="str"/>
      <x:c r="T95" s="138" t="str"/>
      <x:c r="U95" s="137" t="str"/>
      <x:c r="V95" s="137" t="str"/>
    </x:row>
    <x:row r="96">
      <x:c r="A96" s="137" t="str"/>
      <x:c r="B96" s="138" t="str"/>
      <x:c r="C96" s="137" t="str"/>
      <x:c r="D96" s="137" t="str"/>
      <x:c r="E96" s="137" t="str"/>
      <x:c r="F96" s="137" t="str"/>
      <x:c r="G96" s="137" t="str"/>
      <x:c r="H96" s="137" t="str"/>
      <x:c r="I96" s="137" t="str"/>
      <x:c r="J96" s="137" t="str"/>
      <x:c r="K96" s="137" t="str"/>
      <x:c r="L96" s="137" t="str"/>
      <x:c r="M96" s="137" t="str"/>
      <x:c r="N96" s="137" t="str"/>
      <x:c r="O96" s="137" t="str"/>
      <x:c r="P96" s="138" t="str"/>
      <x:c r="Q96" s="137" t="str"/>
      <x:c r="R96" s="137" t="str"/>
      <x:c r="S96" s="137" t="str"/>
      <x:c r="T96" s="138" t="str"/>
      <x:c r="U96" s="137" t="str"/>
      <x:c r="V96" s="137" t="str"/>
    </x:row>
    <x:row r="97">
      <x:c r="A97" s="137" t="str"/>
      <x:c r="B97" s="138" t="str"/>
      <x:c r="C97" s="137" t="str"/>
      <x:c r="D97" s="137" t="str"/>
      <x:c r="E97" s="137" t="str"/>
      <x:c r="F97" s="137" t="str"/>
      <x:c r="G97" s="137" t="str"/>
      <x:c r="H97" s="137" t="str"/>
      <x:c r="I97" s="137" t="str"/>
      <x:c r="J97" s="137" t="str"/>
      <x:c r="K97" s="137" t="str"/>
      <x:c r="L97" s="137" t="str"/>
      <x:c r="M97" s="137" t="str"/>
      <x:c r="N97" s="137" t="str"/>
      <x:c r="O97" s="137" t="str"/>
      <x:c r="P97" s="138" t="str"/>
      <x:c r="Q97" s="137" t="str"/>
      <x:c r="R97" s="137" t="str"/>
      <x:c r="S97" s="137" t="str"/>
      <x:c r="T97" s="138" t="str"/>
      <x:c r="U97" s="137" t="str"/>
      <x:c r="V97" s="137" t="str"/>
    </x:row>
    <x:row r="98">
      <x:c r="A98" s="137" t="str"/>
      <x:c r="B98" s="138" t="str"/>
      <x:c r="C98" s="137" t="str"/>
      <x:c r="D98" s="137" t="str"/>
      <x:c r="E98" s="137" t="str"/>
      <x:c r="F98" s="137" t="str"/>
      <x:c r="G98" s="137" t="str"/>
      <x:c r="H98" s="137" t="str"/>
      <x:c r="I98" s="137" t="str"/>
      <x:c r="J98" s="137" t="str"/>
      <x:c r="K98" s="137" t="str"/>
      <x:c r="L98" s="137" t="str"/>
      <x:c r="M98" s="137" t="str"/>
      <x:c r="N98" s="137" t="str"/>
      <x:c r="O98" s="137" t="str"/>
      <x:c r="P98" s="138" t="str"/>
      <x:c r="Q98" s="137" t="str"/>
      <x:c r="R98" s="137" t="str"/>
      <x:c r="S98" s="137" t="str"/>
      <x:c r="T98" s="138" t="str"/>
      <x:c r="U98" s="137" t="str"/>
      <x:c r="V98" s="137" t="str"/>
    </x:row>
    <x:row r="99">
      <x:c r="A99" s="137" t="str"/>
      <x:c r="B99" s="138" t="str"/>
      <x:c r="C99" s="137" t="str"/>
      <x:c r="D99" s="137" t="str"/>
      <x:c r="E99" s="137" t="str"/>
      <x:c r="F99" s="137" t="str"/>
      <x:c r="G99" s="137" t="str"/>
      <x:c r="H99" s="137" t="str"/>
      <x:c r="I99" s="137" t="str"/>
      <x:c r="J99" s="137" t="str"/>
      <x:c r="K99" s="137" t="str"/>
      <x:c r="L99" s="137" t="str"/>
      <x:c r="M99" s="137" t="str"/>
      <x:c r="N99" s="137" t="str"/>
      <x:c r="O99" s="137" t="str"/>
      <x:c r="P99" s="138" t="str"/>
      <x:c r="Q99" s="137" t="str"/>
      <x:c r="R99" s="137" t="str"/>
      <x:c r="S99" s="137" t="str"/>
      <x:c r="T99" s="138" t="str"/>
      <x:c r="U99" s="137" t="str"/>
      <x:c r="V99" s="137" t="str"/>
    </x:row>
    <x:row r="100">
      <x:c r="A100" s="137" t="str"/>
      <x:c r="B100" s="138" t="str"/>
      <x:c r="C100" s="137" t="str"/>
      <x:c r="D100" s="137" t="str"/>
      <x:c r="E100" s="137" t="str"/>
      <x:c r="F100" s="137" t="str"/>
      <x:c r="G100" s="137" t="str"/>
      <x:c r="H100" s="137" t="str"/>
      <x:c r="I100" s="137" t="str"/>
      <x:c r="J100" s="137" t="str"/>
      <x:c r="K100" s="137" t="str"/>
      <x:c r="L100" s="137" t="str"/>
      <x:c r="M100" s="137" t="str"/>
      <x:c r="N100" s="137" t="str"/>
      <x:c r="O100" s="137" t="str"/>
      <x:c r="P100" s="138" t="str"/>
      <x:c r="Q100" s="137" t="str"/>
      <x:c r="R100" s="137" t="str"/>
      <x:c r="S100" s="137" t="str"/>
      <x:c r="T100" s="138" t="str"/>
      <x:c r="U100" s="137" t="str"/>
      <x:c r="V100" s="137" t="str"/>
    </x:row>
    <x:row r="101">
      <x:c r="A101" s="137" t="str"/>
      <x:c r="B101" s="138" t="str"/>
      <x:c r="C101" s="137" t="str"/>
      <x:c r="D101" s="137" t="str"/>
      <x:c r="E101" s="137" t="str"/>
      <x:c r="F101" s="137" t="str"/>
      <x:c r="G101" s="137" t="str"/>
      <x:c r="H101" s="137" t="str"/>
      <x:c r="I101" s="137" t="str"/>
      <x:c r="J101" s="137" t="str"/>
      <x:c r="K101" s="137" t="str"/>
      <x:c r="L101" s="137" t="str"/>
      <x:c r="M101" s="137" t="str"/>
      <x:c r="N101" s="137" t="str"/>
      <x:c r="O101" s="137" t="str"/>
      <x:c r="P101" s="138" t="str"/>
      <x:c r="Q101" s="137" t="str"/>
      <x:c r="R101" s="137" t="str"/>
      <x:c r="S101" s="137" t="str"/>
      <x:c r="T101" s="138" t="str"/>
      <x:c r="U101" s="137" t="str"/>
      <x:c r="V101" s="137" t="str"/>
    </x:row>
    <x:row r="102">
      <x:c r="A102" s="137" t="str"/>
      <x:c r="B102" s="138" t="str"/>
      <x:c r="C102" s="137" t="str"/>
      <x:c r="D102" s="137" t="str"/>
      <x:c r="E102" s="137" t="str"/>
      <x:c r="F102" s="137" t="str"/>
      <x:c r="G102" s="137" t="str"/>
      <x:c r="H102" s="137" t="str"/>
      <x:c r="I102" s="137" t="str"/>
      <x:c r="J102" s="137" t="str"/>
      <x:c r="K102" s="137" t="str"/>
      <x:c r="L102" s="137" t="str"/>
      <x:c r="M102" s="137" t="str"/>
      <x:c r="N102" s="137" t="str"/>
      <x:c r="O102" s="137" t="str"/>
      <x:c r="P102" s="138" t="str"/>
      <x:c r="Q102" s="137" t="str"/>
      <x:c r="R102" s="137" t="str"/>
      <x:c r="S102" s="137" t="str"/>
      <x:c r="T102" s="138" t="str"/>
      <x:c r="U102" s="137" t="str"/>
      <x:c r="V102" s="137" t="str"/>
    </x:row>
    <x:row r="103">
      <x:c r="A103" s="137" t="str"/>
      <x:c r="B103" s="138" t="str"/>
      <x:c r="C103" s="137" t="str"/>
      <x:c r="D103" s="137" t="str"/>
      <x:c r="E103" s="137" t="str"/>
      <x:c r="F103" s="137" t="str"/>
      <x:c r="G103" s="137" t="str"/>
      <x:c r="H103" s="137" t="str"/>
      <x:c r="I103" s="137" t="str"/>
      <x:c r="J103" s="137" t="str"/>
      <x:c r="K103" s="137" t="str"/>
      <x:c r="L103" s="137" t="str"/>
      <x:c r="M103" s="137" t="str"/>
      <x:c r="N103" s="137" t="str"/>
      <x:c r="O103" s="137" t="str"/>
      <x:c r="P103" s="138" t="str"/>
      <x:c r="Q103" s="137" t="str"/>
      <x:c r="R103" s="137" t="str"/>
      <x:c r="S103" s="137" t="str"/>
      <x:c r="T103" s="138" t="str"/>
      <x:c r="U103" s="137" t="str"/>
      <x:c r="V103" s="137" t="str"/>
    </x:row>
    <x:row r="104">
      <x:c r="A104" s="137" t="str"/>
      <x:c r="B104" s="138" t="str"/>
      <x:c r="C104" s="137" t="str"/>
      <x:c r="D104" s="137" t="str"/>
      <x:c r="E104" s="137" t="str"/>
      <x:c r="F104" s="137" t="str"/>
      <x:c r="G104" s="137" t="str"/>
      <x:c r="H104" s="137" t="str"/>
      <x:c r="I104" s="137" t="str"/>
      <x:c r="J104" s="137" t="str"/>
      <x:c r="K104" s="137" t="str"/>
      <x:c r="L104" s="137" t="str"/>
      <x:c r="M104" s="137" t="str"/>
      <x:c r="N104" s="137" t="str"/>
      <x:c r="O104" s="137" t="str"/>
      <x:c r="P104" s="138" t="str"/>
      <x:c r="Q104" s="137" t="str"/>
      <x:c r="R104" s="137" t="str"/>
      <x:c r="S104" s="137" t="str"/>
      <x:c r="T104" s="138" t="str"/>
      <x:c r="U104" s="137" t="str"/>
      <x:c r="V104" s="137" t="str"/>
    </x:row>
    <x:row r="105">
      <x:c r="A105" s="137" t="str"/>
      <x:c r="B105" s="138" t="str"/>
      <x:c r="C105" s="137" t="str"/>
      <x:c r="D105" s="137" t="str"/>
      <x:c r="E105" s="137" t="str"/>
      <x:c r="F105" s="137" t="str"/>
      <x:c r="G105" s="137" t="str"/>
      <x:c r="H105" s="137" t="str"/>
      <x:c r="I105" s="137" t="str"/>
      <x:c r="J105" s="137" t="str"/>
      <x:c r="K105" s="137" t="str"/>
      <x:c r="L105" s="137" t="str"/>
      <x:c r="M105" s="137" t="str"/>
      <x:c r="N105" s="137" t="str"/>
      <x:c r="O105" s="137" t="str"/>
      <x:c r="P105" s="138" t="str"/>
      <x:c r="Q105" s="137" t="str"/>
      <x:c r="R105" s="137" t="str"/>
      <x:c r="S105" s="137" t="str"/>
      <x:c r="T105" s="138" t="str"/>
      <x:c r="U105" s="137" t="str"/>
      <x:c r="V105" s="137" t="str"/>
    </x:row>
    <x:row r="106">
      <x:c r="A106" s="137" t="str"/>
      <x:c r="B106" s="138" t="str"/>
      <x:c r="C106" s="137" t="str"/>
      <x:c r="D106" s="137" t="str"/>
      <x:c r="E106" s="137" t="str"/>
      <x:c r="F106" s="137" t="str"/>
      <x:c r="G106" s="137" t="str"/>
      <x:c r="H106" s="137" t="str"/>
      <x:c r="I106" s="137" t="str"/>
      <x:c r="J106" s="137" t="str"/>
      <x:c r="K106" s="137" t="str"/>
      <x:c r="L106" s="137" t="str"/>
      <x:c r="M106" s="137" t="str"/>
      <x:c r="N106" s="137" t="str"/>
      <x:c r="O106" s="137" t="str"/>
      <x:c r="P106" s="138" t="str"/>
      <x:c r="Q106" s="137" t="str"/>
      <x:c r="R106" s="137" t="str"/>
      <x:c r="S106" s="137" t="str"/>
      <x:c r="T106" s="138" t="str"/>
      <x:c r="U106" s="137" t="str"/>
      <x:c r="V106" s="137" t="str"/>
    </x:row>
    <x:row r="107">
      <x:c r="A107" s="137" t="str"/>
      <x:c r="B107" s="138" t="str"/>
      <x:c r="C107" s="137" t="str"/>
      <x:c r="D107" s="137" t="str"/>
      <x:c r="E107" s="137" t="str"/>
      <x:c r="F107" s="137" t="str"/>
      <x:c r="G107" s="137" t="str"/>
      <x:c r="H107" s="137" t="str"/>
      <x:c r="I107" s="137" t="str"/>
      <x:c r="J107" s="137" t="str"/>
      <x:c r="K107" s="137" t="str"/>
      <x:c r="L107" s="137" t="str"/>
      <x:c r="M107" s="137" t="str"/>
      <x:c r="N107" s="137" t="str"/>
      <x:c r="O107" s="137" t="str"/>
      <x:c r="P107" s="138" t="str"/>
      <x:c r="Q107" s="137" t="str"/>
      <x:c r="R107" s="137" t="str"/>
      <x:c r="S107" s="137" t="str"/>
      <x:c r="T107" s="138" t="str"/>
      <x:c r="U107" s="137" t="str"/>
      <x:c r="V107" s="137" t="str"/>
    </x:row>
    <x:row r="108">
      <x:c r="A108" s="137" t="str"/>
      <x:c r="B108" s="138" t="str"/>
      <x:c r="C108" s="137" t="str"/>
      <x:c r="D108" s="137" t="str"/>
      <x:c r="E108" s="137" t="str"/>
      <x:c r="F108" s="137" t="str"/>
      <x:c r="G108" s="137" t="str"/>
      <x:c r="H108" s="137" t="str"/>
      <x:c r="I108" s="137" t="str"/>
      <x:c r="J108" s="137" t="str"/>
      <x:c r="K108" s="137" t="str"/>
      <x:c r="L108" s="137" t="str"/>
      <x:c r="M108" s="137" t="str"/>
      <x:c r="N108" s="137" t="str"/>
      <x:c r="O108" s="137" t="str"/>
      <x:c r="P108" s="138" t="str"/>
      <x:c r="Q108" s="137" t="str"/>
      <x:c r="R108" s="137" t="str"/>
      <x:c r="S108" s="137" t="str"/>
      <x:c r="T108" s="138" t="str"/>
      <x:c r="U108" s="137" t="str"/>
      <x:c r="V108" s="137" t="str"/>
    </x:row>
    <x:row r="109">
      <x:c r="A109" s="137" t="str"/>
      <x:c r="B109" s="138" t="str"/>
      <x:c r="C109" s="137" t="str"/>
      <x:c r="D109" s="137" t="str"/>
      <x:c r="E109" s="137" t="str"/>
      <x:c r="F109" s="137" t="str"/>
      <x:c r="G109" s="137" t="str"/>
      <x:c r="H109" s="137" t="str"/>
      <x:c r="I109" s="137" t="str"/>
      <x:c r="J109" s="137" t="str"/>
      <x:c r="K109" s="137" t="str"/>
      <x:c r="L109" s="137" t="str"/>
      <x:c r="M109" s="137" t="str"/>
      <x:c r="N109" s="137" t="str"/>
      <x:c r="O109" s="137" t="str"/>
      <x:c r="P109" s="138" t="str"/>
      <x:c r="Q109" s="137" t="str"/>
      <x:c r="R109" s="137" t="str"/>
      <x:c r="S109" s="137" t="str"/>
      <x:c r="T109" s="138" t="str"/>
      <x:c r="U109" s="137" t="str"/>
      <x:c r="V109" s="137" t="str"/>
    </x:row>
    <x:row r="110">
      <x:c r="A110" s="137" t="str"/>
      <x:c r="B110" s="138" t="str"/>
      <x:c r="C110" s="137" t="str"/>
      <x:c r="D110" s="137" t="str"/>
      <x:c r="E110" s="137" t="str"/>
      <x:c r="F110" s="137" t="str"/>
      <x:c r="G110" s="137" t="str"/>
      <x:c r="H110" s="137" t="str"/>
      <x:c r="I110" s="137" t="str"/>
      <x:c r="J110" s="137" t="str"/>
      <x:c r="K110" s="137" t="str"/>
      <x:c r="L110" s="137" t="str"/>
      <x:c r="M110" s="137" t="str"/>
      <x:c r="N110" s="137" t="str"/>
      <x:c r="O110" s="137" t="str"/>
      <x:c r="P110" s="138" t="str"/>
      <x:c r="Q110" s="137" t="str"/>
      <x:c r="R110" s="137" t="str"/>
      <x:c r="S110" s="137" t="str"/>
      <x:c r="T110" s="138" t="str"/>
      <x:c r="U110" s="137" t="str"/>
      <x:c r="V110" s="137" t="str"/>
    </x:row>
    <x:row r="111">
      <x:c r="A111" s="137" t="str"/>
      <x:c r="B111" s="138" t="str"/>
      <x:c r="C111" s="137" t="str"/>
      <x:c r="D111" s="137" t="str"/>
      <x:c r="E111" s="137" t="str"/>
      <x:c r="F111" s="137" t="str"/>
      <x:c r="G111" s="137" t="str"/>
      <x:c r="H111" s="137" t="str"/>
      <x:c r="I111" s="137" t="str"/>
      <x:c r="J111" s="137" t="str"/>
      <x:c r="K111" s="137" t="str"/>
      <x:c r="L111" s="137" t="str"/>
      <x:c r="M111" s="137" t="str"/>
      <x:c r="N111" s="137" t="str"/>
      <x:c r="O111" s="137" t="str"/>
      <x:c r="P111" s="138" t="str"/>
      <x:c r="Q111" s="137" t="str"/>
      <x:c r="R111" s="137" t="str"/>
      <x:c r="S111" s="137" t="str"/>
      <x:c r="T111" s="138" t="str"/>
      <x:c r="U111" s="137" t="str"/>
      <x:c r="V111" s="137" t="str"/>
    </x:row>
    <x:row r="112">
      <x:c r="A112" s="137" t="str"/>
      <x:c r="B112" s="138" t="str"/>
      <x:c r="C112" s="137" t="str"/>
      <x:c r="D112" s="137" t="str"/>
      <x:c r="E112" s="137" t="str"/>
      <x:c r="F112" s="137" t="str"/>
      <x:c r="G112" s="137" t="str"/>
      <x:c r="H112" s="137" t="str"/>
      <x:c r="I112" s="137" t="str"/>
      <x:c r="J112" s="137" t="str"/>
      <x:c r="K112" s="137" t="str"/>
      <x:c r="L112" s="137" t="str"/>
      <x:c r="M112" s="137" t="str"/>
      <x:c r="N112" s="137" t="str"/>
      <x:c r="O112" s="137" t="str"/>
      <x:c r="P112" s="138" t="str"/>
      <x:c r="Q112" s="137" t="str"/>
      <x:c r="R112" s="137" t="str"/>
      <x:c r="S112" s="137" t="str"/>
      <x:c r="T112" s="138" t="str"/>
      <x:c r="U112" s="137" t="str"/>
      <x:c r="V112" s="137" t="str"/>
    </x:row>
    <x:row r="113">
      <x:c r="A113" s="137" t="str"/>
      <x:c r="B113" s="138" t="str"/>
      <x:c r="C113" s="137" t="str"/>
      <x:c r="D113" s="137" t="str"/>
      <x:c r="E113" s="137" t="str"/>
      <x:c r="F113" s="137" t="str"/>
      <x:c r="G113" s="137" t="str"/>
      <x:c r="H113" s="137" t="str"/>
      <x:c r="I113" s="137" t="str"/>
      <x:c r="J113" s="137" t="str"/>
      <x:c r="K113" s="137" t="str"/>
      <x:c r="L113" s="137" t="str"/>
      <x:c r="M113" s="137" t="str"/>
      <x:c r="N113" s="137" t="str"/>
      <x:c r="O113" s="137" t="str"/>
      <x:c r="P113" s="138" t="str"/>
      <x:c r="Q113" s="137" t="str"/>
      <x:c r="R113" s="137" t="str"/>
      <x:c r="S113" s="137" t="str"/>
      <x:c r="T113" s="138" t="str"/>
      <x:c r="U113" s="137" t="str"/>
      <x:c r="V113" s="137" t="str"/>
    </x:row>
    <x:row r="114">
      <x:c r="A114" s="137" t="str"/>
      <x:c r="B114" s="138" t="str"/>
      <x:c r="C114" s="137" t="str"/>
      <x:c r="D114" s="137" t="str"/>
      <x:c r="E114" s="137" t="str"/>
      <x:c r="F114" s="137" t="str"/>
      <x:c r="G114" s="137" t="str"/>
      <x:c r="H114" s="137" t="str"/>
      <x:c r="I114" s="137" t="str"/>
      <x:c r="J114" s="137" t="str"/>
      <x:c r="K114" s="137" t="str"/>
      <x:c r="L114" s="137" t="str"/>
      <x:c r="M114" s="137" t="str"/>
      <x:c r="N114" s="137" t="str"/>
      <x:c r="O114" s="137" t="str"/>
      <x:c r="P114" s="138" t="str"/>
      <x:c r="Q114" s="137" t="str"/>
      <x:c r="R114" s="137" t="str"/>
      <x:c r="S114" s="137" t="str"/>
      <x:c r="T114" s="138" t="str"/>
      <x:c r="U114" s="137" t="str"/>
      <x:c r="V114" s="137" t="str"/>
    </x:row>
    <x:row r="115">
      <x:c r="A115" s="137" t="str"/>
      <x:c r="B115" s="138" t="str"/>
      <x:c r="C115" s="137" t="str"/>
      <x:c r="D115" s="137" t="str"/>
      <x:c r="E115" s="137" t="str"/>
      <x:c r="F115" s="137" t="str"/>
      <x:c r="G115" s="137" t="str"/>
      <x:c r="H115" s="137" t="str"/>
      <x:c r="I115" s="137" t="str"/>
      <x:c r="J115" s="137" t="str"/>
      <x:c r="K115" s="137" t="str"/>
      <x:c r="L115" s="137" t="str"/>
      <x:c r="M115" s="137" t="str"/>
      <x:c r="N115" s="137" t="str"/>
      <x:c r="O115" s="137" t="str"/>
      <x:c r="P115" s="138" t="str"/>
      <x:c r="Q115" s="137" t="str"/>
      <x:c r="R115" s="137" t="str"/>
      <x:c r="S115" s="137" t="str"/>
      <x:c r="T115" s="138" t="str"/>
      <x:c r="U115" s="137" t="str"/>
      <x:c r="V115" s="137" t="str"/>
    </x:row>
    <x:row r="116">
      <x:c r="A116" s="137" t="str"/>
      <x:c r="B116" s="138" t="str"/>
      <x:c r="C116" s="137" t="str"/>
      <x:c r="D116" s="137" t="str"/>
      <x:c r="E116" s="137" t="str"/>
      <x:c r="F116" s="137" t="str"/>
      <x:c r="G116" s="137" t="str"/>
      <x:c r="H116" s="137" t="str"/>
      <x:c r="I116" s="137" t="str"/>
      <x:c r="J116" s="137" t="str"/>
      <x:c r="K116" s="137" t="str"/>
      <x:c r="L116" s="137" t="str"/>
      <x:c r="M116" s="137" t="str"/>
      <x:c r="N116" s="137" t="str"/>
      <x:c r="O116" s="137" t="str"/>
      <x:c r="P116" s="138" t="str"/>
      <x:c r="Q116" s="137" t="str"/>
      <x:c r="R116" s="137" t="str"/>
      <x:c r="S116" s="137" t="str"/>
      <x:c r="T116" s="138" t="str"/>
      <x:c r="U116" s="137" t="str"/>
      <x:c r="V116" s="137" t="str"/>
    </x:row>
    <x:row r="117">
      <x:c r="A117" s="137" t="str"/>
      <x:c r="B117" s="138" t="str"/>
      <x:c r="C117" s="137" t="str"/>
      <x:c r="D117" s="137" t="str"/>
      <x:c r="E117" s="137" t="str"/>
      <x:c r="F117" s="137" t="str"/>
      <x:c r="G117" s="137" t="str"/>
      <x:c r="H117" s="137" t="str"/>
      <x:c r="I117" s="137" t="str"/>
      <x:c r="J117" s="137" t="str"/>
      <x:c r="K117" s="137" t="str"/>
      <x:c r="L117" s="137" t="str"/>
      <x:c r="M117" s="137" t="str"/>
      <x:c r="N117" s="137" t="str"/>
      <x:c r="O117" s="137" t="str"/>
      <x:c r="P117" s="138" t="str"/>
      <x:c r="Q117" s="137" t="str"/>
      <x:c r="R117" s="137" t="str"/>
      <x:c r="S117" s="137" t="str"/>
      <x:c r="T117" s="138" t="str"/>
      <x:c r="U117" s="137" t="str"/>
      <x:c r="V117" s="137" t="str"/>
    </x:row>
    <x:row r="118">
      <x:c r="A118" s="137" t="str"/>
      <x:c r="B118" s="138" t="str"/>
      <x:c r="C118" s="137" t="str"/>
      <x:c r="D118" s="137" t="str"/>
      <x:c r="E118" s="137" t="str"/>
      <x:c r="F118" s="137" t="str"/>
      <x:c r="G118" s="137" t="str"/>
      <x:c r="H118" s="137" t="str"/>
      <x:c r="I118" s="137" t="str"/>
      <x:c r="J118" s="137" t="str"/>
      <x:c r="K118" s="137" t="str"/>
      <x:c r="L118" s="137" t="str"/>
      <x:c r="M118" s="137" t="str"/>
      <x:c r="N118" s="137" t="str"/>
      <x:c r="O118" s="137" t="str"/>
      <x:c r="P118" s="138" t="str"/>
      <x:c r="Q118" s="137" t="str"/>
      <x:c r="R118" s="137" t="str"/>
      <x:c r="S118" s="137" t="str"/>
      <x:c r="T118" s="138" t="str"/>
      <x:c r="U118" s="137" t="str"/>
      <x:c r="V118" s="137" t="str"/>
    </x:row>
    <x:row r="119">
      <x:c r="A119" s="137" t="str"/>
      <x:c r="B119" s="138" t="str"/>
      <x:c r="C119" s="137" t="str"/>
      <x:c r="D119" s="137" t="str"/>
      <x:c r="E119" s="137" t="str"/>
      <x:c r="F119" s="137" t="str"/>
      <x:c r="G119" s="137" t="str"/>
      <x:c r="H119" s="137" t="str"/>
      <x:c r="I119" s="137" t="str"/>
      <x:c r="J119" s="137" t="str"/>
      <x:c r="K119" s="137" t="str"/>
      <x:c r="L119" s="137" t="str"/>
      <x:c r="M119" s="137" t="str"/>
      <x:c r="N119" s="137" t="str"/>
      <x:c r="O119" s="137" t="str"/>
      <x:c r="P119" s="138" t="str"/>
      <x:c r="Q119" s="137" t="str"/>
      <x:c r="R119" s="137" t="str"/>
      <x:c r="S119" s="137" t="str"/>
      <x:c r="T119" s="138" t="str"/>
      <x:c r="U119" s="137" t="str"/>
      <x:c r="V119" s="137" t="str"/>
    </x:row>
    <x:row r="120">
      <x:c r="A120" s="137" t="str"/>
      <x:c r="B120" s="138" t="str"/>
      <x:c r="C120" s="137" t="str"/>
      <x:c r="D120" s="137" t="str"/>
      <x:c r="E120" s="137" t="str"/>
      <x:c r="F120" s="137" t="str"/>
      <x:c r="G120" s="137" t="str"/>
      <x:c r="H120" s="137" t="str"/>
      <x:c r="I120" s="137" t="str"/>
      <x:c r="J120" s="137" t="str"/>
      <x:c r="K120" s="137" t="str"/>
      <x:c r="L120" s="137" t="str"/>
      <x:c r="M120" s="137" t="str"/>
      <x:c r="N120" s="137" t="str"/>
      <x:c r="O120" s="137" t="str"/>
      <x:c r="P120" s="138" t="str"/>
      <x:c r="Q120" s="137" t="str"/>
      <x:c r="R120" s="137" t="str"/>
      <x:c r="S120" s="137" t="str"/>
      <x:c r="T120" s="138" t="str"/>
      <x:c r="U120" s="137" t="str"/>
      <x:c r="V120" s="137" t="str"/>
    </x:row>
    <x:row r="121">
      <x:c r="A121" s="137" t="str"/>
      <x:c r="B121" s="138" t="str"/>
      <x:c r="C121" s="137" t="str"/>
      <x:c r="D121" s="137" t="str"/>
      <x:c r="E121" s="137" t="str"/>
      <x:c r="F121" s="137" t="str"/>
      <x:c r="G121" s="137" t="str"/>
      <x:c r="H121" s="137" t="str"/>
      <x:c r="I121" s="137" t="str"/>
      <x:c r="J121" s="137" t="str"/>
      <x:c r="K121" s="137" t="str"/>
      <x:c r="L121" s="137" t="str"/>
      <x:c r="M121" s="137" t="str"/>
      <x:c r="N121" s="137" t="str"/>
      <x:c r="O121" s="137" t="str"/>
      <x:c r="P121" s="138" t="str"/>
      <x:c r="Q121" s="137" t="str"/>
      <x:c r="R121" s="137" t="str"/>
      <x:c r="S121" s="137" t="str"/>
      <x:c r="T121" s="138" t="str"/>
      <x:c r="U121" s="137" t="str"/>
      <x:c r="V121" s="137" t="str"/>
    </x:row>
    <x:row r="122">
      <x:c r="A122" s="137" t="str"/>
      <x:c r="B122" s="138" t="str"/>
      <x:c r="C122" s="137" t="str"/>
      <x:c r="D122" s="137" t="str"/>
      <x:c r="E122" s="137" t="str"/>
      <x:c r="F122" s="137" t="str"/>
      <x:c r="G122" s="137" t="str"/>
      <x:c r="H122" s="137" t="str"/>
      <x:c r="I122" s="137" t="str"/>
      <x:c r="J122" s="137" t="str"/>
      <x:c r="K122" s="137" t="str"/>
      <x:c r="L122" s="137" t="str"/>
      <x:c r="M122" s="137" t="str"/>
      <x:c r="N122" s="137" t="str"/>
      <x:c r="O122" s="137" t="str"/>
      <x:c r="P122" s="138" t="str"/>
      <x:c r="Q122" s="137" t="str"/>
      <x:c r="R122" s="137" t="str"/>
      <x:c r="S122" s="137" t="str"/>
      <x:c r="T122" s="138" t="str"/>
      <x:c r="U122" s="137" t="str"/>
      <x:c r="V122" s="137" t="str"/>
    </x:row>
    <x:row r="123">
      <x:c r="A123" s="137" t="str"/>
      <x:c r="B123" s="138" t="str"/>
      <x:c r="C123" s="137" t="str"/>
      <x:c r="D123" s="137" t="str"/>
      <x:c r="E123" s="137" t="str"/>
      <x:c r="F123" s="137" t="str"/>
      <x:c r="G123" s="137" t="str"/>
      <x:c r="H123" s="137" t="str"/>
      <x:c r="I123" s="137" t="str"/>
      <x:c r="J123" s="137" t="str"/>
      <x:c r="K123" s="137" t="str"/>
      <x:c r="L123" s="137" t="str"/>
      <x:c r="M123" s="137" t="str"/>
      <x:c r="N123" s="137" t="str"/>
      <x:c r="O123" s="137" t="str"/>
      <x:c r="P123" s="138" t="str"/>
      <x:c r="Q123" s="137" t="str"/>
      <x:c r="R123" s="137" t="str"/>
      <x:c r="S123" s="137" t="str"/>
      <x:c r="T123" s="138" t="str"/>
      <x:c r="U123" s="137" t="str"/>
      <x:c r="V123" s="137" t="str"/>
    </x:row>
    <x:row r="124">
      <x:c r="A124" s="137" t="str"/>
      <x:c r="B124" s="138" t="str"/>
      <x:c r="C124" s="137" t="str"/>
      <x:c r="D124" s="137" t="str"/>
      <x:c r="E124" s="137" t="str"/>
      <x:c r="F124" s="137" t="str"/>
      <x:c r="G124" s="137" t="str"/>
      <x:c r="H124" s="137" t="str"/>
      <x:c r="I124" s="137" t="str"/>
      <x:c r="J124" s="137" t="str"/>
      <x:c r="K124" s="137" t="str"/>
      <x:c r="L124" s="137" t="str"/>
      <x:c r="M124" s="137" t="str"/>
      <x:c r="N124" s="137" t="str"/>
      <x:c r="O124" s="137" t="str"/>
      <x:c r="P124" s="138" t="str"/>
      <x:c r="Q124" s="137" t="str"/>
      <x:c r="R124" s="137" t="str"/>
      <x:c r="S124" s="137" t="str"/>
      <x:c r="T124" s="138" t="str"/>
      <x:c r="U124" s="137" t="str"/>
      <x:c r="V124" s="137" t="str"/>
    </x:row>
    <x:row r="125">
      <x:c r="A125" s="137" t="str"/>
      <x:c r="B125" s="138" t="str"/>
      <x:c r="C125" s="137" t="str"/>
      <x:c r="D125" s="137" t="str"/>
      <x:c r="E125" s="137" t="str"/>
      <x:c r="F125" s="137" t="str"/>
      <x:c r="G125" s="137" t="str"/>
      <x:c r="H125" s="137" t="str"/>
      <x:c r="I125" s="137" t="str"/>
      <x:c r="J125" s="137" t="str"/>
      <x:c r="K125" s="137" t="str"/>
      <x:c r="L125" s="137" t="str"/>
      <x:c r="M125" s="137" t="str"/>
      <x:c r="N125" s="137" t="str"/>
      <x:c r="O125" s="137" t="str"/>
      <x:c r="P125" s="138" t="str"/>
      <x:c r="Q125" s="137" t="str"/>
      <x:c r="R125" s="137" t="str"/>
      <x:c r="S125" s="137" t="str"/>
      <x:c r="T125" s="138" t="str"/>
      <x:c r="U125" s="137" t="str"/>
      <x:c r="V125" s="137" t="str"/>
    </x:row>
    <x:row r="126">
      <x:c r="A126" s="137" t="str"/>
      <x:c r="B126" s="138" t="str"/>
      <x:c r="C126" s="137" t="str"/>
      <x:c r="D126" s="137" t="str"/>
      <x:c r="E126" s="137" t="str"/>
      <x:c r="F126" s="137" t="str"/>
      <x:c r="G126" s="137" t="str"/>
      <x:c r="H126" s="137" t="str"/>
      <x:c r="I126" s="137" t="str"/>
      <x:c r="J126" s="137" t="str"/>
      <x:c r="K126" s="137" t="str"/>
      <x:c r="L126" s="137" t="str"/>
      <x:c r="M126" s="137" t="str"/>
      <x:c r="N126" s="137" t="str"/>
      <x:c r="O126" s="137" t="str"/>
      <x:c r="P126" s="138" t="str"/>
      <x:c r="Q126" s="137" t="str"/>
      <x:c r="R126" s="137" t="str"/>
      <x:c r="S126" s="137" t="str"/>
      <x:c r="T126" s="138" t="str"/>
      <x:c r="U126" s="137" t="str"/>
      <x:c r="V126" s="137" t="str"/>
    </x:row>
    <x:row r="127">
      <x:c r="A127" s="137" t="str"/>
      <x:c r="B127" s="138" t="str"/>
      <x:c r="C127" s="137" t="str"/>
      <x:c r="D127" s="137" t="str"/>
      <x:c r="E127" s="137" t="str"/>
      <x:c r="F127" s="137" t="str"/>
      <x:c r="G127" s="137" t="str"/>
      <x:c r="H127" s="137" t="str"/>
      <x:c r="I127" s="137" t="str"/>
      <x:c r="J127" s="137" t="str"/>
      <x:c r="K127" s="137" t="str"/>
      <x:c r="L127" s="137" t="str"/>
      <x:c r="M127" s="137" t="str"/>
      <x:c r="N127" s="137" t="str"/>
      <x:c r="O127" s="137" t="str"/>
      <x:c r="P127" s="138" t="str"/>
      <x:c r="Q127" s="137" t="str"/>
      <x:c r="R127" s="137" t="str"/>
      <x:c r="S127" s="137" t="str"/>
      <x:c r="T127" s="138" t="str"/>
      <x:c r="U127" s="137" t="str"/>
      <x:c r="V127" s="137" t="str"/>
    </x:row>
    <x:row r="128">
      <x:c r="A128" s="137" t="str"/>
      <x:c r="B128" s="138" t="str"/>
      <x:c r="C128" s="137" t="str"/>
      <x:c r="D128" s="137" t="str"/>
      <x:c r="E128" s="137" t="str"/>
      <x:c r="F128" s="137" t="str"/>
      <x:c r="G128" s="137" t="str"/>
      <x:c r="H128" s="137" t="str"/>
      <x:c r="I128" s="137" t="str"/>
      <x:c r="J128" s="137" t="str"/>
      <x:c r="K128" s="137" t="str"/>
      <x:c r="L128" s="137" t="str"/>
      <x:c r="M128" s="137" t="str"/>
      <x:c r="N128" s="137" t="str"/>
      <x:c r="O128" s="137" t="str"/>
      <x:c r="P128" s="138" t="str"/>
      <x:c r="Q128" s="137" t="str"/>
      <x:c r="R128" s="137" t="str"/>
      <x:c r="S128" s="137" t="str"/>
      <x:c r="T128" s="138" t="str"/>
      <x:c r="U128" s="137" t="str"/>
      <x:c r="V128" s="137" t="str"/>
    </x:row>
    <x:row r="129">
      <x:c r="A129" s="137" t="str"/>
      <x:c r="B129" s="138" t="str"/>
      <x:c r="C129" s="137" t="str"/>
      <x:c r="D129" s="137" t="str"/>
      <x:c r="E129" s="137" t="str"/>
      <x:c r="F129" s="137" t="str"/>
      <x:c r="G129" s="137" t="str"/>
      <x:c r="H129" s="137" t="str"/>
      <x:c r="I129" s="137" t="str"/>
      <x:c r="J129" s="137" t="str"/>
      <x:c r="K129" s="137" t="str"/>
      <x:c r="L129" s="137" t="str"/>
      <x:c r="M129" s="137" t="str"/>
      <x:c r="N129" s="137" t="str"/>
      <x:c r="O129" s="137" t="str"/>
      <x:c r="P129" s="138" t="str"/>
      <x:c r="Q129" s="137" t="str"/>
      <x:c r="R129" s="137" t="str"/>
      <x:c r="S129" s="137" t="str"/>
      <x:c r="T129" s="138" t="str"/>
      <x:c r="U129" s="137" t="str"/>
      <x:c r="V129" s="137" t="str"/>
    </x:row>
    <x:row r="130">
      <x:c r="A130" s="137" t="str"/>
      <x:c r="B130" s="138" t="str"/>
      <x:c r="C130" s="137" t="str"/>
      <x:c r="D130" s="137" t="str"/>
      <x:c r="E130" s="137" t="str"/>
      <x:c r="F130" s="137" t="str"/>
      <x:c r="G130" s="137" t="str"/>
      <x:c r="H130" s="137" t="str"/>
      <x:c r="I130" s="137" t="str"/>
      <x:c r="J130" s="137" t="str"/>
      <x:c r="K130" s="137" t="str"/>
      <x:c r="L130" s="137" t="str"/>
      <x:c r="M130" s="137" t="str"/>
      <x:c r="N130" s="137" t="str"/>
      <x:c r="O130" s="137" t="str"/>
      <x:c r="P130" s="138" t="str"/>
      <x:c r="Q130" s="137" t="str"/>
      <x:c r="R130" s="137" t="str"/>
      <x:c r="S130" s="137" t="str"/>
      <x:c r="T130" s="138" t="str"/>
      <x:c r="U130" s="137" t="str"/>
      <x:c r="V130" s="137" t="str"/>
    </x:row>
    <x:row r="131">
      <x:c r="A131" s="137" t="str"/>
      <x:c r="B131" s="138" t="str"/>
      <x:c r="C131" s="137" t="str"/>
      <x:c r="D131" s="137" t="str"/>
      <x:c r="E131" s="137" t="str"/>
      <x:c r="F131" s="137" t="str"/>
      <x:c r="G131" s="137" t="str"/>
      <x:c r="H131" s="137" t="str"/>
      <x:c r="I131" s="137" t="str"/>
      <x:c r="J131" s="137" t="str"/>
      <x:c r="K131" s="137" t="str"/>
      <x:c r="L131" s="137" t="str"/>
      <x:c r="M131" s="137" t="str"/>
      <x:c r="N131" s="137" t="str"/>
      <x:c r="O131" s="137" t="str"/>
      <x:c r="P131" s="138" t="str"/>
      <x:c r="Q131" s="137" t="str"/>
      <x:c r="R131" s="137" t="str"/>
      <x:c r="S131" s="137" t="str"/>
      <x:c r="T131" s="138" t="str"/>
      <x:c r="U131" s="137" t="str"/>
      <x:c r="V131" s="137" t="str"/>
    </x:row>
    <x:row r="132">
      <x:c r="A132" s="137" t="str"/>
      <x:c r="B132" s="138" t="str"/>
      <x:c r="C132" s="137" t="str"/>
      <x:c r="D132" s="137" t="str"/>
      <x:c r="E132" s="137" t="str"/>
      <x:c r="F132" s="137" t="str"/>
      <x:c r="G132" s="137" t="str"/>
      <x:c r="H132" s="137" t="str"/>
      <x:c r="I132" s="137" t="str"/>
      <x:c r="J132" s="137" t="str"/>
      <x:c r="K132" s="137" t="str"/>
      <x:c r="L132" s="137" t="str"/>
      <x:c r="M132" s="137" t="str"/>
      <x:c r="N132" s="137" t="str"/>
      <x:c r="O132" s="137" t="str"/>
      <x:c r="P132" s="138" t="str"/>
      <x:c r="Q132" s="137" t="str"/>
      <x:c r="R132" s="137" t="str"/>
      <x:c r="S132" s="137" t="str"/>
      <x:c r="T132" s="138" t="str"/>
      <x:c r="U132" s="137" t="str"/>
      <x:c r="V132" s="137" t="str"/>
    </x:row>
    <x:row r="133">
      <x:c r="A133" s="137" t="str"/>
      <x:c r="B133" s="138" t="str"/>
      <x:c r="C133" s="137" t="str"/>
      <x:c r="D133" s="137" t="str"/>
      <x:c r="E133" s="137" t="str"/>
      <x:c r="F133" s="137" t="str"/>
      <x:c r="G133" s="137" t="str"/>
      <x:c r="H133" s="137" t="str"/>
      <x:c r="I133" s="137" t="str"/>
      <x:c r="J133" s="137" t="str"/>
      <x:c r="K133" s="137" t="str"/>
      <x:c r="L133" s="137" t="str"/>
      <x:c r="M133" s="137" t="str"/>
      <x:c r="N133" s="137" t="str"/>
      <x:c r="O133" s="137" t="str"/>
      <x:c r="P133" s="138" t="str"/>
      <x:c r="Q133" s="137" t="str"/>
      <x:c r="R133" s="137" t="str"/>
      <x:c r="S133" s="137" t="str"/>
      <x:c r="T133" s="138" t="str"/>
      <x:c r="U133" s="137" t="str"/>
      <x:c r="V133" s="137" t="str"/>
    </x:row>
    <x:row r="134">
      <x:c r="A134" s="137" t="str"/>
      <x:c r="B134" s="138" t="str"/>
      <x:c r="C134" s="137" t="str"/>
      <x:c r="D134" s="137" t="str"/>
      <x:c r="E134" s="137" t="str"/>
      <x:c r="F134" s="137" t="str"/>
      <x:c r="G134" s="137" t="str"/>
      <x:c r="H134" s="137" t="str"/>
      <x:c r="I134" s="137" t="str"/>
      <x:c r="J134" s="137" t="str"/>
      <x:c r="K134" s="137" t="str"/>
      <x:c r="L134" s="137" t="str"/>
      <x:c r="M134" s="137" t="str"/>
      <x:c r="N134" s="137" t="str"/>
      <x:c r="O134" s="137" t="str"/>
      <x:c r="P134" s="138" t="str"/>
      <x:c r="Q134" s="137" t="str"/>
      <x:c r="R134" s="137" t="str"/>
      <x:c r="S134" s="137" t="str"/>
      <x:c r="T134" s="138" t="str"/>
      <x:c r="U134" s="137" t="str"/>
      <x:c r="V134" s="137" t="str"/>
    </x:row>
    <x:row r="135">
      <x:c r="A135" s="137" t="str"/>
      <x:c r="B135" s="138" t="str"/>
      <x:c r="C135" s="137" t="str"/>
      <x:c r="D135" s="137" t="str"/>
      <x:c r="E135" s="137" t="str"/>
      <x:c r="F135" s="137" t="str"/>
      <x:c r="G135" s="137" t="str"/>
      <x:c r="H135" s="137" t="str"/>
      <x:c r="I135" s="137" t="str"/>
      <x:c r="J135" s="137" t="str"/>
      <x:c r="K135" s="137" t="str"/>
      <x:c r="L135" s="137" t="str"/>
      <x:c r="M135" s="137" t="str"/>
      <x:c r="N135" s="137" t="str"/>
      <x:c r="O135" s="137" t="str"/>
      <x:c r="P135" s="138" t="str"/>
      <x:c r="Q135" s="137" t="str"/>
      <x:c r="R135" s="137" t="str"/>
      <x:c r="S135" s="137" t="str"/>
      <x:c r="T135" s="138" t="str"/>
      <x:c r="U135" s="137" t="str"/>
      <x:c r="V135" s="137" t="str"/>
    </x:row>
    <x:row r="136">
      <x:c r="A136" s="137" t="str"/>
      <x:c r="B136" s="138" t="str"/>
      <x:c r="C136" s="137" t="str"/>
      <x:c r="D136" s="137" t="str"/>
      <x:c r="E136" s="137" t="str"/>
      <x:c r="F136" s="137" t="str"/>
      <x:c r="G136" s="137" t="str"/>
      <x:c r="H136" s="137" t="str"/>
      <x:c r="I136" s="137" t="str"/>
      <x:c r="J136" s="137" t="str"/>
      <x:c r="K136" s="137" t="str"/>
      <x:c r="L136" s="137" t="str"/>
      <x:c r="M136" s="137" t="str"/>
      <x:c r="N136" s="137" t="str"/>
      <x:c r="O136" s="137" t="str"/>
      <x:c r="P136" s="138" t="str"/>
      <x:c r="Q136" s="137" t="str"/>
      <x:c r="R136" s="137" t="str"/>
      <x:c r="S136" s="137" t="str"/>
      <x:c r="T136" s="138" t="str"/>
      <x:c r="U136" s="137" t="str"/>
      <x:c r="V136" s="137" t="str"/>
    </x:row>
    <x:row r="137">
      <x:c r="A137" s="137" t="str"/>
      <x:c r="B137" s="138" t="str"/>
      <x:c r="C137" s="137" t="str"/>
      <x:c r="D137" s="137" t="str"/>
      <x:c r="E137" s="137" t="str"/>
      <x:c r="F137" s="137" t="str"/>
      <x:c r="G137" s="137" t="str"/>
      <x:c r="H137" s="137" t="str"/>
      <x:c r="I137" s="137" t="str"/>
      <x:c r="J137" s="137" t="str"/>
      <x:c r="K137" s="137" t="str"/>
      <x:c r="L137" s="137" t="str"/>
      <x:c r="M137" s="137" t="str"/>
      <x:c r="N137" s="137" t="str"/>
      <x:c r="O137" s="137" t="str"/>
      <x:c r="P137" s="138" t="str"/>
      <x:c r="Q137" s="137" t="str"/>
      <x:c r="R137" s="137" t="str"/>
      <x:c r="S137" s="137" t="str"/>
      <x:c r="T137" s="138" t="str"/>
      <x:c r="U137" s="137" t="str"/>
      <x:c r="V137" s="137" t="str"/>
    </x:row>
    <x:row r="138">
      <x:c r="A138" s="137" t="str"/>
      <x:c r="B138" s="138" t="str"/>
      <x:c r="C138" s="137" t="str"/>
      <x:c r="D138" s="137" t="str"/>
      <x:c r="E138" s="137" t="str"/>
      <x:c r="F138" s="137" t="str"/>
      <x:c r="G138" s="137" t="str"/>
      <x:c r="H138" s="137" t="str"/>
      <x:c r="I138" s="137" t="str"/>
      <x:c r="J138" s="137" t="str"/>
      <x:c r="K138" s="137" t="str"/>
      <x:c r="L138" s="137" t="str"/>
      <x:c r="M138" s="137" t="str"/>
      <x:c r="N138" s="137" t="str"/>
      <x:c r="O138" s="137" t="str"/>
      <x:c r="P138" s="138" t="str"/>
      <x:c r="Q138" s="137" t="str"/>
      <x:c r="R138" s="137" t="str"/>
      <x:c r="S138" s="137" t="str"/>
      <x:c r="T138" s="138" t="str"/>
      <x:c r="U138" s="137" t="str"/>
      <x:c r="V138" s="137" t="str"/>
    </x:row>
    <x:row r="139">
      <x:c r="A139" s="137" t="str"/>
      <x:c r="B139" s="138" t="str"/>
      <x:c r="C139" s="137" t="str"/>
      <x:c r="D139" s="137" t="str"/>
      <x:c r="E139" s="137" t="str"/>
      <x:c r="F139" s="137" t="str"/>
      <x:c r="G139" s="137" t="str"/>
      <x:c r="H139" s="137" t="str"/>
      <x:c r="I139" s="137" t="str"/>
      <x:c r="J139" s="137" t="str"/>
      <x:c r="K139" s="137" t="str"/>
      <x:c r="L139" s="137" t="str"/>
      <x:c r="M139" s="137" t="str"/>
      <x:c r="N139" s="137" t="str"/>
      <x:c r="O139" s="137" t="str"/>
      <x:c r="P139" s="138" t="str"/>
      <x:c r="Q139" s="137" t="str"/>
      <x:c r="R139" s="137" t="str"/>
      <x:c r="S139" s="137" t="str"/>
      <x:c r="T139" s="138" t="str"/>
      <x:c r="U139" s="137" t="str"/>
      <x:c r="V139" s="137" t="str"/>
    </x:row>
    <x:row r="140">
      <x:c r="A140" s="137" t="str"/>
      <x:c r="B140" s="138" t="str"/>
      <x:c r="C140" s="137" t="str"/>
      <x:c r="D140" s="137" t="str"/>
      <x:c r="E140" s="137" t="str"/>
      <x:c r="F140" s="137" t="str"/>
      <x:c r="G140" s="137" t="str"/>
      <x:c r="H140" s="137" t="str"/>
      <x:c r="I140" s="137" t="str"/>
      <x:c r="J140" s="137" t="str"/>
      <x:c r="K140" s="137" t="str"/>
      <x:c r="L140" s="137" t="str"/>
      <x:c r="M140" s="137" t="str"/>
      <x:c r="N140" s="137" t="str"/>
      <x:c r="O140" s="137" t="str"/>
      <x:c r="P140" s="138" t="str"/>
      <x:c r="Q140" s="137" t="str"/>
      <x:c r="R140" s="137" t="str"/>
      <x:c r="S140" s="137" t="str"/>
      <x:c r="T140" s="138" t="str"/>
      <x:c r="U140" s="137" t="str"/>
      <x:c r="V140" s="137" t="str"/>
    </x:row>
    <x:row r="141">
      <x:c r="A141" s="137" t="str"/>
      <x:c r="B141" s="138" t="str"/>
      <x:c r="C141" s="137" t="str"/>
      <x:c r="D141" s="137" t="str"/>
      <x:c r="E141" s="137" t="str"/>
      <x:c r="F141" s="137" t="str"/>
      <x:c r="G141" s="137" t="str"/>
      <x:c r="H141" s="137" t="str"/>
      <x:c r="I141" s="137" t="str"/>
      <x:c r="J141" s="137" t="str"/>
      <x:c r="K141" s="137" t="str"/>
      <x:c r="L141" s="137" t="str"/>
      <x:c r="M141" s="137" t="str"/>
      <x:c r="N141" s="137" t="str"/>
      <x:c r="O141" s="137" t="str"/>
      <x:c r="P141" s="138" t="str"/>
      <x:c r="Q141" s="137" t="str"/>
      <x:c r="R141" s="137" t="str"/>
      <x:c r="S141" s="137" t="str"/>
      <x:c r="T141" s="138" t="str"/>
      <x:c r="U141" s="137" t="str"/>
      <x:c r="V141" s="137" t="str"/>
    </x:row>
    <x:row r="142">
      <x:c r="A142" s="137" t="str"/>
      <x:c r="B142" s="138" t="str"/>
      <x:c r="C142" s="137" t="str"/>
      <x:c r="D142" s="137" t="str"/>
      <x:c r="E142" s="137" t="str"/>
      <x:c r="F142" s="137" t="str"/>
      <x:c r="G142" s="137" t="str"/>
      <x:c r="H142" s="137" t="str"/>
      <x:c r="I142" s="137" t="str"/>
      <x:c r="J142" s="137" t="str"/>
      <x:c r="K142" s="137" t="str"/>
      <x:c r="L142" s="137" t="str"/>
      <x:c r="M142" s="137" t="str"/>
      <x:c r="N142" s="137" t="str"/>
      <x:c r="O142" s="137" t="str"/>
      <x:c r="P142" s="138" t="str"/>
      <x:c r="Q142" s="137" t="str"/>
      <x:c r="R142" s="137" t="str"/>
      <x:c r="S142" s="137" t="str"/>
      <x:c r="T142" s="138" t="str"/>
      <x:c r="U142" s="137" t="str"/>
      <x:c r="V142" s="137" t="str"/>
    </x:row>
    <x:row r="143">
      <x:c r="A143" s="137" t="str"/>
      <x:c r="B143" s="138" t="str"/>
      <x:c r="C143" s="137" t="str"/>
      <x:c r="D143" s="137" t="str"/>
      <x:c r="E143" s="137" t="str"/>
      <x:c r="F143" s="137" t="str"/>
      <x:c r="G143" s="137" t="str"/>
      <x:c r="H143" s="137" t="str"/>
      <x:c r="I143" s="137" t="str"/>
      <x:c r="J143" s="137" t="str"/>
      <x:c r="K143" s="137" t="str"/>
      <x:c r="L143" s="137" t="str"/>
      <x:c r="M143" s="137" t="str"/>
      <x:c r="N143" s="137" t="str"/>
      <x:c r="O143" s="137" t="str"/>
      <x:c r="P143" s="138" t="str"/>
      <x:c r="Q143" s="137" t="str"/>
      <x:c r="R143" s="137" t="str"/>
      <x:c r="S143" s="137" t="str"/>
      <x:c r="T143" s="138" t="str"/>
      <x:c r="U143" s="137" t="str"/>
      <x:c r="V143" s="137" t="str"/>
    </x:row>
    <x:row r="144">
      <x:c r="A144" s="137" t="str"/>
      <x:c r="B144" s="138" t="str"/>
      <x:c r="C144" s="137" t="str"/>
      <x:c r="D144" s="137" t="str"/>
      <x:c r="E144" s="137" t="str"/>
      <x:c r="F144" s="137" t="str"/>
      <x:c r="G144" s="137" t="str"/>
      <x:c r="H144" s="137" t="str"/>
      <x:c r="I144" s="137" t="str"/>
      <x:c r="J144" s="137" t="str"/>
      <x:c r="K144" s="137" t="str"/>
      <x:c r="L144" s="137" t="str"/>
      <x:c r="M144" s="137" t="str"/>
      <x:c r="N144" s="137" t="str"/>
      <x:c r="O144" s="137" t="str"/>
      <x:c r="P144" s="138" t="str"/>
      <x:c r="Q144" s="137" t="str"/>
      <x:c r="R144" s="137" t="str"/>
      <x:c r="S144" s="137" t="str"/>
      <x:c r="T144" s="138" t="str"/>
      <x:c r="U144" s="137" t="str"/>
      <x:c r="V144" s="137" t="str"/>
    </x:row>
    <x:row r="145">
      <x:c r="A145" s="137" t="str"/>
      <x:c r="B145" s="138" t="str"/>
      <x:c r="C145" s="137" t="str"/>
      <x:c r="D145" s="137" t="str"/>
      <x:c r="E145" s="137" t="str"/>
      <x:c r="F145" s="137" t="str"/>
      <x:c r="G145" s="137" t="str"/>
      <x:c r="H145" s="137" t="str"/>
      <x:c r="I145" s="137" t="str"/>
      <x:c r="J145" s="137" t="str"/>
      <x:c r="K145" s="137" t="str"/>
      <x:c r="L145" s="137" t="str"/>
      <x:c r="M145" s="137" t="str"/>
      <x:c r="N145" s="137" t="str"/>
      <x:c r="O145" s="137" t="str"/>
      <x:c r="P145" s="138" t="str"/>
      <x:c r="Q145" s="137" t="str"/>
      <x:c r="R145" s="137" t="str"/>
      <x:c r="S145" s="137" t="str"/>
      <x:c r="T145" s="138" t="str"/>
      <x:c r="U145" s="137" t="str"/>
      <x:c r="V145" s="137" t="str"/>
    </x:row>
    <x:row r="146">
      <x:c r="A146" s="137" t="str"/>
      <x:c r="B146" s="138" t="str"/>
      <x:c r="C146" s="137" t="str"/>
      <x:c r="D146" s="137" t="str"/>
      <x:c r="E146" s="137" t="str"/>
      <x:c r="F146" s="137" t="str"/>
      <x:c r="G146" s="137" t="str"/>
      <x:c r="H146" s="137" t="str"/>
      <x:c r="I146" s="137" t="str"/>
      <x:c r="J146" s="137" t="str"/>
      <x:c r="K146" s="137" t="str"/>
      <x:c r="L146" s="137" t="str"/>
      <x:c r="M146" s="137" t="str"/>
      <x:c r="N146" s="137" t="str"/>
      <x:c r="O146" s="137" t="str"/>
      <x:c r="P146" s="138" t="str"/>
      <x:c r="Q146" s="137" t="str"/>
      <x:c r="R146" s="137" t="str"/>
      <x:c r="S146" s="137" t="str"/>
      <x:c r="T146" s="138" t="str"/>
      <x:c r="U146" s="137" t="str"/>
      <x:c r="V146" s="137" t="str"/>
    </x:row>
    <x:row r="147">
      <x:c r="A147" s="137" t="str"/>
      <x:c r="B147" s="138" t="str"/>
      <x:c r="C147" s="137" t="str"/>
      <x:c r="D147" s="137" t="str"/>
      <x:c r="E147" s="137" t="str"/>
      <x:c r="F147" s="137" t="str"/>
      <x:c r="G147" s="137" t="str"/>
      <x:c r="H147" s="137" t="str"/>
      <x:c r="I147" s="137" t="str"/>
      <x:c r="J147" s="137" t="str"/>
      <x:c r="K147" s="137" t="str"/>
      <x:c r="L147" s="137" t="str"/>
      <x:c r="M147" s="137" t="str"/>
      <x:c r="N147" s="137" t="str"/>
      <x:c r="O147" s="137" t="str"/>
      <x:c r="P147" s="138" t="str"/>
      <x:c r="Q147" s="137" t="str"/>
      <x:c r="R147" s="137" t="str"/>
      <x:c r="S147" s="137" t="str"/>
      <x:c r="T147" s="138" t="str"/>
      <x:c r="U147" s="137" t="str"/>
      <x:c r="V147" s="137" t="str"/>
    </x:row>
    <x:row r="148">
      <x:c r="A148" s="137" t="str"/>
      <x:c r="B148" s="138" t="str"/>
      <x:c r="C148" s="137" t="str"/>
      <x:c r="D148" s="137" t="str"/>
      <x:c r="E148" s="137" t="str"/>
      <x:c r="F148" s="137" t="str"/>
      <x:c r="G148" s="137" t="str"/>
      <x:c r="H148" s="137" t="str"/>
      <x:c r="I148" s="137" t="str"/>
      <x:c r="J148" s="137" t="str"/>
      <x:c r="K148" s="137" t="str"/>
      <x:c r="L148" s="137" t="str"/>
      <x:c r="M148" s="137" t="str"/>
      <x:c r="N148" s="137" t="str"/>
      <x:c r="O148" s="137" t="str"/>
      <x:c r="P148" s="138" t="str"/>
      <x:c r="Q148" s="137" t="str"/>
      <x:c r="R148" s="137" t="str"/>
      <x:c r="S148" s="137" t="str"/>
      <x:c r="T148" s="138" t="str"/>
      <x:c r="U148" s="137" t="str"/>
      <x:c r="V148" s="137" t="str"/>
    </x:row>
    <x:row r="149">
      <x:c r="A149" s="137" t="str"/>
      <x:c r="B149" s="138" t="str"/>
      <x:c r="C149" s="137" t="str"/>
      <x:c r="D149" s="137" t="str"/>
      <x:c r="E149" s="137" t="str"/>
      <x:c r="F149" s="137" t="str"/>
      <x:c r="G149" s="137" t="str"/>
      <x:c r="H149" s="137" t="str"/>
      <x:c r="I149" s="137" t="str"/>
      <x:c r="J149" s="137" t="str"/>
      <x:c r="K149" s="137" t="str"/>
      <x:c r="L149" s="137" t="str"/>
      <x:c r="M149" s="137" t="str"/>
      <x:c r="N149" s="137" t="str"/>
      <x:c r="O149" s="137" t="str"/>
      <x:c r="P149" s="138" t="str"/>
      <x:c r="Q149" s="137" t="str"/>
      <x:c r="R149" s="137" t="str"/>
      <x:c r="S149" s="137" t="str"/>
      <x:c r="T149" s="138" t="str"/>
      <x:c r="U149" s="137" t="str"/>
      <x:c r="V149" s="137" t="str"/>
    </x:row>
    <x:row r="150">
      <x:c r="A150" s="137" t="str"/>
      <x:c r="B150" s="138" t="str"/>
      <x:c r="C150" s="137" t="str"/>
      <x:c r="D150" s="137" t="str"/>
      <x:c r="E150" s="137" t="str"/>
      <x:c r="F150" s="137" t="str"/>
      <x:c r="G150" s="137" t="str"/>
      <x:c r="H150" s="137" t="str"/>
      <x:c r="I150" s="137" t="str"/>
      <x:c r="J150" s="137" t="str"/>
      <x:c r="K150" s="137" t="str"/>
      <x:c r="L150" s="137" t="str"/>
      <x:c r="M150" s="137" t="str"/>
      <x:c r="N150" s="137" t="str"/>
      <x:c r="O150" s="137" t="str"/>
      <x:c r="P150" s="138" t="str"/>
      <x:c r="Q150" s="137" t="str"/>
      <x:c r="R150" s="137" t="str"/>
      <x:c r="S150" s="137" t="str"/>
      <x:c r="T150" s="138" t="str"/>
      <x:c r="U150" s="137" t="str"/>
      <x:c r="V150" s="137" t="str"/>
    </x:row>
    <x:row r="151">
      <x:c r="A151" s="137" t="str"/>
      <x:c r="B151" s="138" t="str"/>
      <x:c r="C151" s="137" t="str"/>
      <x:c r="D151" s="137" t="str"/>
      <x:c r="E151" s="137" t="str"/>
      <x:c r="F151" s="137" t="str"/>
      <x:c r="G151" s="137" t="str"/>
      <x:c r="H151" s="137" t="str"/>
      <x:c r="I151" s="137" t="str"/>
      <x:c r="J151" s="137" t="str"/>
      <x:c r="K151" s="137" t="str"/>
      <x:c r="L151" s="137" t="str"/>
      <x:c r="M151" s="137" t="str"/>
      <x:c r="N151" s="137" t="str"/>
      <x:c r="O151" s="137" t="str"/>
      <x:c r="P151" s="138" t="str"/>
      <x:c r="Q151" s="137" t="str"/>
      <x:c r="R151" s="137" t="str"/>
      <x:c r="S151" s="137" t="str"/>
      <x:c r="T151" s="138" t="str"/>
      <x:c r="U151" s="137" t="str"/>
      <x:c r="V151" s="137" t="str"/>
    </x:row>
    <x:row r="152">
      <x:c r="A152" s="137" t="str"/>
      <x:c r="B152" s="138" t="str"/>
      <x:c r="C152" s="137" t="str"/>
      <x:c r="D152" s="137" t="str"/>
      <x:c r="E152" s="137" t="str"/>
      <x:c r="F152" s="137" t="str"/>
      <x:c r="G152" s="137" t="str"/>
      <x:c r="H152" s="137" t="str"/>
      <x:c r="I152" s="137" t="str"/>
      <x:c r="J152" s="137" t="str"/>
      <x:c r="K152" s="137" t="str"/>
      <x:c r="L152" s="137" t="str"/>
      <x:c r="M152" s="137" t="str"/>
      <x:c r="N152" s="137" t="str"/>
      <x:c r="O152" s="137" t="str"/>
      <x:c r="P152" s="138" t="str"/>
      <x:c r="Q152" s="137" t="str"/>
      <x:c r="R152" s="137" t="str"/>
      <x:c r="S152" s="137" t="str"/>
      <x:c r="T152" s="138" t="str"/>
      <x:c r="U152" s="137" t="str"/>
      <x:c r="V152" s="137" t="str"/>
    </x:row>
    <x:row r="153">
      <x:c r="A153" s="137" t="str"/>
      <x:c r="B153" s="138" t="str"/>
      <x:c r="C153" s="137" t="str"/>
      <x:c r="D153" s="137" t="str"/>
      <x:c r="E153" s="137" t="str"/>
      <x:c r="F153" s="137" t="str"/>
      <x:c r="G153" s="137" t="str"/>
      <x:c r="H153" s="137" t="str"/>
      <x:c r="I153" s="137" t="str"/>
      <x:c r="J153" s="137" t="str"/>
      <x:c r="K153" s="137" t="str"/>
      <x:c r="L153" s="137" t="str"/>
      <x:c r="M153" s="137" t="str"/>
      <x:c r="N153" s="137" t="str"/>
      <x:c r="O153" s="137" t="str"/>
      <x:c r="P153" s="138" t="str"/>
      <x:c r="Q153" s="137" t="str"/>
      <x:c r="R153" s="137" t="str"/>
      <x:c r="S153" s="137" t="str"/>
      <x:c r="T153" s="138" t="str"/>
      <x:c r="U153" s="137" t="str"/>
      <x:c r="V153" s="137" t="str"/>
    </x:row>
    <x:row r="154">
      <x:c r="A154" s="137" t="str"/>
      <x:c r="B154" s="138" t="str"/>
      <x:c r="C154" s="137" t="str"/>
      <x:c r="D154" s="137" t="str"/>
      <x:c r="E154" s="137" t="str"/>
      <x:c r="F154" s="137" t="str"/>
      <x:c r="G154" s="137" t="str"/>
      <x:c r="H154" s="137" t="str"/>
      <x:c r="I154" s="137" t="str"/>
      <x:c r="J154" s="137" t="str"/>
      <x:c r="K154" s="137" t="str"/>
      <x:c r="L154" s="137" t="str"/>
      <x:c r="M154" s="137" t="str"/>
      <x:c r="N154" s="137" t="str"/>
      <x:c r="O154" s="137" t="str"/>
      <x:c r="P154" s="138" t="str"/>
      <x:c r="Q154" s="137" t="str"/>
      <x:c r="R154" s="137" t="str"/>
      <x:c r="S154" s="137" t="str"/>
      <x:c r="T154" s="138" t="str"/>
      <x:c r="U154" s="137" t="str"/>
      <x:c r="V154" s="137" t="str"/>
    </x:row>
    <x:row r="155">
      <x:c r="A155" s="137" t="str"/>
      <x:c r="B155" s="138" t="str"/>
      <x:c r="C155" s="137" t="str"/>
      <x:c r="D155" s="137" t="str"/>
      <x:c r="E155" s="137" t="str"/>
      <x:c r="F155" s="137" t="str"/>
      <x:c r="G155" s="137" t="str"/>
      <x:c r="H155" s="137" t="str"/>
      <x:c r="I155" s="137" t="str"/>
      <x:c r="J155" s="137" t="str"/>
      <x:c r="K155" s="137" t="str"/>
      <x:c r="L155" s="137" t="str"/>
      <x:c r="M155" s="137" t="str"/>
      <x:c r="N155" s="137" t="str"/>
      <x:c r="O155" s="137" t="str"/>
      <x:c r="P155" s="138" t="str"/>
      <x:c r="Q155" s="137" t="str"/>
      <x:c r="R155" s="137" t="str"/>
      <x:c r="S155" s="137" t="str"/>
      <x:c r="T155" s="138" t="str"/>
      <x:c r="U155" s="137" t="str"/>
      <x:c r="V155" s="137" t="str"/>
    </x:row>
    <x:row r="156">
      <x:c r="A156" s="137" t="str"/>
      <x:c r="B156" s="138" t="str"/>
      <x:c r="C156" s="137" t="str"/>
      <x:c r="D156" s="137" t="str"/>
      <x:c r="E156" s="137" t="str"/>
      <x:c r="F156" s="137" t="str"/>
      <x:c r="G156" s="137" t="str"/>
      <x:c r="H156" s="137" t="str"/>
      <x:c r="I156" s="137" t="str"/>
      <x:c r="J156" s="137" t="str"/>
      <x:c r="K156" s="137" t="str"/>
      <x:c r="L156" s="137" t="str"/>
      <x:c r="M156" s="137" t="str"/>
      <x:c r="N156" s="137" t="str"/>
      <x:c r="O156" s="137" t="str"/>
      <x:c r="P156" s="138" t="str"/>
      <x:c r="Q156" s="137" t="str"/>
      <x:c r="R156" s="137" t="str"/>
      <x:c r="S156" s="137" t="str"/>
      <x:c r="T156" s="138" t="str"/>
      <x:c r="U156" s="137" t="str"/>
      <x:c r="V156" s="137" t="str"/>
    </x:row>
    <x:row r="157">
      <x:c r="A157" s="137" t="str"/>
      <x:c r="B157" s="138" t="str"/>
      <x:c r="C157" s="137" t="str"/>
      <x:c r="D157" s="137" t="str"/>
      <x:c r="E157" s="137" t="str"/>
      <x:c r="F157" s="137" t="str"/>
      <x:c r="G157" s="137" t="str"/>
      <x:c r="H157" s="137" t="str"/>
      <x:c r="I157" s="137" t="str"/>
      <x:c r="J157" s="137" t="str"/>
      <x:c r="K157" s="137" t="str"/>
      <x:c r="L157" s="137" t="str"/>
      <x:c r="M157" s="137" t="str"/>
      <x:c r="N157" s="137" t="str"/>
      <x:c r="O157" s="137" t="str"/>
      <x:c r="P157" s="138" t="str"/>
      <x:c r="Q157" s="137" t="str"/>
      <x:c r="R157" s="137" t="str"/>
      <x:c r="S157" s="137" t="str"/>
      <x:c r="T157" s="138" t="str"/>
      <x:c r="U157" s="137" t="str"/>
      <x:c r="V157" s="137" t="str"/>
    </x:row>
    <x:row r="158">
      <x:c r="A158" s="137" t="str"/>
      <x:c r="B158" s="138" t="str"/>
      <x:c r="C158" s="137" t="str"/>
      <x:c r="D158" s="137" t="str"/>
      <x:c r="E158" s="137" t="str"/>
      <x:c r="F158" s="137" t="str"/>
      <x:c r="G158" s="137" t="str"/>
      <x:c r="H158" s="137" t="str"/>
      <x:c r="I158" s="137" t="str"/>
      <x:c r="J158" s="137" t="str"/>
      <x:c r="K158" s="137" t="str"/>
      <x:c r="L158" s="137" t="str"/>
      <x:c r="M158" s="137" t="str"/>
      <x:c r="N158" s="137" t="str"/>
      <x:c r="O158" s="137" t="str"/>
      <x:c r="P158" s="138" t="str"/>
      <x:c r="Q158" s="137" t="str"/>
      <x:c r="R158" s="137" t="str"/>
      <x:c r="S158" s="137" t="str"/>
      <x:c r="T158" s="138" t="str"/>
      <x:c r="U158" s="137" t="str"/>
      <x:c r="V158" s="137" t="str"/>
    </x:row>
    <x:row r="159">
      <x:c r="A159" s="137" t="str"/>
      <x:c r="B159" s="138" t="str"/>
      <x:c r="C159" s="137" t="str"/>
      <x:c r="D159" s="137" t="str"/>
      <x:c r="E159" s="137" t="str"/>
      <x:c r="F159" s="137" t="str"/>
      <x:c r="G159" s="137" t="str"/>
      <x:c r="H159" s="137" t="str"/>
      <x:c r="I159" s="137" t="str"/>
      <x:c r="J159" s="137" t="str"/>
      <x:c r="K159" s="137" t="str"/>
      <x:c r="L159" s="137" t="str"/>
      <x:c r="M159" s="137" t="str"/>
      <x:c r="N159" s="137" t="str"/>
      <x:c r="O159" s="137" t="str"/>
      <x:c r="P159" s="138" t="str"/>
      <x:c r="Q159" s="137" t="str"/>
      <x:c r="R159" s="137" t="str"/>
      <x:c r="S159" s="137" t="str"/>
      <x:c r="T159" s="138" t="str"/>
      <x:c r="U159" s="137" t="str"/>
      <x:c r="V159" s="137" t="str"/>
    </x:row>
    <x:row r="160">
      <x:c r="A160" s="137" t="str"/>
      <x:c r="B160" s="138" t="str"/>
      <x:c r="C160" s="137" t="str"/>
      <x:c r="D160" s="137" t="str"/>
      <x:c r="E160" s="137" t="str"/>
      <x:c r="F160" s="137" t="str"/>
      <x:c r="G160" s="137" t="str"/>
      <x:c r="H160" s="137" t="str"/>
      <x:c r="I160" s="137" t="str"/>
      <x:c r="J160" s="137" t="str"/>
      <x:c r="K160" s="137" t="str"/>
      <x:c r="L160" s="137" t="str"/>
      <x:c r="M160" s="137" t="str"/>
      <x:c r="N160" s="137" t="str"/>
      <x:c r="O160" s="137" t="str"/>
      <x:c r="P160" s="138" t="str"/>
      <x:c r="Q160" s="137" t="str"/>
      <x:c r="R160" s="137" t="str"/>
      <x:c r="S160" s="137" t="str"/>
      <x:c r="T160" s="138" t="str"/>
      <x:c r="U160" s="137" t="str"/>
      <x:c r="V160" s="137" t="str"/>
    </x:row>
    <x:row r="161">
      <x:c r="A161" s="137" t="str"/>
      <x:c r="B161" s="138" t="str"/>
      <x:c r="C161" s="137" t="str"/>
      <x:c r="D161" s="137" t="str"/>
      <x:c r="E161" s="137" t="str"/>
      <x:c r="F161" s="137" t="str"/>
      <x:c r="G161" s="137" t="str"/>
      <x:c r="H161" s="137" t="str"/>
      <x:c r="I161" s="137" t="str"/>
      <x:c r="J161" s="137" t="str"/>
      <x:c r="K161" s="137" t="str"/>
      <x:c r="L161" s="137" t="str"/>
      <x:c r="M161" s="137" t="str"/>
      <x:c r="N161" s="137" t="str"/>
      <x:c r="O161" s="137" t="str"/>
      <x:c r="P161" s="138" t="str"/>
      <x:c r="Q161" s="137" t="str"/>
      <x:c r="R161" s="137" t="str"/>
      <x:c r="S161" s="137" t="str"/>
      <x:c r="T161" s="138" t="str"/>
      <x:c r="U161" s="137" t="str"/>
      <x:c r="V161" s="137" t="str"/>
    </x:row>
    <x:row r="162">
      <x:c r="A162" s="137" t="str"/>
      <x:c r="B162" s="138" t="str"/>
      <x:c r="C162" s="137" t="str"/>
      <x:c r="D162" s="137" t="str"/>
      <x:c r="E162" s="137" t="str"/>
      <x:c r="F162" s="137" t="str"/>
      <x:c r="G162" s="137" t="str"/>
      <x:c r="H162" s="137" t="str"/>
      <x:c r="I162" s="137" t="str"/>
      <x:c r="J162" s="137" t="str"/>
      <x:c r="K162" s="137" t="str"/>
      <x:c r="L162" s="137" t="str"/>
      <x:c r="M162" s="137" t="str"/>
      <x:c r="N162" s="137" t="str"/>
      <x:c r="O162" s="137" t="str"/>
      <x:c r="P162" s="138" t="str"/>
      <x:c r="Q162" s="137" t="str"/>
      <x:c r="R162" s="137" t="str"/>
      <x:c r="S162" s="137" t="str"/>
      <x:c r="T162" s="138" t="str"/>
      <x:c r="U162" s="137" t="str"/>
      <x:c r="V162" s="137" t="str"/>
    </x:row>
    <x:row r="163">
      <x:c r="A163" s="137" t="str"/>
      <x:c r="B163" s="138" t="str"/>
      <x:c r="C163" s="137" t="str"/>
      <x:c r="D163" s="137" t="str"/>
      <x:c r="E163" s="137" t="str"/>
      <x:c r="F163" s="137" t="str"/>
      <x:c r="G163" s="137" t="str"/>
      <x:c r="H163" s="137" t="str"/>
      <x:c r="I163" s="137" t="str"/>
      <x:c r="J163" s="137" t="str"/>
      <x:c r="K163" s="137" t="str"/>
      <x:c r="L163" s="137" t="str"/>
      <x:c r="M163" s="137" t="str"/>
      <x:c r="N163" s="137" t="str"/>
      <x:c r="O163" s="137" t="str"/>
      <x:c r="P163" s="138" t="str"/>
      <x:c r="Q163" s="137" t="str"/>
      <x:c r="R163" s="137" t="str"/>
      <x:c r="S163" s="137" t="str"/>
      <x:c r="T163" s="138" t="str"/>
      <x:c r="U163" s="137" t="str"/>
      <x:c r="V163" s="137" t="str"/>
    </x:row>
    <x:row r="164">
      <x:c r="A164" s="137" t="str"/>
      <x:c r="B164" s="138" t="str"/>
      <x:c r="C164" s="137" t="str"/>
      <x:c r="D164" s="137" t="str"/>
      <x:c r="E164" s="137" t="str"/>
      <x:c r="F164" s="137" t="str"/>
      <x:c r="G164" s="137" t="str"/>
      <x:c r="H164" s="137" t="str"/>
      <x:c r="I164" s="137" t="str"/>
      <x:c r="J164" s="137" t="str"/>
      <x:c r="K164" s="137" t="str"/>
      <x:c r="L164" s="137" t="str"/>
      <x:c r="M164" s="137" t="str"/>
      <x:c r="N164" s="137" t="str"/>
      <x:c r="O164" s="137" t="str"/>
      <x:c r="P164" s="138" t="str"/>
      <x:c r="Q164" s="137" t="str"/>
      <x:c r="R164" s="137" t="str"/>
      <x:c r="S164" s="137" t="str"/>
      <x:c r="T164" s="138" t="str"/>
      <x:c r="U164" s="137" t="str"/>
      <x:c r="V164" s="137" t="str"/>
    </x:row>
    <x:row r="165">
      <x:c r="A165" s="137" t="str"/>
      <x:c r="B165" s="138" t="str"/>
      <x:c r="C165" s="137" t="str"/>
      <x:c r="D165" s="137" t="str"/>
      <x:c r="E165" s="137" t="str"/>
      <x:c r="F165" s="137" t="str"/>
      <x:c r="G165" s="137" t="str"/>
      <x:c r="H165" s="137" t="str"/>
      <x:c r="I165" s="137" t="str"/>
      <x:c r="J165" s="137" t="str"/>
      <x:c r="K165" s="137" t="str"/>
      <x:c r="L165" s="137" t="str"/>
      <x:c r="M165" s="137" t="str"/>
      <x:c r="N165" s="137" t="str"/>
      <x:c r="O165" s="137" t="str"/>
      <x:c r="P165" s="138" t="str"/>
      <x:c r="Q165" s="137" t="str"/>
      <x:c r="R165" s="137" t="str"/>
      <x:c r="S165" s="137" t="str"/>
      <x:c r="T165" s="138" t="str"/>
      <x:c r="U165" s="137" t="str"/>
      <x:c r="V165" s="137" t="str"/>
    </x:row>
    <x:row r="166">
      <x:c r="A166" s="137" t="str"/>
      <x:c r="B166" s="138" t="str"/>
      <x:c r="C166" s="137" t="str"/>
      <x:c r="D166" s="137" t="str"/>
      <x:c r="E166" s="137" t="str"/>
      <x:c r="F166" s="137" t="str"/>
      <x:c r="G166" s="137" t="str"/>
      <x:c r="H166" s="137" t="str"/>
      <x:c r="I166" s="137" t="str"/>
      <x:c r="J166" s="137" t="str"/>
      <x:c r="K166" s="137" t="str"/>
      <x:c r="L166" s="137" t="str"/>
      <x:c r="M166" s="137" t="str"/>
      <x:c r="N166" s="137" t="str"/>
      <x:c r="O166" s="137" t="str"/>
      <x:c r="P166" s="138" t="str"/>
      <x:c r="Q166" s="137" t="str"/>
      <x:c r="R166" s="137" t="str"/>
      <x:c r="S166" s="137" t="str"/>
      <x:c r="T166" s="138" t="str"/>
      <x:c r="U166" s="137" t="str"/>
      <x:c r="V166" s="137" t="str"/>
    </x:row>
    <x:row r="167">
      <x:c r="A167" s="137" t="str"/>
      <x:c r="B167" s="138" t="str"/>
      <x:c r="C167" s="137" t="str"/>
      <x:c r="D167" s="137" t="str"/>
      <x:c r="E167" s="137" t="str"/>
      <x:c r="F167" s="137" t="str"/>
      <x:c r="G167" s="137" t="str"/>
      <x:c r="H167" s="137" t="str"/>
      <x:c r="I167" s="137" t="str"/>
      <x:c r="J167" s="137" t="str"/>
      <x:c r="K167" s="137" t="str"/>
      <x:c r="L167" s="137" t="str"/>
      <x:c r="M167" s="137" t="str"/>
      <x:c r="N167" s="137" t="str"/>
      <x:c r="O167" s="137" t="str"/>
      <x:c r="P167" s="138" t="str"/>
      <x:c r="Q167" s="137" t="str"/>
      <x:c r="R167" s="137" t="str"/>
      <x:c r="S167" s="137" t="str"/>
      <x:c r="T167" s="138" t="str"/>
      <x:c r="U167" s="137" t="str"/>
      <x:c r="V167" s="137" t="str"/>
    </x:row>
    <x:row r="168">
      <x:c r="A168" s="137" t="str"/>
      <x:c r="B168" s="138" t="str"/>
      <x:c r="C168" s="137" t="str"/>
      <x:c r="D168" s="137" t="str"/>
      <x:c r="E168" s="137" t="str"/>
      <x:c r="F168" s="137" t="str"/>
      <x:c r="G168" s="137" t="str"/>
      <x:c r="H168" s="137" t="str"/>
      <x:c r="I168" s="137" t="str"/>
      <x:c r="J168" s="137" t="str"/>
      <x:c r="K168" s="137" t="str"/>
      <x:c r="L168" s="137" t="str"/>
      <x:c r="M168" s="137" t="str"/>
      <x:c r="N168" s="137" t="str"/>
      <x:c r="O168" s="137" t="str"/>
      <x:c r="P168" s="138" t="str"/>
      <x:c r="Q168" s="137" t="str"/>
      <x:c r="R168" s="137" t="str"/>
      <x:c r="S168" s="137" t="str"/>
      <x:c r="T168" s="138" t="str"/>
      <x:c r="U168" s="137" t="str"/>
      <x:c r="V168" s="137" t="str"/>
    </x:row>
    <x:row r="169">
      <x:c r="A169" s="137" t="str"/>
      <x:c r="B169" s="138" t="str"/>
      <x:c r="C169" s="137" t="str"/>
      <x:c r="D169" s="137" t="str"/>
      <x:c r="E169" s="137" t="str"/>
      <x:c r="F169" s="137" t="str"/>
      <x:c r="G169" s="137" t="str"/>
      <x:c r="H169" s="137" t="str"/>
      <x:c r="I169" s="137" t="str"/>
      <x:c r="J169" s="137" t="str"/>
      <x:c r="K169" s="137" t="str"/>
      <x:c r="L169" s="137" t="str"/>
      <x:c r="M169" s="137" t="str"/>
      <x:c r="N169" s="137" t="str"/>
      <x:c r="O169" s="137" t="str"/>
      <x:c r="P169" s="138" t="str"/>
      <x:c r="Q169" s="137" t="str"/>
      <x:c r="R169" s="137" t="str"/>
      <x:c r="S169" s="137" t="str"/>
      <x:c r="T169" s="138" t="str"/>
      <x:c r="U169" s="137" t="str"/>
      <x:c r="V169" s="137" t="str"/>
    </x:row>
    <x:row r="170">
      <x:c r="A170" s="137" t="str"/>
      <x:c r="B170" s="138" t="str"/>
      <x:c r="C170" s="137" t="str"/>
      <x:c r="D170" s="137" t="str"/>
      <x:c r="E170" s="137" t="str"/>
      <x:c r="F170" s="137" t="str"/>
      <x:c r="G170" s="137" t="str"/>
      <x:c r="H170" s="137" t="str"/>
      <x:c r="I170" s="137" t="str"/>
      <x:c r="J170" s="137" t="str"/>
      <x:c r="K170" s="137" t="str"/>
      <x:c r="L170" s="137" t="str"/>
      <x:c r="M170" s="137" t="str"/>
      <x:c r="N170" s="137" t="str"/>
      <x:c r="O170" s="137" t="str"/>
      <x:c r="P170" s="138" t="str"/>
      <x:c r="Q170" s="137" t="str"/>
      <x:c r="R170" s="137" t="str"/>
      <x:c r="S170" s="137" t="str"/>
      <x:c r="T170" s="138" t="str"/>
      <x:c r="U170" s="137" t="str"/>
      <x:c r="V170" s="137" t="str"/>
    </x:row>
    <x:row r="171">
      <x:c r="A171" s="137" t="str"/>
      <x:c r="B171" s="138" t="str"/>
      <x:c r="C171" s="137" t="str"/>
      <x:c r="D171" s="137" t="str"/>
      <x:c r="E171" s="137" t="str"/>
      <x:c r="F171" s="137" t="str"/>
      <x:c r="G171" s="137" t="str"/>
      <x:c r="H171" s="137" t="str"/>
      <x:c r="I171" s="137" t="str"/>
      <x:c r="J171" s="137" t="str"/>
      <x:c r="K171" s="137" t="str"/>
      <x:c r="L171" s="137" t="str"/>
      <x:c r="M171" s="137" t="str"/>
      <x:c r="N171" s="137" t="str"/>
      <x:c r="O171" s="137" t="str"/>
      <x:c r="P171" s="138" t="str"/>
      <x:c r="Q171" s="137" t="str"/>
      <x:c r="R171" s="137" t="str"/>
      <x:c r="S171" s="137" t="str"/>
      <x:c r="T171" s="138" t="str"/>
      <x:c r="U171" s="137" t="str"/>
      <x:c r="V171" s="137" t="str"/>
    </x:row>
    <x:row r="172">
      <x:c r="A172" s="137" t="str"/>
      <x:c r="B172" s="138" t="str"/>
      <x:c r="C172" s="137" t="str"/>
      <x:c r="D172" s="137" t="str"/>
      <x:c r="E172" s="137" t="str"/>
      <x:c r="F172" s="137" t="str"/>
      <x:c r="G172" s="137" t="str"/>
      <x:c r="H172" s="137" t="str"/>
      <x:c r="I172" s="137" t="str"/>
      <x:c r="J172" s="137" t="str"/>
      <x:c r="K172" s="137" t="str"/>
      <x:c r="L172" s="137" t="str"/>
      <x:c r="M172" s="137" t="str"/>
      <x:c r="N172" s="137" t="str"/>
      <x:c r="O172" s="137" t="str"/>
      <x:c r="P172" s="138" t="str"/>
      <x:c r="Q172" s="137" t="str"/>
      <x:c r="R172" s="137" t="str"/>
      <x:c r="S172" s="137" t="str"/>
      <x:c r="T172" s="138" t="str"/>
      <x:c r="U172" s="137" t="str"/>
      <x:c r="V172" s="137" t="str"/>
    </x:row>
    <x:row r="173">
      <x:c r="A173" s="137" t="str"/>
      <x:c r="B173" s="138" t="str"/>
      <x:c r="C173" s="137" t="str"/>
      <x:c r="D173" s="137" t="str"/>
      <x:c r="E173" s="137" t="str"/>
      <x:c r="F173" s="137" t="str"/>
      <x:c r="G173" s="137" t="str"/>
      <x:c r="H173" s="137" t="str"/>
      <x:c r="I173" s="137" t="str"/>
      <x:c r="J173" s="137" t="str"/>
      <x:c r="K173" s="137" t="str"/>
      <x:c r="L173" s="137" t="str"/>
      <x:c r="M173" s="137" t="str"/>
      <x:c r="N173" s="137" t="str"/>
      <x:c r="O173" s="137" t="str"/>
      <x:c r="P173" s="138" t="str"/>
      <x:c r="Q173" s="137" t="str"/>
      <x:c r="R173" s="137" t="str"/>
      <x:c r="S173" s="137" t="str"/>
      <x:c r="T173" s="138" t="str"/>
      <x:c r="U173" s="137" t="str"/>
      <x:c r="V173" s="137" t="str"/>
    </x:row>
    <x:row r="174">
      <x:c r="A174" s="137" t="str"/>
      <x:c r="B174" s="138" t="str"/>
      <x:c r="C174" s="137" t="str"/>
      <x:c r="D174" s="137" t="str"/>
      <x:c r="E174" s="137" t="str"/>
      <x:c r="F174" s="137" t="str"/>
      <x:c r="G174" s="137" t="str"/>
      <x:c r="H174" s="137" t="str"/>
      <x:c r="I174" s="137" t="str"/>
      <x:c r="J174" s="137" t="str"/>
      <x:c r="K174" s="137" t="str"/>
      <x:c r="L174" s="137" t="str"/>
      <x:c r="M174" s="137" t="str"/>
      <x:c r="N174" s="137" t="str"/>
      <x:c r="O174" s="137" t="str"/>
      <x:c r="P174" s="138" t="str"/>
      <x:c r="Q174" s="137" t="str"/>
      <x:c r="R174" s="137" t="str"/>
      <x:c r="S174" s="137" t="str"/>
      <x:c r="T174" s="138" t="str"/>
      <x:c r="U174" s="137" t="str"/>
      <x:c r="V174" s="137" t="str"/>
    </x:row>
    <x:row r="175">
      <x:c r="A175" s="137" t="str"/>
      <x:c r="B175" s="138" t="str"/>
      <x:c r="C175" s="137" t="str"/>
      <x:c r="D175" s="137" t="str"/>
      <x:c r="E175" s="137" t="str"/>
      <x:c r="F175" s="137" t="str"/>
      <x:c r="G175" s="137" t="str"/>
      <x:c r="H175" s="137" t="str"/>
      <x:c r="I175" s="137" t="str"/>
      <x:c r="J175" s="137" t="str"/>
      <x:c r="K175" s="137" t="str"/>
      <x:c r="L175" s="137" t="str"/>
      <x:c r="M175" s="137" t="str"/>
      <x:c r="N175" s="137" t="str"/>
      <x:c r="O175" s="137" t="str"/>
      <x:c r="P175" s="138" t="str"/>
      <x:c r="Q175" s="137" t="str"/>
      <x:c r="R175" s="137" t="str"/>
      <x:c r="S175" s="137" t="str"/>
      <x:c r="T175" s="138" t="str"/>
      <x:c r="U175" s="137" t="str"/>
      <x:c r="V175" s="137" t="str"/>
    </x:row>
    <x:row r="176">
      <x:c r="A176" s="137" t="str"/>
      <x:c r="B176" s="138" t="str"/>
      <x:c r="C176" s="137" t="str"/>
      <x:c r="D176" s="137" t="str"/>
      <x:c r="E176" s="137" t="str"/>
      <x:c r="F176" s="137" t="str"/>
      <x:c r="G176" s="137" t="str"/>
      <x:c r="H176" s="137" t="str"/>
      <x:c r="I176" s="137" t="str"/>
      <x:c r="J176" s="137" t="str"/>
      <x:c r="K176" s="137" t="str"/>
      <x:c r="L176" s="137" t="str"/>
      <x:c r="M176" s="137" t="str"/>
      <x:c r="N176" s="137" t="str"/>
      <x:c r="O176" s="137" t="str"/>
      <x:c r="P176" s="138" t="str"/>
      <x:c r="Q176" s="137" t="str"/>
      <x:c r="R176" s="137" t="str"/>
      <x:c r="S176" s="137" t="str"/>
      <x:c r="T176" s="138" t="str"/>
      <x:c r="U176" s="137" t="str"/>
      <x:c r="V176" s="137" t="str"/>
    </x:row>
    <x:row r="177">
      <x:c r="A177" s="137" t="str"/>
      <x:c r="B177" s="138" t="str"/>
      <x:c r="C177" s="137" t="str"/>
      <x:c r="D177" s="137" t="str"/>
      <x:c r="E177" s="137" t="str"/>
      <x:c r="F177" s="137" t="str"/>
      <x:c r="G177" s="137" t="str"/>
      <x:c r="H177" s="137" t="str"/>
      <x:c r="I177" s="137" t="str"/>
      <x:c r="J177" s="137" t="str"/>
      <x:c r="K177" s="137" t="str"/>
      <x:c r="L177" s="137" t="str"/>
      <x:c r="M177" s="137" t="str"/>
      <x:c r="N177" s="137" t="str"/>
      <x:c r="O177" s="137" t="str"/>
      <x:c r="P177" s="138" t="str"/>
      <x:c r="Q177" s="137" t="str"/>
      <x:c r="R177" s="137" t="str"/>
      <x:c r="S177" s="137" t="str"/>
      <x:c r="T177" s="138" t="str"/>
      <x:c r="U177" s="137" t="str"/>
      <x:c r="V177" s="137" t="str"/>
    </x:row>
    <x:row r="178">
      <x:c r="A178" s="137" t="str"/>
      <x:c r="B178" s="138" t="str"/>
      <x:c r="C178" s="137" t="str"/>
      <x:c r="D178" s="137" t="str"/>
      <x:c r="E178" s="137" t="str"/>
      <x:c r="F178" s="137" t="str"/>
      <x:c r="G178" s="137" t="str"/>
      <x:c r="H178" s="137" t="str"/>
      <x:c r="I178" s="137" t="str"/>
      <x:c r="J178" s="137" t="str"/>
      <x:c r="K178" s="137" t="str"/>
      <x:c r="L178" s="137" t="str"/>
      <x:c r="M178" s="137" t="str"/>
      <x:c r="N178" s="137" t="str"/>
      <x:c r="O178" s="137" t="str"/>
      <x:c r="P178" s="138" t="str"/>
      <x:c r="Q178" s="137" t="str"/>
      <x:c r="R178" s="137" t="str"/>
      <x:c r="S178" s="137" t="str"/>
      <x:c r="T178" s="138" t="str"/>
      <x:c r="U178" s="137" t="str"/>
      <x:c r="V178" s="137" t="str"/>
    </x:row>
    <x:row r="179">
      <x:c r="A179" s="137" t="str"/>
      <x:c r="B179" s="138" t="str"/>
      <x:c r="C179" s="137" t="str"/>
      <x:c r="D179" s="137" t="str"/>
      <x:c r="E179" s="137" t="str"/>
      <x:c r="F179" s="137" t="str"/>
      <x:c r="G179" s="137" t="str"/>
      <x:c r="H179" s="137" t="str"/>
      <x:c r="I179" s="137" t="str"/>
      <x:c r="J179" s="137" t="str"/>
      <x:c r="K179" s="137" t="str"/>
      <x:c r="L179" s="137" t="str"/>
      <x:c r="M179" s="137" t="str"/>
      <x:c r="N179" s="137" t="str"/>
      <x:c r="O179" s="137" t="str"/>
      <x:c r="P179" s="138" t="str"/>
      <x:c r="Q179" s="137" t="str"/>
      <x:c r="R179" s="137" t="str"/>
      <x:c r="S179" s="137" t="str"/>
      <x:c r="T179" s="138" t="str"/>
      <x:c r="U179" s="137" t="str"/>
      <x:c r="V179" s="137" t="str"/>
    </x:row>
    <x:row r="180">
      <x:c r="A180" s="137" t="str"/>
      <x:c r="B180" s="138" t="str"/>
      <x:c r="C180" s="137" t="str"/>
      <x:c r="D180" s="137" t="str"/>
      <x:c r="E180" s="137" t="str"/>
      <x:c r="F180" s="137" t="str"/>
      <x:c r="G180" s="137" t="str"/>
      <x:c r="H180" s="137" t="str"/>
      <x:c r="I180" s="137" t="str"/>
      <x:c r="J180" s="137" t="str"/>
      <x:c r="K180" s="137" t="str"/>
      <x:c r="L180" s="137" t="str"/>
      <x:c r="M180" s="137" t="str"/>
      <x:c r="N180" s="137" t="str"/>
      <x:c r="O180" s="137" t="str"/>
      <x:c r="P180" s="138" t="str"/>
      <x:c r="Q180" s="137" t="str"/>
      <x:c r="R180" s="137" t="str"/>
      <x:c r="S180" s="137" t="str"/>
      <x:c r="T180" s="138" t="str"/>
      <x:c r="U180" s="137" t="str"/>
      <x:c r="V180" s="137" t="str"/>
    </x:row>
    <x:row r="181">
      <x:c r="A181" s="137" t="str"/>
      <x:c r="B181" s="138" t="str"/>
      <x:c r="C181" s="137" t="str"/>
      <x:c r="D181" s="137" t="str"/>
      <x:c r="E181" s="137" t="str"/>
      <x:c r="F181" s="137" t="str"/>
      <x:c r="G181" s="137" t="str"/>
      <x:c r="H181" s="137" t="str"/>
      <x:c r="I181" s="137" t="str"/>
      <x:c r="J181" s="137" t="str"/>
      <x:c r="K181" s="137" t="str"/>
      <x:c r="L181" s="137" t="str"/>
      <x:c r="M181" s="137" t="str"/>
      <x:c r="N181" s="137" t="str"/>
      <x:c r="O181" s="137" t="str"/>
      <x:c r="P181" s="138" t="str"/>
      <x:c r="Q181" s="137" t="str"/>
      <x:c r="R181" s="137" t="str"/>
      <x:c r="S181" s="137" t="str"/>
      <x:c r="T181" s="138" t="str"/>
      <x:c r="U181" s="137" t="str"/>
      <x:c r="V181" s="137" t="str"/>
    </x:row>
    <x:row r="182">
      <x:c r="A182" s="137" t="str"/>
      <x:c r="B182" s="138" t="str"/>
      <x:c r="C182" s="137" t="str"/>
      <x:c r="D182" s="137" t="str"/>
      <x:c r="E182" s="137" t="str"/>
      <x:c r="F182" s="137" t="str"/>
      <x:c r="G182" s="137" t="str"/>
      <x:c r="H182" s="137" t="str"/>
      <x:c r="I182" s="137" t="str"/>
      <x:c r="J182" s="137" t="str"/>
      <x:c r="K182" s="137" t="str"/>
      <x:c r="L182" s="137" t="str"/>
      <x:c r="M182" s="137" t="str"/>
      <x:c r="N182" s="137" t="str"/>
      <x:c r="O182" s="137" t="str"/>
      <x:c r="P182" s="138" t="str"/>
      <x:c r="Q182" s="137" t="str"/>
      <x:c r="R182" s="137" t="str"/>
      <x:c r="S182" s="137" t="str"/>
      <x:c r="T182" s="138" t="str"/>
      <x:c r="U182" s="137" t="str"/>
      <x:c r="V182" s="137" t="str"/>
    </x:row>
    <x:row r="183">
      <x:c r="A183" s="137" t="str"/>
      <x:c r="B183" s="138" t="str"/>
      <x:c r="C183" s="137" t="str"/>
      <x:c r="D183" s="137" t="str"/>
      <x:c r="E183" s="137" t="str"/>
      <x:c r="F183" s="137" t="str"/>
      <x:c r="G183" s="137" t="str"/>
      <x:c r="H183" s="137" t="str"/>
      <x:c r="I183" s="137" t="str"/>
      <x:c r="J183" s="137" t="str"/>
      <x:c r="K183" s="137" t="str"/>
      <x:c r="L183" s="137" t="str"/>
      <x:c r="M183" s="137" t="str"/>
      <x:c r="N183" s="137" t="str"/>
      <x:c r="O183" s="137" t="str"/>
      <x:c r="P183" s="138" t="str"/>
      <x:c r="Q183" s="137" t="str"/>
      <x:c r="R183" s="137" t="str"/>
      <x:c r="S183" s="137" t="str"/>
      <x:c r="T183" s="138" t="str"/>
      <x:c r="U183" s="137" t="str"/>
      <x:c r="V183" s="137" t="str"/>
    </x:row>
    <x:row r="184">
      <x:c r="A184" s="137" t="str"/>
      <x:c r="B184" s="138" t="str"/>
      <x:c r="C184" s="137" t="str"/>
      <x:c r="D184" s="137" t="str"/>
      <x:c r="E184" s="137" t="str"/>
      <x:c r="F184" s="137" t="str"/>
      <x:c r="G184" s="137" t="str"/>
      <x:c r="H184" s="137" t="str"/>
      <x:c r="I184" s="137" t="str"/>
      <x:c r="J184" s="137" t="str"/>
      <x:c r="K184" s="137" t="str"/>
      <x:c r="L184" s="137" t="str"/>
      <x:c r="M184" s="137" t="str"/>
      <x:c r="N184" s="137" t="str"/>
      <x:c r="O184" s="137" t="str"/>
      <x:c r="P184" s="138" t="str"/>
      <x:c r="Q184" s="137" t="str"/>
      <x:c r="R184" s="137" t="str"/>
      <x:c r="S184" s="137" t="str"/>
      <x:c r="T184" s="138" t="str"/>
      <x:c r="U184" s="137" t="str"/>
      <x:c r="V184" s="137" t="str"/>
    </x:row>
    <x:row r="185">
      <x:c r="A185" s="137" t="str"/>
      <x:c r="B185" s="138" t="str"/>
      <x:c r="C185" s="137" t="str"/>
      <x:c r="D185" s="137" t="str"/>
      <x:c r="E185" s="137" t="str"/>
      <x:c r="F185" s="137" t="str"/>
      <x:c r="G185" s="137" t="str"/>
      <x:c r="H185" s="137" t="str"/>
      <x:c r="I185" s="137" t="str"/>
      <x:c r="J185" s="137" t="str"/>
      <x:c r="K185" s="137" t="str"/>
      <x:c r="L185" s="137" t="str"/>
      <x:c r="M185" s="137" t="str"/>
      <x:c r="N185" s="137" t="str"/>
      <x:c r="O185" s="137" t="str"/>
      <x:c r="P185" s="138" t="str"/>
      <x:c r="Q185" s="137" t="str"/>
      <x:c r="R185" s="137" t="str"/>
      <x:c r="S185" s="137" t="str"/>
      <x:c r="T185" s="138" t="str"/>
      <x:c r="U185" s="137" t="str"/>
      <x:c r="V185" s="137" t="str"/>
    </x:row>
    <x:row r="186">
      <x:c r="A186" s="137" t="str"/>
      <x:c r="B186" s="138" t="str"/>
      <x:c r="C186" s="137" t="str"/>
      <x:c r="D186" s="137" t="str"/>
      <x:c r="E186" s="137" t="str"/>
      <x:c r="F186" s="137" t="str"/>
      <x:c r="G186" s="137" t="str"/>
      <x:c r="H186" s="137" t="str"/>
      <x:c r="I186" s="137" t="str"/>
      <x:c r="J186" s="137" t="str"/>
      <x:c r="K186" s="137" t="str"/>
      <x:c r="L186" s="137" t="str"/>
      <x:c r="M186" s="137" t="str"/>
      <x:c r="N186" s="137" t="str"/>
      <x:c r="O186" s="137" t="str"/>
      <x:c r="P186" s="138" t="str"/>
      <x:c r="Q186" s="137" t="str"/>
      <x:c r="R186" s="137" t="str"/>
      <x:c r="S186" s="137" t="str"/>
      <x:c r="T186" s="138" t="str"/>
      <x:c r="U186" s="137" t="str"/>
      <x:c r="V186" s="137" t="str"/>
    </x:row>
    <x:row r="187">
      <x:c r="A187" s="137" t="str"/>
      <x:c r="B187" s="138" t="str"/>
      <x:c r="C187" s="137" t="str"/>
      <x:c r="D187" s="137" t="str"/>
      <x:c r="E187" s="137" t="str"/>
      <x:c r="F187" s="137" t="str"/>
      <x:c r="G187" s="137" t="str"/>
      <x:c r="H187" s="137" t="str"/>
      <x:c r="I187" s="137" t="str"/>
      <x:c r="J187" s="137" t="str"/>
      <x:c r="K187" s="137" t="str"/>
      <x:c r="L187" s="137" t="str"/>
      <x:c r="M187" s="137" t="str"/>
      <x:c r="N187" s="137" t="str"/>
      <x:c r="O187" s="137" t="str"/>
      <x:c r="P187" s="138" t="str"/>
      <x:c r="Q187" s="137" t="str"/>
      <x:c r="R187" s="137" t="str"/>
      <x:c r="S187" s="137" t="str"/>
      <x:c r="T187" s="138" t="str"/>
      <x:c r="U187" s="137" t="str"/>
      <x:c r="V187" s="137" t="str"/>
    </x:row>
    <x:row r="188">
      <x:c r="A188" s="137" t="str"/>
      <x:c r="B188" s="138" t="str"/>
      <x:c r="C188" s="137" t="str"/>
      <x:c r="D188" s="137" t="str"/>
      <x:c r="E188" s="137" t="str"/>
      <x:c r="F188" s="137" t="str"/>
      <x:c r="G188" s="137" t="str"/>
      <x:c r="H188" s="137" t="str"/>
      <x:c r="I188" s="137" t="str"/>
      <x:c r="J188" s="137" t="str"/>
      <x:c r="K188" s="137" t="str"/>
      <x:c r="L188" s="137" t="str"/>
      <x:c r="M188" s="137" t="str"/>
      <x:c r="N188" s="137" t="str"/>
      <x:c r="O188" s="137" t="str"/>
      <x:c r="P188" s="138" t="str"/>
      <x:c r="Q188" s="137" t="str"/>
      <x:c r="R188" s="137" t="str"/>
      <x:c r="S188" s="137" t="str"/>
      <x:c r="T188" s="138" t="str"/>
      <x:c r="U188" s="137" t="str"/>
      <x:c r="V188" s="137" t="str"/>
    </x:row>
    <x:row r="189">
      <x:c r="A189" s="137" t="str"/>
      <x:c r="B189" s="138" t="str"/>
      <x:c r="C189" s="137" t="str"/>
      <x:c r="D189" s="137" t="str"/>
      <x:c r="E189" s="137" t="str"/>
      <x:c r="F189" s="137" t="str"/>
      <x:c r="G189" s="137" t="str"/>
      <x:c r="H189" s="137" t="str"/>
      <x:c r="I189" s="137" t="str"/>
      <x:c r="J189" s="137" t="str"/>
      <x:c r="K189" s="137" t="str"/>
      <x:c r="L189" s="137" t="str"/>
      <x:c r="M189" s="137" t="str"/>
      <x:c r="N189" s="137" t="str"/>
      <x:c r="O189" s="137" t="str"/>
      <x:c r="P189" s="138" t="str"/>
      <x:c r="Q189" s="137" t="str"/>
      <x:c r="R189" s="137" t="str"/>
      <x:c r="S189" s="137" t="str"/>
      <x:c r="T189" s="138" t="str"/>
      <x:c r="U189" s="137" t="str"/>
      <x:c r="V189" s="137" t="str"/>
    </x:row>
    <x:row r="190">
      <x:c r="A190" s="137" t="str"/>
      <x:c r="B190" s="138" t="str"/>
      <x:c r="C190" s="137" t="str"/>
      <x:c r="D190" s="137" t="str"/>
      <x:c r="E190" s="137" t="str"/>
      <x:c r="F190" s="137" t="str"/>
      <x:c r="G190" s="137" t="str"/>
      <x:c r="H190" s="137" t="str"/>
      <x:c r="I190" s="137" t="str"/>
      <x:c r="J190" s="137" t="str"/>
      <x:c r="K190" s="137" t="str"/>
      <x:c r="L190" s="137" t="str"/>
      <x:c r="M190" s="137" t="str"/>
      <x:c r="N190" s="137" t="str"/>
      <x:c r="O190" s="137" t="str"/>
      <x:c r="P190" s="138" t="str"/>
      <x:c r="Q190" s="137" t="str"/>
      <x:c r="R190" s="137" t="str"/>
      <x:c r="S190" s="137" t="str"/>
      <x:c r="T190" s="138" t="str"/>
      <x:c r="U190" s="137" t="str"/>
      <x:c r="V190" s="137" t="str"/>
    </x:row>
    <x:row r="191">
      <x:c r="A191" s="137" t="str"/>
      <x:c r="B191" s="138" t="str"/>
      <x:c r="C191" s="137" t="str"/>
      <x:c r="D191" s="137" t="str"/>
      <x:c r="E191" s="137" t="str"/>
      <x:c r="F191" s="137" t="str"/>
      <x:c r="G191" s="137" t="str"/>
      <x:c r="H191" s="137" t="str"/>
      <x:c r="I191" s="137" t="str"/>
      <x:c r="J191" s="137" t="str"/>
      <x:c r="K191" s="137" t="str"/>
      <x:c r="L191" s="137" t="str"/>
      <x:c r="M191" s="137" t="str"/>
      <x:c r="N191" s="137" t="str"/>
      <x:c r="O191" s="137" t="str"/>
      <x:c r="P191" s="138" t="str"/>
      <x:c r="Q191" s="137" t="str"/>
      <x:c r="R191" s="137" t="str"/>
      <x:c r="S191" s="137" t="str"/>
      <x:c r="T191" s="138" t="str"/>
      <x:c r="U191" s="137" t="str"/>
      <x:c r="V191" s="137" t="str"/>
    </x:row>
    <x:row r="192">
      <x:c r="A192" s="137" t="str"/>
      <x:c r="B192" s="138" t="str"/>
      <x:c r="C192" s="137" t="str"/>
      <x:c r="D192" s="137" t="str"/>
      <x:c r="E192" s="137" t="str"/>
      <x:c r="F192" s="137" t="str"/>
      <x:c r="G192" s="137" t="str"/>
      <x:c r="H192" s="137" t="str"/>
      <x:c r="I192" s="137" t="str"/>
      <x:c r="J192" s="137" t="str"/>
      <x:c r="K192" s="137" t="str"/>
      <x:c r="L192" s="137" t="str"/>
      <x:c r="M192" s="137" t="str"/>
      <x:c r="N192" s="137" t="str"/>
      <x:c r="O192" s="137" t="str"/>
      <x:c r="P192" s="138" t="str"/>
      <x:c r="Q192" s="137" t="str"/>
      <x:c r="R192" s="137" t="str"/>
      <x:c r="S192" s="137" t="str"/>
      <x:c r="T192" s="138" t="str"/>
      <x:c r="U192" s="137" t="str"/>
      <x:c r="V192" s="137" t="str"/>
    </x:row>
    <x:row r="193">
      <x:c r="A193" s="137" t="str"/>
      <x:c r="B193" s="138" t="str"/>
      <x:c r="C193" s="137" t="str"/>
      <x:c r="D193" s="137" t="str"/>
      <x:c r="E193" s="137" t="str"/>
      <x:c r="F193" s="137" t="str"/>
      <x:c r="G193" s="137" t="str"/>
      <x:c r="H193" s="137" t="str"/>
      <x:c r="I193" s="137" t="str"/>
      <x:c r="J193" s="137" t="str"/>
      <x:c r="K193" s="137" t="str"/>
      <x:c r="L193" s="137" t="str"/>
      <x:c r="M193" s="137" t="str"/>
      <x:c r="N193" s="137" t="str"/>
      <x:c r="O193" s="137" t="str"/>
      <x:c r="P193" s="138" t="str"/>
      <x:c r="Q193" s="137" t="str"/>
      <x:c r="R193" s="137" t="str"/>
      <x:c r="S193" s="137" t="str"/>
      <x:c r="T193" s="138" t="str"/>
      <x:c r="U193" s="137" t="str"/>
      <x:c r="V193" s="137" t="str"/>
    </x:row>
    <x:row r="194">
      <x:c r="A194" s="137" t="str"/>
      <x:c r="B194" s="138" t="str"/>
      <x:c r="C194" s="137" t="str"/>
      <x:c r="D194" s="137" t="str"/>
      <x:c r="E194" s="137" t="str"/>
      <x:c r="F194" s="137" t="str"/>
      <x:c r="G194" s="137" t="str"/>
      <x:c r="H194" s="137" t="str"/>
      <x:c r="I194" s="137" t="str"/>
      <x:c r="J194" s="137" t="str"/>
      <x:c r="K194" s="137" t="str"/>
      <x:c r="L194" s="137" t="str"/>
      <x:c r="M194" s="137" t="str"/>
      <x:c r="N194" s="137" t="str"/>
      <x:c r="O194" s="137" t="str"/>
      <x:c r="P194" s="138" t="str"/>
      <x:c r="Q194" s="137" t="str"/>
      <x:c r="R194" s="137" t="str"/>
      <x:c r="S194" s="137" t="str"/>
      <x:c r="T194" s="138" t="str"/>
      <x:c r="U194" s="137" t="str"/>
      <x:c r="V194" s="137" t="str"/>
    </x:row>
    <x:row r="195">
      <x:c r="A195" s="137" t="str"/>
      <x:c r="B195" s="138" t="str"/>
      <x:c r="C195" s="137" t="str"/>
      <x:c r="D195" s="137" t="str"/>
      <x:c r="E195" s="137" t="str"/>
      <x:c r="F195" s="137" t="str"/>
      <x:c r="G195" s="137" t="str"/>
      <x:c r="H195" s="137" t="str"/>
      <x:c r="I195" s="137" t="str"/>
      <x:c r="J195" s="137" t="str"/>
      <x:c r="K195" s="137" t="str"/>
      <x:c r="L195" s="137" t="str"/>
      <x:c r="M195" s="137" t="str"/>
      <x:c r="N195" s="137" t="str"/>
      <x:c r="O195" s="137" t="str"/>
      <x:c r="P195" s="138" t="str"/>
      <x:c r="Q195" s="137" t="str"/>
      <x:c r="R195" s="137" t="str"/>
      <x:c r="S195" s="137" t="str"/>
      <x:c r="T195" s="138" t="str"/>
      <x:c r="U195" s="137" t="str"/>
      <x:c r="V195" s="137" t="str"/>
    </x:row>
    <x:row r="196">
      <x:c r="A196" s="137" t="str"/>
      <x:c r="B196" s="138" t="str"/>
      <x:c r="C196" s="137" t="str"/>
      <x:c r="D196" s="137" t="str"/>
      <x:c r="E196" s="137" t="str"/>
      <x:c r="F196" s="137" t="str"/>
      <x:c r="G196" s="137" t="str"/>
      <x:c r="H196" s="137" t="str"/>
      <x:c r="I196" s="137" t="str"/>
      <x:c r="J196" s="137" t="str"/>
      <x:c r="K196" s="137" t="str"/>
      <x:c r="L196" s="137" t="str"/>
      <x:c r="M196" s="137" t="str"/>
      <x:c r="N196" s="137" t="str"/>
      <x:c r="O196" s="137" t="str"/>
      <x:c r="P196" s="138" t="str"/>
      <x:c r="Q196" s="137" t="str"/>
      <x:c r="R196" s="137" t="str"/>
      <x:c r="S196" s="137" t="str"/>
      <x:c r="T196" s="138" t="str"/>
      <x:c r="U196" s="137" t="str"/>
      <x:c r="V196" s="137" t="str"/>
    </x:row>
    <x:row r="197">
      <x:c r="A197" s="137" t="str"/>
      <x:c r="B197" s="138" t="str"/>
      <x:c r="C197" s="137" t="str"/>
      <x:c r="D197" s="137" t="str"/>
      <x:c r="E197" s="137" t="str"/>
      <x:c r="F197" s="137" t="str"/>
      <x:c r="G197" s="137" t="str"/>
      <x:c r="H197" s="137" t="str"/>
      <x:c r="I197" s="137" t="str"/>
      <x:c r="J197" s="137" t="str"/>
      <x:c r="K197" s="137" t="str"/>
      <x:c r="L197" s="137" t="str"/>
      <x:c r="M197" s="137" t="str"/>
      <x:c r="N197" s="137" t="str"/>
      <x:c r="O197" s="137" t="str"/>
      <x:c r="P197" s="138" t="str"/>
      <x:c r="Q197" s="137" t="str"/>
      <x:c r="R197" s="137" t="str"/>
      <x:c r="S197" s="137" t="str"/>
      <x:c r="T197" s="138" t="str"/>
      <x:c r="U197" s="137" t="str"/>
      <x:c r="V197" s="137" t="str"/>
    </x:row>
    <x:row r="198">
      <x:c r="A198" s="137" t="str"/>
      <x:c r="B198" s="138" t="str"/>
      <x:c r="C198" s="137" t="str"/>
      <x:c r="D198" s="137" t="str"/>
      <x:c r="E198" s="137" t="str"/>
      <x:c r="F198" s="137" t="str"/>
      <x:c r="G198" s="137" t="str"/>
      <x:c r="H198" s="137" t="str"/>
      <x:c r="I198" s="137" t="str"/>
      <x:c r="J198" s="137" t="str"/>
      <x:c r="K198" s="137" t="str"/>
      <x:c r="L198" s="137" t="str"/>
      <x:c r="M198" s="137" t="str"/>
      <x:c r="N198" s="137" t="str"/>
      <x:c r="O198" s="137" t="str"/>
      <x:c r="P198" s="138" t="str"/>
      <x:c r="Q198" s="137" t="str"/>
      <x:c r="R198" s="137" t="str"/>
      <x:c r="S198" s="137" t="str"/>
      <x:c r="T198" s="138" t="str"/>
      <x:c r="U198" s="137" t="str"/>
      <x:c r="V198" s="137" t="str"/>
    </x:row>
    <x:row r="199">
      <x:c r="A199" s="137" t="str"/>
      <x:c r="B199" s="138" t="str"/>
      <x:c r="C199" s="137" t="str"/>
      <x:c r="D199" s="137" t="str"/>
      <x:c r="E199" s="137" t="str"/>
      <x:c r="F199" s="137" t="str"/>
      <x:c r="G199" s="137" t="str"/>
      <x:c r="H199" s="137" t="str"/>
      <x:c r="I199" s="137" t="str"/>
      <x:c r="J199" s="137" t="str"/>
      <x:c r="K199" s="137" t="str"/>
      <x:c r="L199" s="137" t="str"/>
      <x:c r="M199" s="137" t="str"/>
      <x:c r="N199" s="137" t="str"/>
      <x:c r="O199" s="137" t="str"/>
      <x:c r="P199" s="138" t="str"/>
      <x:c r="Q199" s="137" t="str"/>
      <x:c r="R199" s="137" t="str"/>
      <x:c r="S199" s="137" t="str"/>
      <x:c r="T199" s="138" t="str"/>
      <x:c r="U199" s="137" t="str"/>
      <x:c r="V199" s="137" t="str"/>
    </x:row>
    <x:row r="200">
      <x:c r="A200" s="137" t="str"/>
      <x:c r="B200" s="138" t="str"/>
      <x:c r="C200" s="137" t="str"/>
      <x:c r="D200" s="137" t="str"/>
      <x:c r="E200" s="137" t="str"/>
      <x:c r="F200" s="137" t="str"/>
      <x:c r="G200" s="137" t="str"/>
      <x:c r="H200" s="137" t="str"/>
      <x:c r="I200" s="137" t="str"/>
      <x:c r="J200" s="137" t="str"/>
      <x:c r="K200" s="137" t="str"/>
      <x:c r="L200" s="137" t="str"/>
      <x:c r="M200" s="137" t="str"/>
      <x:c r="N200" s="137" t="str"/>
      <x:c r="O200" s="137" t="str"/>
      <x:c r="P200" s="138" t="str"/>
      <x:c r="Q200" s="137" t="str"/>
      <x:c r="R200" s="137" t="str"/>
      <x:c r="S200" s="137" t="str"/>
      <x:c r="T200" s="138" t="str"/>
      <x:c r="U200" s="137" t="str"/>
      <x:c r="V200" s="137" t="str"/>
    </x:row>
    <x:row r="201">
      <x:c r="A201" s="137" t="str"/>
      <x:c r="B201" s="138" t="str"/>
      <x:c r="C201" s="137" t="str"/>
      <x:c r="D201" s="137" t="str"/>
      <x:c r="E201" s="137" t="str"/>
      <x:c r="F201" s="137" t="str"/>
      <x:c r="G201" s="137" t="str"/>
      <x:c r="H201" s="137" t="str"/>
      <x:c r="I201" s="137" t="str"/>
      <x:c r="J201" s="137" t="str"/>
      <x:c r="K201" s="137" t="str"/>
      <x:c r="L201" s="137" t="str"/>
      <x:c r="M201" s="137" t="str"/>
      <x:c r="N201" s="137" t="str"/>
      <x:c r="O201" s="137" t="str"/>
      <x:c r="P201" s="138" t="str"/>
      <x:c r="Q201" s="137" t="str"/>
      <x:c r="R201" s="137" t="str"/>
      <x:c r="S201" s="137" t="str"/>
      <x:c r="T201" s="138" t="str"/>
      <x:c r="U201" s="137" t="str"/>
      <x:c r="V201" s="137" t="str"/>
    </x:row>
    <x:row r="202">
      <x:c r="A202" s="137" t="str"/>
      <x:c r="B202" s="138" t="str"/>
      <x:c r="C202" s="137" t="str"/>
      <x:c r="D202" s="137" t="str"/>
      <x:c r="E202" s="137" t="str"/>
      <x:c r="F202" s="137" t="str"/>
      <x:c r="G202" s="137" t="str"/>
      <x:c r="H202" s="137" t="str"/>
      <x:c r="I202" s="137" t="str"/>
      <x:c r="J202" s="137" t="str"/>
      <x:c r="K202" s="137" t="str"/>
      <x:c r="L202" s="137" t="str"/>
      <x:c r="M202" s="137" t="str"/>
      <x:c r="N202" s="137" t="str"/>
      <x:c r="O202" s="137" t="str"/>
      <x:c r="P202" s="138" t="str"/>
      <x:c r="Q202" s="137" t="str"/>
      <x:c r="R202" s="137" t="str"/>
      <x:c r="S202" s="137" t="str"/>
      <x:c r="T202" s="138" t="str"/>
      <x:c r="U202" s="137" t="str"/>
      <x:c r="V202" s="137" t="str"/>
    </x:row>
    <x:row r="203">
      <x:c r="A203" s="137" t="str"/>
      <x:c r="B203" s="138" t="str"/>
      <x:c r="C203" s="137" t="str"/>
      <x:c r="D203" s="137" t="str"/>
      <x:c r="E203" s="137" t="str"/>
      <x:c r="F203" s="137" t="str"/>
      <x:c r="G203" s="137" t="str"/>
      <x:c r="H203" s="137" t="str"/>
      <x:c r="I203" s="137" t="str"/>
      <x:c r="J203" s="137" t="str"/>
      <x:c r="K203" s="137" t="str"/>
      <x:c r="L203" s="137" t="str"/>
      <x:c r="M203" s="137" t="str"/>
      <x:c r="N203" s="137" t="str"/>
      <x:c r="O203" s="137" t="str"/>
      <x:c r="P203" s="138" t="str"/>
      <x:c r="Q203" s="137" t="str"/>
      <x:c r="R203" s="137" t="str"/>
      <x:c r="S203" s="137" t="str"/>
      <x:c r="T203" s="138" t="str"/>
      <x:c r="U203" s="137" t="str"/>
      <x:c r="V203" s="137" t="str"/>
    </x:row>
    <x:row r="204">
      <x:c r="A204" s="137" t="str"/>
      <x:c r="B204" s="138" t="str"/>
      <x:c r="C204" s="137" t="str"/>
      <x:c r="D204" s="137" t="str"/>
      <x:c r="E204" s="137" t="str"/>
      <x:c r="F204" s="137" t="str"/>
      <x:c r="G204" s="137" t="str"/>
      <x:c r="H204" s="137" t="str"/>
      <x:c r="I204" s="137" t="str"/>
      <x:c r="J204" s="137" t="str"/>
      <x:c r="K204" s="137" t="str"/>
      <x:c r="L204" s="137" t="str"/>
      <x:c r="M204" s="137" t="str"/>
      <x:c r="N204" s="137" t="str"/>
      <x:c r="O204" s="137" t="str"/>
      <x:c r="P204" s="138" t="str"/>
      <x:c r="Q204" s="137" t="str"/>
      <x:c r="R204" s="137" t="str"/>
      <x:c r="S204" s="137" t="str"/>
      <x:c r="T204" s="138" t="str"/>
      <x:c r="U204" s="137" t="str"/>
      <x:c r="V204" s="137" t="str"/>
    </x:row>
    <x:row r="205">
      <x:c r="A205" s="137" t="str"/>
      <x:c r="B205" s="138" t="str"/>
      <x:c r="C205" s="137" t="str"/>
      <x:c r="D205" s="137" t="str"/>
      <x:c r="E205" s="137" t="str"/>
      <x:c r="F205" s="137" t="str"/>
      <x:c r="G205" s="137" t="str"/>
      <x:c r="H205" s="137" t="str"/>
      <x:c r="I205" s="137" t="str"/>
      <x:c r="J205" s="137" t="str"/>
      <x:c r="K205" s="137" t="str"/>
      <x:c r="L205" s="137" t="str"/>
      <x:c r="M205" s="137" t="str"/>
      <x:c r="N205" s="137" t="str"/>
      <x:c r="O205" s="137" t="str"/>
      <x:c r="P205" s="138" t="str"/>
      <x:c r="Q205" s="137" t="str"/>
      <x:c r="R205" s="137" t="str"/>
      <x:c r="S205" s="137" t="str"/>
      <x:c r="T205" s="138" t="str"/>
      <x:c r="U205" s="137" t="str"/>
      <x:c r="V205" s="137" t="str"/>
    </x:row>
    <x:row r="206">
      <x:c r="A206" s="137" t="str"/>
      <x:c r="B206" s="138" t="str"/>
      <x:c r="C206" s="137" t="str"/>
      <x:c r="D206" s="137" t="str"/>
      <x:c r="E206" s="137" t="str"/>
      <x:c r="F206" s="137" t="str"/>
      <x:c r="G206" s="137" t="str"/>
      <x:c r="H206" s="137" t="str"/>
      <x:c r="I206" s="137" t="str"/>
      <x:c r="J206" s="137" t="str"/>
      <x:c r="K206" s="137" t="str"/>
      <x:c r="L206" s="137" t="str"/>
      <x:c r="M206" s="137" t="str"/>
      <x:c r="N206" s="137" t="str"/>
      <x:c r="O206" s="137" t="str"/>
      <x:c r="P206" s="138" t="str"/>
      <x:c r="Q206" s="137" t="str"/>
      <x:c r="R206" s="137" t="str"/>
      <x:c r="S206" s="137" t="str"/>
      <x:c r="T206" s="138" t="str"/>
      <x:c r="U206" s="137" t="str"/>
      <x:c r="V206" s="137" t="str"/>
    </x:row>
    <x:row r="207">
      <x:c r="A207" s="137" t="str"/>
      <x:c r="B207" s="138" t="str"/>
      <x:c r="C207" s="137" t="str"/>
      <x:c r="D207" s="137" t="str"/>
      <x:c r="E207" s="137" t="str"/>
      <x:c r="F207" s="137" t="str"/>
      <x:c r="G207" s="137" t="str"/>
      <x:c r="H207" s="137" t="str"/>
      <x:c r="I207" s="137" t="str"/>
      <x:c r="J207" s="137" t="str"/>
      <x:c r="K207" s="137" t="str"/>
      <x:c r="L207" s="137" t="str"/>
      <x:c r="M207" s="137" t="str"/>
      <x:c r="N207" s="137" t="str"/>
      <x:c r="O207" s="137" t="str"/>
      <x:c r="P207" s="138" t="str"/>
      <x:c r="Q207" s="137" t="str"/>
      <x:c r="R207" s="137" t="str"/>
      <x:c r="S207" s="137" t="str"/>
      <x:c r="T207" s="138" t="str"/>
      <x:c r="U207" s="137" t="str"/>
      <x:c r="V207" s="137" t="str"/>
    </x:row>
    <x:row r="208">
      <x:c r="A208" s="137" t="str"/>
      <x:c r="B208" s="138" t="str"/>
      <x:c r="C208" s="137" t="str"/>
      <x:c r="D208" s="137" t="str"/>
      <x:c r="E208" s="137" t="str"/>
      <x:c r="F208" s="137" t="str"/>
      <x:c r="G208" s="137" t="str"/>
      <x:c r="H208" s="137" t="str"/>
      <x:c r="I208" s="137" t="str"/>
      <x:c r="J208" s="137" t="str"/>
      <x:c r="K208" s="137" t="str"/>
      <x:c r="L208" s="137" t="str"/>
      <x:c r="M208" s="137" t="str"/>
      <x:c r="N208" s="137" t="str"/>
      <x:c r="O208" s="137" t="str"/>
      <x:c r="P208" s="138" t="str"/>
      <x:c r="Q208" s="137" t="str"/>
      <x:c r="R208" s="137" t="str"/>
      <x:c r="S208" s="137" t="str"/>
      <x:c r="T208" s="138" t="str"/>
      <x:c r="U208" s="137" t="str"/>
      <x:c r="V208" s="137" t="str"/>
    </x:row>
    <x:row r="209">
      <x:c r="A209" s="137" t="str"/>
      <x:c r="B209" s="138" t="str"/>
      <x:c r="C209" s="137" t="str"/>
      <x:c r="D209" s="137" t="str"/>
      <x:c r="E209" s="137" t="str"/>
      <x:c r="F209" s="137" t="str"/>
      <x:c r="G209" s="137" t="str"/>
      <x:c r="H209" s="137" t="str"/>
      <x:c r="I209" s="137" t="str"/>
      <x:c r="J209" s="137" t="str"/>
      <x:c r="K209" s="137" t="str"/>
      <x:c r="L209" s="137" t="str"/>
      <x:c r="M209" s="137" t="str"/>
      <x:c r="N209" s="137" t="str"/>
      <x:c r="O209" s="137" t="str"/>
      <x:c r="P209" s="138" t="str"/>
      <x:c r="Q209" s="137" t="str"/>
      <x:c r="R209" s="137" t="str"/>
      <x:c r="S209" s="137" t="str"/>
      <x:c r="T209" s="138" t="str"/>
      <x:c r="U209" s="137" t="str"/>
      <x:c r="V209" s="137" t="str"/>
    </x:row>
    <x:row r="210">
      <x:c r="A210" s="137" t="str"/>
      <x:c r="B210" s="138" t="str"/>
      <x:c r="C210" s="137" t="str"/>
      <x:c r="D210" s="137" t="str"/>
      <x:c r="E210" s="137" t="str"/>
      <x:c r="F210" s="137" t="str"/>
      <x:c r="G210" s="137" t="str"/>
      <x:c r="H210" s="137" t="str"/>
      <x:c r="I210" s="137" t="str"/>
      <x:c r="J210" s="137" t="str"/>
      <x:c r="K210" s="137" t="str"/>
      <x:c r="L210" s="137" t="str"/>
      <x:c r="M210" s="137" t="str"/>
      <x:c r="N210" s="137" t="str"/>
      <x:c r="O210" s="137" t="str"/>
      <x:c r="P210" s="138" t="str"/>
      <x:c r="Q210" s="137" t="str"/>
      <x:c r="R210" s="137" t="str"/>
      <x:c r="S210" s="137" t="str"/>
      <x:c r="T210" s="138" t="str"/>
      <x:c r="U210" s="137" t="str"/>
      <x:c r="V210" s="137" t="str"/>
    </x:row>
    <x:row r="211">
      <x:c r="A211" s="137" t="str"/>
      <x:c r="B211" s="138" t="str"/>
      <x:c r="C211" s="137" t="str"/>
      <x:c r="D211" s="137" t="str"/>
      <x:c r="E211" s="137" t="str"/>
      <x:c r="F211" s="137" t="str"/>
      <x:c r="G211" s="137" t="str"/>
      <x:c r="H211" s="137" t="str"/>
      <x:c r="I211" s="137" t="str"/>
      <x:c r="J211" s="137" t="str"/>
      <x:c r="K211" s="137" t="str"/>
      <x:c r="L211" s="137" t="str"/>
      <x:c r="M211" s="137" t="str"/>
      <x:c r="N211" s="137" t="str"/>
      <x:c r="O211" s="137" t="str"/>
      <x:c r="P211" s="138" t="str"/>
      <x:c r="Q211" s="137" t="str"/>
      <x:c r="R211" s="137" t="str"/>
      <x:c r="S211" s="137" t="str"/>
      <x:c r="T211" s="138" t="str"/>
      <x:c r="U211" s="137" t="str"/>
      <x:c r="V211" s="137" t="str"/>
    </x:row>
    <x:row r="212">
      <x:c r="A212" s="137" t="str"/>
      <x:c r="B212" s="138" t="str"/>
      <x:c r="C212" s="137" t="str"/>
      <x:c r="D212" s="137" t="str"/>
      <x:c r="E212" s="137" t="str"/>
      <x:c r="F212" s="137" t="str"/>
      <x:c r="G212" s="137" t="str"/>
      <x:c r="H212" s="137" t="str"/>
      <x:c r="I212" s="137" t="str"/>
      <x:c r="J212" s="137" t="str"/>
      <x:c r="K212" s="137" t="str"/>
      <x:c r="L212" s="137" t="str"/>
      <x:c r="M212" s="137" t="str"/>
      <x:c r="N212" s="137" t="str"/>
      <x:c r="O212" s="137" t="str"/>
      <x:c r="P212" s="138" t="str"/>
      <x:c r="Q212" s="137" t="str"/>
      <x:c r="R212" s="137" t="str"/>
      <x:c r="S212" s="137" t="str"/>
      <x:c r="T212" s="138" t="str"/>
      <x:c r="U212" s="137" t="str"/>
      <x:c r="V212" s="137" t="str"/>
    </x:row>
    <x:row r="213">
      <x:c r="A213" s="137" t="str"/>
      <x:c r="B213" s="138" t="str"/>
      <x:c r="C213" s="137" t="str"/>
      <x:c r="D213" s="137" t="str"/>
      <x:c r="E213" s="137" t="str"/>
      <x:c r="F213" s="137" t="str"/>
      <x:c r="G213" s="137" t="str"/>
      <x:c r="H213" s="137" t="str"/>
      <x:c r="I213" s="137" t="str"/>
      <x:c r="J213" s="137" t="str"/>
      <x:c r="K213" s="137" t="str"/>
      <x:c r="L213" s="137" t="str"/>
      <x:c r="M213" s="137" t="str"/>
      <x:c r="N213" s="137" t="str"/>
      <x:c r="O213" s="137" t="str"/>
      <x:c r="P213" s="138" t="str"/>
      <x:c r="Q213" s="137" t="str"/>
      <x:c r="R213" s="137" t="str"/>
      <x:c r="S213" s="137" t="str"/>
      <x:c r="T213" s="138" t="str"/>
      <x:c r="U213" s="137" t="str"/>
      <x:c r="V213" s="137" t="str"/>
    </x:row>
    <x:row r="214">
      <x:c r="A214" s="137" t="str"/>
      <x:c r="B214" s="138" t="str"/>
      <x:c r="C214" s="137" t="str"/>
      <x:c r="D214" s="137" t="str"/>
      <x:c r="E214" s="137" t="str"/>
      <x:c r="F214" s="137" t="str"/>
      <x:c r="G214" s="137" t="str"/>
      <x:c r="H214" s="137" t="str"/>
      <x:c r="I214" s="137" t="str"/>
      <x:c r="J214" s="137" t="str"/>
      <x:c r="K214" s="137" t="str"/>
      <x:c r="L214" s="137" t="str"/>
      <x:c r="M214" s="137" t="str"/>
      <x:c r="N214" s="137" t="str"/>
      <x:c r="O214" s="137" t="str"/>
      <x:c r="P214" s="138" t="str"/>
      <x:c r="Q214" s="137" t="str"/>
      <x:c r="R214" s="137" t="str"/>
      <x:c r="S214" s="137" t="str"/>
      <x:c r="T214" s="138" t="str"/>
      <x:c r="U214" s="137" t="str"/>
      <x:c r="V214" s="137" t="str"/>
    </x:row>
    <x:row r="215">
      <x:c r="A215" s="137" t="str"/>
      <x:c r="B215" s="138" t="str"/>
      <x:c r="C215" s="137" t="str"/>
      <x:c r="D215" s="137" t="str"/>
      <x:c r="E215" s="137" t="str"/>
      <x:c r="F215" s="137" t="str"/>
      <x:c r="G215" s="137" t="str"/>
      <x:c r="H215" s="137" t="str"/>
      <x:c r="I215" s="137" t="str"/>
      <x:c r="J215" s="137" t="str"/>
      <x:c r="K215" s="137" t="str"/>
      <x:c r="L215" s="137" t="str"/>
      <x:c r="M215" s="137" t="str"/>
      <x:c r="N215" s="137" t="str"/>
      <x:c r="O215" s="137" t="str"/>
      <x:c r="P215" s="138" t="str"/>
      <x:c r="Q215" s="137" t="str"/>
      <x:c r="R215" s="137" t="str"/>
      <x:c r="S215" s="137" t="str"/>
      <x:c r="T215" s="138" t="str"/>
      <x:c r="U215" s="137" t="str"/>
      <x:c r="V215" s="137" t="str"/>
    </x:row>
    <x:row r="216">
      <x:c r="A216" s="137" t="str"/>
      <x:c r="B216" s="138" t="str"/>
      <x:c r="C216" s="137" t="str"/>
      <x:c r="D216" s="137" t="str"/>
      <x:c r="E216" s="137" t="str"/>
      <x:c r="F216" s="137" t="str"/>
      <x:c r="G216" s="137" t="str"/>
      <x:c r="H216" s="137" t="str"/>
      <x:c r="I216" s="137" t="str"/>
      <x:c r="J216" s="137" t="str"/>
      <x:c r="K216" s="137" t="str"/>
      <x:c r="L216" s="137" t="str"/>
      <x:c r="M216" s="137" t="str"/>
      <x:c r="N216" s="137" t="str"/>
      <x:c r="O216" s="137" t="str"/>
      <x:c r="P216" s="138" t="str"/>
      <x:c r="Q216" s="137" t="str"/>
      <x:c r="R216" s="137" t="str"/>
      <x:c r="S216" s="137" t="str"/>
      <x:c r="T216" s="138" t="str"/>
      <x:c r="U216" s="137" t="str"/>
      <x:c r="V216" s="137" t="str"/>
    </x:row>
    <x:row r="217">
      <x:c r="A217" s="137" t="str"/>
      <x:c r="B217" s="138" t="str"/>
      <x:c r="C217" s="137" t="str"/>
      <x:c r="D217" s="137" t="str"/>
      <x:c r="E217" s="137" t="str"/>
      <x:c r="F217" s="137" t="str"/>
      <x:c r="G217" s="137" t="str"/>
      <x:c r="H217" s="137" t="str"/>
      <x:c r="I217" s="137" t="str"/>
      <x:c r="J217" s="137" t="str"/>
      <x:c r="K217" s="137" t="str"/>
      <x:c r="L217" s="137" t="str"/>
      <x:c r="M217" s="137" t="str"/>
      <x:c r="N217" s="137" t="str"/>
      <x:c r="O217" s="137" t="str"/>
      <x:c r="P217" s="138" t="str"/>
      <x:c r="Q217" s="137" t="str"/>
      <x:c r="R217" s="137" t="str"/>
      <x:c r="S217" s="137" t="str"/>
      <x:c r="T217" s="138" t="str"/>
      <x:c r="U217" s="137" t="str"/>
      <x:c r="V217" s="137" t="str"/>
    </x:row>
    <x:row r="218">
      <x:c r="A218" s="137" t="str"/>
      <x:c r="B218" s="138" t="str"/>
      <x:c r="C218" s="137" t="str"/>
      <x:c r="D218" s="137" t="str"/>
      <x:c r="E218" s="137" t="str"/>
      <x:c r="F218" s="137" t="str"/>
      <x:c r="G218" s="137" t="str"/>
      <x:c r="H218" s="137" t="str"/>
      <x:c r="I218" s="137" t="str"/>
      <x:c r="J218" s="137" t="str"/>
      <x:c r="K218" s="137" t="str"/>
      <x:c r="L218" s="137" t="str"/>
      <x:c r="M218" s="137" t="str"/>
      <x:c r="N218" s="137" t="str"/>
      <x:c r="O218" s="137" t="str"/>
      <x:c r="P218" s="138" t="str"/>
      <x:c r="Q218" s="137" t="str"/>
      <x:c r="R218" s="137" t="str"/>
      <x:c r="S218" s="137" t="str"/>
      <x:c r="T218" s="138" t="str"/>
      <x:c r="U218" s="137" t="str"/>
      <x:c r="V218" s="137" t="str"/>
    </x:row>
    <x:row r="219">
      <x:c r="A219" s="137" t="str"/>
      <x:c r="B219" s="138" t="str"/>
      <x:c r="C219" s="137" t="str"/>
      <x:c r="D219" s="137" t="str"/>
      <x:c r="E219" s="137" t="str"/>
      <x:c r="F219" s="137" t="str"/>
      <x:c r="G219" s="137" t="str"/>
      <x:c r="H219" s="137" t="str"/>
      <x:c r="I219" s="137" t="str"/>
      <x:c r="J219" s="137" t="str"/>
      <x:c r="K219" s="137" t="str"/>
      <x:c r="L219" s="137" t="str"/>
      <x:c r="M219" s="137" t="str"/>
      <x:c r="N219" s="137" t="str"/>
      <x:c r="O219" s="137" t="str"/>
      <x:c r="P219" s="138" t="str"/>
      <x:c r="Q219" s="137" t="str"/>
      <x:c r="R219" s="137" t="str"/>
      <x:c r="S219" s="137" t="str"/>
      <x:c r="T219" s="138" t="str"/>
      <x:c r="U219" s="137" t="str"/>
      <x:c r="V219" s="137" t="str"/>
    </x:row>
    <x:row r="220">
      <x:c r="A220" s="137" t="str"/>
      <x:c r="B220" s="138" t="str"/>
      <x:c r="C220" s="137" t="str"/>
      <x:c r="D220" s="137" t="str"/>
      <x:c r="E220" s="137" t="str"/>
      <x:c r="F220" s="137" t="str"/>
      <x:c r="G220" s="137" t="str"/>
      <x:c r="H220" s="137" t="str"/>
      <x:c r="I220" s="137" t="str"/>
      <x:c r="J220" s="137" t="str"/>
      <x:c r="K220" s="137" t="str"/>
      <x:c r="L220" s="137" t="str"/>
      <x:c r="M220" s="137" t="str"/>
      <x:c r="N220" s="137" t="str"/>
      <x:c r="O220" s="137" t="str"/>
      <x:c r="P220" s="138" t="str"/>
      <x:c r="Q220" s="137" t="str"/>
      <x:c r="R220" s="137" t="str"/>
      <x:c r="S220" s="137" t="str"/>
      <x:c r="T220" s="138" t="str"/>
      <x:c r="U220" s="137" t="str"/>
      <x:c r="V220" s="137" t="str"/>
    </x:row>
    <x:row r="221">
      <x:c r="A221" s="137" t="str"/>
      <x:c r="B221" s="138" t="str"/>
      <x:c r="C221" s="137" t="str"/>
      <x:c r="D221" s="137" t="str"/>
      <x:c r="E221" s="137" t="str"/>
      <x:c r="F221" s="137" t="str"/>
      <x:c r="G221" s="137" t="str"/>
      <x:c r="H221" s="137" t="str"/>
      <x:c r="I221" s="137" t="str"/>
      <x:c r="J221" s="137" t="str"/>
      <x:c r="K221" s="137" t="str"/>
      <x:c r="L221" s="137" t="str"/>
      <x:c r="M221" s="137" t="str"/>
      <x:c r="N221" s="137" t="str"/>
      <x:c r="O221" s="137" t="str"/>
      <x:c r="P221" s="138" t="str"/>
      <x:c r="Q221" s="137" t="str"/>
      <x:c r="R221" s="137" t="str"/>
      <x:c r="S221" s="137" t="str"/>
      <x:c r="T221" s="138" t="str"/>
      <x:c r="U221" s="137" t="str"/>
      <x:c r="V221" s="137" t="str"/>
    </x:row>
    <x:row r="222">
      <x:c r="A222" s="137" t="str"/>
      <x:c r="B222" s="138" t="str"/>
      <x:c r="C222" s="137" t="str"/>
      <x:c r="D222" s="137" t="str"/>
      <x:c r="E222" s="137" t="str"/>
      <x:c r="F222" s="137" t="str"/>
      <x:c r="G222" s="137" t="str"/>
      <x:c r="H222" s="137" t="str"/>
      <x:c r="I222" s="137" t="str"/>
      <x:c r="J222" s="137" t="str"/>
      <x:c r="K222" s="137" t="str"/>
      <x:c r="L222" s="137" t="str"/>
      <x:c r="M222" s="137" t="str"/>
      <x:c r="N222" s="137" t="str"/>
      <x:c r="O222" s="137" t="str"/>
      <x:c r="P222" s="138" t="str"/>
      <x:c r="Q222" s="137" t="str"/>
      <x:c r="R222" s="137" t="str"/>
      <x:c r="S222" s="137" t="str"/>
      <x:c r="T222" s="138" t="str"/>
      <x:c r="U222" s="137" t="str"/>
      <x:c r="V222" s="137" t="str"/>
    </x:row>
    <x:row r="223">
      <x:c r="A223" s="137" t="str"/>
      <x:c r="B223" s="138" t="str"/>
      <x:c r="C223" s="137" t="str"/>
      <x:c r="D223" s="137" t="str"/>
      <x:c r="E223" s="137" t="str"/>
      <x:c r="F223" s="137" t="str"/>
      <x:c r="G223" s="137" t="str"/>
      <x:c r="H223" s="137" t="str"/>
      <x:c r="I223" s="137" t="str"/>
      <x:c r="J223" s="137" t="str"/>
      <x:c r="K223" s="137" t="str"/>
      <x:c r="L223" s="137" t="str"/>
      <x:c r="M223" s="137" t="str"/>
      <x:c r="N223" s="137" t="str"/>
      <x:c r="O223" s="137" t="str"/>
      <x:c r="P223" s="138" t="str"/>
      <x:c r="Q223" s="137" t="str"/>
      <x:c r="R223" s="137" t="str"/>
      <x:c r="S223" s="137" t="str"/>
      <x:c r="T223" s="138" t="str"/>
      <x:c r="U223" s="137" t="str"/>
      <x:c r="V223" s="137" t="str"/>
    </x:row>
    <x:row r="224">
      <x:c r="A224" s="137" t="str"/>
      <x:c r="B224" s="138" t="str"/>
      <x:c r="C224" s="137" t="str"/>
      <x:c r="D224" s="137" t="str"/>
      <x:c r="E224" s="137" t="str"/>
      <x:c r="F224" s="137" t="str"/>
      <x:c r="G224" s="137" t="str"/>
      <x:c r="H224" s="137" t="str"/>
      <x:c r="I224" s="137" t="str"/>
      <x:c r="J224" s="137" t="str"/>
      <x:c r="K224" s="137" t="str"/>
      <x:c r="L224" s="137" t="str"/>
      <x:c r="M224" s="137" t="str"/>
      <x:c r="N224" s="137" t="str"/>
      <x:c r="O224" s="137" t="str"/>
      <x:c r="P224" s="138" t="str"/>
      <x:c r="Q224" s="137" t="str"/>
      <x:c r="R224" s="137" t="str"/>
      <x:c r="S224" s="137" t="str"/>
      <x:c r="T224" s="138" t="str"/>
      <x:c r="U224" s="137" t="str"/>
      <x:c r="V224" s="137" t="str"/>
    </x:row>
    <x:row r="225">
      <x:c r="A225" s="137" t="str"/>
      <x:c r="B225" s="138" t="str"/>
      <x:c r="C225" s="137" t="str"/>
      <x:c r="D225" s="137" t="str"/>
      <x:c r="E225" s="137" t="str"/>
      <x:c r="F225" s="137" t="str"/>
      <x:c r="G225" s="137" t="str"/>
      <x:c r="H225" s="137" t="str"/>
      <x:c r="I225" s="137" t="str"/>
      <x:c r="J225" s="137" t="str"/>
      <x:c r="K225" s="137" t="str"/>
      <x:c r="L225" s="137" t="str"/>
      <x:c r="M225" s="137" t="str"/>
      <x:c r="N225" s="137" t="str"/>
      <x:c r="O225" s="137" t="str"/>
      <x:c r="P225" s="138" t="str"/>
      <x:c r="Q225" s="137" t="str"/>
      <x:c r="R225" s="137" t="str"/>
      <x:c r="S225" s="137" t="str"/>
      <x:c r="T225" s="138" t="str"/>
      <x:c r="U225" s="137" t="str"/>
      <x:c r="V225" s="137" t="str"/>
    </x:row>
    <x:row r="226">
      <x:c r="A226" s="137" t="str"/>
      <x:c r="B226" s="138" t="str"/>
      <x:c r="C226" s="137" t="str"/>
      <x:c r="D226" s="137" t="str"/>
      <x:c r="E226" s="137" t="str"/>
      <x:c r="F226" s="137" t="str"/>
      <x:c r="G226" s="137" t="str"/>
      <x:c r="H226" s="137" t="str"/>
      <x:c r="I226" s="137" t="str"/>
      <x:c r="J226" s="137" t="str"/>
      <x:c r="K226" s="137" t="str"/>
      <x:c r="L226" s="137" t="str"/>
      <x:c r="M226" s="137" t="str"/>
      <x:c r="N226" s="137" t="str"/>
      <x:c r="O226" s="137" t="str"/>
      <x:c r="P226" s="138" t="str"/>
      <x:c r="Q226" s="137" t="str"/>
      <x:c r="R226" s="137" t="str"/>
      <x:c r="S226" s="137" t="str"/>
      <x:c r="T226" s="138" t="str"/>
      <x:c r="U226" s="137" t="str"/>
      <x:c r="V226" s="137" t="str"/>
    </x:row>
    <x:row r="227">
      <x:c r="A227" s="137" t="str"/>
      <x:c r="B227" s="138" t="str"/>
      <x:c r="C227" s="137" t="str"/>
      <x:c r="D227" s="137" t="str"/>
      <x:c r="E227" s="137" t="str"/>
      <x:c r="F227" s="137" t="str"/>
      <x:c r="G227" s="137" t="str"/>
      <x:c r="H227" s="137" t="str"/>
      <x:c r="I227" s="137" t="str"/>
      <x:c r="J227" s="137" t="str"/>
      <x:c r="K227" s="137" t="str"/>
      <x:c r="L227" s="137" t="str"/>
      <x:c r="M227" s="137" t="str"/>
      <x:c r="N227" s="137" t="str"/>
      <x:c r="O227" s="137" t="str"/>
      <x:c r="P227" s="138" t="str"/>
      <x:c r="Q227" s="137" t="str"/>
      <x:c r="R227" s="137" t="str"/>
      <x:c r="S227" s="137" t="str"/>
      <x:c r="T227" s="138" t="str"/>
      <x:c r="U227" s="137" t="str"/>
      <x:c r="V227" s="137" t="str"/>
    </x:row>
    <x:row r="228">
      <x:c r="A228" s="137" t="str"/>
      <x:c r="B228" s="138" t="str"/>
      <x:c r="C228" s="137" t="str"/>
      <x:c r="D228" s="137" t="str"/>
      <x:c r="E228" s="137" t="str"/>
      <x:c r="F228" s="137" t="str"/>
      <x:c r="G228" s="137" t="str"/>
      <x:c r="H228" s="137" t="str"/>
      <x:c r="I228" s="137" t="str"/>
      <x:c r="J228" s="137" t="str"/>
      <x:c r="K228" s="137" t="str"/>
      <x:c r="L228" s="137" t="str"/>
      <x:c r="M228" s="137" t="str"/>
      <x:c r="N228" s="137" t="str"/>
      <x:c r="O228" s="137" t="str"/>
      <x:c r="P228" s="138" t="str"/>
      <x:c r="Q228" s="137" t="str"/>
      <x:c r="R228" s="137" t="str"/>
      <x:c r="S228" s="137" t="str"/>
      <x:c r="T228" s="138" t="str"/>
      <x:c r="U228" s="137" t="str"/>
      <x:c r="V228" s="137" t="str"/>
    </x:row>
    <x:row r="229">
      <x:c r="A229" s="137" t="str"/>
      <x:c r="B229" s="138" t="str"/>
      <x:c r="C229" s="137" t="str"/>
      <x:c r="D229" s="137" t="str"/>
      <x:c r="E229" s="137" t="str"/>
      <x:c r="F229" s="137" t="str"/>
      <x:c r="G229" s="137" t="str"/>
      <x:c r="H229" s="137" t="str"/>
      <x:c r="I229" s="137" t="str"/>
      <x:c r="J229" s="137" t="str"/>
      <x:c r="K229" s="137" t="str"/>
      <x:c r="L229" s="137" t="str"/>
      <x:c r="M229" s="137" t="str"/>
      <x:c r="N229" s="137" t="str"/>
      <x:c r="O229" s="137" t="str"/>
      <x:c r="P229" s="138" t="str"/>
      <x:c r="Q229" s="137" t="str"/>
      <x:c r="R229" s="137" t="str"/>
      <x:c r="S229" s="137" t="str"/>
      <x:c r="T229" s="138" t="str"/>
      <x:c r="U229" s="137" t="str"/>
      <x:c r="V229" s="137" t="str"/>
    </x:row>
    <x:row r="230">
      <x:c r="A230" s="137" t="str"/>
      <x:c r="B230" s="138" t="str"/>
      <x:c r="C230" s="137" t="str"/>
      <x:c r="D230" s="137" t="str"/>
      <x:c r="E230" s="137" t="str"/>
      <x:c r="F230" s="137" t="str"/>
      <x:c r="G230" s="137" t="str"/>
      <x:c r="H230" s="137" t="str"/>
      <x:c r="I230" s="137" t="str"/>
      <x:c r="J230" s="137" t="str"/>
      <x:c r="K230" s="137" t="str"/>
      <x:c r="L230" s="137" t="str"/>
      <x:c r="M230" s="137" t="str"/>
      <x:c r="N230" s="137" t="str"/>
      <x:c r="O230" s="137" t="str"/>
      <x:c r="P230" s="138" t="str"/>
      <x:c r="Q230" s="137" t="str"/>
      <x:c r="R230" s="137" t="str"/>
      <x:c r="S230" s="137" t="str"/>
      <x:c r="T230" s="138" t="str"/>
      <x:c r="U230" s="137" t="str"/>
      <x:c r="V230" s="137" t="str"/>
    </x:row>
    <x:row r="231">
      <x:c r="A231" s="137" t="str"/>
      <x:c r="B231" s="138" t="str"/>
      <x:c r="C231" s="137" t="str"/>
      <x:c r="D231" s="137" t="str"/>
      <x:c r="E231" s="137" t="str"/>
      <x:c r="F231" s="137" t="str"/>
      <x:c r="G231" s="137" t="str"/>
      <x:c r="H231" s="137" t="str"/>
      <x:c r="I231" s="137" t="str"/>
      <x:c r="J231" s="137" t="str"/>
      <x:c r="K231" s="137" t="str"/>
      <x:c r="L231" s="137" t="str"/>
      <x:c r="M231" s="137" t="str"/>
      <x:c r="N231" s="137" t="str"/>
      <x:c r="O231" s="137" t="str"/>
      <x:c r="P231" s="138" t="str"/>
      <x:c r="Q231" s="137" t="str"/>
      <x:c r="R231" s="137" t="str"/>
      <x:c r="S231" s="137" t="str"/>
      <x:c r="T231" s="138" t="str"/>
      <x:c r="U231" s="137" t="str"/>
      <x:c r="V231" s="137" t="str"/>
    </x:row>
    <x:row r="232">
      <x:c r="A232" s="137" t="str"/>
      <x:c r="B232" s="138" t="str"/>
      <x:c r="C232" s="137" t="str"/>
      <x:c r="D232" s="137" t="str"/>
      <x:c r="E232" s="137" t="str"/>
      <x:c r="F232" s="137" t="str"/>
      <x:c r="G232" s="137" t="str"/>
      <x:c r="H232" s="137" t="str"/>
      <x:c r="I232" s="137" t="str"/>
      <x:c r="J232" s="137" t="str"/>
      <x:c r="K232" s="137" t="str"/>
      <x:c r="L232" s="137" t="str"/>
      <x:c r="M232" s="137" t="str"/>
      <x:c r="N232" s="137" t="str"/>
      <x:c r="O232" s="137" t="str"/>
      <x:c r="P232" s="138" t="str"/>
      <x:c r="Q232" s="137" t="str"/>
      <x:c r="R232" s="137" t="str"/>
      <x:c r="S232" s="137" t="str"/>
      <x:c r="T232" s="138" t="str"/>
      <x:c r="U232" s="137" t="str"/>
      <x:c r="V232" s="137" t="str"/>
    </x:row>
    <x:row r="233">
      <x:c r="A233" s="137" t="str"/>
      <x:c r="B233" s="138" t="str"/>
      <x:c r="C233" s="137" t="str"/>
      <x:c r="D233" s="137" t="str"/>
      <x:c r="E233" s="137" t="str"/>
      <x:c r="F233" s="137" t="str"/>
      <x:c r="G233" s="137" t="str"/>
      <x:c r="H233" s="137" t="str"/>
      <x:c r="I233" s="137" t="str"/>
      <x:c r="J233" s="137" t="str"/>
      <x:c r="K233" s="137" t="str"/>
      <x:c r="L233" s="137" t="str"/>
      <x:c r="M233" s="137" t="str"/>
      <x:c r="N233" s="137" t="str"/>
      <x:c r="O233" s="137" t="str"/>
      <x:c r="P233" s="138" t="str"/>
      <x:c r="Q233" s="137" t="str"/>
      <x:c r="R233" s="137" t="str"/>
      <x:c r="S233" s="137" t="str"/>
      <x:c r="T233" s="138" t="str"/>
      <x:c r="U233" s="137" t="str"/>
      <x:c r="V233" s="137" t="str"/>
    </x:row>
    <x:row r="234">
      <x:c r="A234" s="137" t="str"/>
      <x:c r="B234" s="138" t="str"/>
      <x:c r="C234" s="137" t="str"/>
      <x:c r="D234" s="137" t="str"/>
      <x:c r="E234" s="137" t="str"/>
      <x:c r="F234" s="137" t="str"/>
      <x:c r="G234" s="137" t="str"/>
      <x:c r="H234" s="137" t="str"/>
      <x:c r="I234" s="137" t="str"/>
      <x:c r="J234" s="137" t="str"/>
      <x:c r="K234" s="137" t="str"/>
      <x:c r="L234" s="137" t="str"/>
      <x:c r="M234" s="137" t="str"/>
      <x:c r="N234" s="137" t="str"/>
      <x:c r="O234" s="137" t="str"/>
      <x:c r="P234" s="138" t="str"/>
      <x:c r="Q234" s="137" t="str"/>
      <x:c r="R234" s="137" t="str"/>
      <x:c r="S234" s="137" t="str"/>
      <x:c r="T234" s="138" t="str"/>
      <x:c r="U234" s="137" t="str"/>
      <x:c r="V234" s="137" t="str"/>
    </x:row>
    <x:row r="235">
      <x:c r="A235" s="137" t="str"/>
      <x:c r="B235" s="138" t="str"/>
      <x:c r="C235" s="137" t="str"/>
      <x:c r="D235" s="137" t="str"/>
      <x:c r="E235" s="137" t="str"/>
      <x:c r="F235" s="137" t="str"/>
      <x:c r="G235" s="137" t="str"/>
      <x:c r="H235" s="137" t="str"/>
      <x:c r="I235" s="137" t="str"/>
      <x:c r="J235" s="137" t="str"/>
      <x:c r="K235" s="137" t="str"/>
      <x:c r="L235" s="137" t="str"/>
      <x:c r="M235" s="137" t="str"/>
      <x:c r="N235" s="137" t="str"/>
      <x:c r="O235" s="137" t="str"/>
      <x:c r="P235" s="138" t="str"/>
      <x:c r="Q235" s="137" t="str"/>
      <x:c r="R235" s="137" t="str"/>
      <x:c r="S235" s="137" t="str"/>
      <x:c r="T235" s="138" t="str"/>
      <x:c r="U235" s="137" t="str"/>
      <x:c r="V235" s="137" t="str"/>
    </x:row>
    <x:row r="236">
      <x:c r="A236" s="137" t="str"/>
      <x:c r="B236" s="138" t="str"/>
      <x:c r="C236" s="137" t="str"/>
      <x:c r="D236" s="137" t="str"/>
      <x:c r="E236" s="137" t="str"/>
      <x:c r="F236" s="137" t="str"/>
      <x:c r="G236" s="137" t="str"/>
      <x:c r="H236" s="137" t="str"/>
      <x:c r="I236" s="137" t="str"/>
      <x:c r="J236" s="137" t="str"/>
      <x:c r="K236" s="137" t="str"/>
      <x:c r="L236" s="137" t="str"/>
      <x:c r="M236" s="137" t="str"/>
      <x:c r="N236" s="137" t="str"/>
      <x:c r="O236" s="137" t="str"/>
      <x:c r="P236" s="138" t="str"/>
      <x:c r="Q236" s="137" t="str"/>
      <x:c r="R236" s="137" t="str"/>
      <x:c r="S236" s="137" t="str"/>
      <x:c r="T236" s="138" t="str"/>
      <x:c r="U236" s="137" t="str"/>
      <x:c r="V236" s="137" t="str"/>
    </x:row>
    <x:row r="237">
      <x:c r="A237" s="137" t="str"/>
      <x:c r="B237" s="138" t="str"/>
      <x:c r="C237" s="137" t="str"/>
      <x:c r="D237" s="137" t="str"/>
      <x:c r="E237" s="137" t="str"/>
      <x:c r="F237" s="137" t="str"/>
      <x:c r="G237" s="137" t="str"/>
      <x:c r="H237" s="137" t="str"/>
      <x:c r="I237" s="137" t="str"/>
      <x:c r="J237" s="137" t="str"/>
      <x:c r="K237" s="137" t="str"/>
      <x:c r="L237" s="137" t="str"/>
      <x:c r="M237" s="137" t="str"/>
      <x:c r="N237" s="137" t="str"/>
      <x:c r="O237" s="137" t="str"/>
      <x:c r="P237" s="138" t="str"/>
      <x:c r="Q237" s="137" t="str"/>
      <x:c r="R237" s="137" t="str"/>
      <x:c r="S237" s="137" t="str"/>
      <x:c r="T237" s="138" t="str"/>
      <x:c r="U237" s="137" t="str"/>
      <x:c r="V237" s="137" t="str"/>
    </x:row>
    <x:row r="238">
      <x:c r="A238" s="137" t="str"/>
      <x:c r="B238" s="138" t="str"/>
      <x:c r="C238" s="137" t="str"/>
      <x:c r="D238" s="137" t="str"/>
      <x:c r="E238" s="137" t="str"/>
      <x:c r="F238" s="137" t="str"/>
      <x:c r="G238" s="137" t="str"/>
      <x:c r="H238" s="137" t="str"/>
      <x:c r="I238" s="137" t="str"/>
      <x:c r="J238" s="137" t="str"/>
      <x:c r="K238" s="137" t="str"/>
      <x:c r="L238" s="137" t="str"/>
      <x:c r="M238" s="137" t="str"/>
      <x:c r="N238" s="137" t="str"/>
      <x:c r="O238" s="137" t="str"/>
      <x:c r="P238" s="138" t="str"/>
      <x:c r="Q238" s="137" t="str"/>
      <x:c r="R238" s="137" t="str"/>
      <x:c r="S238" s="137" t="str"/>
      <x:c r="T238" s="138" t="str"/>
      <x:c r="U238" s="137" t="str"/>
      <x:c r="V238" s="137" t="str"/>
    </x:row>
    <x:row r="239">
      <x:c r="A239" s="137" t="str"/>
      <x:c r="B239" s="138" t="str"/>
      <x:c r="C239" s="137" t="str"/>
      <x:c r="D239" s="137" t="str"/>
      <x:c r="E239" s="137" t="str"/>
      <x:c r="F239" s="137" t="str"/>
      <x:c r="G239" s="137" t="str"/>
      <x:c r="H239" s="137" t="str"/>
      <x:c r="I239" s="137" t="str"/>
      <x:c r="J239" s="137" t="str"/>
      <x:c r="K239" s="137" t="str"/>
      <x:c r="L239" s="137" t="str"/>
      <x:c r="M239" s="137" t="str"/>
      <x:c r="N239" s="137" t="str"/>
      <x:c r="O239" s="137" t="str"/>
      <x:c r="P239" s="138" t="str"/>
      <x:c r="Q239" s="137" t="str"/>
      <x:c r="R239" s="137" t="str"/>
      <x:c r="S239" s="137" t="str"/>
      <x:c r="T239" s="138" t="str"/>
      <x:c r="U239" s="137" t="str"/>
      <x:c r="V239" s="137" t="str"/>
    </x:row>
    <x:row r="240">
      <x:c r="A240" s="137" t="str"/>
      <x:c r="B240" s="138" t="str"/>
      <x:c r="C240" s="137" t="str"/>
      <x:c r="D240" s="137" t="str"/>
      <x:c r="E240" s="137" t="str"/>
      <x:c r="F240" s="137" t="str"/>
      <x:c r="G240" s="137" t="str"/>
      <x:c r="H240" s="137" t="str"/>
      <x:c r="I240" s="137" t="str"/>
      <x:c r="J240" s="137" t="str"/>
      <x:c r="K240" s="137" t="str"/>
      <x:c r="L240" s="137" t="str"/>
      <x:c r="M240" s="137" t="str"/>
      <x:c r="N240" s="137" t="str"/>
      <x:c r="O240" s="137" t="str"/>
      <x:c r="P240" s="138" t="str"/>
      <x:c r="Q240" s="137" t="str"/>
      <x:c r="R240" s="137" t="str"/>
      <x:c r="S240" s="137" t="str"/>
      <x:c r="T240" s="138" t="str"/>
      <x:c r="U240" s="137" t="str"/>
      <x:c r="V240" s="137" t="str"/>
    </x:row>
    <x:row r="241">
      <x:c r="A241" s="137" t="str"/>
      <x:c r="B241" s="138" t="str"/>
      <x:c r="C241" s="137" t="str"/>
      <x:c r="D241" s="137" t="str"/>
      <x:c r="E241" s="137" t="str"/>
      <x:c r="F241" s="137" t="str"/>
      <x:c r="G241" s="137" t="str"/>
      <x:c r="H241" s="137" t="str"/>
      <x:c r="I241" s="137" t="str"/>
      <x:c r="J241" s="137" t="str"/>
      <x:c r="K241" s="137" t="str"/>
      <x:c r="L241" s="137" t="str"/>
      <x:c r="M241" s="137" t="str"/>
      <x:c r="N241" s="137" t="str"/>
      <x:c r="O241" s="137" t="str"/>
      <x:c r="P241" s="138" t="str"/>
      <x:c r="Q241" s="137" t="str"/>
      <x:c r="R241" s="137" t="str"/>
      <x:c r="S241" s="137" t="str"/>
      <x:c r="T241" s="138" t="str"/>
      <x:c r="U241" s="137" t="str"/>
      <x:c r="V241" s="137" t="str"/>
    </x:row>
    <x:row r="242">
      <x:c r="A242" s="137" t="str"/>
      <x:c r="B242" s="138" t="str"/>
      <x:c r="C242" s="137" t="str"/>
      <x:c r="D242" s="137" t="str"/>
      <x:c r="E242" s="137" t="str"/>
      <x:c r="F242" s="137" t="str"/>
      <x:c r="G242" s="137" t="str"/>
      <x:c r="H242" s="137" t="str"/>
      <x:c r="I242" s="137" t="str"/>
      <x:c r="J242" s="137" t="str"/>
      <x:c r="K242" s="137" t="str"/>
      <x:c r="L242" s="137" t="str"/>
      <x:c r="M242" s="137" t="str"/>
      <x:c r="N242" s="137" t="str"/>
      <x:c r="O242" s="137" t="str"/>
      <x:c r="P242" s="138" t="str"/>
      <x:c r="Q242" s="137" t="str"/>
      <x:c r="R242" s="137" t="str"/>
      <x:c r="S242" s="137" t="str"/>
      <x:c r="T242" s="138" t="str"/>
      <x:c r="U242" s="137" t="str"/>
      <x:c r="V242" s="137" t="str"/>
    </x:row>
    <x:row r="243">
      <x:c r="A243" s="137" t="str"/>
      <x:c r="B243" s="138" t="str"/>
      <x:c r="C243" s="137" t="str"/>
      <x:c r="D243" s="137" t="str"/>
      <x:c r="E243" s="137" t="str"/>
      <x:c r="F243" s="137" t="str"/>
      <x:c r="G243" s="137" t="str"/>
      <x:c r="H243" s="137" t="str"/>
      <x:c r="I243" s="137" t="str"/>
      <x:c r="J243" s="137" t="str"/>
      <x:c r="K243" s="137" t="str"/>
      <x:c r="L243" s="137" t="str"/>
      <x:c r="M243" s="137" t="str"/>
      <x:c r="N243" s="137" t="str"/>
      <x:c r="O243" s="137" t="str"/>
      <x:c r="P243" s="138" t="str"/>
      <x:c r="Q243" s="137" t="str"/>
      <x:c r="R243" s="137" t="str"/>
      <x:c r="S243" s="137" t="str"/>
      <x:c r="T243" s="138" t="str"/>
      <x:c r="U243" s="137" t="str"/>
      <x:c r="V243" s="137" t="str"/>
    </x:row>
    <x:row r="244">
      <x:c r="A244" s="137" t="str"/>
      <x:c r="B244" s="138" t="str"/>
      <x:c r="C244" s="137" t="str"/>
      <x:c r="D244" s="137" t="str"/>
      <x:c r="E244" s="137" t="str"/>
      <x:c r="F244" s="137" t="str"/>
      <x:c r="G244" s="137" t="str"/>
      <x:c r="H244" s="137" t="str"/>
      <x:c r="I244" s="137" t="str"/>
      <x:c r="J244" s="137" t="str"/>
      <x:c r="K244" s="137" t="str"/>
      <x:c r="L244" s="137" t="str"/>
      <x:c r="M244" s="137" t="str"/>
      <x:c r="N244" s="137" t="str"/>
      <x:c r="O244" s="137" t="str"/>
      <x:c r="P244" s="138" t="str"/>
      <x:c r="Q244" s="137" t="str"/>
      <x:c r="R244" s="137" t="str"/>
      <x:c r="S244" s="137" t="str"/>
      <x:c r="T244" s="138" t="str"/>
      <x:c r="U244" s="137" t="str"/>
      <x:c r="V244" s="137" t="str"/>
    </x:row>
    <x:row r="245">
      <x:c r="A245" s="137" t="str"/>
      <x:c r="B245" s="138" t="str"/>
      <x:c r="C245" s="137" t="str"/>
      <x:c r="D245" s="137" t="str"/>
      <x:c r="E245" s="137" t="str"/>
      <x:c r="F245" s="137" t="str"/>
      <x:c r="G245" s="137" t="str"/>
      <x:c r="H245" s="137" t="str"/>
      <x:c r="I245" s="137" t="str"/>
      <x:c r="J245" s="137" t="str"/>
      <x:c r="K245" s="137" t="str"/>
      <x:c r="L245" s="137" t="str"/>
      <x:c r="M245" s="137" t="str"/>
      <x:c r="N245" s="137" t="str"/>
      <x:c r="O245" s="137" t="str"/>
      <x:c r="P245" s="138" t="str"/>
      <x:c r="Q245" s="137" t="str"/>
      <x:c r="R245" s="137" t="str"/>
      <x:c r="S245" s="137" t="str"/>
      <x:c r="T245" s="138" t="str"/>
      <x:c r="U245" s="137" t="str"/>
      <x:c r="V245" s="137" t="str"/>
    </x:row>
    <x:row r="246">
      <x:c r="A246" s="137" t="str"/>
      <x:c r="B246" s="138" t="str"/>
      <x:c r="C246" s="137" t="str"/>
      <x:c r="D246" s="137" t="str"/>
      <x:c r="E246" s="137" t="str"/>
      <x:c r="F246" s="137" t="str"/>
      <x:c r="G246" s="137" t="str"/>
      <x:c r="H246" s="137" t="str"/>
      <x:c r="I246" s="137" t="str"/>
      <x:c r="J246" s="137" t="str"/>
      <x:c r="K246" s="137" t="str"/>
      <x:c r="L246" s="137" t="str"/>
      <x:c r="M246" s="137" t="str"/>
      <x:c r="N246" s="137" t="str"/>
      <x:c r="O246" s="137" t="str"/>
      <x:c r="P246" s="138" t="str"/>
      <x:c r="Q246" s="137" t="str"/>
      <x:c r="R246" s="137" t="str"/>
      <x:c r="S246" s="137" t="str"/>
      <x:c r="T246" s="138" t="str"/>
      <x:c r="U246" s="137" t="str"/>
      <x:c r="V246" s="137" t="str"/>
    </x:row>
    <x:row r="247">
      <x:c r="A247" s="137" t="str"/>
      <x:c r="B247" s="138" t="str"/>
      <x:c r="C247" s="137" t="str"/>
      <x:c r="D247" s="137" t="str"/>
      <x:c r="E247" s="137" t="str"/>
      <x:c r="F247" s="137" t="str"/>
      <x:c r="G247" s="137" t="str"/>
      <x:c r="H247" s="137" t="str"/>
      <x:c r="I247" s="137" t="str"/>
      <x:c r="J247" s="137" t="str"/>
      <x:c r="K247" s="137" t="str"/>
      <x:c r="L247" s="137" t="str"/>
      <x:c r="M247" s="137" t="str"/>
      <x:c r="N247" s="137" t="str"/>
      <x:c r="O247" s="137" t="str"/>
      <x:c r="P247" s="138" t="str"/>
      <x:c r="Q247" s="137" t="str"/>
      <x:c r="R247" s="137" t="str"/>
      <x:c r="S247" s="137" t="str"/>
      <x:c r="T247" s="138" t="str"/>
      <x:c r="U247" s="137" t="str"/>
      <x:c r="V247" s="137" t="str"/>
    </x:row>
    <x:row r="248">
      <x:c r="A248" s="137" t="str"/>
      <x:c r="B248" s="138" t="str"/>
      <x:c r="C248" s="137" t="str"/>
      <x:c r="D248" s="137" t="str"/>
      <x:c r="E248" s="137" t="str"/>
      <x:c r="F248" s="137" t="str"/>
      <x:c r="G248" s="137" t="str"/>
      <x:c r="H248" s="137" t="str"/>
      <x:c r="I248" s="137" t="str"/>
      <x:c r="J248" s="137" t="str"/>
      <x:c r="K248" s="137" t="str"/>
      <x:c r="L248" s="137" t="str"/>
      <x:c r="M248" s="137" t="str"/>
      <x:c r="N248" s="137" t="str"/>
      <x:c r="O248" s="137" t="str"/>
      <x:c r="P248" s="138" t="str"/>
      <x:c r="Q248" s="137" t="str"/>
      <x:c r="R248" s="137" t="str"/>
      <x:c r="S248" s="137" t="str"/>
      <x:c r="T248" s="138" t="str"/>
      <x:c r="U248" s="137" t="str"/>
      <x:c r="V248" s="137" t="str"/>
    </x:row>
    <x:row r="249">
      <x:c r="A249" s="137" t="str"/>
      <x:c r="B249" s="138" t="str"/>
      <x:c r="C249" s="137" t="str"/>
      <x:c r="D249" s="137" t="str"/>
      <x:c r="E249" s="137" t="str"/>
      <x:c r="F249" s="137" t="str"/>
      <x:c r="G249" s="137" t="str"/>
      <x:c r="H249" s="137" t="str"/>
      <x:c r="I249" s="137" t="str"/>
      <x:c r="J249" s="137" t="str"/>
      <x:c r="K249" s="137" t="str"/>
      <x:c r="L249" s="137" t="str"/>
      <x:c r="M249" s="137" t="str"/>
      <x:c r="N249" s="137" t="str"/>
      <x:c r="O249" s="137" t="str"/>
      <x:c r="P249" s="138" t="str"/>
      <x:c r="Q249" s="137" t="str"/>
      <x:c r="R249" s="137" t="str"/>
      <x:c r="S249" s="137" t="str"/>
      <x:c r="T249" s="138" t="str"/>
      <x:c r="U249" s="137" t="str"/>
      <x:c r="V249" s="137" t="str"/>
    </x:row>
    <x:row r="250">
      <x:c r="A250" s="137" t="str"/>
      <x:c r="B250" s="138" t="str"/>
      <x:c r="C250" s="137" t="str"/>
      <x:c r="D250" s="137" t="str"/>
      <x:c r="E250" s="137" t="str"/>
      <x:c r="F250" s="137" t="str"/>
      <x:c r="G250" s="137" t="str"/>
      <x:c r="H250" s="137" t="str"/>
      <x:c r="I250" s="137" t="str"/>
      <x:c r="J250" s="137" t="str"/>
      <x:c r="K250" s="137" t="str"/>
      <x:c r="L250" s="137" t="str"/>
      <x:c r="M250" s="137" t="str"/>
      <x:c r="N250" s="137" t="str"/>
      <x:c r="O250" s="137" t="str"/>
      <x:c r="P250" s="138" t="str"/>
      <x:c r="Q250" s="137" t="str"/>
      <x:c r="R250" s="137" t="str"/>
      <x:c r="S250" s="137" t="str"/>
      <x:c r="T250" s="138" t="str"/>
      <x:c r="U250" s="137" t="str"/>
      <x:c r="V250" s="137" t="str"/>
    </x:row>
    <x:row r="251">
      <x:c r="A251" s="137" t="str"/>
      <x:c r="B251" s="138" t="str"/>
      <x:c r="C251" s="137" t="str"/>
      <x:c r="D251" s="137" t="str"/>
      <x:c r="E251" s="137" t="str"/>
      <x:c r="F251" s="137" t="str"/>
      <x:c r="G251" s="137" t="str"/>
      <x:c r="H251" s="137" t="str"/>
      <x:c r="I251" s="137" t="str"/>
      <x:c r="J251" s="137" t="str"/>
      <x:c r="K251" s="137" t="str"/>
      <x:c r="L251" s="137" t="str"/>
      <x:c r="M251" s="137" t="str"/>
      <x:c r="N251" s="137" t="str"/>
      <x:c r="O251" s="137" t="str"/>
      <x:c r="P251" s="138" t="str"/>
      <x:c r="Q251" s="137" t="str"/>
      <x:c r="R251" s="137" t="str"/>
      <x:c r="S251" s="137" t="str"/>
      <x:c r="T251" s="138" t="str"/>
      <x:c r="U251" s="137" t="str"/>
      <x:c r="V251" s="137" t="str"/>
    </x:row>
    <x:row r="252">
      <x:c r="A252" s="137" t="str"/>
      <x:c r="B252" s="138" t="str"/>
      <x:c r="C252" s="137" t="str"/>
      <x:c r="D252" s="137" t="str"/>
      <x:c r="E252" s="137" t="str"/>
      <x:c r="F252" s="137" t="str"/>
      <x:c r="G252" s="137" t="str"/>
      <x:c r="H252" s="137" t="str"/>
      <x:c r="I252" s="137" t="str"/>
      <x:c r="J252" s="137" t="str"/>
      <x:c r="K252" s="137" t="str"/>
      <x:c r="L252" s="137" t="str"/>
      <x:c r="M252" s="137" t="str"/>
      <x:c r="N252" s="137" t="str"/>
      <x:c r="O252" s="137" t="str"/>
      <x:c r="P252" s="138" t="str"/>
      <x:c r="Q252" s="137" t="str"/>
      <x:c r="R252" s="137" t="str"/>
      <x:c r="S252" s="137" t="str"/>
      <x:c r="T252" s="138" t="str"/>
      <x:c r="U252" s="137" t="str"/>
      <x:c r="V252" s="137" t="str"/>
    </x:row>
    <x:row r="253">
      <x:c r="A253" s="137" t="str"/>
      <x:c r="B253" s="138" t="str"/>
      <x:c r="C253" s="137" t="str"/>
      <x:c r="D253" s="137" t="str"/>
      <x:c r="E253" s="137" t="str"/>
      <x:c r="F253" s="137" t="str"/>
      <x:c r="G253" s="137" t="str"/>
      <x:c r="H253" s="137" t="str"/>
      <x:c r="I253" s="137" t="str"/>
      <x:c r="J253" s="137" t="str"/>
      <x:c r="K253" s="137" t="str"/>
      <x:c r="L253" s="137" t="str"/>
      <x:c r="M253" s="137" t="str"/>
      <x:c r="N253" s="137" t="str"/>
      <x:c r="O253" s="137" t="str"/>
      <x:c r="P253" s="138" t="str"/>
      <x:c r="Q253" s="137" t="str"/>
      <x:c r="R253" s="137" t="str"/>
      <x:c r="S253" s="137" t="str"/>
      <x:c r="T253" s="138" t="str"/>
      <x:c r="U253" s="137" t="str"/>
      <x:c r="V253" s="137" t="str"/>
    </x:row>
    <x:row r="254">
      <x:c r="A254" s="137" t="str"/>
      <x:c r="B254" s="138" t="str"/>
      <x:c r="C254" s="137" t="str"/>
      <x:c r="D254" s="137" t="str"/>
      <x:c r="E254" s="137" t="str"/>
      <x:c r="F254" s="137" t="str"/>
      <x:c r="G254" s="137" t="str"/>
      <x:c r="H254" s="137" t="str"/>
      <x:c r="I254" s="137" t="str"/>
      <x:c r="J254" s="137" t="str"/>
      <x:c r="K254" s="137" t="str"/>
      <x:c r="L254" s="137" t="str"/>
      <x:c r="M254" s="137" t="str"/>
      <x:c r="N254" s="137" t="str"/>
      <x:c r="O254" s="137" t="str"/>
      <x:c r="P254" s="138" t="str"/>
      <x:c r="Q254" s="137" t="str"/>
      <x:c r="R254" s="137" t="str"/>
      <x:c r="S254" s="137" t="str"/>
      <x:c r="T254" s="138" t="str"/>
      <x:c r="U254" s="137" t="str"/>
      <x:c r="V254" s="137" t="str"/>
    </x:row>
    <x:row r="255">
      <x:c r="A255" s="137" t="str"/>
      <x:c r="B255" s="138" t="str"/>
      <x:c r="C255" s="137" t="str"/>
      <x:c r="D255" s="137" t="str"/>
      <x:c r="E255" s="137" t="str"/>
      <x:c r="F255" s="137" t="str"/>
      <x:c r="G255" s="137" t="str"/>
      <x:c r="H255" s="137" t="str"/>
      <x:c r="I255" s="137" t="str"/>
      <x:c r="J255" s="137" t="str"/>
      <x:c r="K255" s="137" t="str"/>
      <x:c r="L255" s="137" t="str"/>
      <x:c r="M255" s="137" t="str"/>
      <x:c r="N255" s="137" t="str"/>
      <x:c r="O255" s="137" t="str"/>
      <x:c r="P255" s="138" t="str"/>
      <x:c r="Q255" s="137" t="str"/>
      <x:c r="R255" s="137" t="str"/>
      <x:c r="S255" s="137" t="str"/>
      <x:c r="T255" s="138" t="str"/>
      <x:c r="U255" s="137" t="str"/>
      <x:c r="V255" s="137" t="str"/>
    </x:row>
    <x:row r="256">
      <x:c r="A256" s="137" t="str"/>
      <x:c r="B256" s="138" t="str"/>
      <x:c r="C256" s="137" t="str"/>
      <x:c r="D256" s="137" t="str"/>
      <x:c r="E256" s="137" t="str"/>
      <x:c r="F256" s="137" t="str"/>
      <x:c r="G256" s="137" t="str"/>
      <x:c r="H256" s="137" t="str"/>
      <x:c r="I256" s="137" t="str"/>
      <x:c r="J256" s="137" t="str"/>
      <x:c r="K256" s="137" t="str"/>
      <x:c r="L256" s="137" t="str"/>
      <x:c r="M256" s="137" t="str"/>
      <x:c r="N256" s="137" t="str"/>
      <x:c r="O256" s="137" t="str"/>
      <x:c r="P256" s="138" t="str"/>
      <x:c r="Q256" s="137" t="str"/>
      <x:c r="R256" s="137" t="str"/>
      <x:c r="S256" s="137" t="str"/>
      <x:c r="T256" s="138" t="str"/>
      <x:c r="U256" s="137" t="str"/>
      <x:c r="V256" s="137" t="str"/>
    </x:row>
    <x:row r="257">
      <x:c r="A257" s="137" t="str"/>
      <x:c r="B257" s="138" t="str"/>
      <x:c r="C257" s="137" t="str"/>
      <x:c r="D257" s="137" t="str"/>
      <x:c r="E257" s="137" t="str"/>
      <x:c r="F257" s="137" t="str"/>
      <x:c r="G257" s="137" t="str"/>
      <x:c r="H257" s="137" t="str"/>
      <x:c r="I257" s="137" t="str"/>
      <x:c r="J257" s="137" t="str"/>
      <x:c r="K257" s="137" t="str"/>
      <x:c r="L257" s="137" t="str"/>
      <x:c r="M257" s="137" t="str"/>
      <x:c r="N257" s="137" t="str"/>
      <x:c r="O257" s="137" t="str"/>
      <x:c r="P257" s="138" t="str"/>
      <x:c r="Q257" s="137" t="str"/>
      <x:c r="R257" s="137" t="str"/>
      <x:c r="S257" s="137" t="str"/>
      <x:c r="T257" s="138" t="str"/>
      <x:c r="U257" s="137" t="str"/>
      <x:c r="V257" s="137" t="str"/>
    </x:row>
    <x:row r="258">
      <x:c r="A258" s="137" t="str"/>
      <x:c r="B258" s="138" t="str"/>
      <x:c r="C258" s="137" t="str"/>
      <x:c r="D258" s="137" t="str"/>
      <x:c r="E258" s="137" t="str"/>
      <x:c r="F258" s="137" t="str"/>
      <x:c r="G258" s="137" t="str"/>
      <x:c r="H258" s="137" t="str"/>
      <x:c r="I258" s="137" t="str"/>
      <x:c r="J258" s="137" t="str"/>
      <x:c r="K258" s="137" t="str"/>
      <x:c r="L258" s="137" t="str"/>
      <x:c r="M258" s="137" t="str"/>
      <x:c r="N258" s="137" t="str"/>
      <x:c r="O258" s="137" t="str"/>
      <x:c r="P258" s="138" t="str"/>
      <x:c r="Q258" s="137" t="str"/>
      <x:c r="R258" s="137" t="str"/>
      <x:c r="S258" s="137" t="str"/>
      <x:c r="T258" s="138" t="str"/>
      <x:c r="U258" s="137" t="str"/>
      <x:c r="V258" s="137" t="str"/>
    </x:row>
    <x:row r="259">
      <x:c r="A259" s="137" t="str"/>
      <x:c r="B259" s="138" t="str"/>
      <x:c r="C259" s="137" t="str"/>
      <x:c r="D259" s="137" t="str"/>
      <x:c r="E259" s="137" t="str"/>
      <x:c r="F259" s="137" t="str"/>
      <x:c r="G259" s="137" t="str"/>
      <x:c r="H259" s="137" t="str"/>
      <x:c r="I259" s="137" t="str"/>
      <x:c r="J259" s="137" t="str"/>
      <x:c r="K259" s="137" t="str"/>
      <x:c r="L259" s="137" t="str"/>
      <x:c r="M259" s="137" t="str"/>
      <x:c r="N259" s="137" t="str"/>
      <x:c r="O259" s="137" t="str"/>
      <x:c r="P259" s="138" t="str"/>
      <x:c r="Q259" s="137" t="str"/>
      <x:c r="R259" s="137" t="str"/>
      <x:c r="S259" s="137" t="str"/>
      <x:c r="T259" s="138" t="str"/>
      <x:c r="U259" s="137" t="str"/>
      <x:c r="V259" s="137" t="str"/>
    </x:row>
    <x:row r="260">
      <x:c r="A260" s="137" t="str"/>
      <x:c r="B260" s="138" t="str"/>
      <x:c r="C260" s="137" t="str"/>
      <x:c r="D260" s="137" t="str"/>
      <x:c r="E260" s="137" t="str"/>
      <x:c r="F260" s="137" t="str"/>
      <x:c r="G260" s="137" t="str"/>
      <x:c r="H260" s="137" t="str"/>
      <x:c r="I260" s="137" t="str"/>
      <x:c r="J260" s="137" t="str"/>
      <x:c r="K260" s="137" t="str"/>
      <x:c r="L260" s="137" t="str"/>
      <x:c r="M260" s="137" t="str"/>
      <x:c r="N260" s="137" t="str"/>
      <x:c r="O260" s="137" t="str"/>
      <x:c r="P260" s="138" t="str"/>
      <x:c r="Q260" s="137" t="str"/>
      <x:c r="R260" s="137" t="str"/>
      <x:c r="S260" s="137" t="str"/>
      <x:c r="T260" s="138" t="str"/>
      <x:c r="U260" s="137" t="str"/>
      <x:c r="V260" s="137" t="str"/>
    </x:row>
    <x:row r="261">
      <x:c r="A261" s="137" t="str"/>
      <x:c r="B261" s="138" t="str"/>
      <x:c r="C261" s="137" t="str"/>
      <x:c r="D261" s="137" t="str"/>
      <x:c r="E261" s="137" t="str"/>
      <x:c r="F261" s="137" t="str"/>
      <x:c r="G261" s="137" t="str"/>
      <x:c r="H261" s="137" t="str"/>
      <x:c r="I261" s="137" t="str"/>
      <x:c r="J261" s="137" t="str"/>
      <x:c r="K261" s="137" t="str"/>
      <x:c r="L261" s="137" t="str"/>
      <x:c r="M261" s="137" t="str"/>
      <x:c r="N261" s="137" t="str"/>
      <x:c r="O261" s="137" t="str"/>
      <x:c r="P261" s="138" t="str"/>
      <x:c r="Q261" s="137" t="str"/>
      <x:c r="R261" s="137" t="str"/>
      <x:c r="S261" s="137" t="str"/>
      <x:c r="T261" s="138" t="str"/>
      <x:c r="U261" s="137" t="str"/>
      <x:c r="V261" s="137" t="str"/>
    </x:row>
    <x:row r="262">
      <x:c r="A262" s="137" t="str"/>
      <x:c r="B262" s="138" t="str"/>
      <x:c r="C262" s="137" t="str"/>
      <x:c r="D262" s="137" t="str"/>
      <x:c r="E262" s="137" t="str"/>
      <x:c r="F262" s="137" t="str"/>
      <x:c r="G262" s="137" t="str"/>
      <x:c r="H262" s="137" t="str"/>
      <x:c r="I262" s="137" t="str"/>
      <x:c r="J262" s="137" t="str"/>
      <x:c r="K262" s="137" t="str"/>
      <x:c r="L262" s="137" t="str"/>
      <x:c r="M262" s="137" t="str"/>
      <x:c r="N262" s="137" t="str"/>
      <x:c r="O262" s="137" t="str"/>
      <x:c r="P262" s="138" t="str"/>
      <x:c r="Q262" s="137" t="str"/>
      <x:c r="R262" s="137" t="str"/>
      <x:c r="S262" s="137" t="str"/>
      <x:c r="T262" s="138" t="str"/>
      <x:c r="U262" s="137" t="str"/>
      <x:c r="V262" s="137" t="str"/>
    </x:row>
    <x:row r="263">
      <x:c r="A263" s="137" t="str"/>
      <x:c r="B263" s="138" t="str"/>
      <x:c r="C263" s="137" t="str"/>
      <x:c r="D263" s="137" t="str"/>
      <x:c r="E263" s="137" t="str"/>
      <x:c r="F263" s="137" t="str"/>
      <x:c r="G263" s="137" t="str"/>
      <x:c r="H263" s="137" t="str"/>
      <x:c r="I263" s="137" t="str"/>
      <x:c r="J263" s="137" t="str"/>
      <x:c r="K263" s="137" t="str"/>
      <x:c r="L263" s="137" t="str"/>
      <x:c r="M263" s="137" t="str"/>
      <x:c r="N263" s="137" t="str"/>
      <x:c r="O263" s="137" t="str"/>
      <x:c r="P263" s="138" t="str"/>
      <x:c r="Q263" s="137" t="str"/>
      <x:c r="R263" s="137" t="str"/>
      <x:c r="S263" s="137" t="str"/>
      <x:c r="T263" s="138" t="str"/>
      <x:c r="U263" s="137" t="str"/>
      <x:c r="V263" s="137" t="str"/>
    </x:row>
    <x:row r="264">
      <x:c r="A264" s="137" t="str"/>
      <x:c r="B264" s="138" t="str"/>
      <x:c r="C264" s="137" t="str"/>
      <x:c r="D264" s="137" t="str"/>
      <x:c r="E264" s="137" t="str"/>
      <x:c r="F264" s="137" t="str"/>
      <x:c r="G264" s="137" t="str"/>
      <x:c r="H264" s="137" t="str"/>
      <x:c r="I264" s="137" t="str"/>
      <x:c r="J264" s="137" t="str"/>
      <x:c r="K264" s="137" t="str"/>
      <x:c r="L264" s="137" t="str"/>
      <x:c r="M264" s="137" t="str"/>
      <x:c r="N264" s="137" t="str"/>
      <x:c r="O264" s="137" t="str"/>
      <x:c r="P264" s="138" t="str"/>
      <x:c r="Q264" s="137" t="str"/>
      <x:c r="R264" s="137" t="str"/>
      <x:c r="S264" s="137" t="str"/>
      <x:c r="T264" s="138" t="str"/>
      <x:c r="U264" s="137" t="str"/>
      <x:c r="V264" s="137" t="str"/>
    </x:row>
    <x:row r="265">
      <x:c r="A265" s="137" t="str"/>
      <x:c r="B265" s="138" t="str"/>
      <x:c r="C265" s="137" t="str"/>
      <x:c r="D265" s="137" t="str"/>
      <x:c r="E265" s="137" t="str"/>
      <x:c r="F265" s="137" t="str"/>
      <x:c r="G265" s="137" t="str"/>
      <x:c r="H265" s="137" t="str"/>
      <x:c r="I265" s="137" t="str"/>
      <x:c r="J265" s="137" t="str"/>
      <x:c r="K265" s="137" t="str"/>
      <x:c r="L265" s="137" t="str"/>
      <x:c r="M265" s="137" t="str"/>
      <x:c r="N265" s="137" t="str"/>
      <x:c r="O265" s="137" t="str"/>
      <x:c r="P265" s="138" t="str"/>
      <x:c r="Q265" s="137" t="str"/>
      <x:c r="R265" s="137" t="str"/>
      <x:c r="S265" s="137" t="str"/>
      <x:c r="T265" s="138" t="str"/>
      <x:c r="U265" s="137" t="str"/>
      <x:c r="V265" s="137" t="str"/>
    </x:row>
    <x:row r="266">
      <x:c r="A266" s="137" t="str"/>
      <x:c r="B266" s="138" t="str"/>
      <x:c r="C266" s="137" t="str"/>
      <x:c r="D266" s="137" t="str"/>
      <x:c r="E266" s="137" t="str"/>
      <x:c r="F266" s="137" t="str"/>
      <x:c r="G266" s="137" t="str"/>
      <x:c r="H266" s="137" t="str"/>
      <x:c r="I266" s="137" t="str"/>
      <x:c r="J266" s="137" t="str"/>
      <x:c r="K266" s="137" t="str"/>
      <x:c r="L266" s="137" t="str"/>
      <x:c r="M266" s="137" t="str"/>
      <x:c r="N266" s="137" t="str"/>
      <x:c r="O266" s="137" t="str"/>
      <x:c r="P266" s="138" t="str"/>
      <x:c r="Q266" s="137" t="str"/>
      <x:c r="R266" s="137" t="str"/>
      <x:c r="S266" s="137" t="str"/>
      <x:c r="T266" s="138" t="str"/>
      <x:c r="U266" s="137" t="str"/>
      <x:c r="V266" s="137" t="str"/>
    </x:row>
    <x:row r="267">
      <x:c r="A267" s="137" t="str"/>
      <x:c r="B267" s="138" t="str"/>
      <x:c r="C267" s="137" t="str"/>
      <x:c r="D267" s="137" t="str"/>
      <x:c r="E267" s="137" t="str"/>
      <x:c r="F267" s="137" t="str"/>
      <x:c r="G267" s="137" t="str"/>
      <x:c r="H267" s="137" t="str"/>
      <x:c r="I267" s="137" t="str"/>
      <x:c r="J267" s="137" t="str"/>
      <x:c r="K267" s="137" t="str"/>
      <x:c r="L267" s="137" t="str"/>
      <x:c r="M267" s="137" t="str"/>
      <x:c r="N267" s="137" t="str"/>
      <x:c r="O267" s="137" t="str"/>
      <x:c r="P267" s="138" t="str"/>
      <x:c r="Q267" s="137" t="str"/>
      <x:c r="R267" s="137" t="str"/>
      <x:c r="S267" s="137" t="str"/>
      <x:c r="T267" s="138" t="str"/>
      <x:c r="U267" s="137" t="str"/>
      <x:c r="V267" s="137" t="str"/>
    </x:row>
    <x:row r="268">
      <x:c r="A268" s="137" t="str"/>
      <x:c r="B268" s="138" t="str"/>
      <x:c r="C268" s="137" t="str"/>
      <x:c r="D268" s="137" t="str"/>
      <x:c r="E268" s="137" t="str"/>
      <x:c r="F268" s="137" t="str"/>
      <x:c r="G268" s="137" t="str"/>
      <x:c r="H268" s="137" t="str"/>
      <x:c r="I268" s="137" t="str"/>
      <x:c r="J268" s="137" t="str"/>
      <x:c r="K268" s="137" t="str"/>
      <x:c r="L268" s="137" t="str"/>
      <x:c r="M268" s="137" t="str"/>
      <x:c r="N268" s="137" t="str"/>
      <x:c r="O268" s="137" t="str"/>
      <x:c r="P268" s="138" t="str"/>
      <x:c r="Q268" s="137" t="str"/>
      <x:c r="R268" s="137" t="str"/>
      <x:c r="S268" s="137" t="str"/>
      <x:c r="T268" s="138" t="str"/>
      <x:c r="U268" s="137" t="str"/>
      <x:c r="V268" s="137" t="str"/>
    </x:row>
    <x:row r="269">
      <x:c r="A269" s="137" t="str"/>
      <x:c r="B269" s="138" t="str"/>
      <x:c r="C269" s="137" t="str"/>
      <x:c r="D269" s="137" t="str"/>
      <x:c r="E269" s="137" t="str"/>
      <x:c r="F269" s="137" t="str"/>
      <x:c r="G269" s="137" t="str"/>
      <x:c r="H269" s="137" t="str"/>
      <x:c r="I269" s="137" t="str"/>
      <x:c r="J269" s="137" t="str"/>
      <x:c r="K269" s="137" t="str"/>
      <x:c r="L269" s="137" t="str"/>
      <x:c r="M269" s="137" t="str"/>
      <x:c r="N269" s="137" t="str"/>
      <x:c r="O269" s="137" t="str"/>
      <x:c r="P269" s="138" t="str"/>
      <x:c r="Q269" s="137" t="str"/>
      <x:c r="R269" s="137" t="str"/>
      <x:c r="S269" s="137" t="str"/>
      <x:c r="T269" s="138" t="str"/>
      <x:c r="U269" s="137" t="str"/>
      <x:c r="V269" s="137" t="str"/>
    </x:row>
    <x:row r="270">
      <x:c r="A270" s="137" t="str"/>
      <x:c r="B270" s="138" t="str"/>
      <x:c r="C270" s="137" t="str"/>
      <x:c r="D270" s="137" t="str"/>
      <x:c r="E270" s="137" t="str"/>
      <x:c r="F270" s="137" t="str"/>
      <x:c r="G270" s="137" t="str"/>
      <x:c r="H270" s="137" t="str"/>
      <x:c r="I270" s="137" t="str"/>
      <x:c r="J270" s="137" t="str"/>
      <x:c r="K270" s="137" t="str"/>
      <x:c r="L270" s="137" t="str"/>
      <x:c r="M270" s="137" t="str"/>
      <x:c r="N270" s="137" t="str"/>
      <x:c r="O270" s="137" t="str"/>
      <x:c r="P270" s="138" t="str"/>
      <x:c r="Q270" s="137" t="str"/>
      <x:c r="R270" s="137" t="str"/>
      <x:c r="S270" s="137" t="str"/>
      <x:c r="T270" s="138" t="str"/>
      <x:c r="U270" s="137" t="str"/>
      <x:c r="V270" s="137" t="str"/>
    </x:row>
    <x:row r="271">
      <x:c r="A271" s="137" t="str"/>
      <x:c r="B271" s="138" t="str"/>
      <x:c r="C271" s="137" t="str"/>
      <x:c r="D271" s="137" t="str"/>
      <x:c r="E271" s="137" t="str"/>
      <x:c r="F271" s="137" t="str"/>
      <x:c r="G271" s="137" t="str"/>
      <x:c r="H271" s="137" t="str"/>
      <x:c r="I271" s="137" t="str"/>
      <x:c r="J271" s="137" t="str"/>
      <x:c r="K271" s="137" t="str"/>
      <x:c r="L271" s="137" t="str"/>
      <x:c r="M271" s="137" t="str"/>
      <x:c r="N271" s="137" t="str"/>
      <x:c r="O271" s="137" t="str"/>
      <x:c r="P271" s="138" t="str"/>
      <x:c r="Q271" s="137" t="str"/>
      <x:c r="R271" s="137" t="str"/>
      <x:c r="S271" s="137" t="str"/>
      <x:c r="T271" s="138" t="str"/>
      <x:c r="U271" s="137" t="str"/>
      <x:c r="V271" s="137" t="str"/>
    </x:row>
    <x:row r="272">
      <x:c r="A272" s="137" t="str"/>
      <x:c r="B272" s="138" t="str"/>
      <x:c r="C272" s="137" t="str"/>
      <x:c r="D272" s="137" t="str"/>
      <x:c r="E272" s="137" t="str"/>
      <x:c r="F272" s="137" t="str"/>
      <x:c r="G272" s="137" t="str"/>
      <x:c r="H272" s="137" t="str"/>
      <x:c r="I272" s="137" t="str"/>
      <x:c r="J272" s="137" t="str"/>
      <x:c r="K272" s="137" t="str"/>
      <x:c r="L272" s="137" t="str"/>
      <x:c r="M272" s="137" t="str"/>
      <x:c r="N272" s="137" t="str"/>
      <x:c r="O272" s="137" t="str"/>
      <x:c r="P272" s="138" t="str"/>
      <x:c r="Q272" s="137" t="str"/>
      <x:c r="R272" s="137" t="str"/>
      <x:c r="S272" s="137" t="str"/>
      <x:c r="T272" s="138" t="str"/>
      <x:c r="U272" s="137" t="str"/>
      <x:c r="V272" s="137" t="str"/>
    </x:row>
    <x:row r="273">
      <x:c r="A273" s="137" t="str"/>
      <x:c r="B273" s="138" t="str"/>
      <x:c r="C273" s="137" t="str"/>
      <x:c r="D273" s="137" t="str"/>
      <x:c r="E273" s="137" t="str"/>
      <x:c r="F273" s="137" t="str"/>
      <x:c r="G273" s="137" t="str"/>
      <x:c r="H273" s="137" t="str"/>
      <x:c r="I273" s="137" t="str"/>
      <x:c r="J273" s="137" t="str"/>
      <x:c r="K273" s="137" t="str"/>
      <x:c r="L273" s="137" t="str"/>
      <x:c r="M273" s="137" t="str"/>
      <x:c r="N273" s="137" t="str"/>
      <x:c r="O273" s="137" t="str"/>
      <x:c r="P273" s="138" t="str"/>
      <x:c r="Q273" s="137" t="str"/>
      <x:c r="R273" s="137" t="str"/>
      <x:c r="S273" s="137" t="str"/>
      <x:c r="T273" s="138" t="str"/>
      <x:c r="U273" s="137" t="str"/>
      <x:c r="V273" s="137" t="str"/>
    </x:row>
    <x:row r="274">
      <x:c r="A274" s="137" t="str"/>
      <x:c r="B274" s="138" t="str"/>
      <x:c r="C274" s="137" t="str"/>
      <x:c r="D274" s="137" t="str"/>
      <x:c r="E274" s="137" t="str"/>
      <x:c r="F274" s="137" t="str"/>
      <x:c r="G274" s="137" t="str"/>
      <x:c r="H274" s="137" t="str"/>
      <x:c r="I274" s="137" t="str"/>
      <x:c r="J274" s="137" t="str"/>
      <x:c r="K274" s="137" t="str"/>
      <x:c r="L274" s="137" t="str"/>
      <x:c r="M274" s="137" t="str"/>
      <x:c r="N274" s="137" t="str"/>
      <x:c r="O274" s="137" t="str"/>
      <x:c r="P274" s="138" t="str"/>
      <x:c r="Q274" s="137" t="str"/>
      <x:c r="R274" s="137" t="str"/>
      <x:c r="S274" s="137" t="str"/>
      <x:c r="T274" s="138" t="str"/>
      <x:c r="U274" s="137" t="str"/>
      <x:c r="V274" s="137" t="str"/>
    </x:row>
    <x:row r="275">
      <x:c r="A275" s="137" t="str"/>
      <x:c r="B275" s="138" t="str"/>
      <x:c r="C275" s="137" t="str"/>
      <x:c r="D275" s="137" t="str"/>
      <x:c r="E275" s="137" t="str"/>
      <x:c r="F275" s="137" t="str"/>
      <x:c r="G275" s="137" t="str"/>
      <x:c r="H275" s="137" t="str"/>
      <x:c r="I275" s="137" t="str"/>
      <x:c r="J275" s="137" t="str"/>
      <x:c r="K275" s="137" t="str"/>
      <x:c r="L275" s="137" t="str"/>
      <x:c r="M275" s="137" t="str"/>
      <x:c r="N275" s="137" t="str"/>
      <x:c r="O275" s="137" t="str"/>
      <x:c r="P275" s="138" t="str"/>
      <x:c r="Q275" s="137" t="str"/>
      <x:c r="R275" s="137" t="str"/>
      <x:c r="S275" s="137" t="str"/>
      <x:c r="T275" s="138" t="str"/>
      <x:c r="U275" s="137" t="str"/>
      <x:c r="V275" s="137" t="str"/>
    </x:row>
    <x:row r="276">
      <x:c r="A276" s="137" t="str"/>
      <x:c r="B276" s="138" t="str"/>
      <x:c r="C276" s="137" t="str"/>
      <x:c r="D276" s="137" t="str"/>
      <x:c r="E276" s="137" t="str"/>
      <x:c r="F276" s="137" t="str"/>
      <x:c r="G276" s="137" t="str"/>
      <x:c r="H276" s="137" t="str"/>
      <x:c r="I276" s="137" t="str"/>
      <x:c r="J276" s="137" t="str"/>
      <x:c r="K276" s="137" t="str"/>
      <x:c r="L276" s="137" t="str"/>
      <x:c r="M276" s="137" t="str"/>
      <x:c r="N276" s="137" t="str"/>
      <x:c r="O276" s="137" t="str"/>
      <x:c r="P276" s="138" t="str"/>
      <x:c r="Q276" s="137" t="str"/>
      <x:c r="R276" s="137" t="str"/>
      <x:c r="S276" s="137" t="str"/>
      <x:c r="T276" s="138" t="str"/>
      <x:c r="U276" s="137" t="str"/>
      <x:c r="V276" s="137" t="str"/>
    </x:row>
    <x:row r="277">
      <x:c r="A277" s="137" t="str"/>
      <x:c r="B277" s="138" t="str"/>
      <x:c r="C277" s="137" t="str"/>
      <x:c r="D277" s="137" t="str"/>
      <x:c r="E277" s="137" t="str"/>
      <x:c r="F277" s="137" t="str"/>
      <x:c r="G277" s="137" t="str"/>
      <x:c r="H277" s="137" t="str"/>
      <x:c r="I277" s="137" t="str"/>
      <x:c r="J277" s="137" t="str"/>
      <x:c r="K277" s="137" t="str"/>
      <x:c r="L277" s="137" t="str"/>
      <x:c r="M277" s="137" t="str"/>
      <x:c r="N277" s="137" t="str"/>
      <x:c r="O277" s="137" t="str"/>
      <x:c r="P277" s="138" t="str"/>
      <x:c r="Q277" s="137" t="str"/>
      <x:c r="R277" s="137" t="str"/>
      <x:c r="S277" s="137" t="str"/>
      <x:c r="T277" s="138" t="str"/>
      <x:c r="U277" s="137" t="str"/>
      <x:c r="V277" s="137" t="str"/>
    </x:row>
    <x:row r="278">
      <x:c r="A278" s="137" t="str"/>
      <x:c r="B278" s="138" t="str"/>
      <x:c r="C278" s="137" t="str"/>
      <x:c r="D278" s="137" t="str"/>
      <x:c r="E278" s="137" t="str"/>
      <x:c r="F278" s="137" t="str"/>
      <x:c r="G278" s="137" t="str"/>
      <x:c r="H278" s="137" t="str"/>
      <x:c r="I278" s="137" t="str"/>
      <x:c r="J278" s="137" t="str"/>
      <x:c r="K278" s="137" t="str"/>
      <x:c r="L278" s="137" t="str"/>
      <x:c r="M278" s="137" t="str"/>
      <x:c r="N278" s="137" t="str"/>
      <x:c r="O278" s="137" t="str"/>
      <x:c r="P278" s="138" t="str"/>
      <x:c r="Q278" s="137" t="str"/>
      <x:c r="R278" s="137" t="str"/>
      <x:c r="S278" s="137" t="str"/>
      <x:c r="T278" s="138" t="str"/>
      <x:c r="U278" s="137" t="str"/>
      <x:c r="V278" s="137" t="str"/>
    </x:row>
    <x:row r="279">
      <x:c r="A279" s="137" t="str"/>
      <x:c r="B279" s="138" t="str"/>
      <x:c r="C279" s="137" t="str"/>
      <x:c r="D279" s="137" t="str"/>
      <x:c r="E279" s="137" t="str"/>
      <x:c r="F279" s="137" t="str"/>
      <x:c r="G279" s="137" t="str"/>
      <x:c r="H279" s="137" t="str"/>
      <x:c r="I279" s="137" t="str"/>
      <x:c r="J279" s="137" t="str"/>
      <x:c r="K279" s="137" t="str"/>
      <x:c r="L279" s="137" t="str"/>
      <x:c r="M279" s="137" t="str"/>
      <x:c r="N279" s="137" t="str"/>
      <x:c r="O279" s="137" t="str"/>
      <x:c r="P279" s="138" t="str"/>
      <x:c r="Q279" s="137" t="str"/>
      <x:c r="R279" s="137" t="str"/>
      <x:c r="S279" s="137" t="str"/>
      <x:c r="T279" s="138" t="str"/>
      <x:c r="U279" s="137" t="str"/>
      <x:c r="V279" s="137" t="str"/>
    </x:row>
    <x:row r="280">
      <x:c r="A280" s="137" t="str"/>
      <x:c r="B280" s="138" t="str"/>
      <x:c r="C280" s="137" t="str"/>
      <x:c r="D280" s="137" t="str"/>
      <x:c r="E280" s="137" t="str"/>
      <x:c r="F280" s="137" t="str"/>
      <x:c r="G280" s="137" t="str"/>
      <x:c r="H280" s="137" t="str"/>
      <x:c r="I280" s="137" t="str"/>
      <x:c r="J280" s="137" t="str"/>
      <x:c r="K280" s="137" t="str"/>
      <x:c r="L280" s="137" t="str"/>
      <x:c r="M280" s="137" t="str"/>
      <x:c r="N280" s="137" t="str"/>
      <x:c r="O280" s="137" t="str"/>
      <x:c r="P280" s="138" t="str"/>
      <x:c r="Q280" s="137" t="str"/>
      <x:c r="R280" s="137" t="str"/>
      <x:c r="S280" s="137" t="str"/>
      <x:c r="T280" s="138" t="str"/>
      <x:c r="U280" s="137" t="str"/>
      <x:c r="V280" s="137" t="str"/>
    </x:row>
    <x:row r="281">
      <x:c r="A281" s="137" t="str"/>
      <x:c r="B281" s="138" t="str"/>
      <x:c r="C281" s="137" t="str"/>
      <x:c r="D281" s="137" t="str"/>
      <x:c r="E281" s="137" t="str"/>
      <x:c r="F281" s="137" t="str"/>
      <x:c r="G281" s="137" t="str"/>
      <x:c r="H281" s="137" t="str"/>
      <x:c r="I281" s="137" t="str"/>
      <x:c r="J281" s="137" t="str"/>
      <x:c r="K281" s="137" t="str"/>
      <x:c r="L281" s="137" t="str"/>
      <x:c r="M281" s="137" t="str"/>
      <x:c r="N281" s="137" t="str"/>
      <x:c r="O281" s="137" t="str"/>
      <x:c r="P281" s="138" t="str"/>
      <x:c r="Q281" s="137" t="str"/>
      <x:c r="R281" s="137" t="str"/>
      <x:c r="S281" s="137" t="str"/>
      <x:c r="T281" s="138" t="str"/>
      <x:c r="U281" s="137" t="str"/>
      <x:c r="V281" s="137" t="str"/>
    </x:row>
    <x:row r="282">
      <x:c r="A282" s="137" t="str"/>
      <x:c r="B282" s="138" t="str"/>
      <x:c r="C282" s="137" t="str"/>
      <x:c r="D282" s="137" t="str"/>
      <x:c r="E282" s="137" t="str"/>
      <x:c r="F282" s="137" t="str"/>
      <x:c r="G282" s="137" t="str"/>
      <x:c r="H282" s="137" t="str"/>
      <x:c r="I282" s="137" t="str"/>
      <x:c r="J282" s="137" t="str"/>
      <x:c r="K282" s="137" t="str"/>
      <x:c r="L282" s="137" t="str"/>
      <x:c r="M282" s="137" t="str"/>
      <x:c r="N282" s="137" t="str"/>
      <x:c r="O282" s="137" t="str"/>
      <x:c r="P282" s="138" t="str"/>
      <x:c r="Q282" s="137" t="str"/>
      <x:c r="R282" s="137" t="str"/>
      <x:c r="S282" s="137" t="str"/>
      <x:c r="T282" s="138" t="str"/>
      <x:c r="U282" s="137" t="str"/>
      <x:c r="V282" s="137" t="str"/>
    </x:row>
    <x:row r="283">
      <x:c r="A283" s="137" t="str"/>
      <x:c r="B283" s="138" t="str"/>
      <x:c r="C283" s="137" t="str"/>
      <x:c r="D283" s="137" t="str"/>
      <x:c r="E283" s="137" t="str"/>
      <x:c r="F283" s="137" t="str"/>
      <x:c r="G283" s="137" t="str"/>
      <x:c r="H283" s="137" t="str"/>
      <x:c r="I283" s="137" t="str"/>
      <x:c r="J283" s="137" t="str"/>
      <x:c r="K283" s="137" t="str"/>
      <x:c r="L283" s="137" t="str"/>
      <x:c r="M283" s="137" t="str"/>
      <x:c r="N283" s="137" t="str"/>
      <x:c r="O283" s="137" t="str"/>
      <x:c r="P283" s="138" t="str"/>
      <x:c r="Q283" s="137" t="str"/>
      <x:c r="R283" s="137" t="str"/>
      <x:c r="S283" s="137" t="str"/>
      <x:c r="T283" s="138" t="str"/>
      <x:c r="U283" s="137" t="str"/>
      <x:c r="V283" s="137" t="str"/>
    </x:row>
    <x:row r="284">
      <x:c r="A284" s="137" t="str"/>
      <x:c r="B284" s="138" t="str"/>
      <x:c r="C284" s="137" t="str"/>
      <x:c r="D284" s="137" t="str"/>
      <x:c r="E284" s="137" t="str"/>
      <x:c r="F284" s="137" t="str"/>
      <x:c r="G284" s="137" t="str"/>
      <x:c r="H284" s="137" t="str"/>
      <x:c r="I284" s="137" t="str"/>
      <x:c r="J284" s="137" t="str"/>
      <x:c r="K284" s="137" t="str"/>
      <x:c r="L284" s="137" t="str"/>
      <x:c r="M284" s="137" t="str"/>
      <x:c r="N284" s="137" t="str"/>
      <x:c r="O284" s="137" t="str"/>
      <x:c r="P284" s="138" t="str"/>
      <x:c r="Q284" s="137" t="str"/>
      <x:c r="R284" s="137" t="str"/>
      <x:c r="S284" s="137" t="str"/>
      <x:c r="T284" s="138" t="str"/>
      <x:c r="U284" s="137" t="str"/>
      <x:c r="V284" s="137" t="str"/>
    </x:row>
    <x:row r="285">
      <x:c r="A285" s="137" t="str"/>
      <x:c r="B285" s="138" t="str"/>
      <x:c r="C285" s="137" t="str"/>
      <x:c r="D285" s="137" t="str"/>
      <x:c r="E285" s="137" t="str"/>
      <x:c r="F285" s="137" t="str"/>
      <x:c r="G285" s="137" t="str"/>
      <x:c r="H285" s="137" t="str"/>
      <x:c r="I285" s="137" t="str"/>
      <x:c r="J285" s="137" t="str"/>
      <x:c r="K285" s="137" t="str"/>
      <x:c r="L285" s="137" t="str"/>
      <x:c r="M285" s="137" t="str"/>
      <x:c r="N285" s="137" t="str"/>
      <x:c r="O285" s="137" t="str"/>
      <x:c r="P285" s="138" t="str"/>
      <x:c r="Q285" s="137" t="str"/>
      <x:c r="R285" s="137" t="str"/>
      <x:c r="S285" s="137" t="str"/>
      <x:c r="T285" s="138" t="str"/>
      <x:c r="U285" s="137" t="str"/>
      <x:c r="V285" s="137" t="str"/>
    </x:row>
    <x:row r="286">
      <x:c r="A286" s="137" t="str"/>
      <x:c r="B286" s="138" t="str"/>
      <x:c r="C286" s="137" t="str"/>
      <x:c r="D286" s="137" t="str"/>
      <x:c r="E286" s="137" t="str"/>
      <x:c r="F286" s="137" t="str"/>
      <x:c r="G286" s="137" t="str"/>
      <x:c r="H286" s="137" t="str"/>
      <x:c r="I286" s="137" t="str"/>
      <x:c r="J286" s="137" t="str"/>
      <x:c r="K286" s="137" t="str"/>
      <x:c r="L286" s="137" t="str"/>
      <x:c r="M286" s="137" t="str"/>
      <x:c r="N286" s="137" t="str"/>
      <x:c r="O286" s="137" t="str"/>
      <x:c r="P286" s="138" t="str"/>
      <x:c r="Q286" s="137" t="str"/>
      <x:c r="R286" s="137" t="str"/>
      <x:c r="S286" s="137" t="str"/>
      <x:c r="T286" s="138" t="str"/>
      <x:c r="U286" s="137" t="str"/>
      <x:c r="V286" s="137" t="str"/>
    </x:row>
    <x:row r="287">
      <x:c r="A287" s="137" t="str"/>
      <x:c r="B287" s="138" t="str"/>
      <x:c r="C287" s="137" t="str"/>
      <x:c r="D287" s="137" t="str"/>
      <x:c r="E287" s="137" t="str"/>
      <x:c r="F287" s="137" t="str"/>
      <x:c r="G287" s="137" t="str"/>
      <x:c r="H287" s="137" t="str"/>
      <x:c r="I287" s="137" t="str"/>
      <x:c r="J287" s="137" t="str"/>
      <x:c r="K287" s="137" t="str"/>
      <x:c r="L287" s="137" t="str"/>
      <x:c r="M287" s="137" t="str"/>
      <x:c r="N287" s="137" t="str"/>
      <x:c r="O287" s="137" t="str"/>
      <x:c r="P287" s="138" t="str"/>
      <x:c r="Q287" s="137" t="str"/>
      <x:c r="R287" s="137" t="str"/>
      <x:c r="S287" s="137" t="str"/>
      <x:c r="T287" s="138" t="str"/>
      <x:c r="U287" s="137" t="str"/>
      <x:c r="V287" s="137" t="str"/>
    </x:row>
    <x:row r="288">
      <x:c r="A288" s="137" t="str"/>
      <x:c r="B288" s="138" t="str"/>
      <x:c r="C288" s="137" t="str"/>
      <x:c r="D288" s="137" t="str"/>
      <x:c r="E288" s="137" t="str"/>
      <x:c r="F288" s="137" t="str"/>
      <x:c r="G288" s="137" t="str"/>
      <x:c r="H288" s="137" t="str"/>
      <x:c r="I288" s="137" t="str"/>
      <x:c r="J288" s="137" t="str"/>
      <x:c r="K288" s="137" t="str"/>
      <x:c r="L288" s="137" t="str"/>
      <x:c r="M288" s="137" t="str"/>
      <x:c r="N288" s="137" t="str"/>
      <x:c r="O288" s="137" t="str"/>
      <x:c r="P288" s="138" t="str"/>
      <x:c r="Q288" s="137" t="str"/>
      <x:c r="R288" s="137" t="str"/>
      <x:c r="S288" s="137" t="str"/>
      <x:c r="T288" s="138" t="str"/>
      <x:c r="U288" s="137" t="str"/>
      <x:c r="V288" s="137" t="str"/>
    </x:row>
    <x:row r="289">
      <x:c r="A289" s="137" t="str"/>
      <x:c r="B289" s="138" t="str"/>
      <x:c r="C289" s="137" t="str"/>
      <x:c r="D289" s="137" t="str"/>
      <x:c r="E289" s="137" t="str"/>
      <x:c r="F289" s="137" t="str"/>
      <x:c r="G289" s="137" t="str"/>
      <x:c r="H289" s="137" t="str"/>
      <x:c r="I289" s="137" t="str"/>
      <x:c r="J289" s="137" t="str"/>
      <x:c r="K289" s="137" t="str"/>
      <x:c r="L289" s="137" t="str"/>
      <x:c r="M289" s="137" t="str"/>
      <x:c r="N289" s="137" t="str"/>
      <x:c r="O289" s="137" t="str"/>
      <x:c r="P289" s="138" t="str"/>
      <x:c r="Q289" s="137" t="str"/>
      <x:c r="R289" s="137" t="str"/>
      <x:c r="S289" s="137" t="str"/>
      <x:c r="T289" s="138" t="str"/>
      <x:c r="U289" s="137" t="str"/>
      <x:c r="V289" s="137" t="str"/>
    </x:row>
    <x:row r="290">
      <x:c r="A290" s="137" t="str"/>
      <x:c r="B290" s="138" t="str"/>
      <x:c r="C290" s="137" t="str"/>
      <x:c r="D290" s="137" t="str"/>
      <x:c r="E290" s="137" t="str"/>
      <x:c r="F290" s="137" t="str"/>
      <x:c r="G290" s="137" t="str"/>
      <x:c r="H290" s="137" t="str"/>
      <x:c r="I290" s="137" t="str"/>
      <x:c r="J290" s="137" t="str"/>
      <x:c r="K290" s="137" t="str"/>
      <x:c r="L290" s="137" t="str"/>
      <x:c r="M290" s="137" t="str"/>
      <x:c r="N290" s="137" t="str"/>
      <x:c r="O290" s="137" t="str"/>
      <x:c r="P290" s="138" t="str"/>
      <x:c r="Q290" s="137" t="str"/>
      <x:c r="R290" s="137" t="str"/>
      <x:c r="S290" s="137" t="str"/>
      <x:c r="T290" s="138" t="str"/>
      <x:c r="U290" s="137" t="str"/>
      <x:c r="V290" s="137" t="str"/>
    </x:row>
    <x:row r="291">
      <x:c r="A291" s="137" t="str"/>
      <x:c r="B291" s="138" t="str"/>
      <x:c r="C291" s="137" t="str"/>
      <x:c r="D291" s="137" t="str"/>
      <x:c r="E291" s="137" t="str"/>
      <x:c r="F291" s="137" t="str"/>
      <x:c r="G291" s="137" t="str"/>
      <x:c r="H291" s="137" t="str"/>
      <x:c r="I291" s="137" t="str"/>
      <x:c r="J291" s="137" t="str"/>
      <x:c r="K291" s="137" t="str"/>
      <x:c r="L291" s="137" t="str"/>
      <x:c r="M291" s="137" t="str"/>
      <x:c r="N291" s="137" t="str"/>
      <x:c r="O291" s="137" t="str"/>
      <x:c r="P291" s="138" t="str"/>
      <x:c r="Q291" s="137" t="str"/>
      <x:c r="R291" s="137" t="str"/>
      <x:c r="S291" s="137" t="str"/>
      <x:c r="T291" s="138" t="str"/>
      <x:c r="U291" s="137" t="str"/>
      <x:c r="V291" s="137" t="str"/>
    </x:row>
    <x:row r="292">
      <x:c r="A292" s="137" t="str"/>
      <x:c r="B292" s="138" t="str"/>
      <x:c r="C292" s="137" t="str"/>
      <x:c r="D292" s="137" t="str"/>
      <x:c r="E292" s="137" t="str"/>
      <x:c r="F292" s="137" t="str"/>
      <x:c r="G292" s="137" t="str"/>
      <x:c r="H292" s="137" t="str"/>
      <x:c r="I292" s="137" t="str"/>
      <x:c r="J292" s="137" t="str"/>
      <x:c r="K292" s="137" t="str"/>
      <x:c r="L292" s="137" t="str"/>
      <x:c r="M292" s="137" t="str"/>
      <x:c r="N292" s="137" t="str"/>
      <x:c r="O292" s="137" t="str"/>
      <x:c r="P292" s="138" t="str"/>
      <x:c r="Q292" s="137" t="str"/>
      <x:c r="R292" s="137" t="str"/>
      <x:c r="S292" s="137" t="str"/>
      <x:c r="T292" s="138" t="str"/>
      <x:c r="U292" s="137" t="str"/>
      <x:c r="V292" s="137" t="str"/>
    </x:row>
    <x:row r="293">
      <x:c r="A293" s="137" t="str"/>
      <x:c r="B293" s="138" t="str"/>
      <x:c r="C293" s="137" t="str"/>
      <x:c r="D293" s="137" t="str"/>
      <x:c r="E293" s="137" t="str"/>
      <x:c r="F293" s="137" t="str"/>
      <x:c r="G293" s="137" t="str"/>
      <x:c r="H293" s="137" t="str"/>
      <x:c r="I293" s="137" t="str"/>
      <x:c r="J293" s="137" t="str"/>
      <x:c r="K293" s="137" t="str"/>
      <x:c r="L293" s="137" t="str"/>
      <x:c r="M293" s="137" t="str"/>
      <x:c r="N293" s="137" t="str"/>
      <x:c r="O293" s="137" t="str"/>
      <x:c r="P293" s="138" t="str"/>
      <x:c r="Q293" s="137" t="str"/>
      <x:c r="R293" s="137" t="str"/>
      <x:c r="S293" s="137" t="str"/>
      <x:c r="T293" s="138" t="str"/>
      <x:c r="U293" s="137" t="str"/>
      <x:c r="V293" s="137" t="str"/>
    </x:row>
    <x:row r="294">
      <x:c r="A294" s="137" t="str"/>
      <x:c r="B294" s="138" t="str"/>
      <x:c r="C294" s="137" t="str"/>
      <x:c r="D294" s="137" t="str"/>
      <x:c r="E294" s="137" t="str"/>
      <x:c r="F294" s="137" t="str"/>
      <x:c r="G294" s="137" t="str"/>
      <x:c r="H294" s="137" t="str"/>
      <x:c r="I294" s="137" t="str"/>
      <x:c r="J294" s="137" t="str"/>
      <x:c r="K294" s="137" t="str"/>
      <x:c r="L294" s="137" t="str"/>
      <x:c r="M294" s="137" t="str"/>
      <x:c r="N294" s="137" t="str"/>
      <x:c r="O294" s="137" t="str"/>
      <x:c r="P294" s="138" t="str"/>
      <x:c r="Q294" s="137" t="str"/>
      <x:c r="R294" s="137" t="str"/>
      <x:c r="S294" s="137" t="str"/>
      <x:c r="T294" s="138" t="str"/>
      <x:c r="U294" s="137" t="str"/>
      <x:c r="V294" s="137" t="str"/>
    </x:row>
    <x:row r="295">
      <x:c r="A295" s="137" t="str"/>
      <x:c r="B295" s="138" t="str"/>
      <x:c r="C295" s="137" t="str"/>
      <x:c r="D295" s="137" t="str"/>
      <x:c r="E295" s="137" t="str"/>
      <x:c r="F295" s="137" t="str"/>
      <x:c r="G295" s="137" t="str"/>
      <x:c r="H295" s="137" t="str"/>
      <x:c r="I295" s="137" t="str"/>
      <x:c r="J295" s="137" t="str"/>
      <x:c r="K295" s="137" t="str"/>
      <x:c r="L295" s="137" t="str"/>
      <x:c r="M295" s="137" t="str"/>
      <x:c r="N295" s="137" t="str"/>
      <x:c r="O295" s="137" t="str"/>
      <x:c r="P295" s="138" t="str"/>
      <x:c r="Q295" s="137" t="str"/>
      <x:c r="R295" s="137" t="str"/>
      <x:c r="S295" s="137" t="str"/>
      <x:c r="T295" s="138" t="str"/>
      <x:c r="U295" s="137" t="str"/>
      <x:c r="V295" s="137" t="str"/>
    </x:row>
    <x:row r="296">
      <x:c r="A296" s="137" t="str"/>
      <x:c r="B296" s="138" t="str"/>
      <x:c r="C296" s="137" t="str"/>
      <x:c r="D296" s="137" t="str"/>
      <x:c r="E296" s="137" t="str"/>
      <x:c r="F296" s="137" t="str"/>
      <x:c r="G296" s="137" t="str"/>
      <x:c r="H296" s="137" t="str"/>
      <x:c r="I296" s="137" t="str"/>
      <x:c r="J296" s="137" t="str"/>
      <x:c r="K296" s="137" t="str"/>
      <x:c r="L296" s="137" t="str"/>
      <x:c r="M296" s="137" t="str"/>
      <x:c r="N296" s="137" t="str"/>
      <x:c r="O296" s="137" t="str"/>
      <x:c r="P296" s="138" t="str"/>
      <x:c r="Q296" s="137" t="str"/>
      <x:c r="R296" s="137" t="str"/>
      <x:c r="S296" s="137" t="str"/>
      <x:c r="T296" s="138" t="str"/>
      <x:c r="U296" s="137" t="str"/>
      <x:c r="V296" s="137" t="str"/>
    </x:row>
    <x:row r="297">
      <x:c r="A297" s="137" t="str"/>
      <x:c r="B297" s="138" t="str"/>
      <x:c r="C297" s="137" t="str"/>
      <x:c r="D297" s="137" t="str"/>
      <x:c r="E297" s="137" t="str"/>
      <x:c r="F297" s="137" t="str"/>
      <x:c r="G297" s="137" t="str"/>
      <x:c r="H297" s="137" t="str"/>
      <x:c r="I297" s="137" t="str"/>
      <x:c r="J297" s="137" t="str"/>
      <x:c r="K297" s="137" t="str"/>
      <x:c r="L297" s="137" t="str"/>
      <x:c r="M297" s="137" t="str"/>
      <x:c r="N297" s="137" t="str"/>
      <x:c r="O297" s="137" t="str"/>
      <x:c r="P297" s="138" t="str"/>
      <x:c r="Q297" s="137" t="str"/>
      <x:c r="R297" s="137" t="str"/>
      <x:c r="S297" s="137" t="str"/>
      <x:c r="T297" s="138" t="str"/>
      <x:c r="U297" s="137" t="str"/>
      <x:c r="V297" s="137" t="str"/>
    </x:row>
    <x:row r="298">
      <x:c r="A298" s="137" t="str"/>
      <x:c r="B298" s="138" t="str"/>
      <x:c r="C298" s="137" t="str"/>
      <x:c r="D298" s="137" t="str"/>
      <x:c r="E298" s="137" t="str"/>
      <x:c r="F298" s="137" t="str"/>
      <x:c r="G298" s="137" t="str"/>
      <x:c r="H298" s="137" t="str"/>
      <x:c r="I298" s="137" t="str"/>
      <x:c r="J298" s="137" t="str"/>
      <x:c r="K298" s="137" t="str"/>
      <x:c r="L298" s="137" t="str"/>
      <x:c r="M298" s="137" t="str"/>
      <x:c r="N298" s="137" t="str"/>
      <x:c r="O298" s="137" t="str"/>
      <x:c r="P298" s="138" t="str"/>
      <x:c r="Q298" s="137" t="str"/>
      <x:c r="R298" s="137" t="str"/>
      <x:c r="S298" s="137" t="str"/>
      <x:c r="T298" s="138" t="str"/>
      <x:c r="U298" s="137" t="str"/>
      <x:c r="V298" s="137" t="str"/>
    </x:row>
    <x:row r="299">
      <x:c r="A299" s="137" t="str"/>
      <x:c r="B299" s="138" t="str"/>
      <x:c r="C299" s="137" t="str"/>
      <x:c r="D299" s="137" t="str"/>
      <x:c r="E299" s="137" t="str"/>
      <x:c r="F299" s="137" t="str"/>
      <x:c r="G299" s="137" t="str"/>
      <x:c r="H299" s="137" t="str"/>
      <x:c r="I299" s="137" t="str"/>
      <x:c r="J299" s="137" t="str"/>
      <x:c r="K299" s="137" t="str"/>
      <x:c r="L299" s="137" t="str"/>
      <x:c r="M299" s="137" t="str"/>
      <x:c r="N299" s="137" t="str"/>
      <x:c r="O299" s="137" t="str"/>
      <x:c r="P299" s="138" t="str"/>
      <x:c r="Q299" s="137" t="str"/>
      <x:c r="R299" s="137" t="str"/>
      <x:c r="S299" s="137" t="str"/>
      <x:c r="T299" s="138" t="str"/>
      <x:c r="U299" s="137" t="str"/>
      <x:c r="V299" s="137" t="str"/>
    </x:row>
    <x:row r="300">
      <x:c r="A300" s="137" t="str"/>
      <x:c r="B300" s="138" t="str"/>
      <x:c r="C300" s="137" t="str"/>
      <x:c r="D300" s="137" t="str"/>
      <x:c r="E300" s="137" t="str"/>
      <x:c r="F300" s="137" t="str"/>
      <x:c r="G300" s="137" t="str"/>
      <x:c r="H300" s="137" t="str"/>
      <x:c r="I300" s="137" t="str"/>
      <x:c r="J300" s="137" t="str"/>
      <x:c r="K300" s="137" t="str"/>
      <x:c r="L300" s="137" t="str"/>
      <x:c r="M300" s="137" t="str"/>
      <x:c r="N300" s="137" t="str"/>
      <x:c r="O300" s="137" t="str"/>
      <x:c r="P300" s="138" t="str"/>
      <x:c r="Q300" s="137" t="str"/>
      <x:c r="R300" s="137" t="str"/>
      <x:c r="S300" s="137" t="str"/>
      <x:c r="T300" s="138" t="str"/>
      <x:c r="U300" s="137" t="str"/>
      <x:c r="V300" s="137" t="str"/>
    </x:row>
    <x:row r="301">
      <x:c r="A301" s="137" t="str"/>
      <x:c r="B301" s="138" t="str"/>
      <x:c r="C301" s="137" t="str"/>
      <x:c r="D301" s="137" t="str"/>
      <x:c r="E301" s="137" t="str"/>
      <x:c r="F301" s="137" t="str"/>
      <x:c r="G301" s="137" t="str"/>
      <x:c r="H301" s="137" t="str"/>
      <x:c r="I301" s="137" t="str"/>
      <x:c r="J301" s="137" t="str"/>
      <x:c r="K301" s="137" t="str"/>
      <x:c r="L301" s="137" t="str"/>
      <x:c r="M301" s="137" t="str"/>
      <x:c r="N301" s="137" t="str"/>
      <x:c r="O301" s="137" t="str"/>
      <x:c r="P301" s="138" t="str"/>
      <x:c r="Q301" s="137" t="str"/>
      <x:c r="R301" s="137" t="str"/>
      <x:c r="S301" s="137" t="str"/>
      <x:c r="T301" s="138" t="str"/>
      <x:c r="U301" s="137" t="str"/>
      <x:c r="V301" s="137" t="str"/>
    </x:row>
    <x:row r="302">
      <x:c r="A302" s="137" t="str"/>
      <x:c r="B302" s="138" t="str"/>
      <x:c r="C302" s="137" t="str"/>
      <x:c r="D302" s="137" t="str"/>
      <x:c r="E302" s="137" t="str"/>
      <x:c r="F302" s="137" t="str"/>
      <x:c r="G302" s="137" t="str"/>
      <x:c r="H302" s="137" t="str"/>
      <x:c r="I302" s="137" t="str"/>
      <x:c r="J302" s="137" t="str"/>
      <x:c r="K302" s="137" t="str"/>
      <x:c r="L302" s="137" t="str"/>
      <x:c r="M302" s="137" t="str"/>
      <x:c r="N302" s="137" t="str"/>
      <x:c r="O302" s="137" t="str"/>
      <x:c r="P302" s="138" t="str"/>
      <x:c r="Q302" s="137" t="str"/>
      <x:c r="R302" s="137" t="str"/>
      <x:c r="S302" s="137" t="str"/>
      <x:c r="T302" s="138" t="str"/>
      <x:c r="U302" s="137" t="str"/>
      <x:c r="V302" s="137" t="str"/>
    </x:row>
    <x:row r="303">
      <x:c r="A303" s="137" t="str"/>
      <x:c r="B303" s="138" t="str"/>
      <x:c r="C303" s="137" t="str"/>
      <x:c r="D303" s="137" t="str"/>
      <x:c r="E303" s="137" t="str"/>
      <x:c r="F303" s="137" t="str"/>
      <x:c r="G303" s="137" t="str"/>
      <x:c r="H303" s="137" t="str"/>
      <x:c r="I303" s="137" t="str"/>
      <x:c r="J303" s="137" t="str"/>
      <x:c r="K303" s="137" t="str"/>
      <x:c r="L303" s="137" t="str"/>
      <x:c r="M303" s="137" t="str"/>
      <x:c r="N303" s="137" t="str"/>
      <x:c r="O303" s="137" t="str"/>
      <x:c r="P303" s="138" t="str"/>
      <x:c r="Q303" s="137" t="str"/>
      <x:c r="R303" s="137" t="str"/>
      <x:c r="S303" s="137" t="str"/>
      <x:c r="T303" s="138" t="str"/>
      <x:c r="U303" s="137" t="str"/>
      <x:c r="V303" s="137" t="str"/>
    </x:row>
    <x:row r="304">
      <x:c r="A304" s="139" t="str"/>
      <x:c r="B304" s="145" t="str"/>
      <x:c r="C304" s="139" t="str"/>
      <x:c r="D304" s="139" t="str"/>
      <x:c r="E304" s="139" t="str"/>
      <x:c r="F304" s="139" t="str"/>
      <x:c r="G304" s="139" t="str"/>
      <x:c r="H304" s="139" t="str"/>
      <x:c r="I304" s="139" t="str"/>
      <x:c r="J304" s="139" t="str"/>
      <x:c r="K304" s="139" t="str"/>
      <x:c r="L304" s="139" t="str"/>
      <x:c r="M304" s="139" t="str"/>
      <x:c r="N304" s="139" t="str"/>
      <x:c r="O304" s="139" t="str"/>
      <x:c r="P304" s="145" t="str"/>
      <x:c r="Q304" s="139" t="str"/>
      <x:c r="R304" s="139" t="str"/>
      <x:c r="S304" s="139" t="str"/>
      <x:c r="T304" s="145" t="str"/>
      <x:c r="U304" s="139" t="str"/>
      <x:c r="V304" s="139" t="str"/>
    </x:row>
  </x:sheetData>
  <x:mergeCells>
    <x:mergeCell ref="A1:V1"/>
    <x:mergeCell ref="A2:V2"/>
    <x:mergeCell ref="A3:V3"/>
  </x:mergeCells>
  <x:conditionalFormatting sqref="O5:O304">
    <x:cfRule type="containsText" dxfId="65" priority="1" operator="containsText" text="Approved"/>
    <x:cfRule type="containsText" dxfId="66" priority="2" operator="containsText" text="Validated"/>
    <x:cfRule type="containsText" dxfId="67" priority="3" operator="containsText" text="Confirmed"/>
    <x:cfRule type="containsText" dxfId="68" priority="4" operator="containsText" text="To Confirm"/>
    <x:cfRule type="containsText" dxfId="69" priority="5" operator="containsText" text="Rejected"/>
    <x:cfRule type="containsText" dxfId="70" priority="6" operator="containsText" text="Blocked"/>
  </x:conditionalFormatting>
  <x:dataValidations count="5">
    <x:dataValidation type="list" sqref="D5:D304">
      <x:formula1>"Sales,Planning,Production,Quality,Packing,Dispatch,Stores,Management,Client"</x:formula1>
    </x:dataValidation>
    <x:dataValidation type="list" sqref="F5:F304">
      <x:formula1>"Bug,New Feature,Change Request,Data Correction,Usability,Report"</x:formula1>
    </x:dataValidation>
    <x:dataValidation type="list" sqref="J5:J304">
      <x:formula1>"Critical,High,Medium,Low"</x:formula1>
    </x:dataValidation>
    <x:dataValidation type="list" sqref="O5:O304">
      <x:formula1>"New,Under Review,Approved,In Development,Ready for Test,Test Failed,Closed,Rejected"</x:formula1>
    </x:dataValidation>
    <x:dataValidation type="list" sqref="U5:U304">
      <x:formula1>"Yes,No,Pending"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1d155be48b4d7d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24" hidden="0" customWidth="1"/>
    <x:col min="7" max="7" width="18" hidden="0" customWidth="1"/>
    <x:col min="8" max="8" width="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0" customHeight="1">
      <x:c r="A1" s="140" t="str">
        <x:v>Input Readiness &amp; Production Control Dashboard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</x:row>
    <x:row r="2" ht="34" customHeight="1">
      <x:c r="A2" s="123" t="str">
        <x:v>This dashboard updates from the client input sheets. Zero values mean no transactions have been entered yet; they are not factory assumptions.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</x:row>
    <x:row r="4">
      <x:c r="A4" s="126" t="str">
        <x:v>Go-live data readiness</x:v>
      </x:c>
      <x:c r="B4" s="126"/>
      <x:c r="C4" s="126"/>
      <x:c r="D4" s="126" t="str">
        <x:v>Live operational snapshot</x:v>
      </x:c>
      <x:c r="E4" s="126"/>
      <x:c r="F4" s="126"/>
      <x:c r="G4" s="126"/>
      <x:c r="H4" s="126"/>
      <x:c r="I4" s="125"/>
      <x:c r="J4" s="125"/>
      <x:c r="K4" s="125"/>
      <x:c r="L4" s="125"/>
      <x:c r="M4" s="125"/>
      <x:c r="N4" s="125"/>
      <x:c r="O4" s="125"/>
      <x:c r="P4" s="125"/>
    </x:row>
    <x:row r="5">
      <x:c r="A5" s="127" t="str">
        <x:v>Required inputs</x:v>
      </x:c>
      <x:c r="B5" s="195" t="n">
        <x:f>COUNTIF('Data Readiness'!$F$5:$F$21,"Yes")</x:f>
        <x:v>16</x:v>
      </x:c>
      <x:c r="C5" s="125"/>
      <x:c r="D5" s="127" t="str">
        <x:v>Open / in-production orders</x:v>
      </x:c>
      <x:c r="E5" s="195" t="n">
        <x:f>COUNTIF('Orders'!$R$5:$R$304,"Open")+COUNTIF('Orders'!$R$5:$R$304,"In Production")+COUNTIF('Orders'!$R$5:$R$304,"Partially Packed")+COUNTIF('Orders'!$R$5:$R$304,"Partially Dispatched")</x:f>
        <x:v>0</x:v>
      </x:c>
      <x:c r="F5" s="125"/>
      <x:c r="G5" s="125"/>
      <x:c r="H5" s="125"/>
      <x:c r="I5" s="125"/>
      <x:c r="J5" s="125"/>
      <x:c r="K5" s="125"/>
      <x:c r="L5" s="125"/>
      <x:c r="M5" s="125"/>
      <x:c r="N5" s="125"/>
      <x:c r="O5" s="125"/>
      <x:c r="P5" s="125"/>
    </x:row>
    <x:row r="6">
      <x:c r="A6" s="128" t="str">
        <x:v>Validated inputs</x:v>
      </x:c>
      <x:c r="B6" s="196" t="n">
        <x:f>COUNTIFS('Data Readiness'!$F$5:$F$21,"Yes",'Data Readiness'!$H$5:$H$21,"Validated")</x:f>
        <x:v>0</x:v>
      </x:c>
      <x:c r="C6" s="125"/>
      <x:c r="D6" s="128" t="str">
        <x:v>Total ordered pairs</x:v>
      </x:c>
      <x:c r="E6" s="152" t="n">
        <x:f>SUM('Orders'!$AN$5:$AN$304)</x:f>
        <x:v>0</x:v>
      </x:c>
      <x:c r="F6" s="125"/>
      <x:c r="G6" s="125"/>
      <x:c r="H6" s="125"/>
      <x:c r="I6" s="125"/>
      <x:c r="J6" s="125"/>
      <x:c r="K6" s="125"/>
      <x:c r="L6" s="125"/>
      <x:c r="M6" s="125"/>
      <x:c r="N6" s="125"/>
      <x:c r="O6" s="125"/>
      <x:c r="P6" s="125"/>
    </x:row>
    <x:row r="7">
      <x:c r="A7" s="128" t="str">
        <x:v>Approved inputs</x:v>
      </x:c>
      <x:c r="B7" s="196" t="n">
        <x:f>COUNTIFS('Data Readiness'!$F$5:$F$21,"Yes",'Data Readiness'!$I$5:$I$21,"Approved")</x:f>
        <x:v>0</x:v>
      </x:c>
      <x:c r="C7" s="125"/>
      <x:c r="D7" s="128" t="str">
        <x:v>Pairs dispatched</x:v>
      </x:c>
      <x:c r="E7" s="152" t="n">
        <x:f>SUM('Packing &amp; Dispatch'!$M$5:$M$504)</x:f>
        <x:v>0</x:v>
      </x:c>
      <x:c r="F7" s="125"/>
      <x:c r="G7" s="125"/>
      <x:c r="H7" s="125"/>
      <x:c r="I7" s="125"/>
      <x:c r="J7" s="125"/>
      <x:c r="K7" s="125"/>
      <x:c r="L7" s="125"/>
      <x:c r="M7" s="125"/>
      <x:c r="N7" s="125"/>
      <x:c r="O7" s="125"/>
      <x:c r="P7" s="125"/>
    </x:row>
    <x:row r="8">
      <x:c r="A8" s="128" t="str">
        <x:v>Blocked inputs</x:v>
      </x:c>
      <x:c r="B8" s="196" t="n">
        <x:f>COUNTIF('Data Readiness'!$H$5:$H$21,"Blocked")</x:f>
        <x:v>0</x:v>
      </x:c>
      <x:c r="C8" s="125"/>
      <x:c r="D8" s="128" t="str">
        <x:v>Pending pairs</x:v>
      </x:c>
      <x:c r="E8" s="152" t="n">
        <x:f>MAX(0,E6-E7)</x:f>
        <x:v>0</x:v>
      </x:c>
      <x:c r="F8" s="125"/>
      <x:c r="G8" s="125"/>
      <x:c r="H8" s="125"/>
      <x:c r="I8" s="125"/>
      <x:c r="J8" s="125"/>
      <x:c r="K8" s="125"/>
      <x:c r="L8" s="125"/>
      <x:c r="M8" s="125"/>
      <x:c r="N8" s="125"/>
      <x:c r="O8" s="125"/>
      <x:c r="P8" s="125"/>
    </x:row>
    <x:row r="9">
      <x:c r="A9" s="129" t="str">
        <x:v>Readiness %</x:v>
      </x:c>
      <x:c r="B9" s="204" t="n">
        <x:f>IFERROR(B7/B5,0)</x:f>
        <x:v>0</x:v>
      </x:c>
      <x:c r="C9" s="125"/>
      <x:c r="D9" s="128" t="str">
        <x:v>Planned pairs today</x:v>
      </x:c>
      <x:c r="E9" s="152" t="n">
        <x:f>SUMIFS('Production Plan'!$O$5:$O$504,'Production Plan'!$C$5:$C$504,TODAY())</x:f>
        <x:v>0</x:v>
      </x:c>
      <x:c r="F9" s="125"/>
      <x:c r="G9" s="125"/>
      <x:c r="H9" s="125"/>
      <x:c r="I9" s="125"/>
      <x:c r="J9" s="125"/>
      <x:c r="K9" s="125"/>
      <x:c r="L9" s="125"/>
      <x:c r="M9" s="125"/>
      <x:c r="N9" s="125"/>
      <x:c r="O9" s="125"/>
      <x:c r="P9" s="125"/>
    </x:row>
    <x:row r="10">
      <x:c r="A10" s="125"/>
      <x:c r="B10" s="125"/>
      <x:c r="C10" s="125"/>
      <x:c r="D10" s="128" t="str">
        <x:v>Good pairs today</x:v>
      </x:c>
      <x:c r="E10" s="152" t="n">
        <x:f>SUMIFS('Actual Production'!$Q$5:$Q$704,'Actual Production'!$B$5:$B$704,TODAY())</x:f>
        <x:v>0</x:v>
      </x:c>
      <x:c r="F10" s="125"/>
      <x:c r="G10" s="125"/>
      <x:c r="H10" s="125"/>
      <x:c r="I10" s="125"/>
      <x:c r="J10" s="125"/>
      <x:c r="K10" s="125"/>
      <x:c r="L10" s="125"/>
      <x:c r="M10" s="125"/>
      <x:c r="N10" s="125"/>
      <x:c r="O10" s="125"/>
      <x:c r="P10" s="125"/>
    </x:row>
    <x:row r="11">
      <x:c r="A11" s="125"/>
      <x:c r="B11" s="125"/>
      <x:c r="C11" s="125"/>
      <x:c r="D11" s="129" t="str">
        <x:v>Today attainment %</x:v>
      </x:c>
      <x:c r="E11" s="203" t="n">
        <x:f>IFERROR(E10/E9,0)</x:f>
        <x:v>0</x:v>
      </x:c>
      <x:c r="F11" s="125"/>
      <x:c r="G11" s="125"/>
      <x:c r="H11" s="125"/>
      <x:c r="I11" s="125"/>
      <x:c r="J11" s="125"/>
      <x:c r="K11" s="125"/>
      <x:c r="L11" s="125"/>
      <x:c r="M11" s="125"/>
      <x:c r="N11" s="125"/>
      <x:c r="O11" s="125"/>
      <x:c r="P11" s="125"/>
    </x:row>
    <x:row r="12">
      <x:c r="A12" s="125"/>
      <x:c r="B12" s="125"/>
      <x:c r="C12" s="125"/>
      <x:c r="D12" s="125"/>
      <x:c r="E12" s="125"/>
      <x:c r="F12" s="125"/>
      <x:c r="G12" s="125"/>
      <x:c r="H12" s="125"/>
      <x:c r="I12" s="125"/>
      <x:c r="J12" s="125"/>
      <x:c r="K12" s="125"/>
      <x:c r="L12" s="125"/>
      <x:c r="M12" s="125"/>
      <x:c r="N12" s="125"/>
      <x:c r="O12" s="125"/>
      <x:c r="P12" s="125"/>
    </x:row>
    <x:row r="13">
      <x:c r="A13" s="126" t="str">
        <x:v>Stage</x:v>
      </x:c>
      <x:c r="B13" s="126" t="str">
        <x:v>Planned Pairs</x:v>
      </x:c>
      <x:c r="C13" s="126" t="str">
        <x:v>Actual Good Pairs</x:v>
      </x:c>
      <x:c r="D13" s="126" t="str">
        <x:v>Variance</x:v>
      </x:c>
      <x:c r="E13" s="125"/>
      <x:c r="F13" s="126" t="str">
        <x:v>Current Order Stage</x:v>
      </x:c>
      <x:c r="G13" s="126" t="str">
        <x:v>Order Count</x:v>
      </x:c>
      <x:c r="H13" s="125"/>
      <x:c r="I13" s="125"/>
      <x:c r="J13" s="125"/>
      <x:c r="K13" s="125"/>
      <x:c r="L13" s="125"/>
      <x:c r="M13" s="125"/>
      <x:c r="N13" s="125"/>
      <x:c r="O13" s="125"/>
      <x:c r="P13" s="125"/>
    </x:row>
    <x:row r="14">
      <x:c r="A14" s="127" t="str">
        <x:v>CUTTING</x:v>
      </x:c>
      <x:c r="B14" s="148" t="n">
        <x:f>SUMIF('Production Plan'!$L$5:$L$504,A14,'Production Plan'!$O$5:$O$504)</x:f>
        <x:v>0</x:v>
      </x:c>
      <x:c r="C14" s="148" t="n">
        <x:f>SUMIF('Actual Production'!$K$5:$K$704,A14,'Actual Production'!$Q$5:$Q$704)</x:f>
        <x:v>0</x:v>
      </x:c>
      <x:c r="D14" s="148" t="n">
        <x:f>C14-B14</x:f>
        <x:v>0</x:v>
      </x:c>
      <x:c r="E14" s="125"/>
      <x:c r="F14" s="127" t="str">
        <x:v>CUTTING</x:v>
      </x:c>
      <x:c r="G14" s="195" t="n">
        <x:f>COUNTIF('Orders'!$Q$5:$Q$304,F14)</x:f>
        <x:v>0</x:v>
      </x:c>
      <x:c r="H14" s="125"/>
      <x:c r="I14" s="125"/>
      <x:c r="J14" s="125"/>
      <x:c r="K14" s="125"/>
      <x:c r="L14" s="125"/>
      <x:c r="M14" s="125"/>
      <x:c r="N14" s="125"/>
      <x:c r="O14" s="125"/>
      <x:c r="P14" s="125"/>
    </x:row>
    <x:row r="15">
      <x:c r="A15" s="128" t="str">
        <x:v>PREPARATION</x:v>
      </x:c>
      <x:c r="B15" s="152" t="n">
        <x:f>SUMIF('Production Plan'!$L$5:$L$504,A15,'Production Plan'!$O$5:$O$504)</x:f>
        <x:v>0</x:v>
      </x:c>
      <x:c r="C15" s="152" t="n">
        <x:f>SUMIF('Actual Production'!$K$5:$K$704,A15,'Actual Production'!$Q$5:$Q$704)</x:f>
        <x:v>0</x:v>
      </x:c>
      <x:c r="D15" s="152" t="n">
        <x:f>C15-B15</x:f>
        <x:v>0</x:v>
      </x:c>
      <x:c r="E15" s="125"/>
      <x:c r="F15" s="128" t="str">
        <x:v>PREPARATION</x:v>
      </x:c>
      <x:c r="G15" s="196" t="n">
        <x:f>COUNTIF('Orders'!$Q$5:$Q$304,F15)</x:f>
        <x:v>0</x:v>
      </x:c>
      <x:c r="H15" s="125"/>
      <x:c r="I15" s="125"/>
      <x:c r="J15" s="125"/>
      <x:c r="K15" s="125"/>
      <x:c r="L15" s="125"/>
      <x:c r="M15" s="125"/>
      <x:c r="N15" s="125"/>
      <x:c r="O15" s="125"/>
      <x:c r="P15" s="125"/>
    </x:row>
    <x:row r="16">
      <x:c r="A16" s="128" t="str">
        <x:v>STITCHING</x:v>
      </x:c>
      <x:c r="B16" s="152" t="n">
        <x:f>SUMIF('Production Plan'!$L$5:$L$504,A16,'Production Plan'!$O$5:$O$504)</x:f>
        <x:v>0</x:v>
      </x:c>
      <x:c r="C16" s="152" t="n">
        <x:f>SUMIF('Actual Production'!$K$5:$K$704,A16,'Actual Production'!$Q$5:$Q$704)</x:f>
        <x:v>0</x:v>
      </x:c>
      <x:c r="D16" s="152" t="n">
        <x:f>C16-B16</x:f>
        <x:v>0</x:v>
      </x:c>
      <x:c r="E16" s="125"/>
      <x:c r="F16" s="128" t="str">
        <x:v>STITCHING</x:v>
      </x:c>
      <x:c r="G16" s="196" t="n">
        <x:f>COUNTIF('Orders'!$Q$5:$Q$304,F16)</x:f>
        <x:v>0</x:v>
      </x:c>
      <x:c r="H16" s="125"/>
      <x:c r="I16" s="125"/>
      <x:c r="J16" s="125"/>
      <x:c r="K16" s="125"/>
      <x:c r="L16" s="125"/>
      <x:c r="M16" s="125"/>
      <x:c r="N16" s="125"/>
      <x:c r="O16" s="125"/>
      <x:c r="P16" s="125"/>
    </x:row>
    <x:row r="17">
      <x:c r="A17" s="128" t="str">
        <x:v>UPPER_QC</x:v>
      </x:c>
      <x:c r="B17" s="152" t="n">
        <x:f>SUMIF('Production Plan'!$L$5:$L$504,A17,'Production Plan'!$O$5:$O$504)</x:f>
        <x:v>0</x:v>
      </x:c>
      <x:c r="C17" s="152" t="n">
        <x:f>SUMIF('Actual Production'!$K$5:$K$704,A17,'Actual Production'!$Q$5:$Q$704)</x:f>
        <x:v>0</x:v>
      </x:c>
      <x:c r="D17" s="152" t="n">
        <x:f>C17-B17</x:f>
        <x:v>0</x:v>
      </x:c>
      <x:c r="E17" s="125"/>
      <x:c r="F17" s="128" t="str">
        <x:v>UPPER_QC</x:v>
      </x:c>
      <x:c r="G17" s="196" t="n">
        <x:f>COUNTIF('Orders'!$Q$5:$Q$304,F17)</x:f>
        <x:v>0</x:v>
      </x:c>
      <x:c r="H17" s="125"/>
      <x:c r="I17" s="125"/>
      <x:c r="J17" s="125"/>
      <x:c r="K17" s="125"/>
      <x:c r="L17" s="125"/>
      <x:c r="M17" s="125"/>
      <x:c r="N17" s="125"/>
      <x:c r="O17" s="125"/>
      <x:c r="P17" s="125"/>
    </x:row>
    <x:row r="18">
      <x:c r="A18" s="128" t="str">
        <x:v>MOLDING</x:v>
      </x:c>
      <x:c r="B18" s="152" t="n">
        <x:f>SUMIF('Production Plan'!$L$5:$L$504,A18,'Production Plan'!$O$5:$O$504)</x:f>
        <x:v>0</x:v>
      </x:c>
      <x:c r="C18" s="152" t="n">
        <x:f>SUMIF('Actual Production'!$K$5:$K$704,A18,'Actual Production'!$Q$5:$Q$704)</x:f>
        <x:v>0</x:v>
      </x:c>
      <x:c r="D18" s="152" t="n">
        <x:f>C18-B18</x:f>
        <x:v>0</x:v>
      </x:c>
      <x:c r="E18" s="125"/>
      <x:c r="F18" s="128" t="str">
        <x:v>MOLDING</x:v>
      </x:c>
      <x:c r="G18" s="196" t="n">
        <x:f>COUNTIF('Orders'!$Q$5:$Q$304,F18)</x:f>
        <x:v>0</x:v>
      </x:c>
      <x:c r="H18" s="125"/>
      <x:c r="I18" s="125"/>
      <x:c r="J18" s="125"/>
      <x:c r="K18" s="125"/>
      <x:c r="L18" s="125"/>
      <x:c r="M18" s="125"/>
      <x:c r="N18" s="125"/>
      <x:c r="O18" s="125"/>
      <x:c r="P18" s="125"/>
    </x:row>
    <x:row r="19">
      <x:c r="A19" s="128" t="str">
        <x:v>ASSEMBLY</x:v>
      </x:c>
      <x:c r="B19" s="152" t="n">
        <x:f>SUMIF('Production Plan'!$L$5:$L$504,A19,'Production Plan'!$O$5:$O$504)</x:f>
        <x:v>0</x:v>
      </x:c>
      <x:c r="C19" s="152" t="n">
        <x:f>SUMIF('Actual Production'!$K$5:$K$704,A19,'Actual Production'!$Q$5:$Q$704)</x:f>
        <x:v>0</x:v>
      </x:c>
      <x:c r="D19" s="152" t="n">
        <x:f>C19-B19</x:f>
        <x:v>0</x:v>
      </x:c>
      <x:c r="E19" s="125"/>
      <x:c r="F19" s="128" t="str">
        <x:v>ASSEMBLY</x:v>
      </x:c>
      <x:c r="G19" s="196" t="n">
        <x:f>COUNTIF('Orders'!$Q$5:$Q$304,F19)</x:f>
        <x:v>0</x:v>
      </x:c>
      <x:c r="H19" s="125"/>
      <x:c r="I19" s="125"/>
      <x:c r="J19" s="125"/>
      <x:c r="K19" s="125"/>
      <x:c r="L19" s="125"/>
      <x:c r="M19" s="125"/>
      <x:c r="N19" s="125"/>
      <x:c r="O19" s="125"/>
      <x:c r="P19" s="125"/>
    </x:row>
    <x:row r="20">
      <x:c r="A20" s="128" t="str">
        <x:v>PACKING</x:v>
      </x:c>
      <x:c r="B20" s="152" t="n">
        <x:f>SUMIF('Production Plan'!$L$5:$L$504,A20,'Production Plan'!$O$5:$O$504)</x:f>
        <x:v>0</x:v>
      </x:c>
      <x:c r="C20" s="152" t="n">
        <x:f>SUMIF('Actual Production'!$K$5:$K$704,A20,'Actual Production'!$Q$5:$Q$704)</x:f>
        <x:v>0</x:v>
      </x:c>
      <x:c r="D20" s="152" t="n">
        <x:f>C20-B20</x:f>
        <x:v>0</x:v>
      </x:c>
      <x:c r="E20" s="125"/>
      <x:c r="F20" s="128" t="str">
        <x:v>PACKING</x:v>
      </x:c>
      <x:c r="G20" s="196" t="n">
        <x:f>COUNTIF('Orders'!$Q$5:$Q$304,F20)</x:f>
        <x:v>0</x:v>
      </x:c>
      <x:c r="H20" s="125"/>
      <x:c r="I20" s="125"/>
      <x:c r="J20" s="125"/>
      <x:c r="K20" s="125"/>
      <x:c r="L20" s="125"/>
      <x:c r="M20" s="125"/>
      <x:c r="N20" s="125"/>
      <x:c r="O20" s="125"/>
      <x:c r="P20" s="125"/>
    </x:row>
    <x:row r="21">
      <x:c r="A21" s="129" t="str">
        <x:v>DISPATCH</x:v>
      </x:c>
      <x:c r="B21" s="156" t="n">
        <x:f>SUMIF('Production Plan'!$L$5:$L$504,A21,'Production Plan'!$O$5:$O$504)</x:f>
        <x:v>0</x:v>
      </x:c>
      <x:c r="C21" s="156" t="n">
        <x:f>SUMIF('Actual Production'!$K$5:$K$704,A21,'Actual Production'!$Q$5:$Q$704)</x:f>
        <x:v>0</x:v>
      </x:c>
      <x:c r="D21" s="156" t="n">
        <x:f>C21-B21</x:f>
        <x:v>0</x:v>
      </x:c>
      <x:c r="E21" s="125"/>
      <x:c r="F21" s="129" t="str">
        <x:v>DISPATCH</x:v>
      </x:c>
      <x:c r="G21" s="197" t="n">
        <x:f>COUNTIF('Orders'!$Q$5:$Q$304,F21)</x:f>
        <x:v>0</x:v>
      </x:c>
      <x:c r="H21" s="125"/>
      <x:c r="I21" s="125"/>
      <x:c r="J21" s="125"/>
      <x:c r="K21" s="125"/>
      <x:c r="L21" s="125"/>
      <x:c r="M21" s="125"/>
      <x:c r="N21" s="125"/>
      <x:c r="O21" s="125"/>
      <x:c r="P21" s="125"/>
    </x:row>
    <x:row r="22">
      <x:c r="A22" s="125"/>
      <x:c r="B22" s="125"/>
      <x:c r="C22" s="125"/>
      <x:c r="D22" s="125"/>
      <x:c r="E22" s="125"/>
      <x:c r="F22" s="125"/>
      <x:c r="G22" s="125"/>
      <x:c r="H22" s="125"/>
      <x:c r="I22" s="125"/>
      <x:c r="J22" s="125"/>
      <x:c r="K22" s="125"/>
      <x:c r="L22" s="125"/>
      <x:c r="M22" s="125"/>
      <x:c r="N22" s="125"/>
      <x:c r="O22" s="125"/>
      <x:c r="P22" s="125"/>
    </x:row>
    <x:row r="23">
      <x:c r="A23" s="125"/>
      <x:c r="B23" s="125"/>
      <x:c r="C23" s="125"/>
      <x:c r="D23" s="125"/>
      <x:c r="E23" s="125"/>
      <x:c r="F23" s="125"/>
      <x:c r="G23" s="125"/>
      <x:c r="H23" s="125"/>
      <x:c r="I23" s="125"/>
      <x:c r="J23" s="125"/>
      <x:c r="K23" s="125"/>
      <x:c r="L23" s="125"/>
      <x:c r="M23" s="125"/>
      <x:c r="N23" s="125"/>
      <x:c r="O23" s="125"/>
      <x:c r="P23" s="125"/>
    </x:row>
    <x:row r="24">
      <x:c r="A24" s="126" t="str">
        <x:v>Exceptions</x:v>
      </x:c>
      <x:c r="B24" s="126" t="str">
        <x:v>Count</x:v>
      </x:c>
      <x:c r="C24" s="126" t="str">
        <x:v>Owner / Next Action</x:v>
      </x:c>
      <x:c r="D24" s="126" t="str">
        <x:v>Source Sheet</x:v>
      </x:c>
      <x:c r="E24" s="126" t="str">
        <x:v>Meaning</x:v>
      </x:c>
      <x:c r="F24" s="125"/>
      <x:c r="G24" s="125"/>
      <x:c r="H24" s="125"/>
      <x:c r="I24" s="125"/>
      <x:c r="J24" s="125"/>
      <x:c r="K24" s="125"/>
      <x:c r="L24" s="125"/>
      <x:c r="M24" s="125"/>
      <x:c r="N24" s="125"/>
      <x:c r="O24" s="125"/>
      <x:c r="P24" s="125"/>
    </x:row>
    <x:row r="25">
      <x:c r="A25" s="127" t="str">
        <x:v>Order quantity checks</x:v>
      </x:c>
      <x:c r="B25" s="195" t="n">
        <x:f>COUNTIF('Orders'!$AS$5:$AS$304,"CHECK*")</x:f>
        <x:v>0</x:v>
      </x:c>
      <x:c r="C25" s="127" t="str">
        <x:v>Correct order/carton/size mismatch</x:v>
      </x:c>
      <x:c r="D25" s="127" t="str">
        <x:v>Orders</x:v>
      </x:c>
      <x:c r="E25" s="127" t="str">
        <x:v>Sizes do not reconcile to declared quantity</x:v>
      </x:c>
      <x:c r="F25" s="125"/>
      <x:c r="G25" s="125"/>
      <x:c r="H25" s="125"/>
      <x:c r="I25" s="125"/>
      <x:c r="J25" s="125"/>
      <x:c r="K25" s="125"/>
      <x:c r="L25" s="125"/>
      <x:c r="M25" s="125"/>
      <x:c r="N25" s="125"/>
      <x:c r="O25" s="125"/>
      <x:c r="P25" s="125"/>
    </x:row>
    <x:row r="26">
      <x:c r="A26" s="128" t="str">
        <x:v>Open downtime events</x:v>
      </x:c>
      <x:c r="B26" s="196" t="n">
        <x:f>COUNTIF('Downtime Log'!$S$5:$S$404,"Open")+COUNTIF('Downtime Log'!$S$5:$S$404,"In Progress")</x:f>
        <x:v>0</x:v>
      </x:c>
      <x:c r="C26" s="128" t="str">
        <x:v>Production/Maintenance to close cause</x:v>
      </x:c>
      <x:c r="D26" s="128" t="str">
        <x:v>Downtime Log</x:v>
      </x:c>
      <x:c r="E26" s="128" t="str">
        <x:v>Downtime remains unresolved</x:v>
      </x:c>
      <x:c r="F26" s="125"/>
      <x:c r="G26" s="125"/>
      <x:c r="H26" s="125"/>
      <x:c r="I26" s="125"/>
      <x:c r="J26" s="125"/>
      <x:c r="K26" s="125"/>
      <x:c r="L26" s="125"/>
      <x:c r="M26" s="125"/>
      <x:c r="N26" s="125"/>
      <x:c r="O26" s="125"/>
      <x:c r="P26" s="125"/>
    </x:row>
    <x:row r="27">
      <x:c r="A27" s="128" t="str">
        <x:v>Delayed pipeline changes</x:v>
      </x:c>
      <x:c r="B27" s="196" t="n">
        <x:f>COUNTIF('Pipeline Changes'!$N$5:$N$504,"&gt;0")</x:f>
        <x:v>0</x:v>
      </x:c>
      <x:c r="C27" s="128" t="str">
        <x:v>Planning to replan and approve</x:v>
      </x:c>
      <x:c r="D27" s="128" t="str">
        <x:v>Pipeline Changes</x:v>
      </x:c>
      <x:c r="E27" s="128" t="str">
        <x:v>Revised completion date is later</x:v>
      </x:c>
      <x:c r="F27" s="125"/>
      <x:c r="G27" s="125"/>
      <x:c r="H27" s="125"/>
      <x:c r="I27" s="125"/>
      <x:c r="J27" s="125"/>
      <x:c r="K27" s="125"/>
      <x:c r="L27" s="125"/>
      <x:c r="M27" s="125"/>
      <x:c r="N27" s="125"/>
      <x:c r="O27" s="125"/>
      <x:c r="P27" s="125"/>
    </x:row>
    <x:row r="28">
      <x:c r="A28" s="128" t="str">
        <x:v>Open critical/high feedback</x:v>
      </x:c>
      <x:c r="B28" s="196" t="n">
        <x:f>COUNTIFS('Feedback Log'!$J$5:$J$304,"Critical",'Feedback Log'!$O$5:$O$304,"&lt;&gt;Closed")+COUNTIFS('Feedback Log'!$J$5:$J$304,"High",'Feedback Log'!$O$5:$O$304,"&lt;&gt;Closed")</x:f>
        <x:v>0</x:v>
      </x:c>
      <x:c r="C28" s="128" t="str">
        <x:v>Product owner to decide and test</x:v>
      </x:c>
      <x:c r="D28" s="128" t="str">
        <x:v>Feedback Log</x:v>
      </x:c>
      <x:c r="E28" s="128" t="str">
        <x:v>Client-impacting model request remains open</x:v>
      </x:c>
      <x:c r="F28" s="125"/>
      <x:c r="G28" s="125"/>
      <x:c r="H28" s="125"/>
      <x:c r="I28" s="125"/>
      <x:c r="J28" s="125"/>
      <x:c r="K28" s="125"/>
      <x:c r="L28" s="125"/>
      <x:c r="M28" s="125"/>
      <x:c r="N28" s="125"/>
      <x:c r="O28" s="125"/>
      <x:c r="P28" s="125"/>
    </x:row>
    <x:row r="29">
      <x:c r="A29" s="129" t="str">
        <x:v>Unconfirmed packing rules</x:v>
      </x:c>
      <x:c r="B29" s="197" t="n">
        <x:f>COUNTIF('Packing Rules'!$S$5:$S$150,"To Confirm")</x:f>
        <x:v>105</x:v>
      </x:c>
      <x:c r="C29" s="129" t="str">
        <x:v>Packing owner to approve rate</x:v>
      </x:c>
      <x:c r="D29" s="129" t="str">
        <x:v>Packing Rules</x:v>
      </x:c>
      <x:c r="E29" s="129" t="str">
        <x:v>Carton calculation is not factory-confirmed</x:v>
      </x:c>
      <x:c r="F29" s="125"/>
      <x:c r="G29" s="125"/>
      <x:c r="H29" s="125"/>
      <x:c r="I29" s="125"/>
      <x:c r="J29" s="125"/>
      <x:c r="K29" s="125"/>
      <x:c r="L29" s="125"/>
      <x:c r="M29" s="125"/>
      <x:c r="N29" s="125"/>
      <x:c r="O29" s="125"/>
      <x:c r="P29" s="125"/>
    </x:row>
    <x:row r="30">
      <x:c r="A30" s="125"/>
      <x:c r="B30" s="125"/>
      <x:c r="C30" s="125"/>
      <x:c r="D30" s="125"/>
      <x:c r="E30" s="125"/>
      <x:c r="F30" s="125"/>
      <x:c r="G30" s="125"/>
      <x:c r="H30" s="125"/>
      <x:c r="I30" s="125"/>
      <x:c r="J30" s="125"/>
      <x:c r="K30" s="125"/>
      <x:c r="L30" s="125"/>
      <x:c r="M30" s="125"/>
      <x:c r="N30" s="125"/>
      <x:c r="O30" s="125"/>
      <x:c r="P30" s="125"/>
    </x:row>
    <x:row r="31">
      <x:c r="A31" s="205" t="str">
        <x:v>Dashboard interpretation: figures remain zero until transaction sheets are populated. Readiness is based on client validation and approval, not merely on whether a cell contains a number.</x:v>
      </x:c>
      <x:c r="B31" s="205"/>
      <x:c r="C31" s="205"/>
      <x:c r="D31" s="205"/>
      <x:c r="E31" s="205"/>
      <x:c r="F31" s="205"/>
      <x:c r="G31" s="205"/>
      <x:c r="H31" s="205"/>
      <x:c r="I31" s="125"/>
      <x:c r="J31" s="125"/>
      <x:c r="K31" s="125"/>
      <x:c r="L31" s="125"/>
      <x:c r="M31" s="125"/>
      <x:c r="N31" s="125"/>
      <x:c r="O31" s="125"/>
      <x:c r="P31" s="125"/>
    </x:row>
    <x:row r="32">
      <x:c r="A32" s="206" t="str">
        <x:v>The model should be connected to this feed only after master-data approval and a controlled opening-balance cutover.</x:v>
      </x:c>
      <x:c r="B32" s="206"/>
      <x:c r="C32" s="206"/>
      <x:c r="D32" s="206"/>
      <x:c r="E32" s="206"/>
      <x:c r="F32" s="206"/>
      <x:c r="G32" s="206"/>
      <x:c r="H32" s="206"/>
      <x:c r="I32" s="125"/>
      <x:c r="J32" s="125"/>
      <x:c r="K32" s="125"/>
      <x:c r="L32" s="125"/>
      <x:c r="M32" s="125"/>
      <x:c r="N32" s="125"/>
      <x:c r="O32" s="125"/>
      <x:c r="P32" s="125"/>
    </x:row>
    <x:row r="33">
      <x:c r="A33" s="207" t="str">
        <x:v>Use the Feedback Log for corrections; do not directly alter historical actual-production or pipeline-change records without an audit note.</x:v>
      </x:c>
      <x:c r="B33" s="207"/>
      <x:c r="C33" s="207"/>
      <x:c r="D33" s="207"/>
      <x:c r="E33" s="207"/>
      <x:c r="F33" s="207"/>
      <x:c r="G33" s="207"/>
      <x:c r="H33" s="207"/>
      <x:c r="I33" s="125"/>
      <x:c r="J33" s="125"/>
      <x:c r="K33" s="125"/>
      <x:c r="L33" s="125"/>
      <x:c r="M33" s="125"/>
      <x:c r="N33" s="125"/>
      <x:c r="O33" s="125"/>
      <x:c r="P33" s="125"/>
    </x:row>
  </x:sheetData>
  <x:mergeCells>
    <x:mergeCell ref="A1:P1"/>
    <x:mergeCell ref="A2:P2"/>
    <x:mergeCell ref="A3:P3"/>
    <x:mergeCell ref="A4:H4"/>
    <x:mergeCell ref="D4:H4"/>
    <x:mergeCell ref="A31:H31"/>
    <x:mergeCell ref="A32:H32"/>
    <x:mergeCell ref="A33:H33"/>
  </x:mergeCells>
  <x:conditionalFormatting sqref="B25:B29">
    <x:cfRule type="cellIs" dxfId="71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d46ae1f78e7644c0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140" t="str">
        <x:v>Controlled Lists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  <x:c r="R1" s="122"/>
      <x:c r="S1" s="122"/>
      <x:c r="T1" s="122"/>
      <x:c r="U1" s="122"/>
      <x:c r="V1" s="122"/>
      <x:c r="W1" s="122"/>
      <x:c r="X1" s="122"/>
    </x:row>
    <x:row r="2" ht="34" customHeight="1">
      <x:c r="A2" s="123" t="str">
        <x:v>Dropdown values used throughout the workbook. Edit only when a new approved category is required.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  <x:c r="W2" s="123"/>
      <x:c r="X2" s="123"/>
    </x:row>
    <x:row r="3">
      <x:c r="A3" s="124" t="str">
        <x:v>Yellow = client input  |  Grey = current model/reference  |  Blue-grey = formula  |  Do not rename columns or merge input rows</x:v>
      </x:c>
      <x:c r="B3" s="124"/>
      <x:c r="C3" s="124"/>
      <x:c r="D3" s="124"/>
      <x:c r="E3" s="124"/>
      <x:c r="F3" s="124"/>
      <x:c r="G3" s="124"/>
      <x:c r="H3" s="124"/>
      <x:c r="I3" s="124"/>
      <x:c r="J3" s="124"/>
      <x:c r="K3" s="124"/>
      <x:c r="L3" s="124"/>
      <x:c r="M3" s="124"/>
      <x:c r="N3" s="124"/>
      <x:c r="O3" s="124"/>
      <x:c r="P3" s="124"/>
      <x:c r="Q3" s="124"/>
      <x:c r="R3" s="124"/>
      <x:c r="S3" s="124"/>
      <x:c r="T3" s="124"/>
      <x:c r="U3" s="124"/>
      <x:c r="V3" s="124"/>
      <x:c r="W3" s="124"/>
      <x:c r="X3" s="124"/>
    </x:row>
    <x:row r="4">
      <x:c r="A4" s="126" t="str">
        <x:v>Work Centre</x:v>
      </x:c>
      <x:c r="B4" s="126" t="str">
        <x:v>Stage</x:v>
      </x:c>
      <x:c r="C4" s="126" t="str">
        <x:v>Shift</x:v>
      </x:c>
      <x:c r="D4" s="126" t="str">
        <x:v>Yes / No</x:v>
      </x:c>
      <x:c r="E4" s="126" t="str">
        <x:v>Confirmation</x:v>
      </x:c>
      <x:c r="F4" s="126" t="str">
        <x:v>Approval</x:v>
      </x:c>
      <x:c r="G4" s="126" t="str">
        <x:v>Order Status</x:v>
      </x:c>
      <x:c r="H4" s="126" t="str">
        <x:v>Priority</x:v>
      </x:c>
      <x:c r="I4" s="126" t="str">
        <x:v>Stitching Source</x:v>
      </x:c>
      <x:c r="J4" s="126" t="str">
        <x:v>Sole Type</x:v>
      </x:c>
      <x:c r="K4" s="126" t="str">
        <x:v>Plan Status</x:v>
      </x:c>
      <x:c r="L4" s="126" t="str">
        <x:v>Feedback Status</x:v>
      </x:c>
      <x:c r="M4" s="126" t="str">
        <x:v>Severity</x:v>
      </x:c>
      <x:c r="N4" s="126" t="str">
        <x:v>Downtime Category</x:v>
      </x:c>
      <x:c r="O4" s="126" t="str">
        <x:v>Pipeline Change</x:v>
      </x:c>
      <x:c r="P4" s="126" t="str">
        <x:v>Dispatch Status</x:v>
      </x:c>
      <x:c r="Q4" s="126" t="str">
        <x:v>Frequency</x:v>
      </x:c>
      <x:c r="R4" s="126" t="str">
        <x:v>Client Status</x:v>
      </x:c>
      <x:c r="S4" s="126" t="str">
        <x:v>Article Code</x:v>
      </x:c>
      <x:c r="T4" s="126" t="str">
        <x:v>Machine Availability</x:v>
      </x:c>
      <x:c r="U4" s="126" t="str">
        <x:v>Order Unit</x:v>
      </x:c>
      <x:c r="V4" s="126" t="str">
        <x:v>Packing Rule Kind</x:v>
      </x:c>
      <x:c r="W4" s="126" t="str">
        <x:v>Source Role</x:v>
      </x:c>
      <x:c r="X4" s="126" t="str">
        <x:v>Quality Hold</x:v>
      </x:c>
    </x:row>
    <x:row r="5">
      <x:c r="A5" s="125" t="str">
        <x:v>CUTTING</x:v>
      </x:c>
      <x:c r="B5" s="125" t="str">
        <x:v>CUTTING</x:v>
      </x:c>
      <x:c r="C5" s="125" t="str">
        <x:v>General</x:v>
      </x:c>
      <x:c r="D5" s="125" t="str">
        <x:v>Yes</x:v>
      </x:c>
      <x:c r="E5" s="125" t="str">
        <x:v>To Confirm</x:v>
      </x:c>
      <x:c r="F5" s="125" t="str">
        <x:v>Pending</x:v>
      </x:c>
      <x:c r="G5" s="125" t="str">
        <x:v>Draft</x:v>
      </x:c>
      <x:c r="H5" s="125" t="str">
        <x:v>1 - Urgent</x:v>
      </x:c>
      <x:c r="I5" s="125" t="str">
        <x:v>In-house</x:v>
      </x:c>
      <x:c r="J5" s="125" t="str">
        <x:v>PVC</x:v>
      </x:c>
      <x:c r="K5" s="125" t="str">
        <x:v>Draft</x:v>
      </x:c>
      <x:c r="L5" s="125" t="str">
        <x:v>New</x:v>
      </x:c>
      <x:c r="M5" s="125" t="str">
        <x:v>Critical</x:v>
      </x:c>
      <x:c r="N5" s="125" t="str">
        <x:v>Breakdown</x:v>
      </x:c>
      <x:c r="O5" s="125" t="str">
        <x:v>Stage Started</x:v>
      </x:c>
      <x:c r="P5" s="125" t="str">
        <x:v>Packed Only</x:v>
      </x:c>
      <x:c r="Q5" s="125" t="str">
        <x:v>One-time before go-live</x:v>
      </x:c>
      <x:c r="R5" s="125" t="str">
        <x:v>Not Started</x:v>
      </x:c>
      <x:c r="S5" s="125" t="str">
        <x:v>ARMOUR (VELCRO)</x:v>
      </x:c>
      <x:c r="T5" s="125" t="str">
        <x:v>Active</x:v>
      </x:c>
      <x:c r="U5" s="125" t="str">
        <x:v>Pairs</x:v>
      </x:c>
      <x:c r="V5" s="125" t="str">
        <x:v>Combination Pack</x:v>
      </x:c>
      <x:c r="W5" s="125" t="str">
        <x:v>Sales</x:v>
      </x:c>
      <x:c r="X5" s="125" t="str">
        <x:v>No</x:v>
      </x:c>
    </x:row>
    <x:row r="6">
      <x:c r="A6" s="125" t="str">
        <x:v>PREPARATION</x:v>
      </x:c>
      <x:c r="B6" s="125" t="str">
        <x:v>PREPARATION</x:v>
      </x:c>
      <x:c r="C6" s="125" t="str">
        <x:v>A</x:v>
      </x:c>
      <x:c r="D6" s="125" t="str">
        <x:v>No</x:v>
      </x:c>
      <x:c r="E6" s="125" t="str">
        <x:v>Confirmed</x:v>
      </x:c>
      <x:c r="F6" s="125" t="str">
        <x:v>Approved</x:v>
      </x:c>
      <x:c r="G6" s="125" t="str">
        <x:v>Open</x:v>
      </x:c>
      <x:c r="H6" s="125" t="str">
        <x:v>2 - Normal</x:v>
      </x:c>
      <x:c r="I6" s="125" t="str">
        <x:v>Outside</x:v>
      </x:c>
      <x:c r="J6" s="125" t="str">
        <x:v>PU</x:v>
      </x:c>
      <x:c r="K6" s="125" t="str">
        <x:v>Released</x:v>
      </x:c>
      <x:c r="L6" s="125" t="str">
        <x:v>Under Review</x:v>
      </x:c>
      <x:c r="M6" s="125" t="str">
        <x:v>High</x:v>
      </x:c>
      <x:c r="N6" s="125" t="str">
        <x:v>Power</x:v>
      </x:c>
      <x:c r="O6" s="125" t="str">
        <x:v>Stage Completed</x:v>
      </x:c>
      <x:c r="P6" s="125" t="str">
        <x:v>Partial Dispatch</x:v>
      </x:c>
      <x:c r="Q6" s="125" t="str">
        <x:v>When changed</x:v>
      </x:c>
      <x:c r="R6" s="125" t="str">
        <x:v>In Progress</x:v>
      </x:c>
      <x:c r="S6" s="125" t="str">
        <x:v>ARMOUR (LACE)</x:v>
      </x:c>
      <x:c r="T6" s="125" t="str">
        <x:v>Inactive</x:v>
      </x:c>
      <x:c r="U6" s="125" t="str">
        <x:v>Cartons</x:v>
      </x:c>
      <x:c r="V6" s="125" t="str">
        <x:v>Single Size</x:v>
      </x:c>
      <x:c r="W6" s="125" t="str">
        <x:v>Planning</x:v>
      </x:c>
      <x:c r="X6" s="125" t="str">
        <x:v>Yes</x:v>
      </x:c>
    </x:row>
    <x:row r="7">
      <x:c r="A7" s="125" t="str">
        <x:v>STITCHING</x:v>
      </x:c>
      <x:c r="B7" s="125" t="str">
        <x:v>STITCHING</x:v>
      </x:c>
      <x:c r="C7" s="125" t="str">
        <x:v>B</x:v>
      </x:c>
      <x:c r="D7" s="125" t="str">
        <x:v>To Confirm</x:v>
      </x:c>
      <x:c r="E7" s="125" t="str">
        <x:v>Not Applicable</x:v>
      </x:c>
      <x:c r="F7" s="125" t="str">
        <x:v>Rejected</x:v>
      </x:c>
      <x:c r="G7" s="125" t="str">
        <x:v>In Production</x:v>
      </x:c>
      <x:c r="H7" s="125" t="str">
        <x:v>3 - Low</x:v>
      </x:c>
      <x:c r="I7" s="125"/>
      <x:c r="J7" s="125" t="str">
        <x:v>EVA</x:v>
      </x:c>
      <x:c r="K7" s="125" t="str">
        <x:v>Locked</x:v>
      </x:c>
      <x:c r="L7" s="125" t="str">
        <x:v>Approved</x:v>
      </x:c>
      <x:c r="M7" s="125" t="str">
        <x:v>Medium</x:v>
      </x:c>
      <x:c r="N7" s="125" t="str">
        <x:v>Mould Change</x:v>
      </x:c>
      <x:c r="O7" s="125" t="str">
        <x:v>Moved Forward</x:v>
      </x:c>
      <x:c r="P7" s="125" t="str">
        <x:v>Full Dispatch</x:v>
      </x:c>
      <x:c r="Q7" s="125" t="str">
        <x:v>Daily before planning</x:v>
      </x:c>
      <x:c r="R7" s="125" t="str">
        <x:v>Submitted</x:v>
      </x:c>
      <x:c r="S7" s="125" t="str">
        <x:v>REX GOLA (V)</x:v>
      </x:c>
      <x:c r="T7" s="125" t="str">
        <x:v>Under Maintenance</x:v>
      </x:c>
      <x:c r="U7" s="125"/>
      <x:c r="V7" s="125"/>
      <x:c r="W7" s="125" t="str">
        <x:v>Production</x:v>
      </x:c>
      <x:c r="X7" s="125" t="str">
        <x:v>Released</x:v>
      </x:c>
    </x:row>
    <x:row r="8">
      <x:c r="A8" s="125" t="str">
        <x:v>UPPER_QC</x:v>
      </x:c>
      <x:c r="B8" s="125" t="str">
        <x:v>UPPER_QC</x:v>
      </x:c>
      <x:c r="C8" s="125" t="str">
        <x:v>C</x:v>
      </x:c>
      <x:c r="D8" s="125"/>
      <x:c r="E8" s="125"/>
      <x:c r="F8" s="125"/>
      <x:c r="G8" s="125" t="str">
        <x:v>Partially Packed</x:v>
      </x:c>
      <x:c r="H8" s="125"/>
      <x:c r="I8" s="125"/>
      <x:c r="J8" s="125" t="str">
        <x:v>STUCK-ON</x:v>
      </x:c>
      <x:c r="K8" s="125" t="str">
        <x:v>Replanned</x:v>
      </x:c>
      <x:c r="L8" s="125" t="str">
        <x:v>In Development</x:v>
      </x:c>
      <x:c r="M8" s="125" t="str">
        <x:v>Low</x:v>
      </x:c>
      <x:c r="N8" s="125" t="str">
        <x:v>Material Shortage</x:v>
      </x:c>
      <x:c r="O8" s="125" t="str">
        <x:v>Moved Back</x:v>
      </x:c>
      <x:c r="P8" s="125" t="str">
        <x:v>Shortage Closure</x:v>
      </x:c>
      <x:c r="Q8" s="125" t="str">
        <x:v>Every shift</x:v>
      </x:c>
      <x:c r="R8" s="125" t="str">
        <x:v>Validated</x:v>
      </x:c>
      <x:c r="S8" s="125" t="str">
        <x:v>REX GOLA (L)</x:v>
      </x:c>
      <x:c r="T8" s="125" t="str">
        <x:v>Trial</x:v>
      </x:c>
      <x:c r="U8" s="125"/>
      <x:c r="V8" s="125"/>
      <x:c r="W8" s="125" t="str">
        <x:v>Quality</x:v>
      </x:c>
      <x:c r="X8" s="125"/>
    </x:row>
    <x:row r="9">
      <x:c r="A9" s="125" t="str">
        <x:v>MOLDING_PVC_ROTARY</x:v>
      </x:c>
      <x:c r="B9" s="125" t="str">
        <x:v>PRINTING</x:v>
      </x:c>
      <x:c r="C9" s="125"/>
      <x:c r="D9" s="125"/>
      <x:c r="E9" s="125"/>
      <x:c r="F9" s="125"/>
      <x:c r="G9" s="125" t="str">
        <x:v>Partially Dispatched</x:v>
      </x:c>
      <x:c r="H9" s="125"/>
      <x:c r="I9" s="125"/>
      <x:c r="J9" s="125" t="str">
        <x:v>To Confirm</x:v>
      </x:c>
      <x:c r="K9" s="125" t="str">
        <x:v>Completed</x:v>
      </x:c>
      <x:c r="L9" s="125" t="str">
        <x:v>Ready for Test</x:v>
      </x:c>
      <x:c r="M9" s="125"/>
      <x:c r="N9" s="125" t="str">
        <x:v>Labour Shortage</x:v>
      </x:c>
      <x:c r="O9" s="125" t="str">
        <x:v>Hold</x:v>
      </x:c>
      <x:c r="P9" s="125" t="str">
        <x:v>Quality Hold</x:v>
      </x:c>
      <x:c r="Q9" s="125" t="str">
        <x:v>Per production event</x:v>
      </x:c>
      <x:c r="R9" s="125" t="str">
        <x:v>Blocked</x:v>
      </x:c>
      <x:c r="S9" s="125" t="str">
        <x:v>SILKY BELLY BLACK</x:v>
      </x:c>
      <x:c r="T9" s="125"/>
      <x:c r="U9" s="125"/>
      <x:c r="V9" s="125"/>
      <x:c r="W9" s="125" t="str">
        <x:v>Packing</x:v>
      </x:c>
      <x:c r="X9" s="125"/>
    </x:row>
    <x:row r="10">
      <x:c r="A10" s="125" t="str">
        <x:v>MOLDING_PVC_VERTICAL</x:v>
      </x:c>
      <x:c r="B10" s="125" t="str">
        <x:v>MOLDING</x:v>
      </x:c>
      <x:c r="C10" s="125"/>
      <x:c r="D10" s="125"/>
      <x:c r="E10" s="125"/>
      <x:c r="F10" s="125"/>
      <x:c r="G10" s="125" t="str">
        <x:v>Completed</x:v>
      </x:c>
      <x:c r="H10" s="125"/>
      <x:c r="I10" s="125"/>
      <x:c r="J10" s="125"/>
      <x:c r="K10" s="125" t="str">
        <x:v>Cancelled</x:v>
      </x:c>
      <x:c r="L10" s="125" t="str">
        <x:v>Test Failed</x:v>
      </x:c>
      <x:c r="M10" s="125"/>
      <x:c r="N10" s="125" t="str">
        <x:v>Quality Hold</x:v>
      </x:c>
      <x:c r="O10" s="125" t="str">
        <x:v>Release Hold</x:v>
      </x:c>
      <x:c r="P10" s="125"/>
      <x:c r="Q10" s="125" t="str">
        <x:v>Per dispatch</x:v>
      </x:c>
      <x:c r="R10" s="125"/>
      <x:c r="S10" s="125" t="str">
        <x:v>SILKY BELLY WHITE</x:v>
      </x:c>
      <x:c r="T10" s="125"/>
      <x:c r="U10" s="125"/>
      <x:c r="V10" s="125"/>
      <x:c r="W10" s="125" t="str">
        <x:v>Dispatch</x:v>
      </x:c>
      <x:c r="X10" s="125"/>
    </x:row>
    <x:row r="11">
      <x:c r="A11" s="125" t="str">
        <x:v>MOLDING_PU</x:v>
      </x:c>
      <x:c r="B11" s="125" t="str">
        <x:v>ASSEMBLY</x:v>
      </x:c>
      <x:c r="C11" s="125"/>
      <x:c r="D11" s="125"/>
      <x:c r="E11" s="125"/>
      <x:c r="F11" s="125"/>
      <x:c r="G11" s="125" t="str">
        <x:v>Closed Short</x:v>
      </x:c>
      <x:c r="H11" s="125"/>
      <x:c r="I11" s="125"/>
      <x:c r="J11" s="125"/>
      <x:c r="K11" s="125"/>
      <x:c r="L11" s="125" t="str">
        <x:v>Closed</x:v>
      </x:c>
      <x:c r="M11" s="125"/>
      <x:c r="N11" s="125" t="str">
        <x:v>Planned Maintenance</x:v>
      </x:c>
      <x:c r="O11" s="125" t="str">
        <x:v>Quantity Revised</x:v>
      </x:c>
      <x:c r="P11" s="125"/>
      <x:c r="Q11" s="125" t="str">
        <x:v>Weekly review</x:v>
      </x:c>
      <x:c r="R11" s="125"/>
      <x:c r="S11" s="125" t="str">
        <x:v>SMART BOY (L) BLACK</x:v>
      </x:c>
      <x:c r="T11" s="125"/>
      <x:c r="U11" s="125"/>
      <x:c r="V11" s="125"/>
      <x:c r="W11" s="125" t="str">
        <x:v>Stores</x:v>
      </x:c>
      <x:c r="X11" s="125"/>
    </x:row>
    <x:row r="12">
      <x:c r="A12" s="125" t="str">
        <x:v>MOLDING_EVA</x:v>
      </x:c>
      <x:c r="B12" s="125" t="str">
        <x:v>PACKING</x:v>
      </x:c>
      <x:c r="C12" s="125"/>
      <x:c r="D12" s="125"/>
      <x:c r="E12" s="125"/>
      <x:c r="F12" s="125"/>
      <x:c r="G12" s="125" t="str">
        <x:v>On Hold</x:v>
      </x:c>
      <x:c r="H12" s="125"/>
      <x:c r="I12" s="125"/>
      <x:c r="J12" s="125"/>
      <x:c r="K12" s="125"/>
      <x:c r="L12" s="125" t="str">
        <x:v>Rejected</x:v>
      </x:c>
      <x:c r="M12" s="125"/>
      <x:c r="N12" s="125" t="str">
        <x:v>No Plan</x:v>
      </x:c>
      <x:c r="O12" s="125" t="str">
        <x:v>Priority Revised</x:v>
      </x:c>
      <x:c r="P12" s="125"/>
      <x:c r="Q12" s="125"/>
      <x:c r="R12" s="125"/>
      <x:c r="S12" s="125" t="str">
        <x:v>SMART BOY (L) WHITE</x:v>
      </x:c>
      <x:c r="T12" s="125"/>
      <x:c r="U12" s="125"/>
      <x:c r="V12" s="125"/>
      <x:c r="W12" s="125" t="str">
        <x:v>Management</x:v>
      </x:c>
      <x:c r="X12" s="125"/>
    </x:row>
    <x:row r="13">
      <x:c r="A13" s="125" t="str">
        <x:v>ASSEMBLY_STUCK-ON</x:v>
      </x:c>
      <x:c r="B13" s="125" t="str">
        <x:v>DISPATCH</x:v>
      </x:c>
      <x:c r="C13" s="125"/>
      <x:c r="D13" s="125"/>
      <x:c r="E13" s="125"/>
      <x:c r="F13" s="125"/>
      <x:c r="G13" s="125" t="str">
        <x:v>Cancelled</x:v>
      </x:c>
      <x:c r="H13" s="125"/>
      <x:c r="I13" s="125"/>
      <x:c r="J13" s="125"/>
      <x:c r="K13" s="125"/>
      <x:c r="L13" s="125"/>
      <x:c r="M13" s="125"/>
      <x:c r="N13" s="125" t="str">
        <x:v>Other</x:v>
      </x:c>
      <x:c r="O13" s="125" t="str">
        <x:v>Dispatch Date Revised</x:v>
      </x:c>
      <x:c r="P13" s="125"/>
      <x:c r="Q13" s="125"/>
      <x:c r="R13" s="125"/>
      <x:c r="S13" s="125" t="str">
        <x:v>JILL</x:v>
      </x:c>
      <x:c r="T13" s="125"/>
      <x:c r="U13" s="125"/>
      <x:c r="V13" s="125"/>
      <x:c r="W13" s="125" t="str">
        <x:v>Client</x:v>
      </x:c>
      <x:c r="X13" s="125"/>
    </x:row>
    <x:row r="14">
      <x:c r="A14" s="125" t="str">
        <x:v>PACKING</x:v>
      </x:c>
      <x:c r="B14" s="125"/>
      <x:c r="C14" s="125"/>
      <x:c r="D14" s="125"/>
      <x:c r="E14" s="125"/>
      <x:c r="F14" s="125"/>
      <x:c r="G14" s="125"/>
      <x:c r="H14" s="125"/>
      <x:c r="I14" s="125"/>
      <x:c r="J14" s="125"/>
      <x:c r="K14" s="125"/>
      <x:c r="L14" s="125"/>
      <x:c r="M14" s="125"/>
      <x:c r="N14" s="125"/>
      <x:c r="O14" s="125"/>
      <x:c r="P14" s="125"/>
      <x:c r="Q14" s="125"/>
      <x:c r="R14" s="125"/>
      <x:c r="S14" s="125" t="str">
        <x:v>ARMOUR</x:v>
      </x:c>
      <x:c r="T14" s="125"/>
      <x:c r="U14" s="125"/>
      <x:c r="V14" s="125"/>
      <x:c r="W14" s="125"/>
      <x:c r="X14" s="125"/>
    </x:row>
    <x:row r="15">
      <x:c r="A15" s="125" t="str">
        <x:v>DISPATCH</x:v>
      </x:c>
      <x:c r="B15" s="125"/>
      <x:c r="C15" s="125"/>
      <x:c r="D15" s="125"/>
      <x:c r="E15" s="125"/>
      <x:c r="F15" s="125"/>
      <x:c r="G15" s="125"/>
      <x:c r="H15" s="125"/>
      <x:c r="I15" s="125"/>
      <x:c r="J15" s="125"/>
      <x:c r="K15" s="125"/>
      <x:c r="L15" s="125"/>
      <x:c r="M15" s="125"/>
      <x:c r="N15" s="125"/>
      <x:c r="O15" s="125"/>
      <x:c r="P15" s="125"/>
      <x:c r="Q15" s="125"/>
      <x:c r="R15" s="125"/>
      <x:c r="S15" s="125" t="str">
        <x:v>PERCY</x:v>
      </x:c>
      <x:c r="T15" s="125"/>
      <x:c r="U15" s="125"/>
      <x:c r="V15" s="125"/>
      <x:c r="W15" s="125"/>
      <x:c r="X15" s="125"/>
    </x:row>
    <x:row r="16">
      <x:c r="A16" s="125"/>
      <x:c r="B16" s="125"/>
      <x:c r="C16" s="125"/>
      <x:c r="D16" s="125"/>
      <x:c r="E16" s="125"/>
      <x:c r="F16" s="125"/>
      <x:c r="G16" s="125"/>
      <x:c r="H16" s="125"/>
      <x:c r="I16" s="125"/>
      <x:c r="J16" s="125"/>
      <x:c r="K16" s="125"/>
      <x:c r="L16" s="125"/>
      <x:c r="M16" s="125"/>
      <x:c r="N16" s="125"/>
      <x:c r="O16" s="125"/>
      <x:c r="P16" s="125"/>
      <x:c r="Q16" s="125"/>
      <x:c r="R16" s="125"/>
      <x:c r="S16" s="125" t="str">
        <x:v>SPADE</x:v>
      </x:c>
      <x:c r="T16" s="125"/>
      <x:c r="U16" s="125"/>
      <x:c r="V16" s="125"/>
      <x:c r="W16" s="125"/>
      <x:c r="X16" s="125"/>
    </x:row>
    <x:row r="17">
      <x:c r="A17" s="125"/>
      <x:c r="B17" s="125"/>
      <x:c r="C17" s="125"/>
      <x:c r="D17" s="125"/>
      <x:c r="E17" s="125"/>
      <x:c r="F17" s="125"/>
      <x:c r="G17" s="125"/>
      <x:c r="H17" s="125"/>
      <x:c r="I17" s="125"/>
      <x:c r="J17" s="125"/>
      <x:c r="K17" s="125"/>
      <x:c r="L17" s="125"/>
      <x:c r="M17" s="125"/>
      <x:c r="N17" s="125"/>
      <x:c r="O17" s="125"/>
      <x:c r="P17" s="125"/>
      <x:c r="Q17" s="125"/>
      <x:c r="R17" s="125"/>
      <x:c r="S17" s="125" t="str">
        <x:v>SPIKE</x:v>
      </x:c>
      <x:c r="T17" s="125"/>
      <x:c r="U17" s="125"/>
      <x:c r="V17" s="125"/>
      <x:c r="W17" s="125"/>
      <x:c r="X17" s="125"/>
    </x:row>
    <x:row r="18">
      <x:c r="A18" s="125"/>
      <x:c r="B18" s="125"/>
      <x:c r="C18" s="125"/>
      <x:c r="D18" s="125"/>
      <x:c r="E18" s="125"/>
      <x:c r="F18" s="125"/>
      <x:c r="G18" s="125"/>
      <x:c r="H18" s="125"/>
      <x:c r="I18" s="125"/>
      <x:c r="J18" s="125"/>
      <x:c r="K18" s="125"/>
      <x:c r="L18" s="125"/>
      <x:c r="M18" s="125"/>
      <x:c r="N18" s="125"/>
      <x:c r="O18" s="125"/>
      <x:c r="P18" s="125"/>
      <x:c r="Q18" s="125"/>
      <x:c r="R18" s="125"/>
      <x:c r="S18" s="125" t="str">
        <x:v>REX GOLA PLUS</x:v>
      </x:c>
      <x:c r="T18" s="125"/>
      <x:c r="U18" s="125"/>
      <x:c r="V18" s="125"/>
      <x:c r="W18" s="125"/>
      <x:c r="X18" s="125"/>
    </x:row>
  </x:sheetData>
  <x:mergeCells>
    <x:mergeCell ref="A1:X1"/>
    <x:mergeCell ref="A2:X2"/>
    <x:mergeCell ref="A3:X3"/>
  </x:mergeCells>
  <x:pageMargins left="0.7" right="0.7" top="0.75" bottom="0.75" header="0.3" footer="0.3"/>
</x:worksheet>
</file>